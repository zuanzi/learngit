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worksheets/sheet35.xml" ContentType="application/vnd.openxmlformats-officedocument.spreadsheetml.worksheet+xml"/>
  <Override PartName="/xl/worksheets/sheet53.xml" ContentType="application/vnd.openxmlformats-officedocument.spreadsheetml.worksheet+xml"/>
  <Override PartName="/xl/worksheets/sheet71.xml" ContentType="application/vnd.openxmlformats-officedocument.spreadsheetml.worksheet+xml"/>
  <Override PartName="/xl/worksheets/sheet82.xml" ContentType="application/vnd.openxmlformats-officedocument.spreadsheetml.worksheet+xml"/>
  <Override PartName="/xl/worksheets/sheet13.xml" ContentType="application/vnd.openxmlformats-officedocument.spreadsheetml.worksheet+xml"/>
  <Override PartName="/xl/worksheets/sheet42.xml" ContentType="application/vnd.openxmlformats-officedocument.spreadsheetml.worksheet+xml"/>
  <Override PartName="/xl/worksheets/sheet60.xml" ContentType="application/vnd.openxmlformats-officedocument.spreadsheetml.worksheet+xml"/>
  <Override PartName="/xl/styles.xml" ContentType="application/vnd.openxmlformats-officedocument.spreadsheetml.styles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worksheets/sheet40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worksheets/sheet3.xml" ContentType="application/vnd.openxmlformats-officedocument.spreadsheetml.worksheet+xml"/>
  <Override PartName="/xl/worksheets/sheet89.xml" ContentType="application/vnd.openxmlformats-officedocument.spreadsheetml.worksheet+xml"/>
  <Override PartName="/xl/worksheets/sheet1.xml" ContentType="application/vnd.openxmlformats-officedocument.spreadsheetml.worksheet+xml"/>
  <Override PartName="/xl/worksheets/sheet49.xml" ContentType="application/vnd.openxmlformats-officedocument.spreadsheetml.worksheet+xml"/>
  <Override PartName="/xl/worksheets/sheet69.xml" ContentType="application/vnd.openxmlformats-officedocument.spreadsheetml.worksheet+xml"/>
  <Override PartName="/xl/worksheets/sheet78.xml" ContentType="application/vnd.openxmlformats-officedocument.spreadsheetml.worksheet+xml"/>
  <Override PartName="/xl/worksheets/sheet87.xml" ContentType="application/vnd.openxmlformats-officedocument.spreadsheetml.worksheet+xml"/>
  <Override PartName="/xl/worksheets/sheet29.xml" ContentType="application/vnd.openxmlformats-officedocument.spreadsheetml.worksheet+xml"/>
  <Override PartName="/xl/worksheets/sheet38.xml" ContentType="application/vnd.openxmlformats-officedocument.spreadsheetml.worksheet+xml"/>
  <Override PartName="/xl/worksheets/sheet47.xml" ContentType="application/vnd.openxmlformats-officedocument.spreadsheetml.worksheet+xml"/>
  <Override PartName="/xl/worksheets/sheet58.xml" ContentType="application/vnd.openxmlformats-officedocument.spreadsheetml.worksheet+xml"/>
  <Override PartName="/xl/worksheets/sheet67.xml" ContentType="application/vnd.openxmlformats-officedocument.spreadsheetml.worksheet+xml"/>
  <Override PartName="/xl/worksheets/sheet76.xml" ContentType="application/vnd.openxmlformats-officedocument.spreadsheetml.worksheet+xml"/>
  <Override PartName="/xl/worksheets/sheet85.xml" ContentType="application/vnd.openxmlformats-officedocument.spreadsheetml.worksheet+xml"/>
  <Override PartName="/xl/sharedStrings.xml" ContentType="application/vnd.openxmlformats-officedocument.spreadsheetml.sharedStrings+xml"/>
  <Override PartName="/xl/worksheets/sheet18.xml" ContentType="application/vnd.openxmlformats-officedocument.spreadsheetml.worksheet+xml"/>
  <Override PartName="/xl/worksheets/sheet27.xml" ContentType="application/vnd.openxmlformats-officedocument.spreadsheetml.worksheet+xml"/>
  <Override PartName="/xl/worksheets/sheet36.xml" ContentType="application/vnd.openxmlformats-officedocument.spreadsheetml.worksheet+xml"/>
  <Override PartName="/xl/worksheets/sheet45.xml" ContentType="application/vnd.openxmlformats-officedocument.spreadsheetml.worksheet+xml"/>
  <Override PartName="/xl/worksheets/sheet54.xml" ContentType="application/vnd.openxmlformats-officedocument.spreadsheetml.worksheet+xml"/>
  <Override PartName="/xl/worksheets/sheet56.xml" ContentType="application/vnd.openxmlformats-officedocument.spreadsheetml.worksheet+xml"/>
  <Override PartName="/xl/worksheets/sheet65.xml" ContentType="application/vnd.openxmlformats-officedocument.spreadsheetml.worksheet+xml"/>
  <Override PartName="/xl/worksheets/sheet74.xml" ContentType="application/vnd.openxmlformats-officedocument.spreadsheetml.worksheet+xml"/>
  <Override PartName="/xl/worksheets/sheet83.xml" ContentType="application/vnd.openxmlformats-officedocument.spreadsheetml.worksheet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Override PartName="/xl/worksheets/sheet43.xml" ContentType="application/vnd.openxmlformats-officedocument.spreadsheetml.worksheet+xml"/>
  <Override PartName="/xl/worksheets/sheet52.xml" ContentType="application/vnd.openxmlformats-officedocument.spreadsheetml.worksheet+xml"/>
  <Override PartName="/xl/worksheets/sheet63.xml" ContentType="application/vnd.openxmlformats-officedocument.spreadsheetml.worksheet+xml"/>
  <Override PartName="/xl/worksheets/sheet72.xml" ContentType="application/vnd.openxmlformats-officedocument.spreadsheetml.worksheet+xml"/>
  <Override PartName="/xl/worksheets/sheet81.xml" ContentType="application/vnd.openxmlformats-officedocument.spreadsheetml.worksheet+xml"/>
  <Override PartName="/xl/worksheets/sheet90.xml" ContentType="application/vnd.openxmlformats-officedocument.spreadsheetml.worksheet+xml"/>
  <Default Extension="bin" ContentType="application/vnd.openxmlformats-officedocument.spreadsheetml.printerSettings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41.xml" ContentType="application/vnd.openxmlformats-officedocument.spreadsheetml.worksheet+xml"/>
  <Override PartName="/xl/worksheets/sheet50.xml" ContentType="application/vnd.openxmlformats-officedocument.spreadsheetml.worksheet+xml"/>
  <Override PartName="/xl/worksheets/sheet61.xml" ContentType="application/vnd.openxmlformats-officedocument.spreadsheetml.worksheet+xml"/>
  <Override PartName="/xl/worksheets/sheet70.xml" ContentType="application/vnd.openxmlformats-officedocument.spreadsheetml.worksheet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59.xml" ContentType="application/vnd.openxmlformats-officedocument.spreadsheetml.worksheet+xml"/>
  <Override PartName="/xl/worksheets/sheet68.xml" ContentType="application/vnd.openxmlformats-officedocument.spreadsheetml.worksheet+xml"/>
  <Override PartName="/xl/worksheets/sheet77.xml" ContentType="application/vnd.openxmlformats-officedocument.spreadsheetml.worksheet+xml"/>
  <Override PartName="/xl/worksheets/sheet79.xml" ContentType="application/vnd.openxmlformats-officedocument.spreadsheetml.worksheet+xml"/>
  <Override PartName="/xl/worksheets/sheet88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8.xml" ContentType="application/vnd.openxmlformats-officedocument.spreadsheetml.worksheet+xml"/>
  <Override PartName="/xl/worksheets/sheet57.xml" ContentType="application/vnd.openxmlformats-officedocument.spreadsheetml.worksheet+xml"/>
  <Override PartName="/xl/worksheets/sheet66.xml" ContentType="application/vnd.openxmlformats-officedocument.spreadsheetml.worksheet+xml"/>
  <Override PartName="/xl/worksheets/sheet75.xml" ContentType="application/vnd.openxmlformats-officedocument.spreadsheetml.worksheet+xml"/>
  <Override PartName="/xl/worksheets/sheet86.xml" ContentType="application/vnd.openxmlformats-officedocument.spreadsheetml.workshee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37.xml" ContentType="application/vnd.openxmlformats-officedocument.spreadsheetml.worksheet+xml"/>
  <Override PartName="/xl/worksheets/sheet46.xml" ContentType="application/vnd.openxmlformats-officedocument.spreadsheetml.worksheet+xml"/>
  <Override PartName="/xl/worksheets/sheet55.xml" ContentType="application/vnd.openxmlformats-officedocument.spreadsheetml.worksheet+xml"/>
  <Override PartName="/xl/worksheets/sheet64.xml" ContentType="application/vnd.openxmlformats-officedocument.spreadsheetml.worksheet+xml"/>
  <Override PartName="/xl/worksheets/sheet73.xml" ContentType="application/vnd.openxmlformats-officedocument.spreadsheetml.worksheet+xml"/>
  <Override PartName="/xl/worksheets/sheet84.xml" ContentType="application/vnd.openxmlformats-officedocument.spreadsheetml.worksheet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worksheets/sheet44.xml" ContentType="application/vnd.openxmlformats-officedocument.spreadsheetml.worksheet+xml"/>
  <Override PartName="/xl/worksheets/sheet62.xml" ContentType="application/vnd.openxmlformats-officedocument.spreadsheetml.worksheet+xml"/>
  <Override PartName="/xl/worksheets/sheet91.xml" ContentType="application/vnd.openxmlformats-officedocument.spreadsheetml.worksheet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worksheets/sheet33.xml" ContentType="application/vnd.openxmlformats-officedocument.spreadsheetml.worksheet+xml"/>
  <Override PartName="/xl/worksheets/sheet51.xml" ContentType="application/vnd.openxmlformats-officedocument.spreadsheetml.worksheet+xml"/>
  <Override PartName="/xl/worksheets/sheet80.xml" ContentType="application/vnd.openxmlformats-officedocument.spreadsheetml.worksheet+xml"/>
  <Override PartName="/xl/theme/theme1.xml" ContentType="application/vnd.openxmlformats-officedocument.them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215" yWindow="1440" windowWidth="17730" windowHeight="4800" tabRatio="919"/>
  </bookViews>
  <sheets>
    <sheet name="贵阳" sheetId="1" r:id="rId1"/>
    <sheet name="洞头X" sheetId="2" r:id="rId2"/>
    <sheet name="鸭池河" sheetId="3" r:id="rId3"/>
    <sheet name="修文" sheetId="4" r:id="rId4"/>
    <sheet name="禾丰" sheetId="76" r:id="rId5"/>
    <sheet name="茶店" sheetId="77" r:id="rId6"/>
    <sheet name="茅台" sheetId="14" r:id="rId7"/>
    <sheet name="桐梓" sheetId="90" r:id="rId8"/>
    <sheet name="赤水" sheetId="13" r:id="rId9"/>
    <sheet name="二郎坝" sheetId="12" r:id="rId10"/>
    <sheet name="松坎" sheetId="11" r:id="rId11"/>
    <sheet name="乌江渡" sheetId="10" r:id="rId12"/>
    <sheet name="九节滩" sheetId="91" r:id="rId13"/>
    <sheet name="观音阁" sheetId="92" r:id="rId14"/>
    <sheet name="高桥" sheetId="93" r:id="rId15"/>
    <sheet name="凤冈" sheetId="94" r:id="rId16"/>
    <sheet name="湘江" sheetId="9" r:id="rId17"/>
    <sheet name="鲤鱼塘" sheetId="8" r:id="rId18"/>
    <sheet name="余庆" sheetId="7" r:id="rId19"/>
    <sheet name="江滨(沙坝)" sheetId="6" r:id="rId20"/>
    <sheet name="旺草" sheetId="16" r:id="rId21"/>
    <sheet name="长坝" sheetId="15" r:id="rId22"/>
    <sheet name="五家院子" sheetId="5" r:id="rId23"/>
    <sheet name="黄猫村" sheetId="27" r:id="rId24"/>
    <sheet name="麦翁" sheetId="26" r:id="rId25"/>
    <sheet name="平寨" sheetId="25" r:id="rId26"/>
    <sheet name="盘江桥" sheetId="24" r:id="rId27"/>
    <sheet name="高车" sheetId="23" r:id="rId28"/>
    <sheet name="黄果树" sheetId="22" r:id="rId29"/>
    <sheet name="徐家渡未补" sheetId="101" r:id="rId30"/>
    <sheet name="七眼桥" sheetId="75" r:id="rId31"/>
    <sheet name="下湾" sheetId="21" r:id="rId32"/>
    <sheet name="文峰塔" sheetId="19" r:id="rId33"/>
    <sheet name="惠水" sheetId="18" r:id="rId34"/>
    <sheet name="构皮滩" sheetId="79" r:id="rId35"/>
    <sheet name="雷公滩" sheetId="80" r:id="rId36"/>
    <sheet name="龙里" sheetId="82" r:id="rId37"/>
    <sheet name="福泉" sheetId="81" r:id="rId38"/>
    <sheet name="平里河" sheetId="83" r:id="rId39"/>
    <sheet name="平湖" sheetId="31" r:id="rId40"/>
    <sheet name="把本" sheetId="30" r:id="rId41"/>
    <sheet name="荔波" sheetId="29" r:id="rId42"/>
    <sheet name="施洞" sheetId="28" r:id="rId43"/>
    <sheet name="锦屏" sheetId="52" r:id="rId44"/>
    <sheet name="下司" sheetId="51" r:id="rId45"/>
    <sheet name="湾水" sheetId="50" r:id="rId46"/>
    <sheet name="南花" sheetId="49" r:id="rId47"/>
    <sheet name="岑巩" sheetId="84" r:id="rId48"/>
    <sheet name="大菜园" sheetId="86" r:id="rId49"/>
    <sheet name="旧州" sheetId="87" r:id="rId50"/>
    <sheet name="施秉" sheetId="85" r:id="rId51"/>
    <sheet name="南哨X" sheetId="48" r:id="rId52"/>
    <sheet name="六洞桥" sheetId="47" r:id="rId53"/>
    <sheet name="寨蒿" sheetId="46" r:id="rId54"/>
    <sheet name="石灰厂" sheetId="45" r:id="rId55"/>
    <sheet name="思南" sheetId="44" r:id="rId56"/>
    <sheet name="石阡（2012年有石阡二站）" sheetId="43" r:id="rId57"/>
    <sheet name="印江" sheetId="42" r:id="rId58"/>
    <sheet name="崇滩（2011年迁至玉屏）" sheetId="41" r:id="rId59"/>
    <sheet name="芦家洞（2011年迁至铜仁）" sheetId="40" r:id="rId60"/>
    <sheet name="松桃（2012年有松桃三站）" sheetId="39" r:id="rId61"/>
    <sheet name="江口" sheetId="95" r:id="rId62"/>
    <sheet name="赤水河" sheetId="38" r:id="rId63"/>
    <sheet name="洪家渡" sheetId="37" r:id="rId64"/>
    <sheet name="徐花屯（2007迁至毕节）" sheetId="96" r:id="rId65"/>
    <sheet name="七星关" sheetId="35" r:id="rId66"/>
    <sheet name="响水" sheetId="34" r:id="rId67"/>
    <sheet name="织金" sheetId="33" r:id="rId68"/>
    <sheet name="木孔" sheetId="32" r:id="rId69"/>
    <sheet name="何官屯" sheetId="102" r:id="rId70"/>
    <sheet name="下坝（现为雨量站）" sheetId="73" r:id="rId71"/>
    <sheet name="小寨" sheetId="72" r:id="rId72"/>
    <sheet name="阳长" sheetId="88" r:id="rId73"/>
    <sheet name="石板塘" sheetId="89" r:id="rId74"/>
    <sheet name="向阳" sheetId="71" r:id="rId75"/>
    <sheet name="龙场桥" sheetId="78" r:id="rId76"/>
    <sheet name="大渡口" sheetId="70" r:id="rId77"/>
    <sheet name="土城" sheetId="69" r:id="rId78"/>
    <sheet name="盘县" sheetId="68" r:id="rId79"/>
    <sheet name="蔗香X" sheetId="67" r:id="rId80"/>
    <sheet name="马岭" sheetId="66" r:id="rId81"/>
    <sheet name="新桥" sheetId="65" r:id="rId82"/>
    <sheet name="这洞X" sheetId="64" r:id="rId83"/>
    <sheet name="草坪头" sheetId="63" r:id="rId84"/>
    <sheet name="大田河" sheetId="62" r:id="rId85"/>
    <sheet name="巴铃" sheetId="61" r:id="rId86"/>
    <sheet name="册亨" sheetId="60" r:id="rId87"/>
    <sheet name="望谟" sheetId="97" r:id="rId88"/>
    <sheet name="小天生桥（80312000）" sheetId="98" r:id="rId89"/>
    <sheet name="桠杈（80107200）" sheetId="99" r:id="rId90"/>
    <sheet name="岔江" sheetId="100" r:id="rId91"/>
  </sheets>
  <functionGroups/>
  <calcPr calcId="125725"/>
</workbook>
</file>

<file path=xl/calcChain.xml><?xml version="1.0" encoding="utf-8"?>
<calcChain xmlns="http://schemas.openxmlformats.org/spreadsheetml/2006/main">
  <c r="Q4" i="1"/>
  <c r="P4"/>
  <c r="O4"/>
  <c r="N4"/>
  <c r="AG16" i="100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Q4"/>
  <c r="P4"/>
  <c r="O4"/>
  <c r="N4"/>
  <c r="M4"/>
  <c r="L4"/>
  <c r="K4"/>
  <c r="J4"/>
  <c r="I4"/>
  <c r="H4"/>
  <c r="G4"/>
  <c r="F4"/>
  <c r="E4"/>
  <c r="D4"/>
  <c r="C4"/>
  <c r="B4"/>
  <c r="AG25" i="99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Q4"/>
  <c r="P4"/>
  <c r="O4"/>
  <c r="N4"/>
  <c r="M4"/>
  <c r="L4"/>
  <c r="K4"/>
  <c r="J4"/>
  <c r="I4"/>
  <c r="H4"/>
  <c r="G4"/>
  <c r="F4"/>
  <c r="E4"/>
  <c r="D4"/>
  <c r="C4"/>
  <c r="B4"/>
  <c r="AG40" i="98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Q4"/>
  <c r="P4"/>
  <c r="O4"/>
  <c r="N4"/>
  <c r="M4"/>
  <c r="L4"/>
  <c r="K4"/>
  <c r="J4"/>
  <c r="I4"/>
  <c r="H4"/>
  <c r="G4"/>
  <c r="F4"/>
  <c r="E4"/>
  <c r="D4"/>
  <c r="C4"/>
  <c r="B4"/>
  <c r="AG14" i="97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Q4"/>
  <c r="P4"/>
  <c r="O4"/>
  <c r="N4"/>
  <c r="M4"/>
  <c r="L4"/>
  <c r="K4"/>
  <c r="J4"/>
  <c r="I4"/>
  <c r="H4"/>
  <c r="G4"/>
  <c r="F4"/>
  <c r="E4"/>
  <c r="D4"/>
  <c r="C4"/>
  <c r="B4"/>
  <c r="AG37" i="60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Q4"/>
  <c r="P4"/>
  <c r="O4"/>
  <c r="N4"/>
  <c r="M4"/>
  <c r="L4"/>
  <c r="K4"/>
  <c r="J4"/>
  <c r="I4"/>
  <c r="H4"/>
  <c r="G4"/>
  <c r="F4"/>
  <c r="E4"/>
  <c r="D4"/>
  <c r="C4"/>
  <c r="B4"/>
  <c r="AG40" i="61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Q4"/>
  <c r="P4"/>
  <c r="O4"/>
  <c r="N4"/>
  <c r="M4"/>
  <c r="L4"/>
  <c r="K4"/>
  <c r="J4"/>
  <c r="I4"/>
  <c r="H4"/>
  <c r="G4"/>
  <c r="F4"/>
  <c r="E4"/>
  <c r="D4"/>
  <c r="C4"/>
  <c r="B4"/>
  <c r="AG42" i="6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Q4"/>
  <c r="P4"/>
  <c r="O4"/>
  <c r="N4"/>
  <c r="M4"/>
  <c r="L4"/>
  <c r="K4"/>
  <c r="J4"/>
  <c r="I4"/>
  <c r="H4"/>
  <c r="G4"/>
  <c r="F4"/>
  <c r="E4"/>
  <c r="D4"/>
  <c r="C4"/>
  <c r="B4"/>
  <c r="AG38" i="63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Q4"/>
  <c r="P4"/>
  <c r="O4"/>
  <c r="N4"/>
  <c r="M4"/>
  <c r="L4"/>
  <c r="K4"/>
  <c r="J4"/>
  <c r="I4"/>
  <c r="H4"/>
  <c r="G4"/>
  <c r="F4"/>
  <c r="E4"/>
  <c r="D4"/>
  <c r="C4"/>
  <c r="B4"/>
  <c r="AG54" i="64"/>
  <c r="AF54"/>
  <c r="AE54"/>
  <c r="AD54"/>
  <c r="AC54"/>
  <c r="AB54"/>
  <c r="AA54"/>
  <c r="Z54"/>
  <c r="Y54"/>
  <c r="X54"/>
  <c r="W54"/>
  <c r="V54"/>
  <c r="U54"/>
  <c r="T54"/>
  <c r="S54"/>
  <c r="R54"/>
  <c r="Q54"/>
  <c r="P54"/>
  <c r="O54"/>
  <c r="N54"/>
  <c r="Q4"/>
  <c r="P4"/>
  <c r="O4"/>
  <c r="N4"/>
  <c r="M4"/>
  <c r="L4"/>
  <c r="K4"/>
  <c r="J4"/>
  <c r="I4"/>
  <c r="H4"/>
  <c r="G4"/>
  <c r="F4"/>
  <c r="E4"/>
  <c r="D4"/>
  <c r="C4"/>
  <c r="B4"/>
  <c r="AG41" i="65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Q4"/>
  <c r="P4"/>
  <c r="O4"/>
  <c r="N4"/>
  <c r="M4"/>
  <c r="L4"/>
  <c r="K4"/>
  <c r="J4"/>
  <c r="I4"/>
  <c r="H4"/>
  <c r="G4"/>
  <c r="F4"/>
  <c r="E4"/>
  <c r="D4"/>
  <c r="C4"/>
  <c r="B4"/>
  <c r="AG61" i="66"/>
  <c r="AF61"/>
  <c r="AE61"/>
  <c r="AD61"/>
  <c r="AC61"/>
  <c r="AB61"/>
  <c r="AA61"/>
  <c r="Z61"/>
  <c r="Y61"/>
  <c r="X61"/>
  <c r="W61"/>
  <c r="V61"/>
  <c r="U61"/>
  <c r="T61"/>
  <c r="S61"/>
  <c r="R61"/>
  <c r="Q61"/>
  <c r="P61"/>
  <c r="O61"/>
  <c r="N61"/>
  <c r="Q4"/>
  <c r="P4"/>
  <c r="O4"/>
  <c r="N4"/>
  <c r="M4"/>
  <c r="L4"/>
  <c r="K4"/>
  <c r="J4"/>
  <c r="I4"/>
  <c r="H4"/>
  <c r="G4"/>
  <c r="F4"/>
  <c r="E4"/>
  <c r="D4"/>
  <c r="C4"/>
  <c r="B4"/>
  <c r="AG55" i="67"/>
  <c r="AF55"/>
  <c r="AE55"/>
  <c r="AD55"/>
  <c r="AC55"/>
  <c r="AB55"/>
  <c r="AA55"/>
  <c r="Z55"/>
  <c r="Y55"/>
  <c r="X55"/>
  <c r="W55"/>
  <c r="V55"/>
  <c r="U55"/>
  <c r="T55"/>
  <c r="S55"/>
  <c r="R55"/>
  <c r="Q55"/>
  <c r="P55"/>
  <c r="O55"/>
  <c r="N55"/>
  <c r="Q4"/>
  <c r="P4"/>
  <c r="O4"/>
  <c r="N4"/>
  <c r="M4"/>
  <c r="L4"/>
  <c r="K4"/>
  <c r="J4"/>
  <c r="I4"/>
  <c r="H4"/>
  <c r="G4"/>
  <c r="F4"/>
  <c r="E4"/>
  <c r="D4"/>
  <c r="C4"/>
  <c r="B4"/>
  <c r="AG38" i="6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Q4"/>
  <c r="P4"/>
  <c r="O4"/>
  <c r="N4"/>
  <c r="M4"/>
  <c r="L4"/>
  <c r="K4"/>
  <c r="J4"/>
  <c r="I4"/>
  <c r="H4"/>
  <c r="G4"/>
  <c r="F4"/>
  <c r="E4"/>
  <c r="D4"/>
  <c r="C4"/>
  <c r="B4"/>
  <c r="AG53" i="69"/>
  <c r="AF53"/>
  <c r="AE53"/>
  <c r="AD53"/>
  <c r="AC53"/>
  <c r="AB53"/>
  <c r="AA53"/>
  <c r="Z53"/>
  <c r="Y53"/>
  <c r="X53"/>
  <c r="W53"/>
  <c r="V53"/>
  <c r="U53"/>
  <c r="T53"/>
  <c r="S53"/>
  <c r="R53"/>
  <c r="Q53"/>
  <c r="P53"/>
  <c r="O53"/>
  <c r="N53"/>
  <c r="Q4"/>
  <c r="P4"/>
  <c r="O4"/>
  <c r="N4"/>
  <c r="M4"/>
  <c r="L4"/>
  <c r="K4"/>
  <c r="J4"/>
  <c r="I4"/>
  <c r="H4"/>
  <c r="G4"/>
  <c r="F4"/>
  <c r="E4"/>
  <c r="D4"/>
  <c r="C4"/>
  <c r="B4"/>
  <c r="AG58" i="70"/>
  <c r="AF58"/>
  <c r="AE58"/>
  <c r="AD58"/>
  <c r="AC58"/>
  <c r="AB58"/>
  <c r="AA58"/>
  <c r="Z58"/>
  <c r="Y58"/>
  <c r="X58"/>
  <c r="W58"/>
  <c r="V58"/>
  <c r="U58"/>
  <c r="T58"/>
  <c r="S58"/>
  <c r="R58"/>
  <c r="Q58"/>
  <c r="P58"/>
  <c r="O58"/>
  <c r="N58"/>
  <c r="Q4"/>
  <c r="P4"/>
  <c r="O4"/>
  <c r="N4"/>
  <c r="M4"/>
  <c r="L4"/>
  <c r="K4"/>
  <c r="J4"/>
  <c r="I4"/>
  <c r="H4"/>
  <c r="G4"/>
  <c r="F4"/>
  <c r="E4"/>
  <c r="D4"/>
  <c r="C4"/>
  <c r="B4"/>
  <c r="AG30" i="78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Q4"/>
  <c r="P4"/>
  <c r="O4"/>
  <c r="N4"/>
  <c r="M4"/>
  <c r="L4"/>
  <c r="K4"/>
  <c r="J4"/>
  <c r="I4"/>
  <c r="H4"/>
  <c r="G4"/>
  <c r="F4"/>
  <c r="E4"/>
  <c r="D4"/>
  <c r="C4"/>
  <c r="B4"/>
  <c r="AG53" i="71"/>
  <c r="AF53"/>
  <c r="AE53"/>
  <c r="AD53"/>
  <c r="AC53"/>
  <c r="AB53"/>
  <c r="AA53"/>
  <c r="Z53"/>
  <c r="Y53"/>
  <c r="X53"/>
  <c r="W53"/>
  <c r="V53"/>
  <c r="U53"/>
  <c r="T53"/>
  <c r="S53"/>
  <c r="R53"/>
  <c r="Q53"/>
  <c r="P53"/>
  <c r="O53"/>
  <c r="N53"/>
  <c r="Q4"/>
  <c r="P4"/>
  <c r="O4"/>
  <c r="N4"/>
  <c r="M4"/>
  <c r="L4"/>
  <c r="K4"/>
  <c r="J4"/>
  <c r="I4"/>
  <c r="H4"/>
  <c r="G4"/>
  <c r="F4"/>
  <c r="E4"/>
  <c r="D4"/>
  <c r="C4"/>
  <c r="B4"/>
  <c r="AG61" i="89"/>
  <c r="AF61"/>
  <c r="AE61"/>
  <c r="AD61"/>
  <c r="AC61"/>
  <c r="AB61"/>
  <c r="AA61"/>
  <c r="Z61"/>
  <c r="Y61"/>
  <c r="X61"/>
  <c r="W61"/>
  <c r="V61"/>
  <c r="U61"/>
  <c r="T61"/>
  <c r="S61"/>
  <c r="R61"/>
  <c r="Q61"/>
  <c r="P61"/>
  <c r="O61"/>
  <c r="N61"/>
  <c r="Q4"/>
  <c r="P4"/>
  <c r="O4"/>
  <c r="N4"/>
  <c r="M4"/>
  <c r="L4"/>
  <c r="K4"/>
  <c r="J4"/>
  <c r="I4"/>
  <c r="H4"/>
  <c r="G4"/>
  <c r="F4"/>
  <c r="E4"/>
  <c r="D4"/>
  <c r="C4"/>
  <c r="B4"/>
  <c r="AG61" i="88"/>
  <c r="AF61"/>
  <c r="AE61"/>
  <c r="AD61"/>
  <c r="AC61"/>
  <c r="AB61"/>
  <c r="AA61"/>
  <c r="Z61"/>
  <c r="Y61"/>
  <c r="X61"/>
  <c r="W61"/>
  <c r="V61"/>
  <c r="U61"/>
  <c r="T61"/>
  <c r="S61"/>
  <c r="R61"/>
  <c r="Q61"/>
  <c r="P61"/>
  <c r="O61"/>
  <c r="N61"/>
  <c r="Q4"/>
  <c r="P4"/>
  <c r="O4"/>
  <c r="N4"/>
  <c r="M4"/>
  <c r="L4"/>
  <c r="K4"/>
  <c r="J4"/>
  <c r="I4"/>
  <c r="H4"/>
  <c r="G4"/>
  <c r="F4"/>
  <c r="E4"/>
  <c r="D4"/>
  <c r="C4"/>
  <c r="B4"/>
  <c r="AG58" i="72"/>
  <c r="AF58"/>
  <c r="AE58"/>
  <c r="AD58"/>
  <c r="AC58"/>
  <c r="AB58"/>
  <c r="AA58"/>
  <c r="Z58"/>
  <c r="Y58"/>
  <c r="X58"/>
  <c r="W58"/>
  <c r="V58"/>
  <c r="U58"/>
  <c r="T58"/>
  <c r="S58"/>
  <c r="R58"/>
  <c r="Q58"/>
  <c r="P58"/>
  <c r="O58"/>
  <c r="N58"/>
  <c r="Q4"/>
  <c r="P4"/>
  <c r="O4"/>
  <c r="N4"/>
  <c r="M4"/>
  <c r="L4"/>
  <c r="K4"/>
  <c r="J4"/>
  <c r="I4"/>
  <c r="H4"/>
  <c r="G4"/>
  <c r="F4"/>
  <c r="E4"/>
  <c r="D4"/>
  <c r="C4"/>
  <c r="B4"/>
  <c r="AG37" i="73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Q4"/>
  <c r="P4"/>
  <c r="O4"/>
  <c r="N4"/>
  <c r="M4"/>
  <c r="L4"/>
  <c r="K4"/>
  <c r="J4"/>
  <c r="I4"/>
  <c r="H4"/>
  <c r="G4"/>
  <c r="F4"/>
  <c r="E4"/>
  <c r="D4"/>
  <c r="C4"/>
  <c r="B4"/>
  <c r="AG53" i="102"/>
  <c r="AF53"/>
  <c r="AE53"/>
  <c r="AD53"/>
  <c r="AC53"/>
  <c r="AB53"/>
  <c r="AA53"/>
  <c r="Z53"/>
  <c r="Y53"/>
  <c r="X53"/>
  <c r="W53"/>
  <c r="V53"/>
  <c r="U53"/>
  <c r="T53"/>
  <c r="S53"/>
  <c r="R53"/>
  <c r="Q53"/>
  <c r="P53"/>
  <c r="O53"/>
  <c r="N53"/>
  <c r="Q4"/>
  <c r="P4"/>
  <c r="O4"/>
  <c r="N4"/>
  <c r="M4"/>
  <c r="L4"/>
  <c r="K4"/>
  <c r="J4"/>
  <c r="I4"/>
  <c r="H4"/>
  <c r="G4"/>
  <c r="F4"/>
  <c r="E4"/>
  <c r="D4"/>
  <c r="C4"/>
  <c r="B4"/>
  <c r="AG37" i="32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Q4"/>
  <c r="P4"/>
  <c r="O4"/>
  <c r="N4"/>
  <c r="M4"/>
  <c r="L4"/>
  <c r="K4"/>
  <c r="J4"/>
  <c r="I4"/>
  <c r="H4"/>
  <c r="G4"/>
  <c r="F4"/>
  <c r="E4"/>
  <c r="D4"/>
  <c r="C4"/>
  <c r="B4"/>
  <c r="AG47" i="33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Q4"/>
  <c r="P4"/>
  <c r="O4"/>
  <c r="N4"/>
  <c r="M4"/>
  <c r="L4"/>
  <c r="K4"/>
  <c r="J4"/>
  <c r="I4"/>
  <c r="H4"/>
  <c r="G4"/>
  <c r="F4"/>
  <c r="E4"/>
  <c r="D4"/>
  <c r="C4"/>
  <c r="B4"/>
  <c r="AG39" i="34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Q4"/>
  <c r="P4"/>
  <c r="O4"/>
  <c r="N4"/>
  <c r="M4"/>
  <c r="L4"/>
  <c r="K4"/>
  <c r="J4"/>
  <c r="I4"/>
  <c r="H4"/>
  <c r="G4"/>
  <c r="F4"/>
  <c r="E4"/>
  <c r="D4"/>
  <c r="C4"/>
  <c r="B4"/>
  <c r="AG50" i="35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Q4"/>
  <c r="P4"/>
  <c r="O4"/>
  <c r="N4"/>
  <c r="M4"/>
  <c r="L4"/>
  <c r="K4"/>
  <c r="J4"/>
  <c r="I4"/>
  <c r="H4"/>
  <c r="G4"/>
  <c r="F4"/>
  <c r="E4"/>
  <c r="D4"/>
  <c r="C4"/>
  <c r="B4"/>
  <c r="AG35" i="96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Q4"/>
  <c r="P4"/>
  <c r="O4"/>
  <c r="N4"/>
  <c r="M4"/>
  <c r="L4"/>
  <c r="K4"/>
  <c r="J4"/>
  <c r="I4"/>
  <c r="H4"/>
  <c r="G4"/>
  <c r="F4"/>
  <c r="E4"/>
  <c r="D4"/>
  <c r="C4"/>
  <c r="B4"/>
  <c r="AG61" i="37"/>
  <c r="AF61"/>
  <c r="AE61"/>
  <c r="AD61"/>
  <c r="AC61"/>
  <c r="AB61"/>
  <c r="AA61"/>
  <c r="Z61"/>
  <c r="Y61"/>
  <c r="X61"/>
  <c r="W61"/>
  <c r="V61"/>
  <c r="U61"/>
  <c r="T61"/>
  <c r="S61"/>
  <c r="R61"/>
  <c r="Q61"/>
  <c r="P61"/>
  <c r="O61"/>
  <c r="N61"/>
  <c r="Q4"/>
  <c r="P4"/>
  <c r="O4"/>
  <c r="N4"/>
  <c r="M4"/>
  <c r="L4"/>
  <c r="K4"/>
  <c r="J4"/>
  <c r="I4"/>
  <c r="H4"/>
  <c r="G4"/>
  <c r="F4"/>
  <c r="E4"/>
  <c r="D4"/>
  <c r="C4"/>
  <c r="B4"/>
  <c r="AG59" i="38"/>
  <c r="AF59"/>
  <c r="AE59"/>
  <c r="AD59"/>
  <c r="AC59"/>
  <c r="AB59"/>
  <c r="AA59"/>
  <c r="Z59"/>
  <c r="Y59"/>
  <c r="X59"/>
  <c r="W59"/>
  <c r="V59"/>
  <c r="U59"/>
  <c r="T59"/>
  <c r="S59"/>
  <c r="R59"/>
  <c r="Q59"/>
  <c r="P59"/>
  <c r="O59"/>
  <c r="N59"/>
  <c r="Q4"/>
  <c r="P4"/>
  <c r="O4"/>
  <c r="N4"/>
  <c r="M4"/>
  <c r="L4"/>
  <c r="K4"/>
  <c r="J4"/>
  <c r="I4"/>
  <c r="H4"/>
  <c r="G4"/>
  <c r="F4"/>
  <c r="E4"/>
  <c r="D4"/>
  <c r="C4"/>
  <c r="B4"/>
  <c r="AG11" i="95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Q4"/>
  <c r="P4"/>
  <c r="O4"/>
  <c r="N4"/>
  <c r="M4"/>
  <c r="L4"/>
  <c r="K4"/>
  <c r="J4"/>
  <c r="I4"/>
  <c r="H4"/>
  <c r="G4"/>
  <c r="F4"/>
  <c r="E4"/>
  <c r="D4"/>
  <c r="C4"/>
  <c r="B4"/>
  <c r="AG56" i="39"/>
  <c r="AF56"/>
  <c r="AE56"/>
  <c r="AD56"/>
  <c r="AC56"/>
  <c r="AB56"/>
  <c r="AA56"/>
  <c r="Z56"/>
  <c r="Y56"/>
  <c r="X56"/>
  <c r="W56"/>
  <c r="V56"/>
  <c r="U56"/>
  <c r="T56"/>
  <c r="S56"/>
  <c r="R56"/>
  <c r="Q56"/>
  <c r="P56"/>
  <c r="O56"/>
  <c r="N56"/>
  <c r="Q4"/>
  <c r="P4"/>
  <c r="O4"/>
  <c r="N4"/>
  <c r="M4"/>
  <c r="L4"/>
  <c r="K4"/>
  <c r="J4"/>
  <c r="I4"/>
  <c r="H4"/>
  <c r="G4"/>
  <c r="F4"/>
  <c r="E4"/>
  <c r="D4"/>
  <c r="C4"/>
  <c r="B4"/>
  <c r="AG67" i="40"/>
  <c r="AF67"/>
  <c r="AE67"/>
  <c r="AD67"/>
  <c r="AC67"/>
  <c r="AB67"/>
  <c r="AA67"/>
  <c r="Z67"/>
  <c r="Y67"/>
  <c r="X67"/>
  <c r="W67"/>
  <c r="V67"/>
  <c r="U67"/>
  <c r="T67"/>
  <c r="S67"/>
  <c r="R67"/>
  <c r="Q67"/>
  <c r="P67"/>
  <c r="O67"/>
  <c r="N67"/>
  <c r="Q4"/>
  <c r="P4"/>
  <c r="O4"/>
  <c r="N4"/>
  <c r="M4"/>
  <c r="L4"/>
  <c r="K4"/>
  <c r="J4"/>
  <c r="I4"/>
  <c r="H4"/>
  <c r="G4"/>
  <c r="F4"/>
  <c r="E4"/>
  <c r="D4"/>
  <c r="C4"/>
  <c r="B4"/>
  <c r="AG64" i="41"/>
  <c r="AF64"/>
  <c r="AE64"/>
  <c r="AD64"/>
  <c r="AC64"/>
  <c r="AB64"/>
  <c r="AA64"/>
  <c r="Z64"/>
  <c r="Y64"/>
  <c r="X64"/>
  <c r="W64"/>
  <c r="V64"/>
  <c r="U64"/>
  <c r="T64"/>
  <c r="S64"/>
  <c r="R64"/>
  <c r="Q64"/>
  <c r="P64"/>
  <c r="O64"/>
  <c r="N64"/>
  <c r="Q4"/>
  <c r="P4"/>
  <c r="O4"/>
  <c r="N4"/>
  <c r="M4"/>
  <c r="L4"/>
  <c r="K4"/>
  <c r="J4"/>
  <c r="I4"/>
  <c r="H4"/>
  <c r="G4"/>
  <c r="F4"/>
  <c r="E4"/>
  <c r="D4"/>
  <c r="C4"/>
  <c r="B4"/>
  <c r="AG41" i="42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Q4"/>
  <c r="P4"/>
  <c r="O4"/>
  <c r="N4"/>
  <c r="M4"/>
  <c r="L4"/>
  <c r="K4"/>
  <c r="J4"/>
  <c r="I4"/>
  <c r="H4"/>
  <c r="G4"/>
  <c r="F4"/>
  <c r="E4"/>
  <c r="D4"/>
  <c r="C4"/>
  <c r="B4"/>
  <c r="AG62" i="43"/>
  <c r="AF62"/>
  <c r="AE62"/>
  <c r="AD62"/>
  <c r="AC62"/>
  <c r="AB62"/>
  <c r="AA62"/>
  <c r="Z62"/>
  <c r="Y62"/>
  <c r="X62"/>
  <c r="W62"/>
  <c r="V62"/>
  <c r="U62"/>
  <c r="T62"/>
  <c r="S62"/>
  <c r="R62"/>
  <c r="Q62"/>
  <c r="P62"/>
  <c r="O62"/>
  <c r="N62"/>
  <c r="Q4"/>
  <c r="P4"/>
  <c r="O4"/>
  <c r="N4"/>
  <c r="M4"/>
  <c r="L4"/>
  <c r="K4"/>
  <c r="J4"/>
  <c r="I4"/>
  <c r="H4"/>
  <c r="G4"/>
  <c r="F4"/>
  <c r="E4"/>
  <c r="D4"/>
  <c r="C4"/>
  <c r="B4"/>
  <c r="AG70" i="44"/>
  <c r="AF70"/>
  <c r="AE70"/>
  <c r="AD70"/>
  <c r="AC70"/>
  <c r="AB70"/>
  <c r="AA70"/>
  <c r="Z70"/>
  <c r="Y70"/>
  <c r="X70"/>
  <c r="W70"/>
  <c r="V70"/>
  <c r="U70"/>
  <c r="T70"/>
  <c r="S70"/>
  <c r="R70"/>
  <c r="Q70"/>
  <c r="P70"/>
  <c r="O70"/>
  <c r="N70"/>
  <c r="Q4"/>
  <c r="P4"/>
  <c r="O4"/>
  <c r="N4"/>
  <c r="M4"/>
  <c r="L4"/>
  <c r="K4"/>
  <c r="J4"/>
  <c r="I4"/>
  <c r="H4"/>
  <c r="G4"/>
  <c r="F4"/>
  <c r="E4"/>
  <c r="D4"/>
  <c r="C4"/>
  <c r="B4"/>
  <c r="AG64" i="45"/>
  <c r="AF64"/>
  <c r="AE64"/>
  <c r="AD64"/>
  <c r="AC64"/>
  <c r="AB64"/>
  <c r="AA64"/>
  <c r="Z64"/>
  <c r="Y64"/>
  <c r="X64"/>
  <c r="W64"/>
  <c r="V64"/>
  <c r="U64"/>
  <c r="T64"/>
  <c r="S64"/>
  <c r="R64"/>
  <c r="Q64"/>
  <c r="P64"/>
  <c r="O64"/>
  <c r="N64"/>
  <c r="Q4"/>
  <c r="P4"/>
  <c r="O4"/>
  <c r="N4"/>
  <c r="M4"/>
  <c r="L4"/>
  <c r="K4"/>
  <c r="J4"/>
  <c r="I4"/>
  <c r="H4"/>
  <c r="G4"/>
  <c r="F4"/>
  <c r="E4"/>
  <c r="D4"/>
  <c r="C4"/>
  <c r="B4"/>
  <c r="AG61" i="46"/>
  <c r="AF61"/>
  <c r="AE61"/>
  <c r="AD61"/>
  <c r="AC61"/>
  <c r="AB61"/>
  <c r="AA61"/>
  <c r="Z61"/>
  <c r="Y61"/>
  <c r="X61"/>
  <c r="W61"/>
  <c r="V61"/>
  <c r="U61"/>
  <c r="T61"/>
  <c r="S61"/>
  <c r="R61"/>
  <c r="Q61"/>
  <c r="P61"/>
  <c r="O61"/>
  <c r="N61"/>
  <c r="Q4"/>
  <c r="P4"/>
  <c r="O4"/>
  <c r="N4"/>
  <c r="M4"/>
  <c r="L4"/>
  <c r="K4"/>
  <c r="J4"/>
  <c r="I4"/>
  <c r="H4"/>
  <c r="G4"/>
  <c r="F4"/>
  <c r="E4"/>
  <c r="D4"/>
  <c r="C4"/>
  <c r="B4"/>
  <c r="AG56" i="47"/>
  <c r="AF56"/>
  <c r="AE56"/>
  <c r="AD56"/>
  <c r="AC56"/>
  <c r="AB56"/>
  <c r="AA56"/>
  <c r="Z56"/>
  <c r="Y56"/>
  <c r="X56"/>
  <c r="W56"/>
  <c r="V56"/>
  <c r="U56"/>
  <c r="T56"/>
  <c r="S56"/>
  <c r="R56"/>
  <c r="Q56"/>
  <c r="P56"/>
  <c r="O56"/>
  <c r="N56"/>
  <c r="Q4"/>
  <c r="P4"/>
  <c r="O4"/>
  <c r="N4"/>
  <c r="M4"/>
  <c r="L4"/>
  <c r="K4"/>
  <c r="J4"/>
  <c r="I4"/>
  <c r="H4"/>
  <c r="G4"/>
  <c r="F4"/>
  <c r="E4"/>
  <c r="D4"/>
  <c r="C4"/>
  <c r="B4"/>
  <c r="AG49" i="48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Q4"/>
  <c r="P4"/>
  <c r="O4"/>
  <c r="N4"/>
  <c r="M4"/>
  <c r="L4"/>
  <c r="K4"/>
  <c r="J4"/>
  <c r="I4"/>
  <c r="H4"/>
  <c r="G4"/>
  <c r="F4"/>
  <c r="E4"/>
  <c r="D4"/>
  <c r="C4"/>
  <c r="B4"/>
  <c r="AG64" i="85"/>
  <c r="AF64"/>
  <c r="AE64"/>
  <c r="AD64"/>
  <c r="AC64"/>
  <c r="AB64"/>
  <c r="AA64"/>
  <c r="Z64"/>
  <c r="Y64"/>
  <c r="X64"/>
  <c r="W64"/>
  <c r="V64"/>
  <c r="U64"/>
  <c r="T64"/>
  <c r="S64"/>
  <c r="R64"/>
  <c r="Q64"/>
  <c r="P64"/>
  <c r="O64"/>
  <c r="N64"/>
  <c r="Q4"/>
  <c r="P4"/>
  <c r="O4"/>
  <c r="N4"/>
  <c r="M4"/>
  <c r="L4"/>
  <c r="K4"/>
  <c r="J4"/>
  <c r="I4"/>
  <c r="H4"/>
  <c r="G4"/>
  <c r="F4"/>
  <c r="E4"/>
  <c r="D4"/>
  <c r="C4"/>
  <c r="B4"/>
  <c r="AG39" i="87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Q4"/>
  <c r="P4"/>
  <c r="O4"/>
  <c r="N4"/>
  <c r="M4"/>
  <c r="L4"/>
  <c r="K4"/>
  <c r="J4"/>
  <c r="I4"/>
  <c r="H4"/>
  <c r="G4"/>
  <c r="F4"/>
  <c r="E4"/>
  <c r="D4"/>
  <c r="C4"/>
  <c r="B4"/>
  <c r="AG61" i="86"/>
  <c r="AF61"/>
  <c r="AE61"/>
  <c r="AD61"/>
  <c r="AC61"/>
  <c r="AB61"/>
  <c r="AA61"/>
  <c r="Z61"/>
  <c r="Y61"/>
  <c r="X61"/>
  <c r="W61"/>
  <c r="V61"/>
  <c r="U61"/>
  <c r="T61"/>
  <c r="S61"/>
  <c r="R61"/>
  <c r="Q61"/>
  <c r="P61"/>
  <c r="O61"/>
  <c r="N61"/>
  <c r="Q4"/>
  <c r="P4"/>
  <c r="O4"/>
  <c r="N4"/>
  <c r="M4"/>
  <c r="L4"/>
  <c r="K4"/>
  <c r="J4"/>
  <c r="I4"/>
  <c r="H4"/>
  <c r="G4"/>
  <c r="F4"/>
  <c r="E4"/>
  <c r="D4"/>
  <c r="C4"/>
  <c r="B4"/>
  <c r="AG33" i="84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Q4"/>
  <c r="P4"/>
  <c r="O4"/>
  <c r="N4"/>
  <c r="M4"/>
  <c r="L4"/>
  <c r="K4"/>
  <c r="J4"/>
  <c r="I4"/>
  <c r="H4"/>
  <c r="G4"/>
  <c r="F4"/>
  <c r="E4"/>
  <c r="D4"/>
  <c r="C4"/>
  <c r="B4"/>
  <c r="AG61" i="49"/>
  <c r="AF61"/>
  <c r="AE61"/>
  <c r="AD61"/>
  <c r="AC61"/>
  <c r="AB61"/>
  <c r="AA61"/>
  <c r="Z61"/>
  <c r="Y61"/>
  <c r="X61"/>
  <c r="W61"/>
  <c r="V61"/>
  <c r="U61"/>
  <c r="T61"/>
  <c r="S61"/>
  <c r="R61"/>
  <c r="Q61"/>
  <c r="P61"/>
  <c r="O61"/>
  <c r="N61"/>
  <c r="Q4"/>
  <c r="P4"/>
  <c r="O4"/>
  <c r="N4"/>
  <c r="M4"/>
  <c r="L4"/>
  <c r="K4"/>
  <c r="J4"/>
  <c r="I4"/>
  <c r="H4"/>
  <c r="G4"/>
  <c r="F4"/>
  <c r="E4"/>
  <c r="D4"/>
  <c r="C4"/>
  <c r="B4"/>
  <c r="AG63" i="50"/>
  <c r="AF63"/>
  <c r="AE63"/>
  <c r="AD63"/>
  <c r="AC63"/>
  <c r="AB63"/>
  <c r="AA63"/>
  <c r="Z63"/>
  <c r="Y63"/>
  <c r="X63"/>
  <c r="W63"/>
  <c r="V63"/>
  <c r="U63"/>
  <c r="T63"/>
  <c r="S63"/>
  <c r="R63"/>
  <c r="Q63"/>
  <c r="P63"/>
  <c r="O63"/>
  <c r="N63"/>
  <c r="Q4"/>
  <c r="P4"/>
  <c r="O4"/>
  <c r="N4"/>
  <c r="M4"/>
  <c r="L4"/>
  <c r="K4"/>
  <c r="J4"/>
  <c r="I4"/>
  <c r="H4"/>
  <c r="G4"/>
  <c r="F4"/>
  <c r="E4"/>
  <c r="D4"/>
  <c r="C4"/>
  <c r="B4"/>
  <c r="AG61" i="51"/>
  <c r="AF61"/>
  <c r="AE61"/>
  <c r="AD61"/>
  <c r="AC61"/>
  <c r="AB61"/>
  <c r="AA61"/>
  <c r="Z61"/>
  <c r="Y61"/>
  <c r="X61"/>
  <c r="W61"/>
  <c r="V61"/>
  <c r="U61"/>
  <c r="T61"/>
  <c r="S61"/>
  <c r="R61"/>
  <c r="Q61"/>
  <c r="P61"/>
  <c r="O61"/>
  <c r="N61"/>
  <c r="Q4"/>
  <c r="P4"/>
  <c r="O4"/>
  <c r="N4"/>
  <c r="M4"/>
  <c r="L4"/>
  <c r="K4"/>
  <c r="J4"/>
  <c r="I4"/>
  <c r="H4"/>
  <c r="G4"/>
  <c r="F4"/>
  <c r="E4"/>
  <c r="D4"/>
  <c r="C4"/>
  <c r="B4"/>
  <c r="AG61" i="52"/>
  <c r="AF61"/>
  <c r="AE61"/>
  <c r="AD61"/>
  <c r="AC61"/>
  <c r="AB61"/>
  <c r="AA61"/>
  <c r="Z61"/>
  <c r="Y61"/>
  <c r="X61"/>
  <c r="W61"/>
  <c r="V61"/>
  <c r="U61"/>
  <c r="T61"/>
  <c r="S61"/>
  <c r="R61"/>
  <c r="Q61"/>
  <c r="P61"/>
  <c r="O61"/>
  <c r="N61"/>
  <c r="Q4"/>
  <c r="P4"/>
  <c r="O4"/>
  <c r="N4"/>
  <c r="M4"/>
  <c r="L4"/>
  <c r="K4"/>
  <c r="J4"/>
  <c r="I4"/>
  <c r="H4"/>
  <c r="G4"/>
  <c r="F4"/>
  <c r="E4"/>
  <c r="D4"/>
  <c r="C4"/>
  <c r="B4"/>
  <c r="AG61" i="28"/>
  <c r="AF61"/>
  <c r="AE61"/>
  <c r="AD61"/>
  <c r="AC61"/>
  <c r="AB61"/>
  <c r="AA61"/>
  <c r="Z61"/>
  <c r="Y61"/>
  <c r="X61"/>
  <c r="W61"/>
  <c r="V61"/>
  <c r="U61"/>
  <c r="T61"/>
  <c r="S61"/>
  <c r="R61"/>
  <c r="Q61"/>
  <c r="P61"/>
  <c r="O61"/>
  <c r="N61"/>
  <c r="Q4"/>
  <c r="P4"/>
  <c r="O4"/>
  <c r="N4"/>
  <c r="M4"/>
  <c r="L4"/>
  <c r="K4"/>
  <c r="J4"/>
  <c r="I4"/>
  <c r="H4"/>
  <c r="G4"/>
  <c r="F4"/>
  <c r="E4"/>
  <c r="D4"/>
  <c r="C4"/>
  <c r="B4"/>
  <c r="AG60" i="29"/>
  <c r="AF60"/>
  <c r="AE60"/>
  <c r="AD60"/>
  <c r="AC60"/>
  <c r="AB60"/>
  <c r="AA60"/>
  <c r="Z60"/>
  <c r="Y60"/>
  <c r="X60"/>
  <c r="W60"/>
  <c r="V60"/>
  <c r="U60"/>
  <c r="T60"/>
  <c r="S60"/>
  <c r="R60"/>
  <c r="Q60"/>
  <c r="P60"/>
  <c r="O60"/>
  <c r="N60"/>
  <c r="Q4"/>
  <c r="P4"/>
  <c r="O4"/>
  <c r="N4"/>
  <c r="M4"/>
  <c r="L4"/>
  <c r="K4"/>
  <c r="J4"/>
  <c r="I4"/>
  <c r="H4"/>
  <c r="G4"/>
  <c r="F4"/>
  <c r="E4"/>
  <c r="D4"/>
  <c r="C4"/>
  <c r="B4"/>
  <c r="AG61" i="30"/>
  <c r="AF61"/>
  <c r="AE61"/>
  <c r="AD61"/>
  <c r="AC61"/>
  <c r="AB61"/>
  <c r="AA61"/>
  <c r="Z61"/>
  <c r="Y61"/>
  <c r="X61"/>
  <c r="W61"/>
  <c r="V61"/>
  <c r="U61"/>
  <c r="T61"/>
  <c r="S61"/>
  <c r="R61"/>
  <c r="Q61"/>
  <c r="P61"/>
  <c r="O61"/>
  <c r="N61"/>
  <c r="Q4"/>
  <c r="P4"/>
  <c r="O4"/>
  <c r="N4"/>
  <c r="M4"/>
  <c r="L4"/>
  <c r="K4"/>
  <c r="J4"/>
  <c r="I4"/>
  <c r="H4"/>
  <c r="G4"/>
  <c r="F4"/>
  <c r="E4"/>
  <c r="D4"/>
  <c r="C4"/>
  <c r="B4"/>
  <c r="AG58" i="31"/>
  <c r="AF58"/>
  <c r="AE58"/>
  <c r="AD58"/>
  <c r="AC58"/>
  <c r="AB58"/>
  <c r="AA58"/>
  <c r="Z58"/>
  <c r="Y58"/>
  <c r="X58"/>
  <c r="W58"/>
  <c r="V58"/>
  <c r="U58"/>
  <c r="T58"/>
  <c r="S58"/>
  <c r="R58"/>
  <c r="Q58"/>
  <c r="P58"/>
  <c r="O58"/>
  <c r="N58"/>
  <c r="Q4"/>
  <c r="P4"/>
  <c r="O4"/>
  <c r="N4"/>
  <c r="M4"/>
  <c r="L4"/>
  <c r="K4"/>
  <c r="J4"/>
  <c r="I4"/>
  <c r="H4"/>
  <c r="G4"/>
  <c r="F4"/>
  <c r="E4"/>
  <c r="D4"/>
  <c r="C4"/>
  <c r="B4"/>
  <c r="AG17" i="83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Q4"/>
  <c r="P4"/>
  <c r="O4"/>
  <c r="N4"/>
  <c r="M4"/>
  <c r="L4"/>
  <c r="K4"/>
  <c r="J4"/>
  <c r="I4"/>
  <c r="H4"/>
  <c r="G4"/>
  <c r="F4"/>
  <c r="E4"/>
  <c r="D4"/>
  <c r="C4"/>
  <c r="B4"/>
  <c r="AG41" i="8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Q4"/>
  <c r="P4"/>
  <c r="O4"/>
  <c r="N4"/>
  <c r="M4"/>
  <c r="L4"/>
  <c r="K4"/>
  <c r="J4"/>
  <c r="I4"/>
  <c r="H4"/>
  <c r="G4"/>
  <c r="F4"/>
  <c r="E4"/>
  <c r="D4"/>
  <c r="C4"/>
  <c r="B4"/>
  <c r="AG39" i="82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Q4"/>
  <c r="P4"/>
  <c r="O4"/>
  <c r="N4"/>
  <c r="M4"/>
  <c r="L4"/>
  <c r="K4"/>
  <c r="J4"/>
  <c r="I4"/>
  <c r="H4"/>
  <c r="G4"/>
  <c r="F4"/>
  <c r="E4"/>
  <c r="D4"/>
  <c r="C4"/>
  <c r="B4"/>
  <c r="AG17" i="80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Q4"/>
  <c r="P4"/>
  <c r="O4"/>
  <c r="N4"/>
  <c r="M4"/>
  <c r="L4"/>
  <c r="K4"/>
  <c r="J4"/>
  <c r="I4"/>
  <c r="H4"/>
  <c r="G4"/>
  <c r="F4"/>
  <c r="E4"/>
  <c r="D4"/>
  <c r="C4"/>
  <c r="B4"/>
  <c r="AG17" i="79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Q4"/>
  <c r="P4"/>
  <c r="O4"/>
  <c r="N4"/>
  <c r="M4"/>
  <c r="L4"/>
  <c r="K4"/>
  <c r="J4"/>
  <c r="I4"/>
  <c r="H4"/>
  <c r="G4"/>
  <c r="F4"/>
  <c r="E4"/>
  <c r="D4"/>
  <c r="C4"/>
  <c r="B4"/>
  <c r="AG38" i="1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Q4"/>
  <c r="P4"/>
  <c r="O4"/>
  <c r="N4"/>
  <c r="M4"/>
  <c r="L4"/>
  <c r="K4"/>
  <c r="J4"/>
  <c r="I4"/>
  <c r="H4"/>
  <c r="G4"/>
  <c r="F4"/>
  <c r="E4"/>
  <c r="D4"/>
  <c r="C4"/>
  <c r="B4"/>
  <c r="AG61" i="19"/>
  <c r="AF61"/>
  <c r="AE61"/>
  <c r="AD61"/>
  <c r="AC61"/>
  <c r="AB61"/>
  <c r="AA61"/>
  <c r="Z61"/>
  <c r="Y61"/>
  <c r="X61"/>
  <c r="W61"/>
  <c r="V61"/>
  <c r="U61"/>
  <c r="T61"/>
  <c r="S61"/>
  <c r="R61"/>
  <c r="Q61"/>
  <c r="P61"/>
  <c r="O61"/>
  <c r="N61"/>
  <c r="Q4"/>
  <c r="P4"/>
  <c r="O4"/>
  <c r="N4"/>
  <c r="M4"/>
  <c r="L4"/>
  <c r="K4"/>
  <c r="J4"/>
  <c r="I4"/>
  <c r="H4"/>
  <c r="G4"/>
  <c r="F4"/>
  <c r="E4"/>
  <c r="D4"/>
  <c r="C4"/>
  <c r="B4"/>
  <c r="AG61" i="21"/>
  <c r="AF61"/>
  <c r="AE61"/>
  <c r="AD61"/>
  <c r="AC61"/>
  <c r="AB61"/>
  <c r="AA61"/>
  <c r="Z61"/>
  <c r="Y61"/>
  <c r="X61"/>
  <c r="W61"/>
  <c r="V61"/>
  <c r="U61"/>
  <c r="T61"/>
  <c r="S61"/>
  <c r="R61"/>
  <c r="Q61"/>
  <c r="P61"/>
  <c r="O61"/>
  <c r="N61"/>
  <c r="Q4"/>
  <c r="P4"/>
  <c r="O4"/>
  <c r="N4"/>
  <c r="M4"/>
  <c r="L4"/>
  <c r="K4"/>
  <c r="J4"/>
  <c r="I4"/>
  <c r="H4"/>
  <c r="G4"/>
  <c r="F4"/>
  <c r="E4"/>
  <c r="D4"/>
  <c r="C4"/>
  <c r="B4"/>
  <c r="AG56" i="75"/>
  <c r="AF56"/>
  <c r="AE56"/>
  <c r="AD56"/>
  <c r="AC56"/>
  <c r="AB56"/>
  <c r="AA56"/>
  <c r="Z56"/>
  <c r="Y56"/>
  <c r="X56"/>
  <c r="W56"/>
  <c r="V56"/>
  <c r="U56"/>
  <c r="T56"/>
  <c r="S56"/>
  <c r="R56"/>
  <c r="Q56"/>
  <c r="P56"/>
  <c r="O56"/>
  <c r="N56"/>
  <c r="Q4"/>
  <c r="P4"/>
  <c r="O4"/>
  <c r="N4"/>
  <c r="M4"/>
  <c r="L4"/>
  <c r="K4"/>
  <c r="J4"/>
  <c r="I4"/>
  <c r="H4"/>
  <c r="G4"/>
  <c r="F4"/>
  <c r="E4"/>
  <c r="D4"/>
  <c r="C4"/>
  <c r="B4"/>
  <c r="AG53" i="101"/>
  <c r="AF53"/>
  <c r="AE53"/>
  <c r="AD53"/>
  <c r="AC53"/>
  <c r="AB53"/>
  <c r="AA53"/>
  <c r="Z53"/>
  <c r="Y53"/>
  <c r="X53"/>
  <c r="W53"/>
  <c r="V53"/>
  <c r="U53"/>
  <c r="T53"/>
  <c r="S53"/>
  <c r="R53"/>
  <c r="Q53"/>
  <c r="P53"/>
  <c r="O53"/>
  <c r="N53"/>
  <c r="Q4"/>
  <c r="P4"/>
  <c r="O4"/>
  <c r="N4"/>
  <c r="M4"/>
  <c r="L4"/>
  <c r="K4"/>
  <c r="J4"/>
  <c r="I4"/>
  <c r="H4"/>
  <c r="G4"/>
  <c r="F4"/>
  <c r="E4"/>
  <c r="D4"/>
  <c r="C4"/>
  <c r="B4"/>
  <c r="AG37" i="22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Q4"/>
  <c r="P4"/>
  <c r="O4"/>
  <c r="N4"/>
  <c r="M4"/>
  <c r="L4"/>
  <c r="K4"/>
  <c r="J4"/>
  <c r="I4"/>
  <c r="H4"/>
  <c r="G4"/>
  <c r="F4"/>
  <c r="E4"/>
  <c r="D4"/>
  <c r="C4"/>
  <c r="B4"/>
  <c r="AG61" i="23"/>
  <c r="AF61"/>
  <c r="AE61"/>
  <c r="AD61"/>
  <c r="AC61"/>
  <c r="AB61"/>
  <c r="AA61"/>
  <c r="Z61"/>
  <c r="Y61"/>
  <c r="X61"/>
  <c r="W61"/>
  <c r="V61"/>
  <c r="U61"/>
  <c r="T61"/>
  <c r="S61"/>
  <c r="R61"/>
  <c r="Q61"/>
  <c r="P61"/>
  <c r="O61"/>
  <c r="N61"/>
  <c r="Q4"/>
  <c r="P4"/>
  <c r="O4"/>
  <c r="N4"/>
  <c r="M4"/>
  <c r="L4"/>
  <c r="K4"/>
  <c r="J4"/>
  <c r="I4"/>
  <c r="H4"/>
  <c r="G4"/>
  <c r="F4"/>
  <c r="E4"/>
  <c r="D4"/>
  <c r="C4"/>
  <c r="B4"/>
  <c r="AG37" i="24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Q4"/>
  <c r="P4"/>
  <c r="O4"/>
  <c r="N4"/>
  <c r="M4"/>
  <c r="L4"/>
  <c r="K4"/>
  <c r="J4"/>
  <c r="I4"/>
  <c r="H4"/>
  <c r="G4"/>
  <c r="F4"/>
  <c r="E4"/>
  <c r="D4"/>
  <c r="C4"/>
  <c r="B4"/>
  <c r="Q56" i="25"/>
  <c r="P56"/>
  <c r="O56"/>
  <c r="N56"/>
  <c r="Q4"/>
  <c r="AG56" s="1"/>
  <c r="P4"/>
  <c r="AF56" s="1"/>
  <c r="O4"/>
  <c r="AE56" s="1"/>
  <c r="N4"/>
  <c r="AD56" s="1"/>
  <c r="M4"/>
  <c r="AC56" s="1"/>
  <c r="L4"/>
  <c r="AB56" s="1"/>
  <c r="K4"/>
  <c r="AA56" s="1"/>
  <c r="J4"/>
  <c r="Z56" s="1"/>
  <c r="I4"/>
  <c r="Y56" s="1"/>
  <c r="H4"/>
  <c r="X56" s="1"/>
  <c r="G4"/>
  <c r="W56" s="1"/>
  <c r="F4"/>
  <c r="V56" s="1"/>
  <c r="E4"/>
  <c r="U56" s="1"/>
  <c r="D4"/>
  <c r="T56" s="1"/>
  <c r="C4"/>
  <c r="S56" s="1"/>
  <c r="B4"/>
  <c r="R56" s="1"/>
  <c r="AF59" i="26"/>
  <c r="Q59"/>
  <c r="P59"/>
  <c r="O59"/>
  <c r="N59"/>
  <c r="Q4"/>
  <c r="AG59" s="1"/>
  <c r="P4"/>
  <c r="O4"/>
  <c r="AE59" s="1"/>
  <c r="N4"/>
  <c r="AD59" s="1"/>
  <c r="M4"/>
  <c r="AC59" s="1"/>
  <c r="L4"/>
  <c r="AB59" s="1"/>
  <c r="K4"/>
  <c r="AA59" s="1"/>
  <c r="J4"/>
  <c r="Z59" s="1"/>
  <c r="I4"/>
  <c r="Y59" s="1"/>
  <c r="H4"/>
  <c r="X59" s="1"/>
  <c r="G4"/>
  <c r="W59" s="1"/>
  <c r="F4"/>
  <c r="V59" s="1"/>
  <c r="E4"/>
  <c r="U59" s="1"/>
  <c r="D4"/>
  <c r="T59" s="1"/>
  <c r="C4"/>
  <c r="S59" s="1"/>
  <c r="B4"/>
  <c r="R59" s="1"/>
  <c r="AG59" i="27"/>
  <c r="AF59"/>
  <c r="AE59"/>
  <c r="AD59"/>
  <c r="AC59"/>
  <c r="AB59"/>
  <c r="AA59"/>
  <c r="Z59"/>
  <c r="Y59"/>
  <c r="X59"/>
  <c r="W59"/>
  <c r="V59"/>
  <c r="U59"/>
  <c r="T59"/>
  <c r="S59"/>
  <c r="R59"/>
  <c r="Q59"/>
  <c r="P59"/>
  <c r="O59"/>
  <c r="N59"/>
  <c r="Q4"/>
  <c r="P4"/>
  <c r="O4"/>
  <c r="N4"/>
  <c r="M4"/>
  <c r="L4"/>
  <c r="K4"/>
  <c r="J4"/>
  <c r="I4"/>
  <c r="H4"/>
  <c r="G4"/>
  <c r="F4"/>
  <c r="E4"/>
  <c r="D4"/>
  <c r="C4"/>
  <c r="B4"/>
  <c r="AG53" i="5"/>
  <c r="AF53"/>
  <c r="AE53"/>
  <c r="AD53"/>
  <c r="AC53"/>
  <c r="AB53"/>
  <c r="AA53"/>
  <c r="Z53"/>
  <c r="Y53"/>
  <c r="X53"/>
  <c r="W53"/>
  <c r="V53"/>
  <c r="U53"/>
  <c r="T53"/>
  <c r="S53"/>
  <c r="R53"/>
  <c r="Q53"/>
  <c r="P53"/>
  <c r="O53"/>
  <c r="N53"/>
  <c r="Q4"/>
  <c r="P4"/>
  <c r="O4"/>
  <c r="N4"/>
  <c r="M4"/>
  <c r="L4"/>
  <c r="K4"/>
  <c r="J4"/>
  <c r="I4"/>
  <c r="H4"/>
  <c r="G4"/>
  <c r="F4"/>
  <c r="E4"/>
  <c r="D4"/>
  <c r="C4"/>
  <c r="B4"/>
  <c r="AG60" i="15"/>
  <c r="AF60"/>
  <c r="AE60"/>
  <c r="AD60"/>
  <c r="AC60"/>
  <c r="AB60"/>
  <c r="AA60"/>
  <c r="Z60"/>
  <c r="Y60"/>
  <c r="X60"/>
  <c r="W60"/>
  <c r="V60"/>
  <c r="U60"/>
  <c r="T60"/>
  <c r="S60"/>
  <c r="R60"/>
  <c r="Q60"/>
  <c r="P60"/>
  <c r="O60"/>
  <c r="N60"/>
  <c r="Q4"/>
  <c r="P4"/>
  <c r="O4"/>
  <c r="N4"/>
  <c r="M4"/>
  <c r="L4"/>
  <c r="K4"/>
  <c r="J4"/>
  <c r="I4"/>
  <c r="H4"/>
  <c r="G4"/>
  <c r="F4"/>
  <c r="E4"/>
  <c r="D4"/>
  <c r="C4"/>
  <c r="B4"/>
  <c r="AG55" i="16"/>
  <c r="AF55"/>
  <c r="AE55"/>
  <c r="AD55"/>
  <c r="AC55"/>
  <c r="AB55"/>
  <c r="AA55"/>
  <c r="Z55"/>
  <c r="Y55"/>
  <c r="X55"/>
  <c r="W55"/>
  <c r="V55"/>
  <c r="U55"/>
  <c r="T55"/>
  <c r="S55"/>
  <c r="R55"/>
  <c r="Q55"/>
  <c r="P55"/>
  <c r="O55"/>
  <c r="N55"/>
  <c r="Q4"/>
  <c r="P4"/>
  <c r="O4"/>
  <c r="N4"/>
  <c r="M4"/>
  <c r="L4"/>
  <c r="K4"/>
  <c r="J4"/>
  <c r="I4"/>
  <c r="H4"/>
  <c r="G4"/>
  <c r="F4"/>
  <c r="E4"/>
  <c r="D4"/>
  <c r="C4"/>
  <c r="B4"/>
  <c r="AG56" i="6"/>
  <c r="AF56"/>
  <c r="AE56"/>
  <c r="AD56"/>
  <c r="AC56"/>
  <c r="AB56"/>
  <c r="AA56"/>
  <c r="Z56"/>
  <c r="Y56"/>
  <c r="X56"/>
  <c r="W56"/>
  <c r="V56"/>
  <c r="U56"/>
  <c r="T56"/>
  <c r="S56"/>
  <c r="R56"/>
  <c r="Q56"/>
  <c r="P56"/>
  <c r="O56"/>
  <c r="N56"/>
  <c r="Q4"/>
  <c r="P4"/>
  <c r="O4"/>
  <c r="N4"/>
  <c r="M4"/>
  <c r="L4"/>
  <c r="K4"/>
  <c r="J4"/>
  <c r="I4"/>
  <c r="H4"/>
  <c r="G4"/>
  <c r="F4"/>
  <c r="E4"/>
  <c r="D4"/>
  <c r="C4"/>
  <c r="B4"/>
  <c r="AG54" i="7"/>
  <c r="AF54"/>
  <c r="AE54"/>
  <c r="AD54"/>
  <c r="AC54"/>
  <c r="AB54"/>
  <c r="AA54"/>
  <c r="Z54"/>
  <c r="Y54"/>
  <c r="X54"/>
  <c r="W54"/>
  <c r="V54"/>
  <c r="U54"/>
  <c r="T54"/>
  <c r="S54"/>
  <c r="R54"/>
  <c r="Q54"/>
  <c r="P54"/>
  <c r="O54"/>
  <c r="N54"/>
  <c r="Q4"/>
  <c r="P4"/>
  <c r="O4"/>
  <c r="N4"/>
  <c r="M4"/>
  <c r="L4"/>
  <c r="K4"/>
  <c r="J4"/>
  <c r="I4"/>
  <c r="H4"/>
  <c r="G4"/>
  <c r="F4"/>
  <c r="E4"/>
  <c r="D4"/>
  <c r="C4"/>
  <c r="B4"/>
  <c r="AG48" i="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Q4"/>
  <c r="P4"/>
  <c r="O4"/>
  <c r="N4"/>
  <c r="M4"/>
  <c r="L4"/>
  <c r="K4"/>
  <c r="J4"/>
  <c r="I4"/>
  <c r="H4"/>
  <c r="G4"/>
  <c r="F4"/>
  <c r="E4"/>
  <c r="D4"/>
  <c r="C4"/>
  <c r="B4"/>
  <c r="AG50" i="9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Q4"/>
  <c r="P4"/>
  <c r="O4"/>
  <c r="N4"/>
  <c r="M4"/>
  <c r="L4"/>
  <c r="K4"/>
  <c r="J4"/>
  <c r="I4"/>
  <c r="H4"/>
  <c r="G4"/>
  <c r="F4"/>
  <c r="E4"/>
  <c r="D4"/>
  <c r="C4"/>
  <c r="B4"/>
  <c r="AG37" i="94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Q4"/>
  <c r="P4"/>
  <c r="O4"/>
  <c r="N4"/>
  <c r="M4"/>
  <c r="L4"/>
  <c r="K4"/>
  <c r="J4"/>
  <c r="I4"/>
  <c r="H4"/>
  <c r="G4"/>
  <c r="F4"/>
  <c r="E4"/>
  <c r="D4"/>
  <c r="C4"/>
  <c r="B4"/>
  <c r="AG44" i="93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Q4"/>
  <c r="P4"/>
  <c r="O4"/>
  <c r="N4"/>
  <c r="M4"/>
  <c r="L4"/>
  <c r="K4"/>
  <c r="J4"/>
  <c r="I4"/>
  <c r="H4"/>
  <c r="G4"/>
  <c r="F4"/>
  <c r="E4"/>
  <c r="D4"/>
  <c r="C4"/>
  <c r="B4"/>
  <c r="AG37" i="92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Q4"/>
  <c r="P4"/>
  <c r="O4"/>
  <c r="N4"/>
  <c r="M4"/>
  <c r="L4"/>
  <c r="K4"/>
  <c r="J4"/>
  <c r="I4"/>
  <c r="H4"/>
  <c r="G4"/>
  <c r="F4"/>
  <c r="E4"/>
  <c r="D4"/>
  <c r="C4"/>
  <c r="B4"/>
  <c r="AG37" i="91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Q4"/>
  <c r="P4"/>
  <c r="O4"/>
  <c r="N4"/>
  <c r="M4"/>
  <c r="L4"/>
  <c r="K4"/>
  <c r="J4"/>
  <c r="I4"/>
  <c r="H4"/>
  <c r="G4"/>
  <c r="F4"/>
  <c r="E4"/>
  <c r="D4"/>
  <c r="C4"/>
  <c r="B4"/>
  <c r="AG63" i="10"/>
  <c r="AF63"/>
  <c r="AE63"/>
  <c r="AD63"/>
  <c r="AC63"/>
  <c r="AB63"/>
  <c r="AA63"/>
  <c r="Z63"/>
  <c r="Y63"/>
  <c r="X63"/>
  <c r="W63"/>
  <c r="V63"/>
  <c r="U63"/>
  <c r="T63"/>
  <c r="S63"/>
  <c r="R63"/>
  <c r="Q63"/>
  <c r="P63"/>
  <c r="O63"/>
  <c r="N63"/>
  <c r="Q4"/>
  <c r="P4"/>
  <c r="O4"/>
  <c r="N4"/>
  <c r="M4"/>
  <c r="L4"/>
  <c r="K4"/>
  <c r="J4"/>
  <c r="I4"/>
  <c r="H4"/>
  <c r="G4"/>
  <c r="F4"/>
  <c r="E4"/>
  <c r="D4"/>
  <c r="C4"/>
  <c r="B4"/>
  <c r="AG59" i="11"/>
  <c r="AF59"/>
  <c r="AE59"/>
  <c r="AD59"/>
  <c r="AC59"/>
  <c r="AB59"/>
  <c r="AA59"/>
  <c r="Z59"/>
  <c r="Y59"/>
  <c r="X59"/>
  <c r="W59"/>
  <c r="V59"/>
  <c r="U59"/>
  <c r="T59"/>
  <c r="S59"/>
  <c r="R59"/>
  <c r="Q59"/>
  <c r="P59"/>
  <c r="O59"/>
  <c r="N59"/>
  <c r="Q4"/>
  <c r="P4"/>
  <c r="O4"/>
  <c r="N4"/>
  <c r="M4"/>
  <c r="L4"/>
  <c r="K4"/>
  <c r="J4"/>
  <c r="I4"/>
  <c r="H4"/>
  <c r="G4"/>
  <c r="F4"/>
  <c r="E4"/>
  <c r="D4"/>
  <c r="C4"/>
  <c r="B4"/>
  <c r="AG57" i="12"/>
  <c r="AF57"/>
  <c r="AE57"/>
  <c r="AD57"/>
  <c r="AC57"/>
  <c r="AB57"/>
  <c r="AA57"/>
  <c r="Z57"/>
  <c r="Y57"/>
  <c r="X57"/>
  <c r="W57"/>
  <c r="V57"/>
  <c r="U57"/>
  <c r="T57"/>
  <c r="S57"/>
  <c r="R57"/>
  <c r="Q57"/>
  <c r="P57"/>
  <c r="O57"/>
  <c r="N57"/>
  <c r="Q4"/>
  <c r="P4"/>
  <c r="O4"/>
  <c r="N4"/>
  <c r="M4"/>
  <c r="L4"/>
  <c r="K4"/>
  <c r="J4"/>
  <c r="I4"/>
  <c r="H4"/>
  <c r="G4"/>
  <c r="F4"/>
  <c r="E4"/>
  <c r="D4"/>
  <c r="C4"/>
  <c r="B4"/>
  <c r="AG63" i="13"/>
  <c r="AF63"/>
  <c r="AE63"/>
  <c r="AD63"/>
  <c r="AC63"/>
  <c r="AB63"/>
  <c r="AA63"/>
  <c r="Z63"/>
  <c r="Y63"/>
  <c r="X63"/>
  <c r="W63"/>
  <c r="V63"/>
  <c r="U63"/>
  <c r="T63"/>
  <c r="S63"/>
  <c r="R63"/>
  <c r="Q63"/>
  <c r="P63"/>
  <c r="O63"/>
  <c r="N63"/>
  <c r="Q4"/>
  <c r="P4"/>
  <c r="O4"/>
  <c r="N4"/>
  <c r="M4"/>
  <c r="L4"/>
  <c r="K4"/>
  <c r="J4"/>
  <c r="I4"/>
  <c r="H4"/>
  <c r="G4"/>
  <c r="F4"/>
  <c r="E4"/>
  <c r="D4"/>
  <c r="C4"/>
  <c r="B4"/>
  <c r="AG62" i="90"/>
  <c r="AF62"/>
  <c r="AE62"/>
  <c r="AD62"/>
  <c r="AC62"/>
  <c r="AB62"/>
  <c r="AA62"/>
  <c r="Z62"/>
  <c r="Y62"/>
  <c r="X62"/>
  <c r="W62"/>
  <c r="V62"/>
  <c r="U62"/>
  <c r="T62"/>
  <c r="S62"/>
  <c r="R62"/>
  <c r="Q62"/>
  <c r="P62"/>
  <c r="O62"/>
  <c r="N62"/>
  <c r="Q4"/>
  <c r="P4"/>
  <c r="O4"/>
  <c r="N4"/>
  <c r="M4"/>
  <c r="L4"/>
  <c r="K4"/>
  <c r="J4"/>
  <c r="I4"/>
  <c r="H4"/>
  <c r="G4"/>
  <c r="F4"/>
  <c r="E4"/>
  <c r="D4"/>
  <c r="C4"/>
  <c r="B4"/>
  <c r="AG59" i="14"/>
  <c r="AF59"/>
  <c r="AE59"/>
  <c r="AD59"/>
  <c r="AC59"/>
  <c r="AB59"/>
  <c r="AA59"/>
  <c r="Z59"/>
  <c r="Y59"/>
  <c r="X59"/>
  <c r="W59"/>
  <c r="V59"/>
  <c r="U59"/>
  <c r="T59"/>
  <c r="S59"/>
  <c r="R59"/>
  <c r="Q59"/>
  <c r="P59"/>
  <c r="O59"/>
  <c r="N59"/>
  <c r="Q4"/>
  <c r="P4"/>
  <c r="O4"/>
  <c r="N4"/>
  <c r="M4"/>
  <c r="L4"/>
  <c r="K4"/>
  <c r="J4"/>
  <c r="I4"/>
  <c r="H4"/>
  <c r="G4"/>
  <c r="F4"/>
  <c r="E4"/>
  <c r="D4"/>
  <c r="C4"/>
  <c r="B4"/>
  <c r="AG36" i="77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Q4"/>
  <c r="P4"/>
  <c r="O4"/>
  <c r="N4"/>
  <c r="M4"/>
  <c r="L4"/>
  <c r="K4"/>
  <c r="J4"/>
  <c r="I4"/>
  <c r="H4"/>
  <c r="G4"/>
  <c r="F4"/>
  <c r="E4"/>
  <c r="D4"/>
  <c r="C4"/>
  <c r="B4"/>
  <c r="AG15" i="76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Q4"/>
  <c r="P4"/>
  <c r="O4"/>
  <c r="N4"/>
  <c r="M4"/>
  <c r="L4"/>
  <c r="K4"/>
  <c r="J4"/>
  <c r="I4"/>
  <c r="H4"/>
  <c r="G4"/>
  <c r="F4"/>
  <c r="E4"/>
  <c r="D4"/>
  <c r="C4"/>
  <c r="B4"/>
  <c r="AG60" i="4"/>
  <c r="AF60"/>
  <c r="AE60"/>
  <c r="AD60"/>
  <c r="AC60"/>
  <c r="AB60"/>
  <c r="AA60"/>
  <c r="Z60"/>
  <c r="Y60"/>
  <c r="X60"/>
  <c r="W60"/>
  <c r="V60"/>
  <c r="U60"/>
  <c r="T60"/>
  <c r="S60"/>
  <c r="R60"/>
  <c r="Q60"/>
  <c r="P60"/>
  <c r="O60"/>
  <c r="N60"/>
  <c r="Q4"/>
  <c r="P4"/>
  <c r="O4"/>
  <c r="N4"/>
  <c r="M4"/>
  <c r="L4"/>
  <c r="K4"/>
  <c r="J4"/>
  <c r="I4"/>
  <c r="H4"/>
  <c r="G4"/>
  <c r="F4"/>
  <c r="E4"/>
  <c r="D4"/>
  <c r="C4"/>
  <c r="B4"/>
  <c r="AG60" i="3"/>
  <c r="AF60"/>
  <c r="AE60"/>
  <c r="AD60"/>
  <c r="AC60"/>
  <c r="AB60"/>
  <c r="AA60"/>
  <c r="Z60"/>
  <c r="Y60"/>
  <c r="X60"/>
  <c r="W60"/>
  <c r="V60"/>
  <c r="U60"/>
  <c r="T60"/>
  <c r="S60"/>
  <c r="R60"/>
  <c r="Q60"/>
  <c r="P60"/>
  <c r="O60"/>
  <c r="N60"/>
  <c r="Q4"/>
  <c r="P4"/>
  <c r="O4"/>
  <c r="N4"/>
  <c r="M4"/>
  <c r="L4"/>
  <c r="K4"/>
  <c r="J4"/>
  <c r="I4"/>
  <c r="H4"/>
  <c r="G4"/>
  <c r="F4"/>
  <c r="E4"/>
  <c r="D4"/>
  <c r="C4"/>
  <c r="B4"/>
  <c r="AG50" i="2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Q4"/>
  <c r="P4"/>
  <c r="O4"/>
  <c r="N4"/>
  <c r="M4"/>
  <c r="L4"/>
  <c r="K4"/>
  <c r="J4"/>
  <c r="I4"/>
  <c r="H4"/>
  <c r="G4"/>
  <c r="F4"/>
  <c r="E4"/>
  <c r="D4"/>
  <c r="C4"/>
  <c r="B4"/>
  <c r="AG60" i="1"/>
  <c r="AF60"/>
  <c r="AE60"/>
  <c r="AD60"/>
  <c r="AC60"/>
  <c r="AB60"/>
  <c r="AA60"/>
  <c r="Z60"/>
  <c r="Y60"/>
  <c r="X60"/>
  <c r="W60"/>
  <c r="V60"/>
  <c r="U60"/>
  <c r="T60"/>
  <c r="S60"/>
  <c r="R60"/>
  <c r="Q60"/>
  <c r="P60"/>
  <c r="O60"/>
  <c r="N60"/>
  <c r="M4"/>
  <c r="L4"/>
  <c r="K4"/>
  <c r="J4"/>
  <c r="I4"/>
  <c r="H4"/>
  <c r="G4"/>
  <c r="F4"/>
  <c r="E4"/>
  <c r="D4"/>
  <c r="C4"/>
  <c r="B4"/>
  <c r="Q59" i="3" l="1"/>
  <c r="Q39"/>
  <c r="M58" i="26"/>
  <c r="L58"/>
  <c r="K58"/>
  <c r="J58"/>
  <c r="I58"/>
  <c r="H58"/>
  <c r="G58"/>
  <c r="F58"/>
  <c r="E58"/>
  <c r="D58"/>
  <c r="C58"/>
  <c r="B58"/>
  <c r="B55" i="25"/>
  <c r="N34" i="77"/>
  <c r="O34"/>
  <c r="P34"/>
  <c r="Q34"/>
  <c r="N35"/>
  <c r="O35"/>
  <c r="P35"/>
  <c r="Q35"/>
  <c r="Q37" i="63"/>
  <c r="P37"/>
  <c r="O37"/>
  <c r="N37"/>
  <c r="Q60" i="37"/>
  <c r="P60"/>
  <c r="O60"/>
  <c r="N60"/>
  <c r="N55" i="47"/>
  <c r="Q54"/>
  <c r="P54"/>
  <c r="O54"/>
  <c r="N54"/>
  <c r="N35" i="22"/>
  <c r="O35"/>
  <c r="P35"/>
  <c r="Q35"/>
  <c r="N36"/>
  <c r="O36"/>
  <c r="P36"/>
  <c r="Q36"/>
  <c r="N59" i="23"/>
  <c r="O59"/>
  <c r="P59"/>
  <c r="Q59"/>
  <c r="N60"/>
  <c r="O60"/>
  <c r="P60"/>
  <c r="Q60"/>
  <c r="C55" i="25"/>
  <c r="D55"/>
  <c r="E55"/>
  <c r="F55"/>
  <c r="G55"/>
  <c r="H55"/>
  <c r="I55"/>
  <c r="J55"/>
  <c r="K55"/>
  <c r="L55"/>
  <c r="M55"/>
  <c r="N54"/>
  <c r="O54"/>
  <c r="P54"/>
  <c r="Q54"/>
  <c r="N57" i="26"/>
  <c r="O57"/>
  <c r="P57"/>
  <c r="Q57"/>
  <c r="Q58" i="27"/>
  <c r="P58"/>
  <c r="O58"/>
  <c r="N58"/>
  <c r="Q57"/>
  <c r="O57"/>
  <c r="P57"/>
  <c r="N57"/>
  <c r="Q52" i="5" l="1"/>
  <c r="P52"/>
  <c r="O52"/>
  <c r="N52"/>
  <c r="N58" i="15"/>
  <c r="O58"/>
  <c r="P58"/>
  <c r="Q58"/>
  <c r="N59"/>
  <c r="O59"/>
  <c r="P59"/>
  <c r="Q59"/>
  <c r="O54" i="16"/>
  <c r="P54"/>
  <c r="Q54"/>
  <c r="Q53"/>
  <c r="N53"/>
  <c r="O53"/>
  <c r="P53"/>
  <c r="N54"/>
  <c r="Q54" i="6" l="1"/>
  <c r="Q55"/>
  <c r="P54"/>
  <c r="P55"/>
  <c r="O54"/>
  <c r="O55"/>
  <c r="N54"/>
  <c r="N55"/>
  <c r="Q52" i="7"/>
  <c r="Q53"/>
  <c r="P52"/>
  <c r="P53"/>
  <c r="O52"/>
  <c r="O53"/>
  <c r="N52"/>
  <c r="N53"/>
  <c r="Q46" i="8"/>
  <c r="Q47"/>
  <c r="P46"/>
  <c r="P47"/>
  <c r="O46"/>
  <c r="O47"/>
  <c r="N46"/>
  <c r="N47"/>
  <c r="N45"/>
  <c r="Q48" i="9"/>
  <c r="Q49"/>
  <c r="P48"/>
  <c r="P49"/>
  <c r="O48"/>
  <c r="O49"/>
  <c r="N48"/>
  <c r="N49"/>
  <c r="Q35" i="94"/>
  <c r="Q36"/>
  <c r="P35"/>
  <c r="P36"/>
  <c r="O35"/>
  <c r="O36"/>
  <c r="N35"/>
  <c r="N36"/>
  <c r="Q42" i="93"/>
  <c r="Q43"/>
  <c r="P42"/>
  <c r="P43"/>
  <c r="O42"/>
  <c r="O43"/>
  <c r="N42"/>
  <c r="N43"/>
  <c r="Q35" i="92"/>
  <c r="Q36"/>
  <c r="P35"/>
  <c r="P36"/>
  <c r="O35"/>
  <c r="O36"/>
  <c r="N35"/>
  <c r="N36"/>
  <c r="Q35" i="91" l="1"/>
  <c r="Q36"/>
  <c r="P35"/>
  <c r="P36"/>
  <c r="O35"/>
  <c r="O36"/>
  <c r="N35"/>
  <c r="N36"/>
  <c r="Q61" i="10"/>
  <c r="Q62"/>
  <c r="P61"/>
  <c r="P62"/>
  <c r="O61"/>
  <c r="O62"/>
  <c r="N61"/>
  <c r="N62"/>
  <c r="Q57" i="11" l="1"/>
  <c r="Q58"/>
  <c r="P57"/>
  <c r="P58"/>
  <c r="O57"/>
  <c r="O58"/>
  <c r="N57"/>
  <c r="N58"/>
  <c r="Q56" i="12"/>
  <c r="Q55"/>
  <c r="P56"/>
  <c r="P55"/>
  <c r="O56"/>
  <c r="O55"/>
  <c r="N56"/>
  <c r="N55"/>
  <c r="Q61" i="13"/>
  <c r="Q62"/>
  <c r="P61"/>
  <c r="P62"/>
  <c r="O61"/>
  <c r="O62"/>
  <c r="N61"/>
  <c r="N62"/>
  <c r="Q61" i="90"/>
  <c r="Q60"/>
  <c r="P61"/>
  <c r="P60"/>
  <c r="O60"/>
  <c r="O61"/>
  <c r="N60"/>
  <c r="N61"/>
  <c r="Q57" i="14"/>
  <c r="Q58"/>
  <c r="P57"/>
  <c r="P58"/>
  <c r="O57"/>
  <c r="O58"/>
  <c r="N57"/>
  <c r="N58"/>
  <c r="P13" i="76" l="1"/>
  <c r="Q14"/>
  <c r="Q13"/>
  <c r="P14"/>
  <c r="O14"/>
  <c r="O13"/>
  <c r="N14"/>
  <c r="N13"/>
  <c r="Q58" i="4"/>
  <c r="Q59"/>
  <c r="P58"/>
  <c r="P59"/>
  <c r="O58"/>
  <c r="O59"/>
  <c r="N58"/>
  <c r="N59"/>
  <c r="Q58" i="3"/>
  <c r="P58"/>
  <c r="P59"/>
  <c r="O58"/>
  <c r="O59"/>
  <c r="N58"/>
  <c r="N59"/>
  <c r="Q59" i="1" l="1"/>
  <c r="Q58"/>
  <c r="P59"/>
  <c r="P58"/>
  <c r="O58"/>
  <c r="O59"/>
  <c r="N59"/>
  <c r="N58"/>
  <c r="N57" l="1"/>
  <c r="N6" i="100" l="1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6" i="99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6" i="98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37"/>
  <c r="O37"/>
  <c r="P37"/>
  <c r="Q37"/>
  <c r="N38"/>
  <c r="O38"/>
  <c r="P38"/>
  <c r="Q38"/>
  <c r="N39"/>
  <c r="O39"/>
  <c r="P39"/>
  <c r="Q39"/>
  <c r="N6" i="97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6" i="60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6" i="61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37"/>
  <c r="O37"/>
  <c r="P37"/>
  <c r="Q37"/>
  <c r="N38"/>
  <c r="O38"/>
  <c r="P38"/>
  <c r="Q38"/>
  <c r="N39"/>
  <c r="O39"/>
  <c r="P39"/>
  <c r="Q39"/>
  <c r="N6" i="62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37"/>
  <c r="O37"/>
  <c r="P37"/>
  <c r="Q37"/>
  <c r="N38"/>
  <c r="O38"/>
  <c r="P38"/>
  <c r="Q38"/>
  <c r="N39"/>
  <c r="O39"/>
  <c r="P39"/>
  <c r="Q39"/>
  <c r="N40"/>
  <c r="O40"/>
  <c r="P40"/>
  <c r="Q40"/>
  <c r="N41"/>
  <c r="O41"/>
  <c r="P41"/>
  <c r="Q41"/>
  <c r="N6" i="63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6" i="65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37"/>
  <c r="O37"/>
  <c r="P37"/>
  <c r="Q37"/>
  <c r="N38"/>
  <c r="O38"/>
  <c r="P38"/>
  <c r="Q38"/>
  <c r="N39"/>
  <c r="O39"/>
  <c r="P39"/>
  <c r="Q39"/>
  <c r="N40"/>
  <c r="O40"/>
  <c r="P40"/>
  <c r="Q40"/>
  <c r="N6" i="66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37"/>
  <c r="O37"/>
  <c r="P37"/>
  <c r="Q37"/>
  <c r="N38"/>
  <c r="O38"/>
  <c r="P38"/>
  <c r="Q38"/>
  <c r="N39"/>
  <c r="O39"/>
  <c r="P39"/>
  <c r="Q39"/>
  <c r="N40"/>
  <c r="O40"/>
  <c r="P40"/>
  <c r="Q40"/>
  <c r="N41"/>
  <c r="O41"/>
  <c r="P41"/>
  <c r="Q41"/>
  <c r="N42"/>
  <c r="O42"/>
  <c r="P42"/>
  <c r="Q42"/>
  <c r="N43"/>
  <c r="O43"/>
  <c r="P43"/>
  <c r="Q43"/>
  <c r="N44"/>
  <c r="O44"/>
  <c r="P44"/>
  <c r="Q44"/>
  <c r="N45"/>
  <c r="O45"/>
  <c r="P45"/>
  <c r="Q45"/>
  <c r="N46"/>
  <c r="O46"/>
  <c r="P46"/>
  <c r="Q46"/>
  <c r="N47"/>
  <c r="O47"/>
  <c r="P47"/>
  <c r="Q47"/>
  <c r="N48"/>
  <c r="O48"/>
  <c r="P48"/>
  <c r="Q48"/>
  <c r="N49"/>
  <c r="O49"/>
  <c r="P49"/>
  <c r="Q49"/>
  <c r="N50"/>
  <c r="O50"/>
  <c r="P50"/>
  <c r="Q50"/>
  <c r="N51"/>
  <c r="O51"/>
  <c r="P51"/>
  <c r="Q51"/>
  <c r="N52"/>
  <c r="O52"/>
  <c r="P52"/>
  <c r="Q52"/>
  <c r="N53"/>
  <c r="O53"/>
  <c r="P53"/>
  <c r="Q53"/>
  <c r="N54"/>
  <c r="O54"/>
  <c r="P54"/>
  <c r="Q54"/>
  <c r="N55"/>
  <c r="O55"/>
  <c r="P55"/>
  <c r="Q55"/>
  <c r="N56"/>
  <c r="O56"/>
  <c r="P56"/>
  <c r="Q56"/>
  <c r="N57"/>
  <c r="O57"/>
  <c r="P57"/>
  <c r="Q57"/>
  <c r="N58"/>
  <c r="O58"/>
  <c r="P58"/>
  <c r="Q58"/>
  <c r="N59"/>
  <c r="O59"/>
  <c r="P59"/>
  <c r="Q59"/>
  <c r="N60"/>
  <c r="O60"/>
  <c r="P60"/>
  <c r="Q60"/>
  <c r="N6" i="68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37"/>
  <c r="O37"/>
  <c r="P37"/>
  <c r="Q37"/>
  <c r="N6" i="69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37"/>
  <c r="O37"/>
  <c r="P37"/>
  <c r="Q37"/>
  <c r="N38"/>
  <c r="O38"/>
  <c r="P38"/>
  <c r="Q38"/>
  <c r="N39"/>
  <c r="O39"/>
  <c r="P39"/>
  <c r="Q39"/>
  <c r="N40"/>
  <c r="O40"/>
  <c r="P40"/>
  <c r="Q40"/>
  <c r="N41"/>
  <c r="O41"/>
  <c r="P41"/>
  <c r="Q41"/>
  <c r="N42"/>
  <c r="O42"/>
  <c r="P42"/>
  <c r="Q42"/>
  <c r="N43"/>
  <c r="O43"/>
  <c r="P43"/>
  <c r="Q43"/>
  <c r="N44"/>
  <c r="O44"/>
  <c r="P44"/>
  <c r="Q44"/>
  <c r="N45"/>
  <c r="O45"/>
  <c r="P45"/>
  <c r="Q45"/>
  <c r="N46"/>
  <c r="O46"/>
  <c r="P46"/>
  <c r="Q46"/>
  <c r="N47"/>
  <c r="O47"/>
  <c r="P47"/>
  <c r="Q47"/>
  <c r="N48"/>
  <c r="O48"/>
  <c r="P48"/>
  <c r="Q48"/>
  <c r="N49"/>
  <c r="O49"/>
  <c r="P49"/>
  <c r="Q49"/>
  <c r="N50"/>
  <c r="O50"/>
  <c r="P50"/>
  <c r="Q50"/>
  <c r="N51"/>
  <c r="O51"/>
  <c r="P51"/>
  <c r="Q51"/>
  <c r="N52"/>
  <c r="O52"/>
  <c r="P52"/>
  <c r="Q52"/>
  <c r="N6" i="70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37"/>
  <c r="O37"/>
  <c r="P37"/>
  <c r="Q37"/>
  <c r="N38"/>
  <c r="O38"/>
  <c r="P38"/>
  <c r="Q38"/>
  <c r="N39"/>
  <c r="O39"/>
  <c r="P39"/>
  <c r="Q39"/>
  <c r="N40"/>
  <c r="O40"/>
  <c r="P40"/>
  <c r="Q40"/>
  <c r="N41"/>
  <c r="O41"/>
  <c r="P41"/>
  <c r="Q41"/>
  <c r="N42"/>
  <c r="O42"/>
  <c r="P42"/>
  <c r="Q42"/>
  <c r="N43"/>
  <c r="O43"/>
  <c r="P43"/>
  <c r="Q43"/>
  <c r="N44"/>
  <c r="O44"/>
  <c r="P44"/>
  <c r="Q44"/>
  <c r="N45"/>
  <c r="O45"/>
  <c r="P45"/>
  <c r="Q45"/>
  <c r="N46"/>
  <c r="O46"/>
  <c r="P46"/>
  <c r="Q46"/>
  <c r="N47"/>
  <c r="O47"/>
  <c r="P47"/>
  <c r="Q47"/>
  <c r="N48"/>
  <c r="O48"/>
  <c r="P48"/>
  <c r="Q48"/>
  <c r="N49"/>
  <c r="O49"/>
  <c r="P49"/>
  <c r="Q49"/>
  <c r="N50"/>
  <c r="O50"/>
  <c r="P50"/>
  <c r="Q50"/>
  <c r="N51"/>
  <c r="O51"/>
  <c r="P51"/>
  <c r="Q51"/>
  <c r="N52"/>
  <c r="O52"/>
  <c r="P52"/>
  <c r="Q52"/>
  <c r="N53"/>
  <c r="O53"/>
  <c r="P53"/>
  <c r="Q53"/>
  <c r="N54"/>
  <c r="O54"/>
  <c r="P54"/>
  <c r="Q54"/>
  <c r="N55"/>
  <c r="O55"/>
  <c r="P55"/>
  <c r="Q55"/>
  <c r="N56"/>
  <c r="O56"/>
  <c r="P56"/>
  <c r="Q56"/>
  <c r="N57"/>
  <c r="O57"/>
  <c r="P57"/>
  <c r="Q57"/>
  <c r="N6" i="78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6" i="71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37"/>
  <c r="O37"/>
  <c r="P37"/>
  <c r="Q37"/>
  <c r="N38"/>
  <c r="O38"/>
  <c r="P38"/>
  <c r="Q38"/>
  <c r="N39"/>
  <c r="O39"/>
  <c r="P39"/>
  <c r="Q39"/>
  <c r="N40"/>
  <c r="O40"/>
  <c r="P40"/>
  <c r="Q40"/>
  <c r="N41"/>
  <c r="O41"/>
  <c r="P41"/>
  <c r="Q41"/>
  <c r="N42"/>
  <c r="O42"/>
  <c r="P42"/>
  <c r="Q42"/>
  <c r="N43"/>
  <c r="O43"/>
  <c r="P43"/>
  <c r="Q43"/>
  <c r="N44"/>
  <c r="O44"/>
  <c r="P44"/>
  <c r="Q44"/>
  <c r="N45"/>
  <c r="O45"/>
  <c r="P45"/>
  <c r="Q45"/>
  <c r="N46"/>
  <c r="O46"/>
  <c r="P46"/>
  <c r="Q46"/>
  <c r="N47"/>
  <c r="O47"/>
  <c r="P47"/>
  <c r="Q47"/>
  <c r="N48"/>
  <c r="O48"/>
  <c r="P48"/>
  <c r="Q48"/>
  <c r="N49"/>
  <c r="O49"/>
  <c r="P49"/>
  <c r="Q49"/>
  <c r="N50"/>
  <c r="O50"/>
  <c r="P50"/>
  <c r="Q50"/>
  <c r="N51"/>
  <c r="O51"/>
  <c r="P51"/>
  <c r="Q51"/>
  <c r="N52"/>
  <c r="O52"/>
  <c r="P52"/>
  <c r="Q52"/>
  <c r="N6" i="89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37"/>
  <c r="O37"/>
  <c r="P37"/>
  <c r="Q37"/>
  <c r="N38"/>
  <c r="O38"/>
  <c r="P38"/>
  <c r="Q38"/>
  <c r="N39"/>
  <c r="O39"/>
  <c r="P39"/>
  <c r="Q39"/>
  <c r="N40"/>
  <c r="O40"/>
  <c r="P40"/>
  <c r="Q40"/>
  <c r="N41"/>
  <c r="O41"/>
  <c r="P41"/>
  <c r="Q41"/>
  <c r="N42"/>
  <c r="O42"/>
  <c r="P42"/>
  <c r="Q42"/>
  <c r="N43"/>
  <c r="O43"/>
  <c r="P43"/>
  <c r="Q43"/>
  <c r="N44"/>
  <c r="O44"/>
  <c r="P44"/>
  <c r="Q44"/>
  <c r="N45"/>
  <c r="O45"/>
  <c r="P45"/>
  <c r="Q45"/>
  <c r="N46"/>
  <c r="O46"/>
  <c r="P46"/>
  <c r="Q46"/>
  <c r="N47"/>
  <c r="O47"/>
  <c r="P47"/>
  <c r="Q47"/>
  <c r="N48"/>
  <c r="O48"/>
  <c r="P48"/>
  <c r="Q48"/>
  <c r="N49"/>
  <c r="O49"/>
  <c r="P49"/>
  <c r="Q49"/>
  <c r="N50"/>
  <c r="O50"/>
  <c r="P50"/>
  <c r="Q50"/>
  <c r="N51"/>
  <c r="O51"/>
  <c r="P51"/>
  <c r="Q51"/>
  <c r="N52"/>
  <c r="O52"/>
  <c r="P52"/>
  <c r="Q52"/>
  <c r="N53"/>
  <c r="O53"/>
  <c r="P53"/>
  <c r="Q53"/>
  <c r="N54"/>
  <c r="O54"/>
  <c r="P54"/>
  <c r="Q54"/>
  <c r="N55"/>
  <c r="O55"/>
  <c r="P55"/>
  <c r="Q55"/>
  <c r="N56"/>
  <c r="O56"/>
  <c r="P56"/>
  <c r="Q56"/>
  <c r="N57"/>
  <c r="O57"/>
  <c r="P57"/>
  <c r="Q57"/>
  <c r="N58"/>
  <c r="O58"/>
  <c r="P58"/>
  <c r="Q58"/>
  <c r="N59"/>
  <c r="O59"/>
  <c r="P59"/>
  <c r="Q59"/>
  <c r="N60"/>
  <c r="O60"/>
  <c r="P60"/>
  <c r="Q60"/>
  <c r="N6" i="88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37"/>
  <c r="O37"/>
  <c r="P37"/>
  <c r="Q37"/>
  <c r="N38"/>
  <c r="O38"/>
  <c r="P38"/>
  <c r="Q38"/>
  <c r="N39"/>
  <c r="O39"/>
  <c r="P39"/>
  <c r="Q39"/>
  <c r="N40"/>
  <c r="O40"/>
  <c r="P40"/>
  <c r="Q40"/>
  <c r="N41"/>
  <c r="O41"/>
  <c r="P41"/>
  <c r="Q41"/>
  <c r="N42"/>
  <c r="O42"/>
  <c r="P42"/>
  <c r="Q42"/>
  <c r="N43"/>
  <c r="O43"/>
  <c r="P43"/>
  <c r="Q43"/>
  <c r="N44"/>
  <c r="O44"/>
  <c r="P44"/>
  <c r="Q44"/>
  <c r="N45"/>
  <c r="O45"/>
  <c r="P45"/>
  <c r="Q45"/>
  <c r="N46"/>
  <c r="O46"/>
  <c r="P46"/>
  <c r="Q46"/>
  <c r="N47"/>
  <c r="O47"/>
  <c r="P47"/>
  <c r="Q47"/>
  <c r="N48"/>
  <c r="O48"/>
  <c r="P48"/>
  <c r="Q48"/>
  <c r="N49"/>
  <c r="O49"/>
  <c r="P49"/>
  <c r="Q49"/>
  <c r="N50"/>
  <c r="O50"/>
  <c r="P50"/>
  <c r="Q50"/>
  <c r="N51"/>
  <c r="O51"/>
  <c r="P51"/>
  <c r="Q51"/>
  <c r="N52"/>
  <c r="O52"/>
  <c r="P52"/>
  <c r="Q52"/>
  <c r="N53"/>
  <c r="O53"/>
  <c r="P53"/>
  <c r="Q53"/>
  <c r="N54"/>
  <c r="O54"/>
  <c r="P54"/>
  <c r="Q54"/>
  <c r="N55"/>
  <c r="O55"/>
  <c r="P55"/>
  <c r="Q55"/>
  <c r="N56"/>
  <c r="O56"/>
  <c r="P56"/>
  <c r="Q56"/>
  <c r="N57"/>
  <c r="O57"/>
  <c r="P57"/>
  <c r="Q57"/>
  <c r="N58"/>
  <c r="O58"/>
  <c r="P58"/>
  <c r="Q58"/>
  <c r="N59"/>
  <c r="O59"/>
  <c r="P59"/>
  <c r="Q59"/>
  <c r="N60"/>
  <c r="O60"/>
  <c r="P60"/>
  <c r="Q60"/>
  <c r="N6" i="72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37"/>
  <c r="O37"/>
  <c r="P37"/>
  <c r="Q37"/>
  <c r="N38"/>
  <c r="O38"/>
  <c r="P38"/>
  <c r="Q38"/>
  <c r="N39"/>
  <c r="O39"/>
  <c r="P39"/>
  <c r="Q39"/>
  <c r="N40"/>
  <c r="O40"/>
  <c r="P40"/>
  <c r="Q40"/>
  <c r="N41"/>
  <c r="O41"/>
  <c r="P41"/>
  <c r="Q41"/>
  <c r="N42"/>
  <c r="O42"/>
  <c r="P42"/>
  <c r="Q42"/>
  <c r="N43"/>
  <c r="O43"/>
  <c r="P43"/>
  <c r="Q43"/>
  <c r="N44"/>
  <c r="O44"/>
  <c r="P44"/>
  <c r="Q44"/>
  <c r="N45"/>
  <c r="O45"/>
  <c r="P45"/>
  <c r="Q45"/>
  <c r="N46"/>
  <c r="O46"/>
  <c r="P46"/>
  <c r="Q46"/>
  <c r="N47"/>
  <c r="O47"/>
  <c r="P47"/>
  <c r="Q47"/>
  <c r="N48"/>
  <c r="O48"/>
  <c r="P48"/>
  <c r="Q48"/>
  <c r="N49"/>
  <c r="O49"/>
  <c r="P49"/>
  <c r="Q49"/>
  <c r="N50"/>
  <c r="O50"/>
  <c r="P50"/>
  <c r="Q50"/>
  <c r="N51"/>
  <c r="O51"/>
  <c r="P51"/>
  <c r="Q51"/>
  <c r="N52"/>
  <c r="O52"/>
  <c r="P52"/>
  <c r="Q52"/>
  <c r="N53"/>
  <c r="O53"/>
  <c r="P53"/>
  <c r="Q53"/>
  <c r="N54"/>
  <c r="O54"/>
  <c r="P54"/>
  <c r="Q54"/>
  <c r="N55"/>
  <c r="O55"/>
  <c r="P55"/>
  <c r="Q55"/>
  <c r="N56"/>
  <c r="O56"/>
  <c r="P56"/>
  <c r="Q56"/>
  <c r="N57"/>
  <c r="O57"/>
  <c r="P57"/>
  <c r="Q57"/>
  <c r="N6" i="73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6" i="102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37"/>
  <c r="O37"/>
  <c r="P37"/>
  <c r="Q37"/>
  <c r="N38"/>
  <c r="O38"/>
  <c r="P38"/>
  <c r="Q38"/>
  <c r="N39"/>
  <c r="O39"/>
  <c r="P39"/>
  <c r="Q39"/>
  <c r="N40"/>
  <c r="O40"/>
  <c r="P40"/>
  <c r="Q40"/>
  <c r="N41"/>
  <c r="O41"/>
  <c r="P41"/>
  <c r="Q41"/>
  <c r="N42"/>
  <c r="O42"/>
  <c r="P42"/>
  <c r="Q42"/>
  <c r="N43"/>
  <c r="O43"/>
  <c r="P43"/>
  <c r="Q43"/>
  <c r="N44"/>
  <c r="O44"/>
  <c r="P44"/>
  <c r="Q44"/>
  <c r="N45"/>
  <c r="O45"/>
  <c r="P45"/>
  <c r="Q45"/>
  <c r="N46"/>
  <c r="O46"/>
  <c r="P46"/>
  <c r="Q46"/>
  <c r="N47"/>
  <c r="O47"/>
  <c r="P47"/>
  <c r="Q47"/>
  <c r="N48"/>
  <c r="O48"/>
  <c r="P48"/>
  <c r="Q48"/>
  <c r="N49"/>
  <c r="O49"/>
  <c r="P49"/>
  <c r="Q49"/>
  <c r="N50"/>
  <c r="O50"/>
  <c r="P50"/>
  <c r="Q50"/>
  <c r="N51"/>
  <c r="O51"/>
  <c r="P51"/>
  <c r="Q51"/>
  <c r="N52"/>
  <c r="O52"/>
  <c r="P52"/>
  <c r="Q52"/>
  <c r="N6" i="32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6" i="33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37"/>
  <c r="O37"/>
  <c r="P37"/>
  <c r="Q37"/>
  <c r="N38"/>
  <c r="O38"/>
  <c r="P38"/>
  <c r="Q38"/>
  <c r="N39"/>
  <c r="O39"/>
  <c r="P39"/>
  <c r="Q39"/>
  <c r="N40"/>
  <c r="O40"/>
  <c r="P40"/>
  <c r="Q40"/>
  <c r="N41"/>
  <c r="O41"/>
  <c r="P41"/>
  <c r="Q41"/>
  <c r="N42"/>
  <c r="O42"/>
  <c r="P42"/>
  <c r="Q42"/>
  <c r="N43"/>
  <c r="O43"/>
  <c r="P43"/>
  <c r="Q43"/>
  <c r="N44"/>
  <c r="O44"/>
  <c r="P44"/>
  <c r="Q44"/>
  <c r="N45"/>
  <c r="O45"/>
  <c r="P45"/>
  <c r="Q45"/>
  <c r="N46"/>
  <c r="O46"/>
  <c r="P46"/>
  <c r="Q46"/>
  <c r="N6" i="34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37"/>
  <c r="O37"/>
  <c r="P37"/>
  <c r="Q37"/>
  <c r="N38"/>
  <c r="O38"/>
  <c r="P38"/>
  <c r="Q38"/>
  <c r="N6" i="35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37"/>
  <c r="O37"/>
  <c r="P37"/>
  <c r="Q37"/>
  <c r="N38"/>
  <c r="O38"/>
  <c r="P38"/>
  <c r="Q38"/>
  <c r="N39"/>
  <c r="O39"/>
  <c r="P39"/>
  <c r="Q39"/>
  <c r="N40"/>
  <c r="O40"/>
  <c r="P40"/>
  <c r="Q40"/>
  <c r="N41"/>
  <c r="O41"/>
  <c r="P41"/>
  <c r="Q41"/>
  <c r="N42"/>
  <c r="O42"/>
  <c r="P42"/>
  <c r="Q42"/>
  <c r="N43"/>
  <c r="O43"/>
  <c r="P43"/>
  <c r="Q43"/>
  <c r="N44"/>
  <c r="O44"/>
  <c r="P44"/>
  <c r="Q44"/>
  <c r="N45"/>
  <c r="O45"/>
  <c r="P45"/>
  <c r="Q45"/>
  <c r="N46"/>
  <c r="O46"/>
  <c r="P46"/>
  <c r="Q46"/>
  <c r="N47"/>
  <c r="O47"/>
  <c r="P47"/>
  <c r="Q47"/>
  <c r="N48"/>
  <c r="O48"/>
  <c r="P48"/>
  <c r="Q48"/>
  <c r="N49"/>
  <c r="O49"/>
  <c r="P49"/>
  <c r="Q49"/>
  <c r="N6" i="96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6" i="37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37"/>
  <c r="O37"/>
  <c r="P37"/>
  <c r="Q37"/>
  <c r="N38"/>
  <c r="O38"/>
  <c r="P38"/>
  <c r="Q38"/>
  <c r="N39"/>
  <c r="O39"/>
  <c r="P39"/>
  <c r="Q39"/>
  <c r="N40"/>
  <c r="O40"/>
  <c r="P40"/>
  <c r="Q40"/>
  <c r="N41"/>
  <c r="O41"/>
  <c r="P41"/>
  <c r="Q41"/>
  <c r="N42"/>
  <c r="O42"/>
  <c r="P42"/>
  <c r="Q42"/>
  <c r="N43"/>
  <c r="O43"/>
  <c r="P43"/>
  <c r="Q43"/>
  <c r="N44"/>
  <c r="O44"/>
  <c r="P44"/>
  <c r="Q44"/>
  <c r="N45"/>
  <c r="O45"/>
  <c r="P45"/>
  <c r="Q45"/>
  <c r="N46"/>
  <c r="O46"/>
  <c r="P46"/>
  <c r="Q46"/>
  <c r="N47"/>
  <c r="O47"/>
  <c r="P47"/>
  <c r="Q47"/>
  <c r="N48"/>
  <c r="O48"/>
  <c r="P48"/>
  <c r="Q48"/>
  <c r="N49"/>
  <c r="O49"/>
  <c r="P49"/>
  <c r="Q49"/>
  <c r="N50"/>
  <c r="O50"/>
  <c r="P50"/>
  <c r="Q50"/>
  <c r="N51"/>
  <c r="O51"/>
  <c r="P51"/>
  <c r="Q51"/>
  <c r="N52"/>
  <c r="O52"/>
  <c r="P52"/>
  <c r="Q52"/>
  <c r="N53"/>
  <c r="O53"/>
  <c r="P53"/>
  <c r="Q53"/>
  <c r="N54"/>
  <c r="O54"/>
  <c r="P54"/>
  <c r="Q54"/>
  <c r="N55"/>
  <c r="O55"/>
  <c r="P55"/>
  <c r="Q55"/>
  <c r="N56"/>
  <c r="O56"/>
  <c r="P56"/>
  <c r="Q56"/>
  <c r="N57"/>
  <c r="O57"/>
  <c r="P57"/>
  <c r="Q57"/>
  <c r="N58"/>
  <c r="O58"/>
  <c r="P58"/>
  <c r="Q58"/>
  <c r="N59"/>
  <c r="O59"/>
  <c r="P59"/>
  <c r="Q59"/>
  <c r="N6" i="38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37"/>
  <c r="O37"/>
  <c r="P37"/>
  <c r="Q37"/>
  <c r="N38"/>
  <c r="O38"/>
  <c r="P38"/>
  <c r="Q38"/>
  <c r="N39"/>
  <c r="O39"/>
  <c r="P39"/>
  <c r="Q39"/>
  <c r="N40"/>
  <c r="O40"/>
  <c r="P40"/>
  <c r="Q40"/>
  <c r="N41"/>
  <c r="O41"/>
  <c r="P41"/>
  <c r="Q41"/>
  <c r="N42"/>
  <c r="O42"/>
  <c r="P42"/>
  <c r="Q42"/>
  <c r="N43"/>
  <c r="O43"/>
  <c r="P43"/>
  <c r="Q43"/>
  <c r="N44"/>
  <c r="O44"/>
  <c r="P44"/>
  <c r="Q44"/>
  <c r="N45"/>
  <c r="O45"/>
  <c r="P45"/>
  <c r="Q45"/>
  <c r="N46"/>
  <c r="O46"/>
  <c r="P46"/>
  <c r="Q46"/>
  <c r="N47"/>
  <c r="O47"/>
  <c r="P47"/>
  <c r="Q47"/>
  <c r="N48"/>
  <c r="O48"/>
  <c r="P48"/>
  <c r="Q48"/>
  <c r="N49"/>
  <c r="O49"/>
  <c r="P49"/>
  <c r="Q49"/>
  <c r="N50"/>
  <c r="O50"/>
  <c r="P50"/>
  <c r="Q50"/>
  <c r="N51"/>
  <c r="O51"/>
  <c r="P51"/>
  <c r="Q51"/>
  <c r="N52"/>
  <c r="O52"/>
  <c r="P52"/>
  <c r="Q52"/>
  <c r="N53"/>
  <c r="O53"/>
  <c r="P53"/>
  <c r="Q53"/>
  <c r="N54"/>
  <c r="O54"/>
  <c r="P54"/>
  <c r="Q54"/>
  <c r="N55"/>
  <c r="O55"/>
  <c r="P55"/>
  <c r="Q55"/>
  <c r="N56"/>
  <c r="O56"/>
  <c r="P56"/>
  <c r="Q56"/>
  <c r="N57"/>
  <c r="O57"/>
  <c r="P57"/>
  <c r="Q57"/>
  <c r="N58"/>
  <c r="O58"/>
  <c r="P58"/>
  <c r="Q58"/>
  <c r="N6" i="95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6" i="39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37"/>
  <c r="O37"/>
  <c r="P37"/>
  <c r="Q37"/>
  <c r="N38"/>
  <c r="O38"/>
  <c r="P38"/>
  <c r="Q38"/>
  <c r="N39"/>
  <c r="O39"/>
  <c r="P39"/>
  <c r="Q39"/>
  <c r="N40"/>
  <c r="O40"/>
  <c r="P40"/>
  <c r="Q40"/>
  <c r="N41"/>
  <c r="O41"/>
  <c r="P41"/>
  <c r="Q41"/>
  <c r="N42"/>
  <c r="O42"/>
  <c r="P42"/>
  <c r="Q42"/>
  <c r="N43"/>
  <c r="O43"/>
  <c r="P43"/>
  <c r="Q43"/>
  <c r="N44"/>
  <c r="O44"/>
  <c r="P44"/>
  <c r="Q44"/>
  <c r="N45"/>
  <c r="O45"/>
  <c r="P45"/>
  <c r="Q45"/>
  <c r="N46"/>
  <c r="O46"/>
  <c r="P46"/>
  <c r="Q46"/>
  <c r="N47"/>
  <c r="O47"/>
  <c r="P47"/>
  <c r="Q47"/>
  <c r="N48"/>
  <c r="O48"/>
  <c r="P48"/>
  <c r="Q48"/>
  <c r="N49"/>
  <c r="O49"/>
  <c r="P49"/>
  <c r="Q49"/>
  <c r="N50"/>
  <c r="O50"/>
  <c r="P50"/>
  <c r="Q50"/>
  <c r="N51"/>
  <c r="O51"/>
  <c r="P51"/>
  <c r="Q51"/>
  <c r="N52"/>
  <c r="O52"/>
  <c r="P52"/>
  <c r="Q52"/>
  <c r="N53"/>
  <c r="O53"/>
  <c r="P53"/>
  <c r="Q53"/>
  <c r="N54"/>
  <c r="O54"/>
  <c r="P54"/>
  <c r="Q54"/>
  <c r="N55"/>
  <c r="O55"/>
  <c r="P55"/>
  <c r="Q55"/>
  <c r="N6" i="40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37"/>
  <c r="O37"/>
  <c r="P37"/>
  <c r="Q37"/>
  <c r="N38"/>
  <c r="O38"/>
  <c r="P38"/>
  <c r="Q38"/>
  <c r="N39"/>
  <c r="O39"/>
  <c r="P39"/>
  <c r="Q39"/>
  <c r="N40"/>
  <c r="O40"/>
  <c r="P40"/>
  <c r="Q40"/>
  <c r="N41"/>
  <c r="O41"/>
  <c r="P41"/>
  <c r="Q41"/>
  <c r="N42"/>
  <c r="O42"/>
  <c r="P42"/>
  <c r="Q42"/>
  <c r="N43"/>
  <c r="O43"/>
  <c r="P43"/>
  <c r="Q43"/>
  <c r="N44"/>
  <c r="O44"/>
  <c r="P44"/>
  <c r="Q44"/>
  <c r="N45"/>
  <c r="O45"/>
  <c r="P45"/>
  <c r="Q45"/>
  <c r="N46"/>
  <c r="O46"/>
  <c r="P46"/>
  <c r="Q46"/>
  <c r="N47"/>
  <c r="O47"/>
  <c r="P47"/>
  <c r="Q47"/>
  <c r="N48"/>
  <c r="O48"/>
  <c r="P48"/>
  <c r="Q48"/>
  <c r="N49"/>
  <c r="O49"/>
  <c r="P49"/>
  <c r="Q49"/>
  <c r="N50"/>
  <c r="O50"/>
  <c r="P50"/>
  <c r="Q50"/>
  <c r="N51"/>
  <c r="O51"/>
  <c r="P51"/>
  <c r="Q51"/>
  <c r="N52"/>
  <c r="O52"/>
  <c r="P52"/>
  <c r="Q52"/>
  <c r="N53"/>
  <c r="O53"/>
  <c r="P53"/>
  <c r="Q53"/>
  <c r="N54"/>
  <c r="O54"/>
  <c r="P54"/>
  <c r="Q54"/>
  <c r="N55"/>
  <c r="O55"/>
  <c r="P55"/>
  <c r="Q55"/>
  <c r="N56"/>
  <c r="O56"/>
  <c r="P56"/>
  <c r="Q56"/>
  <c r="N57"/>
  <c r="O57"/>
  <c r="P57"/>
  <c r="Q57"/>
  <c r="N58"/>
  <c r="O58"/>
  <c r="P58"/>
  <c r="Q58"/>
  <c r="N59"/>
  <c r="O59"/>
  <c r="P59"/>
  <c r="Q59"/>
  <c r="N60"/>
  <c r="O60"/>
  <c r="P60"/>
  <c r="Q60"/>
  <c r="N61"/>
  <c r="O61"/>
  <c r="P61"/>
  <c r="Q61"/>
  <c r="N62"/>
  <c r="O62"/>
  <c r="P62"/>
  <c r="Q62"/>
  <c r="N63"/>
  <c r="O63"/>
  <c r="P63"/>
  <c r="Q63"/>
  <c r="N64"/>
  <c r="O64"/>
  <c r="P64"/>
  <c r="Q64"/>
  <c r="N65"/>
  <c r="O65"/>
  <c r="P65"/>
  <c r="Q65"/>
  <c r="N66"/>
  <c r="O66"/>
  <c r="P66"/>
  <c r="Q66"/>
  <c r="N6" i="41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37"/>
  <c r="O37"/>
  <c r="P37"/>
  <c r="Q37"/>
  <c r="N38"/>
  <c r="O38"/>
  <c r="P38"/>
  <c r="Q38"/>
  <c r="N39"/>
  <c r="O39"/>
  <c r="P39"/>
  <c r="Q39"/>
  <c r="N40"/>
  <c r="O40"/>
  <c r="P40"/>
  <c r="Q40"/>
  <c r="N41"/>
  <c r="O41"/>
  <c r="P41"/>
  <c r="Q41"/>
  <c r="N42"/>
  <c r="O42"/>
  <c r="P42"/>
  <c r="Q42"/>
  <c r="N43"/>
  <c r="O43"/>
  <c r="P43"/>
  <c r="Q43"/>
  <c r="N44"/>
  <c r="O44"/>
  <c r="P44"/>
  <c r="Q44"/>
  <c r="N45"/>
  <c r="O45"/>
  <c r="P45"/>
  <c r="Q45"/>
  <c r="N46"/>
  <c r="O46"/>
  <c r="P46"/>
  <c r="Q46"/>
  <c r="N47"/>
  <c r="O47"/>
  <c r="P47"/>
  <c r="Q47"/>
  <c r="N48"/>
  <c r="O48"/>
  <c r="P48"/>
  <c r="Q48"/>
  <c r="N49"/>
  <c r="O49"/>
  <c r="P49"/>
  <c r="Q49"/>
  <c r="N50"/>
  <c r="O50"/>
  <c r="P50"/>
  <c r="Q50"/>
  <c r="N51"/>
  <c r="O51"/>
  <c r="P51"/>
  <c r="Q51"/>
  <c r="N52"/>
  <c r="O52"/>
  <c r="P52"/>
  <c r="Q52"/>
  <c r="N53"/>
  <c r="O53"/>
  <c r="P53"/>
  <c r="Q53"/>
  <c r="N54"/>
  <c r="O54"/>
  <c r="P54"/>
  <c r="Q54"/>
  <c r="N55"/>
  <c r="O55"/>
  <c r="P55"/>
  <c r="Q55"/>
  <c r="N56"/>
  <c r="O56"/>
  <c r="P56"/>
  <c r="Q56"/>
  <c r="N57"/>
  <c r="O57"/>
  <c r="P57"/>
  <c r="Q57"/>
  <c r="N58"/>
  <c r="O58"/>
  <c r="P58"/>
  <c r="Q58"/>
  <c r="N59"/>
  <c r="O59"/>
  <c r="P59"/>
  <c r="Q59"/>
  <c r="N60"/>
  <c r="O60"/>
  <c r="P60"/>
  <c r="Q60"/>
  <c r="N61"/>
  <c r="O61"/>
  <c r="P61"/>
  <c r="Q61"/>
  <c r="N62"/>
  <c r="O62"/>
  <c r="P62"/>
  <c r="Q62"/>
  <c r="N63"/>
  <c r="O63"/>
  <c r="P63"/>
  <c r="Q63"/>
  <c r="N6" i="42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37"/>
  <c r="O37"/>
  <c r="P37"/>
  <c r="Q37"/>
  <c r="N38"/>
  <c r="O38"/>
  <c r="P38"/>
  <c r="Q38"/>
  <c r="N39"/>
  <c r="O39"/>
  <c r="P39"/>
  <c r="Q39"/>
  <c r="N40"/>
  <c r="O40"/>
  <c r="P40"/>
  <c r="Q40"/>
  <c r="N6" i="43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37"/>
  <c r="O37"/>
  <c r="P37"/>
  <c r="Q37"/>
  <c r="N38"/>
  <c r="O38"/>
  <c r="P38"/>
  <c r="Q38"/>
  <c r="N39"/>
  <c r="O39"/>
  <c r="P39"/>
  <c r="Q39"/>
  <c r="N40"/>
  <c r="O40"/>
  <c r="P40"/>
  <c r="Q40"/>
  <c r="N41"/>
  <c r="O41"/>
  <c r="P41"/>
  <c r="Q41"/>
  <c r="N42"/>
  <c r="O42"/>
  <c r="P42"/>
  <c r="Q42"/>
  <c r="N43"/>
  <c r="O43"/>
  <c r="P43"/>
  <c r="Q43"/>
  <c r="N44"/>
  <c r="O44"/>
  <c r="P44"/>
  <c r="Q44"/>
  <c r="N45"/>
  <c r="O45"/>
  <c r="P45"/>
  <c r="Q45"/>
  <c r="N46"/>
  <c r="O46"/>
  <c r="P46"/>
  <c r="Q46"/>
  <c r="N47"/>
  <c r="O47"/>
  <c r="P47"/>
  <c r="Q47"/>
  <c r="N48"/>
  <c r="O48"/>
  <c r="P48"/>
  <c r="Q48"/>
  <c r="N49"/>
  <c r="O49"/>
  <c r="P49"/>
  <c r="Q49"/>
  <c r="N50"/>
  <c r="O50"/>
  <c r="P50"/>
  <c r="Q50"/>
  <c r="N51"/>
  <c r="O51"/>
  <c r="P51"/>
  <c r="Q51"/>
  <c r="N52"/>
  <c r="O52"/>
  <c r="P52"/>
  <c r="Q52"/>
  <c r="N53"/>
  <c r="O53"/>
  <c r="P53"/>
  <c r="Q53"/>
  <c r="N54"/>
  <c r="O54"/>
  <c r="P54"/>
  <c r="Q54"/>
  <c r="N55"/>
  <c r="O55"/>
  <c r="P55"/>
  <c r="Q55"/>
  <c r="N56"/>
  <c r="O56"/>
  <c r="P56"/>
  <c r="Q56"/>
  <c r="N57"/>
  <c r="O57"/>
  <c r="P57"/>
  <c r="Q57"/>
  <c r="N58"/>
  <c r="O58"/>
  <c r="P58"/>
  <c r="Q58"/>
  <c r="N59"/>
  <c r="O59"/>
  <c r="P59"/>
  <c r="Q59"/>
  <c r="N60"/>
  <c r="O60"/>
  <c r="P60"/>
  <c r="Q60"/>
  <c r="N61"/>
  <c r="O61"/>
  <c r="P61"/>
  <c r="Q61"/>
  <c r="N6" i="44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37"/>
  <c r="O37"/>
  <c r="P37"/>
  <c r="Q37"/>
  <c r="N38"/>
  <c r="O38"/>
  <c r="P38"/>
  <c r="Q38"/>
  <c r="N39"/>
  <c r="O39"/>
  <c r="P39"/>
  <c r="Q39"/>
  <c r="N40"/>
  <c r="O40"/>
  <c r="P40"/>
  <c r="Q40"/>
  <c r="N41"/>
  <c r="O41"/>
  <c r="P41"/>
  <c r="Q41"/>
  <c r="N42"/>
  <c r="O42"/>
  <c r="P42"/>
  <c r="Q42"/>
  <c r="N43"/>
  <c r="O43"/>
  <c r="P43"/>
  <c r="Q43"/>
  <c r="N44"/>
  <c r="O44"/>
  <c r="P44"/>
  <c r="Q44"/>
  <c r="N45"/>
  <c r="O45"/>
  <c r="P45"/>
  <c r="Q45"/>
  <c r="N46"/>
  <c r="O46"/>
  <c r="P46"/>
  <c r="Q46"/>
  <c r="N47"/>
  <c r="O47"/>
  <c r="P47"/>
  <c r="Q47"/>
  <c r="N48"/>
  <c r="O48"/>
  <c r="P48"/>
  <c r="Q48"/>
  <c r="N49"/>
  <c r="O49"/>
  <c r="P49"/>
  <c r="Q49"/>
  <c r="N50"/>
  <c r="O50"/>
  <c r="P50"/>
  <c r="Q50"/>
  <c r="N51"/>
  <c r="O51"/>
  <c r="P51"/>
  <c r="Q51"/>
  <c r="N52"/>
  <c r="O52"/>
  <c r="P52"/>
  <c r="Q52"/>
  <c r="N53"/>
  <c r="O53"/>
  <c r="P53"/>
  <c r="Q53"/>
  <c r="N54"/>
  <c r="O54"/>
  <c r="P54"/>
  <c r="Q54"/>
  <c r="N55"/>
  <c r="O55"/>
  <c r="P55"/>
  <c r="Q55"/>
  <c r="N56"/>
  <c r="O56"/>
  <c r="P56"/>
  <c r="Q56"/>
  <c r="N57"/>
  <c r="O57"/>
  <c r="P57"/>
  <c r="Q57"/>
  <c r="N58"/>
  <c r="O58"/>
  <c r="P58"/>
  <c r="Q58"/>
  <c r="N59"/>
  <c r="O59"/>
  <c r="P59"/>
  <c r="Q59"/>
  <c r="N60"/>
  <c r="O60"/>
  <c r="P60"/>
  <c r="Q60"/>
  <c r="N61"/>
  <c r="O61"/>
  <c r="P61"/>
  <c r="Q61"/>
  <c r="N62"/>
  <c r="O62"/>
  <c r="P62"/>
  <c r="Q62"/>
  <c r="N63"/>
  <c r="O63"/>
  <c r="P63"/>
  <c r="Q63"/>
  <c r="N64"/>
  <c r="O64"/>
  <c r="P64"/>
  <c r="Q64"/>
  <c r="N65"/>
  <c r="O65"/>
  <c r="P65"/>
  <c r="Q65"/>
  <c r="N66"/>
  <c r="O66"/>
  <c r="P66"/>
  <c r="Q66"/>
  <c r="N67"/>
  <c r="O67"/>
  <c r="P67"/>
  <c r="Q67"/>
  <c r="N68"/>
  <c r="O68"/>
  <c r="P68"/>
  <c r="Q68"/>
  <c r="N69"/>
  <c r="O69"/>
  <c r="P69"/>
  <c r="Q69"/>
  <c r="N6" i="45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37"/>
  <c r="O37"/>
  <c r="P37"/>
  <c r="Q37"/>
  <c r="N38"/>
  <c r="O38"/>
  <c r="P38"/>
  <c r="Q38"/>
  <c r="N39"/>
  <c r="O39"/>
  <c r="P39"/>
  <c r="Q39"/>
  <c r="N40"/>
  <c r="O40"/>
  <c r="P40"/>
  <c r="Q40"/>
  <c r="N41"/>
  <c r="O41"/>
  <c r="P41"/>
  <c r="Q41"/>
  <c r="N42"/>
  <c r="O42"/>
  <c r="P42"/>
  <c r="Q42"/>
  <c r="N43"/>
  <c r="O43"/>
  <c r="P43"/>
  <c r="Q43"/>
  <c r="N44"/>
  <c r="O44"/>
  <c r="P44"/>
  <c r="Q44"/>
  <c r="N45"/>
  <c r="O45"/>
  <c r="P45"/>
  <c r="Q45"/>
  <c r="N46"/>
  <c r="O46"/>
  <c r="P46"/>
  <c r="Q46"/>
  <c r="N47"/>
  <c r="O47"/>
  <c r="P47"/>
  <c r="Q47"/>
  <c r="N48"/>
  <c r="O48"/>
  <c r="P48"/>
  <c r="Q48"/>
  <c r="N49"/>
  <c r="O49"/>
  <c r="P49"/>
  <c r="Q49"/>
  <c r="N50"/>
  <c r="O50"/>
  <c r="P50"/>
  <c r="Q50"/>
  <c r="N51"/>
  <c r="O51"/>
  <c r="P51"/>
  <c r="Q51"/>
  <c r="N52"/>
  <c r="O52"/>
  <c r="P52"/>
  <c r="Q52"/>
  <c r="N53"/>
  <c r="O53"/>
  <c r="P53"/>
  <c r="Q53"/>
  <c r="N54"/>
  <c r="O54"/>
  <c r="P54"/>
  <c r="Q54"/>
  <c r="N55"/>
  <c r="O55"/>
  <c r="P55"/>
  <c r="Q55"/>
  <c r="N56"/>
  <c r="O56"/>
  <c r="P56"/>
  <c r="Q56"/>
  <c r="N57"/>
  <c r="O57"/>
  <c r="P57"/>
  <c r="Q57"/>
  <c r="N58"/>
  <c r="O58"/>
  <c r="P58"/>
  <c r="Q58"/>
  <c r="N59"/>
  <c r="O59"/>
  <c r="P59"/>
  <c r="Q59"/>
  <c r="N60"/>
  <c r="O60"/>
  <c r="P60"/>
  <c r="Q60"/>
  <c r="N61"/>
  <c r="O61"/>
  <c r="P61"/>
  <c r="Q61"/>
  <c r="N62"/>
  <c r="O62"/>
  <c r="P62"/>
  <c r="Q62"/>
  <c r="N63"/>
  <c r="O63"/>
  <c r="P63"/>
  <c r="Q63"/>
  <c r="N6" i="46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37"/>
  <c r="O37"/>
  <c r="P37"/>
  <c r="Q37"/>
  <c r="N38"/>
  <c r="O38"/>
  <c r="P38"/>
  <c r="Q38"/>
  <c r="N39"/>
  <c r="O39"/>
  <c r="P39"/>
  <c r="Q39"/>
  <c r="N40"/>
  <c r="O40"/>
  <c r="P40"/>
  <c r="Q40"/>
  <c r="N41"/>
  <c r="O41"/>
  <c r="P41"/>
  <c r="Q41"/>
  <c r="N42"/>
  <c r="O42"/>
  <c r="P42"/>
  <c r="Q42"/>
  <c r="N43"/>
  <c r="O43"/>
  <c r="P43"/>
  <c r="Q43"/>
  <c r="N44"/>
  <c r="O44"/>
  <c r="P44"/>
  <c r="Q44"/>
  <c r="N45"/>
  <c r="O45"/>
  <c r="P45"/>
  <c r="Q45"/>
  <c r="N46"/>
  <c r="O46"/>
  <c r="P46"/>
  <c r="Q46"/>
  <c r="N47"/>
  <c r="O47"/>
  <c r="P47"/>
  <c r="Q47"/>
  <c r="N48"/>
  <c r="O48"/>
  <c r="P48"/>
  <c r="Q48"/>
  <c r="N49"/>
  <c r="O49"/>
  <c r="P49"/>
  <c r="Q49"/>
  <c r="N50"/>
  <c r="O50"/>
  <c r="P50"/>
  <c r="Q50"/>
  <c r="N51"/>
  <c r="O51"/>
  <c r="P51"/>
  <c r="Q51"/>
  <c r="N52"/>
  <c r="O52"/>
  <c r="P52"/>
  <c r="Q52"/>
  <c r="N53"/>
  <c r="O53"/>
  <c r="P53"/>
  <c r="Q53"/>
  <c r="N54"/>
  <c r="O54"/>
  <c r="P54"/>
  <c r="Q54"/>
  <c r="N55"/>
  <c r="O55"/>
  <c r="P55"/>
  <c r="Q55"/>
  <c r="N56"/>
  <c r="O56"/>
  <c r="P56"/>
  <c r="Q56"/>
  <c r="N57"/>
  <c r="O57"/>
  <c r="P57"/>
  <c r="Q57"/>
  <c r="N58"/>
  <c r="O58"/>
  <c r="P58"/>
  <c r="Q58"/>
  <c r="N59"/>
  <c r="O59"/>
  <c r="P59"/>
  <c r="Q59"/>
  <c r="N60"/>
  <c r="O60"/>
  <c r="P60"/>
  <c r="Q60"/>
  <c r="N6" i="47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37"/>
  <c r="O37"/>
  <c r="P37"/>
  <c r="Q37"/>
  <c r="N38"/>
  <c r="O38"/>
  <c r="P38"/>
  <c r="Q38"/>
  <c r="N39"/>
  <c r="O39"/>
  <c r="P39"/>
  <c r="Q39"/>
  <c r="N40"/>
  <c r="O40"/>
  <c r="P40"/>
  <c r="Q40"/>
  <c r="N41"/>
  <c r="O41"/>
  <c r="P41"/>
  <c r="Q41"/>
  <c r="N42"/>
  <c r="O42"/>
  <c r="P42"/>
  <c r="Q42"/>
  <c r="N43"/>
  <c r="O43"/>
  <c r="P43"/>
  <c r="Q43"/>
  <c r="N44"/>
  <c r="O44"/>
  <c r="P44"/>
  <c r="Q44"/>
  <c r="N45"/>
  <c r="O45"/>
  <c r="P45"/>
  <c r="Q45"/>
  <c r="N46"/>
  <c r="O46"/>
  <c r="P46"/>
  <c r="Q46"/>
  <c r="N47"/>
  <c r="O47"/>
  <c r="P47"/>
  <c r="Q47"/>
  <c r="N48"/>
  <c r="O48"/>
  <c r="P48"/>
  <c r="Q48"/>
  <c r="N49"/>
  <c r="O49"/>
  <c r="P49"/>
  <c r="Q49"/>
  <c r="N50"/>
  <c r="O50"/>
  <c r="P50"/>
  <c r="Q50"/>
  <c r="N51"/>
  <c r="O51"/>
  <c r="P51"/>
  <c r="Q51"/>
  <c r="N52"/>
  <c r="O52"/>
  <c r="P52"/>
  <c r="Q52"/>
  <c r="N53"/>
  <c r="O53"/>
  <c r="P53"/>
  <c r="Q53"/>
  <c r="O55"/>
  <c r="P55"/>
  <c r="Q55"/>
  <c r="N6" i="85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37"/>
  <c r="O37"/>
  <c r="P37"/>
  <c r="Q37"/>
  <c r="N38"/>
  <c r="O38"/>
  <c r="P38"/>
  <c r="Q38"/>
  <c r="N39"/>
  <c r="O39"/>
  <c r="P39"/>
  <c r="Q39"/>
  <c r="N40"/>
  <c r="O40"/>
  <c r="P40"/>
  <c r="Q40"/>
  <c r="N41"/>
  <c r="O41"/>
  <c r="P41"/>
  <c r="Q41"/>
  <c r="N42"/>
  <c r="O42"/>
  <c r="P42"/>
  <c r="Q42"/>
  <c r="N43"/>
  <c r="O43"/>
  <c r="P43"/>
  <c r="Q43"/>
  <c r="N44"/>
  <c r="O44"/>
  <c r="P44"/>
  <c r="Q44"/>
  <c r="N45"/>
  <c r="O45"/>
  <c r="P45"/>
  <c r="Q45"/>
  <c r="N46"/>
  <c r="O46"/>
  <c r="P46"/>
  <c r="Q46"/>
  <c r="N47"/>
  <c r="O47"/>
  <c r="P47"/>
  <c r="Q47"/>
  <c r="N48"/>
  <c r="O48"/>
  <c r="P48"/>
  <c r="Q48"/>
  <c r="N49"/>
  <c r="O49"/>
  <c r="P49"/>
  <c r="Q49"/>
  <c r="N50"/>
  <c r="O50"/>
  <c r="P50"/>
  <c r="Q50"/>
  <c r="N51"/>
  <c r="O51"/>
  <c r="P51"/>
  <c r="Q51"/>
  <c r="N52"/>
  <c r="O52"/>
  <c r="P52"/>
  <c r="Q52"/>
  <c r="N53"/>
  <c r="O53"/>
  <c r="P53"/>
  <c r="Q53"/>
  <c r="N54"/>
  <c r="O54"/>
  <c r="P54"/>
  <c r="Q54"/>
  <c r="N55"/>
  <c r="O55"/>
  <c r="P55"/>
  <c r="Q55"/>
  <c r="N56"/>
  <c r="O56"/>
  <c r="P56"/>
  <c r="Q56"/>
  <c r="N57"/>
  <c r="O57"/>
  <c r="P57"/>
  <c r="Q57"/>
  <c r="N58"/>
  <c r="O58"/>
  <c r="P58"/>
  <c r="Q58"/>
  <c r="N59"/>
  <c r="O59"/>
  <c r="P59"/>
  <c r="Q59"/>
  <c r="N60"/>
  <c r="O60"/>
  <c r="P60"/>
  <c r="Q60"/>
  <c r="N61"/>
  <c r="O61"/>
  <c r="P61"/>
  <c r="Q61"/>
  <c r="N62"/>
  <c r="O62"/>
  <c r="P62"/>
  <c r="Q62"/>
  <c r="N63"/>
  <c r="O63"/>
  <c r="P63"/>
  <c r="Q63"/>
  <c r="N6" i="87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37"/>
  <c r="O37"/>
  <c r="P37"/>
  <c r="Q37"/>
  <c r="N38"/>
  <c r="O38"/>
  <c r="P38"/>
  <c r="Q38"/>
  <c r="N6" i="86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37"/>
  <c r="O37"/>
  <c r="P37"/>
  <c r="Q37"/>
  <c r="N38"/>
  <c r="O38"/>
  <c r="P38"/>
  <c r="Q38"/>
  <c r="N39"/>
  <c r="O39"/>
  <c r="P39"/>
  <c r="Q39"/>
  <c r="N40"/>
  <c r="O40"/>
  <c r="P40"/>
  <c r="Q40"/>
  <c r="N41"/>
  <c r="O41"/>
  <c r="P41"/>
  <c r="Q41"/>
  <c r="N42"/>
  <c r="O42"/>
  <c r="P42"/>
  <c r="Q42"/>
  <c r="N43"/>
  <c r="O43"/>
  <c r="P43"/>
  <c r="Q43"/>
  <c r="N44"/>
  <c r="O44"/>
  <c r="P44"/>
  <c r="Q44"/>
  <c r="N45"/>
  <c r="O45"/>
  <c r="P45"/>
  <c r="Q45"/>
  <c r="N46"/>
  <c r="O46"/>
  <c r="P46"/>
  <c r="Q46"/>
  <c r="N47"/>
  <c r="O47"/>
  <c r="P47"/>
  <c r="Q47"/>
  <c r="N48"/>
  <c r="O48"/>
  <c r="P48"/>
  <c r="Q48"/>
  <c r="N49"/>
  <c r="O49"/>
  <c r="P49"/>
  <c r="Q49"/>
  <c r="N50"/>
  <c r="O50"/>
  <c r="P50"/>
  <c r="Q50"/>
  <c r="N51"/>
  <c r="O51"/>
  <c r="P51"/>
  <c r="Q51"/>
  <c r="N52"/>
  <c r="O52"/>
  <c r="P52"/>
  <c r="Q52"/>
  <c r="N53"/>
  <c r="O53"/>
  <c r="P53"/>
  <c r="Q53"/>
  <c r="N54"/>
  <c r="O54"/>
  <c r="P54"/>
  <c r="Q54"/>
  <c r="N55"/>
  <c r="O55"/>
  <c r="P55"/>
  <c r="Q55"/>
  <c r="N56"/>
  <c r="O56"/>
  <c r="P56"/>
  <c r="Q56"/>
  <c r="N57"/>
  <c r="O57"/>
  <c r="P57"/>
  <c r="Q57"/>
  <c r="N58"/>
  <c r="O58"/>
  <c r="P58"/>
  <c r="Q58"/>
  <c r="N59"/>
  <c r="O59"/>
  <c r="P59"/>
  <c r="Q59"/>
  <c r="N60"/>
  <c r="O60"/>
  <c r="P60"/>
  <c r="Q60"/>
  <c r="N6" i="84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6" i="49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37"/>
  <c r="O37"/>
  <c r="P37"/>
  <c r="Q37"/>
  <c r="N38"/>
  <c r="O38"/>
  <c r="P38"/>
  <c r="Q38"/>
  <c r="N39"/>
  <c r="O39"/>
  <c r="P39"/>
  <c r="Q39"/>
  <c r="N40"/>
  <c r="O40"/>
  <c r="P40"/>
  <c r="Q40"/>
  <c r="N41"/>
  <c r="O41"/>
  <c r="P41"/>
  <c r="Q41"/>
  <c r="N42"/>
  <c r="O42"/>
  <c r="P42"/>
  <c r="Q42"/>
  <c r="N43"/>
  <c r="O43"/>
  <c r="P43"/>
  <c r="Q43"/>
  <c r="N44"/>
  <c r="O44"/>
  <c r="P44"/>
  <c r="Q44"/>
  <c r="N45"/>
  <c r="O45"/>
  <c r="P45"/>
  <c r="Q45"/>
  <c r="N46"/>
  <c r="O46"/>
  <c r="P46"/>
  <c r="Q46"/>
  <c r="N47"/>
  <c r="O47"/>
  <c r="P47"/>
  <c r="Q47"/>
  <c r="N48"/>
  <c r="O48"/>
  <c r="P48"/>
  <c r="Q48"/>
  <c r="N49"/>
  <c r="O49"/>
  <c r="P49"/>
  <c r="Q49"/>
  <c r="N50"/>
  <c r="O50"/>
  <c r="P50"/>
  <c r="Q50"/>
  <c r="N51"/>
  <c r="O51"/>
  <c r="P51"/>
  <c r="Q51"/>
  <c r="N52"/>
  <c r="O52"/>
  <c r="P52"/>
  <c r="Q52"/>
  <c r="N53"/>
  <c r="O53"/>
  <c r="P53"/>
  <c r="Q53"/>
  <c r="N54"/>
  <c r="O54"/>
  <c r="P54"/>
  <c r="Q54"/>
  <c r="N55"/>
  <c r="O55"/>
  <c r="P55"/>
  <c r="Q55"/>
  <c r="N56"/>
  <c r="O56"/>
  <c r="P56"/>
  <c r="Q56"/>
  <c r="N57"/>
  <c r="O57"/>
  <c r="P57"/>
  <c r="Q57"/>
  <c r="N58"/>
  <c r="O58"/>
  <c r="P58"/>
  <c r="Q58"/>
  <c r="N59"/>
  <c r="O59"/>
  <c r="P59"/>
  <c r="Q59"/>
  <c r="N60"/>
  <c r="O60"/>
  <c r="P60"/>
  <c r="Q60"/>
  <c r="N6" i="50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37"/>
  <c r="O37"/>
  <c r="P37"/>
  <c r="Q37"/>
  <c r="N38"/>
  <c r="O38"/>
  <c r="P38"/>
  <c r="Q38"/>
  <c r="N39"/>
  <c r="O39"/>
  <c r="P39"/>
  <c r="Q39"/>
  <c r="N40"/>
  <c r="O40"/>
  <c r="P40"/>
  <c r="Q40"/>
  <c r="N41"/>
  <c r="O41"/>
  <c r="P41"/>
  <c r="Q41"/>
  <c r="N42"/>
  <c r="O42"/>
  <c r="P42"/>
  <c r="Q42"/>
  <c r="N43"/>
  <c r="O43"/>
  <c r="P43"/>
  <c r="Q43"/>
  <c r="N44"/>
  <c r="O44"/>
  <c r="P44"/>
  <c r="Q44"/>
  <c r="N45"/>
  <c r="O45"/>
  <c r="P45"/>
  <c r="Q45"/>
  <c r="N46"/>
  <c r="O46"/>
  <c r="P46"/>
  <c r="Q46"/>
  <c r="N47"/>
  <c r="O47"/>
  <c r="P47"/>
  <c r="Q47"/>
  <c r="N48"/>
  <c r="O48"/>
  <c r="P48"/>
  <c r="Q48"/>
  <c r="N49"/>
  <c r="O49"/>
  <c r="P49"/>
  <c r="Q49"/>
  <c r="N50"/>
  <c r="O50"/>
  <c r="P50"/>
  <c r="Q50"/>
  <c r="N51"/>
  <c r="O51"/>
  <c r="P51"/>
  <c r="Q51"/>
  <c r="N52"/>
  <c r="O52"/>
  <c r="P52"/>
  <c r="Q52"/>
  <c r="N53"/>
  <c r="O53"/>
  <c r="P53"/>
  <c r="Q53"/>
  <c r="N54"/>
  <c r="O54"/>
  <c r="P54"/>
  <c r="Q54"/>
  <c r="N55"/>
  <c r="O55"/>
  <c r="P55"/>
  <c r="Q55"/>
  <c r="N56"/>
  <c r="O56"/>
  <c r="P56"/>
  <c r="Q56"/>
  <c r="N57"/>
  <c r="O57"/>
  <c r="P57"/>
  <c r="Q57"/>
  <c r="N58"/>
  <c r="O58"/>
  <c r="P58"/>
  <c r="Q58"/>
  <c r="N59"/>
  <c r="O59"/>
  <c r="P59"/>
  <c r="Q59"/>
  <c r="N60"/>
  <c r="O60"/>
  <c r="P60"/>
  <c r="Q60"/>
  <c r="N61"/>
  <c r="O61"/>
  <c r="P61"/>
  <c r="Q61"/>
  <c r="N62"/>
  <c r="O62"/>
  <c r="P62"/>
  <c r="Q62"/>
  <c r="N6" i="51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37"/>
  <c r="O37"/>
  <c r="P37"/>
  <c r="Q37"/>
  <c r="N38"/>
  <c r="O38"/>
  <c r="P38"/>
  <c r="Q38"/>
  <c r="N39"/>
  <c r="O39"/>
  <c r="P39"/>
  <c r="Q39"/>
  <c r="N40"/>
  <c r="O40"/>
  <c r="P40"/>
  <c r="Q40"/>
  <c r="N41"/>
  <c r="O41"/>
  <c r="P41"/>
  <c r="Q41"/>
  <c r="N42"/>
  <c r="O42"/>
  <c r="P42"/>
  <c r="Q42"/>
  <c r="N43"/>
  <c r="O43"/>
  <c r="P43"/>
  <c r="Q43"/>
  <c r="N44"/>
  <c r="O44"/>
  <c r="P44"/>
  <c r="Q44"/>
  <c r="N45"/>
  <c r="O45"/>
  <c r="P45"/>
  <c r="Q45"/>
  <c r="N46"/>
  <c r="O46"/>
  <c r="P46"/>
  <c r="Q46"/>
  <c r="N47"/>
  <c r="O47"/>
  <c r="P47"/>
  <c r="Q47"/>
  <c r="N48"/>
  <c r="O48"/>
  <c r="P48"/>
  <c r="Q48"/>
  <c r="N49"/>
  <c r="O49"/>
  <c r="P49"/>
  <c r="Q49"/>
  <c r="N50"/>
  <c r="O50"/>
  <c r="P50"/>
  <c r="Q50"/>
  <c r="N51"/>
  <c r="O51"/>
  <c r="P51"/>
  <c r="Q51"/>
  <c r="N52"/>
  <c r="O52"/>
  <c r="P52"/>
  <c r="Q52"/>
  <c r="N53"/>
  <c r="O53"/>
  <c r="P53"/>
  <c r="Q53"/>
  <c r="N54"/>
  <c r="O54"/>
  <c r="P54"/>
  <c r="Q54"/>
  <c r="N55"/>
  <c r="O55"/>
  <c r="P55"/>
  <c r="Q55"/>
  <c r="N56"/>
  <c r="O56"/>
  <c r="P56"/>
  <c r="Q56"/>
  <c r="N57"/>
  <c r="O57"/>
  <c r="P57"/>
  <c r="Q57"/>
  <c r="N58"/>
  <c r="O58"/>
  <c r="P58"/>
  <c r="Q58"/>
  <c r="N59"/>
  <c r="O59"/>
  <c r="P59"/>
  <c r="Q59"/>
  <c r="N60"/>
  <c r="O60"/>
  <c r="P60"/>
  <c r="Q60"/>
  <c r="N6" i="52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37"/>
  <c r="O37"/>
  <c r="P37"/>
  <c r="Q37"/>
  <c r="N38"/>
  <c r="O38"/>
  <c r="P38"/>
  <c r="Q38"/>
  <c r="N39"/>
  <c r="O39"/>
  <c r="P39"/>
  <c r="Q39"/>
  <c r="N40"/>
  <c r="O40"/>
  <c r="P40"/>
  <c r="Q40"/>
  <c r="N41"/>
  <c r="O41"/>
  <c r="P41"/>
  <c r="Q41"/>
  <c r="N42"/>
  <c r="O42"/>
  <c r="P42"/>
  <c r="Q42"/>
  <c r="N43"/>
  <c r="O43"/>
  <c r="P43"/>
  <c r="Q43"/>
  <c r="N44"/>
  <c r="O44"/>
  <c r="P44"/>
  <c r="Q44"/>
  <c r="N45"/>
  <c r="O45"/>
  <c r="P45"/>
  <c r="Q45"/>
  <c r="N46"/>
  <c r="O46"/>
  <c r="P46"/>
  <c r="Q46"/>
  <c r="N47"/>
  <c r="O47"/>
  <c r="P47"/>
  <c r="Q47"/>
  <c r="N48"/>
  <c r="O48"/>
  <c r="P48"/>
  <c r="Q48"/>
  <c r="N49"/>
  <c r="O49"/>
  <c r="P49"/>
  <c r="Q49"/>
  <c r="N50"/>
  <c r="O50"/>
  <c r="P50"/>
  <c r="Q50"/>
  <c r="N51"/>
  <c r="O51"/>
  <c r="P51"/>
  <c r="Q51"/>
  <c r="N52"/>
  <c r="O52"/>
  <c r="P52"/>
  <c r="Q52"/>
  <c r="N53"/>
  <c r="O53"/>
  <c r="P53"/>
  <c r="Q53"/>
  <c r="N54"/>
  <c r="O54"/>
  <c r="P54"/>
  <c r="Q54"/>
  <c r="N55"/>
  <c r="O55"/>
  <c r="P55"/>
  <c r="Q55"/>
  <c r="N56"/>
  <c r="O56"/>
  <c r="P56"/>
  <c r="Q56"/>
  <c r="N57"/>
  <c r="O57"/>
  <c r="P57"/>
  <c r="Q57"/>
  <c r="N58"/>
  <c r="O58"/>
  <c r="P58"/>
  <c r="Q58"/>
  <c r="N59"/>
  <c r="O59"/>
  <c r="P59"/>
  <c r="Q59"/>
  <c r="N60"/>
  <c r="O60"/>
  <c r="P60"/>
  <c r="Q60"/>
  <c r="N6" i="28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37"/>
  <c r="O37"/>
  <c r="P37"/>
  <c r="Q37"/>
  <c r="N38"/>
  <c r="O38"/>
  <c r="P38"/>
  <c r="Q38"/>
  <c r="N39"/>
  <c r="O39"/>
  <c r="P39"/>
  <c r="Q39"/>
  <c r="N40"/>
  <c r="O40"/>
  <c r="P40"/>
  <c r="Q40"/>
  <c r="N41"/>
  <c r="O41"/>
  <c r="P41"/>
  <c r="Q41"/>
  <c r="N42"/>
  <c r="O42"/>
  <c r="P42"/>
  <c r="Q42"/>
  <c r="N43"/>
  <c r="O43"/>
  <c r="P43"/>
  <c r="Q43"/>
  <c r="N44"/>
  <c r="O44"/>
  <c r="P44"/>
  <c r="Q44"/>
  <c r="N45"/>
  <c r="O45"/>
  <c r="P45"/>
  <c r="Q45"/>
  <c r="N46"/>
  <c r="O46"/>
  <c r="P46"/>
  <c r="Q46"/>
  <c r="N47"/>
  <c r="O47"/>
  <c r="P47"/>
  <c r="Q47"/>
  <c r="N48"/>
  <c r="O48"/>
  <c r="P48"/>
  <c r="Q48"/>
  <c r="N49"/>
  <c r="O49"/>
  <c r="P49"/>
  <c r="Q49"/>
  <c r="N50"/>
  <c r="O50"/>
  <c r="P50"/>
  <c r="Q50"/>
  <c r="N51"/>
  <c r="O51"/>
  <c r="P51"/>
  <c r="Q51"/>
  <c r="N52"/>
  <c r="O52"/>
  <c r="P52"/>
  <c r="Q52"/>
  <c r="N53"/>
  <c r="O53"/>
  <c r="P53"/>
  <c r="Q53"/>
  <c r="N54"/>
  <c r="O54"/>
  <c r="P54"/>
  <c r="Q54"/>
  <c r="N55"/>
  <c r="O55"/>
  <c r="P55"/>
  <c r="Q55"/>
  <c r="N56"/>
  <c r="O56"/>
  <c r="P56"/>
  <c r="Q56"/>
  <c r="N57"/>
  <c r="O57"/>
  <c r="P57"/>
  <c r="Q57"/>
  <c r="N58"/>
  <c r="O58"/>
  <c r="P58"/>
  <c r="Q58"/>
  <c r="N59"/>
  <c r="O59"/>
  <c r="P59"/>
  <c r="Q59"/>
  <c r="N60"/>
  <c r="O60"/>
  <c r="P60"/>
  <c r="Q60"/>
  <c r="N6" i="29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37"/>
  <c r="O37"/>
  <c r="P37"/>
  <c r="Q37"/>
  <c r="N38"/>
  <c r="O38"/>
  <c r="P38"/>
  <c r="Q38"/>
  <c r="N39"/>
  <c r="O39"/>
  <c r="P39"/>
  <c r="Q39"/>
  <c r="N40"/>
  <c r="O40"/>
  <c r="P40"/>
  <c r="Q40"/>
  <c r="N41"/>
  <c r="O41"/>
  <c r="P41"/>
  <c r="Q41"/>
  <c r="N42"/>
  <c r="O42"/>
  <c r="P42"/>
  <c r="Q42"/>
  <c r="N43"/>
  <c r="O43"/>
  <c r="P43"/>
  <c r="Q43"/>
  <c r="N44"/>
  <c r="O44"/>
  <c r="P44"/>
  <c r="Q44"/>
  <c r="N45"/>
  <c r="O45"/>
  <c r="P45"/>
  <c r="Q45"/>
  <c r="N46"/>
  <c r="O46"/>
  <c r="P46"/>
  <c r="Q46"/>
  <c r="N47"/>
  <c r="O47"/>
  <c r="P47"/>
  <c r="Q47"/>
  <c r="N48"/>
  <c r="O48"/>
  <c r="P48"/>
  <c r="Q48"/>
  <c r="N49"/>
  <c r="O49"/>
  <c r="P49"/>
  <c r="Q49"/>
  <c r="N50"/>
  <c r="O50"/>
  <c r="P50"/>
  <c r="Q50"/>
  <c r="N51"/>
  <c r="O51"/>
  <c r="P51"/>
  <c r="Q51"/>
  <c r="N52"/>
  <c r="O52"/>
  <c r="P52"/>
  <c r="Q52"/>
  <c r="N53"/>
  <c r="O53"/>
  <c r="P53"/>
  <c r="Q53"/>
  <c r="N54"/>
  <c r="O54"/>
  <c r="P54"/>
  <c r="Q54"/>
  <c r="N55"/>
  <c r="O55"/>
  <c r="P55"/>
  <c r="Q55"/>
  <c r="N56"/>
  <c r="O56"/>
  <c r="P56"/>
  <c r="Q56"/>
  <c r="N57"/>
  <c r="O57"/>
  <c r="P57"/>
  <c r="Q57"/>
  <c r="N58"/>
  <c r="O58"/>
  <c r="P58"/>
  <c r="Q58"/>
  <c r="N59"/>
  <c r="O59"/>
  <c r="P59"/>
  <c r="Q59"/>
  <c r="N6" i="30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37"/>
  <c r="O37"/>
  <c r="P37"/>
  <c r="Q37"/>
  <c r="N38"/>
  <c r="O38"/>
  <c r="P38"/>
  <c r="Q38"/>
  <c r="N39"/>
  <c r="O39"/>
  <c r="P39"/>
  <c r="Q39"/>
  <c r="N40"/>
  <c r="O40"/>
  <c r="P40"/>
  <c r="Q40"/>
  <c r="N41"/>
  <c r="O41"/>
  <c r="P41"/>
  <c r="Q41"/>
  <c r="N42"/>
  <c r="O42"/>
  <c r="P42"/>
  <c r="Q42"/>
  <c r="N43"/>
  <c r="O43"/>
  <c r="P43"/>
  <c r="Q43"/>
  <c r="N44"/>
  <c r="O44"/>
  <c r="P44"/>
  <c r="Q44"/>
  <c r="N45"/>
  <c r="O45"/>
  <c r="P45"/>
  <c r="Q45"/>
  <c r="N46"/>
  <c r="O46"/>
  <c r="P46"/>
  <c r="Q46"/>
  <c r="N47"/>
  <c r="O47"/>
  <c r="P47"/>
  <c r="Q47"/>
  <c r="N48"/>
  <c r="O48"/>
  <c r="P48"/>
  <c r="Q48"/>
  <c r="N49"/>
  <c r="O49"/>
  <c r="P49"/>
  <c r="Q49"/>
  <c r="N50"/>
  <c r="O50"/>
  <c r="P50"/>
  <c r="Q50"/>
  <c r="N51"/>
  <c r="O51"/>
  <c r="P51"/>
  <c r="Q51"/>
  <c r="N52"/>
  <c r="O52"/>
  <c r="P52"/>
  <c r="Q52"/>
  <c r="N53"/>
  <c r="O53"/>
  <c r="P53"/>
  <c r="Q53"/>
  <c r="N54"/>
  <c r="O54"/>
  <c r="P54"/>
  <c r="Q54"/>
  <c r="N55"/>
  <c r="O55"/>
  <c r="P55"/>
  <c r="Q55"/>
  <c r="N56"/>
  <c r="O56"/>
  <c r="P56"/>
  <c r="Q56"/>
  <c r="N57"/>
  <c r="O57"/>
  <c r="P57"/>
  <c r="Q57"/>
  <c r="N58"/>
  <c r="O58"/>
  <c r="P58"/>
  <c r="Q58"/>
  <c r="N59"/>
  <c r="O59"/>
  <c r="P59"/>
  <c r="Q59"/>
  <c r="N60"/>
  <c r="O60"/>
  <c r="P60"/>
  <c r="Q60"/>
  <c r="N6" i="31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37"/>
  <c r="O37"/>
  <c r="P37"/>
  <c r="Q37"/>
  <c r="N38"/>
  <c r="O38"/>
  <c r="P38"/>
  <c r="Q38"/>
  <c r="N39"/>
  <c r="O39"/>
  <c r="P39"/>
  <c r="Q39"/>
  <c r="N40"/>
  <c r="O40"/>
  <c r="P40"/>
  <c r="Q40"/>
  <c r="N41"/>
  <c r="O41"/>
  <c r="P41"/>
  <c r="Q41"/>
  <c r="N42"/>
  <c r="O42"/>
  <c r="P42"/>
  <c r="Q42"/>
  <c r="N43"/>
  <c r="O43"/>
  <c r="P43"/>
  <c r="Q43"/>
  <c r="N44"/>
  <c r="O44"/>
  <c r="P44"/>
  <c r="Q44"/>
  <c r="N45"/>
  <c r="O45"/>
  <c r="P45"/>
  <c r="Q45"/>
  <c r="N46"/>
  <c r="O46"/>
  <c r="P46"/>
  <c r="Q46"/>
  <c r="N47"/>
  <c r="O47"/>
  <c r="P47"/>
  <c r="Q47"/>
  <c r="N48"/>
  <c r="O48"/>
  <c r="P48"/>
  <c r="Q48"/>
  <c r="N49"/>
  <c r="O49"/>
  <c r="P49"/>
  <c r="Q49"/>
  <c r="N50"/>
  <c r="O50"/>
  <c r="P50"/>
  <c r="Q50"/>
  <c r="N51"/>
  <c r="O51"/>
  <c r="P51"/>
  <c r="Q51"/>
  <c r="N52"/>
  <c r="O52"/>
  <c r="P52"/>
  <c r="Q52"/>
  <c r="N53"/>
  <c r="O53"/>
  <c r="P53"/>
  <c r="Q53"/>
  <c r="N54"/>
  <c r="O54"/>
  <c r="P54"/>
  <c r="Q54"/>
  <c r="N55"/>
  <c r="O55"/>
  <c r="P55"/>
  <c r="Q55"/>
  <c r="N56"/>
  <c r="O56"/>
  <c r="P56"/>
  <c r="Q56"/>
  <c r="N57"/>
  <c r="O57"/>
  <c r="P57"/>
  <c r="Q57"/>
  <c r="N6" i="83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6" i="81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37"/>
  <c r="O37"/>
  <c r="P37"/>
  <c r="Q37"/>
  <c r="N38"/>
  <c r="O38"/>
  <c r="P38"/>
  <c r="Q38"/>
  <c r="N39"/>
  <c r="O39"/>
  <c r="P39"/>
  <c r="Q39"/>
  <c r="N40"/>
  <c r="O40"/>
  <c r="P40"/>
  <c r="Q40"/>
  <c r="N6" i="82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37"/>
  <c r="O37"/>
  <c r="P37"/>
  <c r="Q37"/>
  <c r="N38"/>
  <c r="O38"/>
  <c r="P38"/>
  <c r="Q38"/>
  <c r="N6" i="80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6" i="79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6" i="18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37"/>
  <c r="O37"/>
  <c r="P37"/>
  <c r="Q37"/>
  <c r="N6" i="19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37"/>
  <c r="O37"/>
  <c r="P37"/>
  <c r="Q37"/>
  <c r="N38"/>
  <c r="O38"/>
  <c r="P38"/>
  <c r="Q38"/>
  <c r="N39"/>
  <c r="O39"/>
  <c r="P39"/>
  <c r="Q39"/>
  <c r="N40"/>
  <c r="O40"/>
  <c r="P40"/>
  <c r="Q40"/>
  <c r="N41"/>
  <c r="O41"/>
  <c r="P41"/>
  <c r="Q41"/>
  <c r="N42"/>
  <c r="O42"/>
  <c r="P42"/>
  <c r="Q42"/>
  <c r="N43"/>
  <c r="O43"/>
  <c r="P43"/>
  <c r="Q43"/>
  <c r="N44"/>
  <c r="O44"/>
  <c r="P44"/>
  <c r="Q44"/>
  <c r="N45"/>
  <c r="O45"/>
  <c r="P45"/>
  <c r="Q45"/>
  <c r="N46"/>
  <c r="O46"/>
  <c r="P46"/>
  <c r="Q46"/>
  <c r="N47"/>
  <c r="O47"/>
  <c r="P47"/>
  <c r="Q47"/>
  <c r="N48"/>
  <c r="O48"/>
  <c r="P48"/>
  <c r="Q48"/>
  <c r="N49"/>
  <c r="O49"/>
  <c r="P49"/>
  <c r="Q49"/>
  <c r="N50"/>
  <c r="O50"/>
  <c r="P50"/>
  <c r="Q50"/>
  <c r="N51"/>
  <c r="O51"/>
  <c r="P51"/>
  <c r="Q51"/>
  <c r="N52"/>
  <c r="O52"/>
  <c r="P52"/>
  <c r="Q52"/>
  <c r="N53"/>
  <c r="O53"/>
  <c r="P53"/>
  <c r="Q53"/>
  <c r="N54"/>
  <c r="O54"/>
  <c r="P54"/>
  <c r="Q54"/>
  <c r="N55"/>
  <c r="O55"/>
  <c r="P55"/>
  <c r="Q55"/>
  <c r="N56"/>
  <c r="O56"/>
  <c r="P56"/>
  <c r="Q56"/>
  <c r="N57"/>
  <c r="O57"/>
  <c r="P57"/>
  <c r="Q57"/>
  <c r="N58"/>
  <c r="O58"/>
  <c r="P58"/>
  <c r="Q58"/>
  <c r="N59"/>
  <c r="O59"/>
  <c r="P59"/>
  <c r="Q59"/>
  <c r="N60"/>
  <c r="O60"/>
  <c r="P60"/>
  <c r="Q60"/>
  <c r="N6" i="21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37"/>
  <c r="O37"/>
  <c r="P37"/>
  <c r="Q37"/>
  <c r="N38"/>
  <c r="O38"/>
  <c r="P38"/>
  <c r="Q38"/>
  <c r="N39"/>
  <c r="O39"/>
  <c r="P39"/>
  <c r="Q39"/>
  <c r="N40"/>
  <c r="O40"/>
  <c r="P40"/>
  <c r="Q40"/>
  <c r="N41"/>
  <c r="O41"/>
  <c r="P41"/>
  <c r="Q41"/>
  <c r="N42"/>
  <c r="O42"/>
  <c r="P42"/>
  <c r="Q42"/>
  <c r="N43"/>
  <c r="O43"/>
  <c r="P43"/>
  <c r="Q43"/>
  <c r="N44"/>
  <c r="O44"/>
  <c r="P44"/>
  <c r="Q44"/>
  <c r="N45"/>
  <c r="O45"/>
  <c r="P45"/>
  <c r="Q45"/>
  <c r="N46"/>
  <c r="O46"/>
  <c r="P46"/>
  <c r="Q46"/>
  <c r="N47"/>
  <c r="O47"/>
  <c r="P47"/>
  <c r="Q47"/>
  <c r="N48"/>
  <c r="O48"/>
  <c r="P48"/>
  <c r="Q48"/>
  <c r="N49"/>
  <c r="O49"/>
  <c r="P49"/>
  <c r="Q49"/>
  <c r="N50"/>
  <c r="O50"/>
  <c r="P50"/>
  <c r="Q50"/>
  <c r="N51"/>
  <c r="O51"/>
  <c r="P51"/>
  <c r="Q51"/>
  <c r="N52"/>
  <c r="O52"/>
  <c r="P52"/>
  <c r="Q52"/>
  <c r="N53"/>
  <c r="O53"/>
  <c r="P53"/>
  <c r="Q53"/>
  <c r="N54"/>
  <c r="O54"/>
  <c r="P54"/>
  <c r="Q54"/>
  <c r="N55"/>
  <c r="O55"/>
  <c r="P55"/>
  <c r="Q55"/>
  <c r="N56"/>
  <c r="O56"/>
  <c r="P56"/>
  <c r="Q56"/>
  <c r="N57"/>
  <c r="O57"/>
  <c r="P57"/>
  <c r="Q57"/>
  <c r="N58"/>
  <c r="O58"/>
  <c r="P58"/>
  <c r="Q58"/>
  <c r="N59"/>
  <c r="O59"/>
  <c r="P59"/>
  <c r="Q59"/>
  <c r="N60"/>
  <c r="O60"/>
  <c r="P60"/>
  <c r="Q60"/>
  <c r="N6" i="75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37"/>
  <c r="O37"/>
  <c r="P37"/>
  <c r="Q37"/>
  <c r="N38"/>
  <c r="O38"/>
  <c r="P38"/>
  <c r="Q38"/>
  <c r="N39"/>
  <c r="O39"/>
  <c r="P39"/>
  <c r="Q39"/>
  <c r="N40"/>
  <c r="O40"/>
  <c r="P40"/>
  <c r="Q40"/>
  <c r="N41"/>
  <c r="O41"/>
  <c r="P41"/>
  <c r="Q41"/>
  <c r="N42"/>
  <c r="O42"/>
  <c r="P42"/>
  <c r="Q42"/>
  <c r="N43"/>
  <c r="O43"/>
  <c r="P43"/>
  <c r="Q43"/>
  <c r="N44"/>
  <c r="O44"/>
  <c r="P44"/>
  <c r="Q44"/>
  <c r="N45"/>
  <c r="O45"/>
  <c r="P45"/>
  <c r="Q45"/>
  <c r="N46"/>
  <c r="O46"/>
  <c r="P46"/>
  <c r="Q46"/>
  <c r="N47"/>
  <c r="O47"/>
  <c r="P47"/>
  <c r="Q47"/>
  <c r="N48"/>
  <c r="O48"/>
  <c r="P48"/>
  <c r="Q48"/>
  <c r="N49"/>
  <c r="O49"/>
  <c r="P49"/>
  <c r="Q49"/>
  <c r="N50"/>
  <c r="O50"/>
  <c r="P50"/>
  <c r="Q50"/>
  <c r="N51"/>
  <c r="O51"/>
  <c r="P51"/>
  <c r="Q51"/>
  <c r="N52"/>
  <c r="O52"/>
  <c r="P52"/>
  <c r="Q52"/>
  <c r="N53"/>
  <c r="O53"/>
  <c r="P53"/>
  <c r="Q53"/>
  <c r="N54"/>
  <c r="O54"/>
  <c r="P54"/>
  <c r="Q54"/>
  <c r="N55"/>
  <c r="O55"/>
  <c r="P55"/>
  <c r="Q55"/>
  <c r="N6" i="22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6" i="23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37"/>
  <c r="O37"/>
  <c r="P37"/>
  <c r="Q37"/>
  <c r="N38"/>
  <c r="O38"/>
  <c r="P38"/>
  <c r="Q38"/>
  <c r="N39"/>
  <c r="O39"/>
  <c r="P39"/>
  <c r="Q39"/>
  <c r="N40"/>
  <c r="O40"/>
  <c r="P40"/>
  <c r="Q40"/>
  <c r="N41"/>
  <c r="O41"/>
  <c r="P41"/>
  <c r="Q41"/>
  <c r="N42"/>
  <c r="O42"/>
  <c r="P42"/>
  <c r="Q42"/>
  <c r="N43"/>
  <c r="O43"/>
  <c r="P43"/>
  <c r="Q43"/>
  <c r="N44"/>
  <c r="O44"/>
  <c r="P44"/>
  <c r="Q44"/>
  <c r="N45"/>
  <c r="O45"/>
  <c r="P45"/>
  <c r="Q45"/>
  <c r="N46"/>
  <c r="O46"/>
  <c r="P46"/>
  <c r="Q46"/>
  <c r="N47"/>
  <c r="O47"/>
  <c r="P47"/>
  <c r="Q47"/>
  <c r="N48"/>
  <c r="O48"/>
  <c r="P48"/>
  <c r="Q48"/>
  <c r="N49"/>
  <c r="O49"/>
  <c r="P49"/>
  <c r="Q49"/>
  <c r="N50"/>
  <c r="O50"/>
  <c r="P50"/>
  <c r="Q50"/>
  <c r="N51"/>
  <c r="O51"/>
  <c r="P51"/>
  <c r="Q51"/>
  <c r="N52"/>
  <c r="O52"/>
  <c r="P52"/>
  <c r="Q52"/>
  <c r="N53"/>
  <c r="O53"/>
  <c r="P53"/>
  <c r="Q53"/>
  <c r="N54"/>
  <c r="O54"/>
  <c r="P54"/>
  <c r="Q54"/>
  <c r="N55"/>
  <c r="O55"/>
  <c r="P55"/>
  <c r="Q55"/>
  <c r="N56"/>
  <c r="O56"/>
  <c r="P56"/>
  <c r="Q56"/>
  <c r="N57"/>
  <c r="O57"/>
  <c r="P57"/>
  <c r="Q57"/>
  <c r="N58"/>
  <c r="O58"/>
  <c r="P58"/>
  <c r="Q58"/>
  <c r="N6" i="24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6" i="25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37"/>
  <c r="O37"/>
  <c r="P37"/>
  <c r="Q37"/>
  <c r="N38"/>
  <c r="O38"/>
  <c r="P38"/>
  <c r="Q38"/>
  <c r="N39"/>
  <c r="O39"/>
  <c r="P39"/>
  <c r="Q39"/>
  <c r="N40"/>
  <c r="O40"/>
  <c r="P40"/>
  <c r="Q40"/>
  <c r="N41"/>
  <c r="O41"/>
  <c r="P41"/>
  <c r="Q41"/>
  <c r="N42"/>
  <c r="O42"/>
  <c r="P42"/>
  <c r="Q42"/>
  <c r="N43"/>
  <c r="O43"/>
  <c r="P43"/>
  <c r="Q43"/>
  <c r="N44"/>
  <c r="O44"/>
  <c r="P44"/>
  <c r="Q44"/>
  <c r="N45"/>
  <c r="O45"/>
  <c r="P45"/>
  <c r="Q45"/>
  <c r="N46"/>
  <c r="O46"/>
  <c r="P46"/>
  <c r="Q46"/>
  <c r="N47"/>
  <c r="O47"/>
  <c r="P47"/>
  <c r="Q47"/>
  <c r="N48"/>
  <c r="O48"/>
  <c r="P48"/>
  <c r="Q48"/>
  <c r="N49"/>
  <c r="O49"/>
  <c r="P49"/>
  <c r="Q49"/>
  <c r="N50"/>
  <c r="O50"/>
  <c r="P50"/>
  <c r="Q50"/>
  <c r="N51"/>
  <c r="O51"/>
  <c r="P51"/>
  <c r="Q51"/>
  <c r="N52"/>
  <c r="O52"/>
  <c r="P52"/>
  <c r="Q52"/>
  <c r="N53"/>
  <c r="O53"/>
  <c r="P53"/>
  <c r="Q53"/>
  <c r="N6" i="26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37"/>
  <c r="O37"/>
  <c r="P37"/>
  <c r="Q37"/>
  <c r="N38"/>
  <c r="O38"/>
  <c r="P38"/>
  <c r="Q38"/>
  <c r="N39"/>
  <c r="O39"/>
  <c r="P39"/>
  <c r="Q39"/>
  <c r="N40"/>
  <c r="O40"/>
  <c r="P40"/>
  <c r="Q40"/>
  <c r="N41"/>
  <c r="O41"/>
  <c r="P41"/>
  <c r="Q41"/>
  <c r="N42"/>
  <c r="O42"/>
  <c r="P42"/>
  <c r="Q42"/>
  <c r="N43"/>
  <c r="O43"/>
  <c r="P43"/>
  <c r="Q43"/>
  <c r="N44"/>
  <c r="O44"/>
  <c r="P44"/>
  <c r="Q44"/>
  <c r="N45"/>
  <c r="O45"/>
  <c r="P45"/>
  <c r="Q45"/>
  <c r="N46"/>
  <c r="O46"/>
  <c r="P46"/>
  <c r="Q46"/>
  <c r="N47"/>
  <c r="O47"/>
  <c r="P47"/>
  <c r="Q47"/>
  <c r="N48"/>
  <c r="O48"/>
  <c r="P48"/>
  <c r="Q48"/>
  <c r="N49"/>
  <c r="O49"/>
  <c r="P49"/>
  <c r="Q49"/>
  <c r="N50"/>
  <c r="O50"/>
  <c r="P50"/>
  <c r="Q50"/>
  <c r="N51"/>
  <c r="O51"/>
  <c r="P51"/>
  <c r="Q51"/>
  <c r="N52"/>
  <c r="O52"/>
  <c r="P52"/>
  <c r="Q52"/>
  <c r="N53"/>
  <c r="O53"/>
  <c r="P53"/>
  <c r="Q53"/>
  <c r="N54"/>
  <c r="O54"/>
  <c r="P54"/>
  <c r="Q54"/>
  <c r="N55"/>
  <c r="O55"/>
  <c r="P55"/>
  <c r="Q55"/>
  <c r="N56"/>
  <c r="O56"/>
  <c r="P56"/>
  <c r="Q56"/>
  <c r="N6" i="27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37"/>
  <c r="O37"/>
  <c r="P37"/>
  <c r="Q37"/>
  <c r="N38"/>
  <c r="O38"/>
  <c r="P38"/>
  <c r="Q38"/>
  <c r="N39"/>
  <c r="O39"/>
  <c r="P39"/>
  <c r="Q39"/>
  <c r="N40"/>
  <c r="O40"/>
  <c r="P40"/>
  <c r="Q40"/>
  <c r="N41"/>
  <c r="O41"/>
  <c r="P41"/>
  <c r="Q41"/>
  <c r="N42"/>
  <c r="O42"/>
  <c r="P42"/>
  <c r="Q42"/>
  <c r="N43"/>
  <c r="O43"/>
  <c r="P43"/>
  <c r="Q43"/>
  <c r="N44"/>
  <c r="O44"/>
  <c r="P44"/>
  <c r="Q44"/>
  <c r="N45"/>
  <c r="O45"/>
  <c r="P45"/>
  <c r="Q45"/>
  <c r="N46"/>
  <c r="O46"/>
  <c r="P46"/>
  <c r="Q46"/>
  <c r="N47"/>
  <c r="O47"/>
  <c r="P47"/>
  <c r="Q47"/>
  <c r="N48"/>
  <c r="O48"/>
  <c r="P48"/>
  <c r="Q48"/>
  <c r="N49"/>
  <c r="O49"/>
  <c r="P49"/>
  <c r="Q49"/>
  <c r="N50"/>
  <c r="O50"/>
  <c r="P50"/>
  <c r="Q50"/>
  <c r="N51"/>
  <c r="O51"/>
  <c r="P51"/>
  <c r="Q51"/>
  <c r="N52"/>
  <c r="O52"/>
  <c r="P52"/>
  <c r="Q52"/>
  <c r="N53"/>
  <c r="O53"/>
  <c r="P53"/>
  <c r="Q53"/>
  <c r="N54"/>
  <c r="O54"/>
  <c r="P54"/>
  <c r="Q54"/>
  <c r="N55"/>
  <c r="O55"/>
  <c r="P55"/>
  <c r="Q55"/>
  <c r="N56"/>
  <c r="O56"/>
  <c r="P56"/>
  <c r="Q56"/>
  <c r="N6" i="5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37"/>
  <c r="O37"/>
  <c r="P37"/>
  <c r="Q37"/>
  <c r="N38"/>
  <c r="O38"/>
  <c r="P38"/>
  <c r="Q38"/>
  <c r="N39"/>
  <c r="O39"/>
  <c r="P39"/>
  <c r="Q39"/>
  <c r="N40"/>
  <c r="O40"/>
  <c r="P40"/>
  <c r="Q40"/>
  <c r="N41"/>
  <c r="O41"/>
  <c r="P41"/>
  <c r="Q41"/>
  <c r="N42"/>
  <c r="O42"/>
  <c r="P42"/>
  <c r="Q42"/>
  <c r="N43"/>
  <c r="O43"/>
  <c r="P43"/>
  <c r="Q43"/>
  <c r="N44"/>
  <c r="O44"/>
  <c r="P44"/>
  <c r="Q44"/>
  <c r="N45"/>
  <c r="O45"/>
  <c r="P45"/>
  <c r="Q45"/>
  <c r="N46"/>
  <c r="O46"/>
  <c r="P46"/>
  <c r="Q46"/>
  <c r="N47"/>
  <c r="O47"/>
  <c r="P47"/>
  <c r="Q47"/>
  <c r="N48"/>
  <c r="O48"/>
  <c r="P48"/>
  <c r="Q48"/>
  <c r="N49"/>
  <c r="O49"/>
  <c r="P49"/>
  <c r="Q49"/>
  <c r="N50"/>
  <c r="O50"/>
  <c r="P50"/>
  <c r="Q50"/>
  <c r="N51"/>
  <c r="O51"/>
  <c r="P51"/>
  <c r="Q51"/>
  <c r="N6" i="15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37"/>
  <c r="O37"/>
  <c r="P37"/>
  <c r="Q37"/>
  <c r="N38"/>
  <c r="O38"/>
  <c r="P38"/>
  <c r="Q38"/>
  <c r="N39"/>
  <c r="O39"/>
  <c r="P39"/>
  <c r="Q39"/>
  <c r="N40"/>
  <c r="O40"/>
  <c r="P40"/>
  <c r="Q40"/>
  <c r="N41"/>
  <c r="O41"/>
  <c r="P41"/>
  <c r="Q41"/>
  <c r="N42"/>
  <c r="O42"/>
  <c r="P42"/>
  <c r="Q42"/>
  <c r="N43"/>
  <c r="O43"/>
  <c r="P43"/>
  <c r="Q43"/>
  <c r="N44"/>
  <c r="O44"/>
  <c r="P44"/>
  <c r="Q44"/>
  <c r="N45"/>
  <c r="O45"/>
  <c r="P45"/>
  <c r="Q45"/>
  <c r="N46"/>
  <c r="O46"/>
  <c r="P46"/>
  <c r="Q46"/>
  <c r="N47"/>
  <c r="O47"/>
  <c r="P47"/>
  <c r="Q47"/>
  <c r="N48"/>
  <c r="O48"/>
  <c r="P48"/>
  <c r="Q48"/>
  <c r="N49"/>
  <c r="O49"/>
  <c r="P49"/>
  <c r="Q49"/>
  <c r="N50"/>
  <c r="O50"/>
  <c r="P50"/>
  <c r="Q50"/>
  <c r="N51"/>
  <c r="O51"/>
  <c r="P51"/>
  <c r="Q51"/>
  <c r="N52"/>
  <c r="O52"/>
  <c r="P52"/>
  <c r="Q52"/>
  <c r="N53"/>
  <c r="O53"/>
  <c r="P53"/>
  <c r="Q53"/>
  <c r="N54"/>
  <c r="O54"/>
  <c r="P54"/>
  <c r="Q54"/>
  <c r="N55"/>
  <c r="O55"/>
  <c r="P55"/>
  <c r="Q55"/>
  <c r="N56"/>
  <c r="O56"/>
  <c r="P56"/>
  <c r="Q56"/>
  <c r="N57"/>
  <c r="O57"/>
  <c r="P57"/>
  <c r="Q57"/>
  <c r="N6" i="16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37"/>
  <c r="O37"/>
  <c r="P37"/>
  <c r="Q37"/>
  <c r="N38"/>
  <c r="O38"/>
  <c r="P38"/>
  <c r="Q38"/>
  <c r="N39"/>
  <c r="O39"/>
  <c r="P39"/>
  <c r="Q39"/>
  <c r="N40"/>
  <c r="O40"/>
  <c r="P40"/>
  <c r="Q40"/>
  <c r="N41"/>
  <c r="O41"/>
  <c r="P41"/>
  <c r="Q41"/>
  <c r="N42"/>
  <c r="O42"/>
  <c r="P42"/>
  <c r="Q42"/>
  <c r="N43"/>
  <c r="O43"/>
  <c r="P43"/>
  <c r="Q43"/>
  <c r="N44"/>
  <c r="O44"/>
  <c r="P44"/>
  <c r="Q44"/>
  <c r="N45"/>
  <c r="O45"/>
  <c r="P45"/>
  <c r="Q45"/>
  <c r="N46"/>
  <c r="O46"/>
  <c r="P46"/>
  <c r="Q46"/>
  <c r="N47"/>
  <c r="O47"/>
  <c r="P47"/>
  <c r="Q47"/>
  <c r="N48"/>
  <c r="O48"/>
  <c r="P48"/>
  <c r="Q48"/>
  <c r="N49"/>
  <c r="O49"/>
  <c r="P49"/>
  <c r="Q49"/>
  <c r="N50"/>
  <c r="O50"/>
  <c r="P50"/>
  <c r="Q50"/>
  <c r="N51"/>
  <c r="O51"/>
  <c r="P51"/>
  <c r="Q51"/>
  <c r="N52"/>
  <c r="O52"/>
  <c r="P52"/>
  <c r="Q52"/>
  <c r="Q50" i="6"/>
  <c r="N6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37"/>
  <c r="O37"/>
  <c r="P37"/>
  <c r="Q37"/>
  <c r="N38"/>
  <c r="O38"/>
  <c r="P38"/>
  <c r="Q38"/>
  <c r="N39"/>
  <c r="O39"/>
  <c r="P39"/>
  <c r="Q39"/>
  <c r="N40"/>
  <c r="O40"/>
  <c r="P40"/>
  <c r="Q40"/>
  <c r="N41"/>
  <c r="O41"/>
  <c r="P41"/>
  <c r="Q41"/>
  <c r="N42"/>
  <c r="O42"/>
  <c r="P42"/>
  <c r="Q42"/>
  <c r="N43"/>
  <c r="O43"/>
  <c r="P43"/>
  <c r="Q43"/>
  <c r="N44"/>
  <c r="O44"/>
  <c r="P44"/>
  <c r="Q44"/>
  <c r="N45"/>
  <c r="O45"/>
  <c r="P45"/>
  <c r="Q45"/>
  <c r="N46"/>
  <c r="O46"/>
  <c r="P46"/>
  <c r="Q46"/>
  <c r="N47"/>
  <c r="O47"/>
  <c r="P47"/>
  <c r="Q47"/>
  <c r="N48"/>
  <c r="O48"/>
  <c r="P48"/>
  <c r="Q48"/>
  <c r="N49"/>
  <c r="O49"/>
  <c r="P49"/>
  <c r="N50"/>
  <c r="O50"/>
  <c r="P50"/>
  <c r="N51"/>
  <c r="O51"/>
  <c r="P51"/>
  <c r="Q51"/>
  <c r="N52"/>
  <c r="O52"/>
  <c r="P52"/>
  <c r="Q52"/>
  <c r="N53"/>
  <c r="O53"/>
  <c r="P53"/>
  <c r="Q53"/>
  <c r="N6" i="7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37"/>
  <c r="O37"/>
  <c r="P37"/>
  <c r="Q37"/>
  <c r="N38"/>
  <c r="O38"/>
  <c r="P38"/>
  <c r="Q38"/>
  <c r="N39"/>
  <c r="O39"/>
  <c r="P39"/>
  <c r="Q39"/>
  <c r="N40"/>
  <c r="O40"/>
  <c r="P40"/>
  <c r="Q40"/>
  <c r="N41"/>
  <c r="O41"/>
  <c r="P41"/>
  <c r="Q41"/>
  <c r="N42"/>
  <c r="O42"/>
  <c r="P42"/>
  <c r="Q42"/>
  <c r="N43"/>
  <c r="O43"/>
  <c r="P43"/>
  <c r="Q43"/>
  <c r="N44"/>
  <c r="O44"/>
  <c r="P44"/>
  <c r="Q44"/>
  <c r="N45"/>
  <c r="O45"/>
  <c r="P45"/>
  <c r="Q45"/>
  <c r="N46"/>
  <c r="O46"/>
  <c r="P46"/>
  <c r="Q46"/>
  <c r="N47"/>
  <c r="O47"/>
  <c r="P47"/>
  <c r="Q47"/>
  <c r="N48"/>
  <c r="O48"/>
  <c r="P48"/>
  <c r="Q48"/>
  <c r="N49"/>
  <c r="O49"/>
  <c r="P49"/>
  <c r="Q49"/>
  <c r="N50"/>
  <c r="O50"/>
  <c r="P50"/>
  <c r="Q50"/>
  <c r="N51"/>
  <c r="O51"/>
  <c r="P51"/>
  <c r="Q51"/>
  <c r="N6" i="8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37"/>
  <c r="O37"/>
  <c r="P37"/>
  <c r="Q37"/>
  <c r="N38"/>
  <c r="O38"/>
  <c r="P38"/>
  <c r="Q38"/>
  <c r="N39"/>
  <c r="O39"/>
  <c r="P39"/>
  <c r="Q39"/>
  <c r="N40"/>
  <c r="O40"/>
  <c r="P40"/>
  <c r="Q40"/>
  <c r="N41"/>
  <c r="O41"/>
  <c r="P41"/>
  <c r="Q41"/>
  <c r="N42"/>
  <c r="O42"/>
  <c r="P42"/>
  <c r="Q42"/>
  <c r="N43"/>
  <c r="O43"/>
  <c r="P43"/>
  <c r="Q43"/>
  <c r="N44"/>
  <c r="O44"/>
  <c r="P44"/>
  <c r="Q44"/>
  <c r="O45"/>
  <c r="P45"/>
  <c r="Q45"/>
  <c r="N6" i="9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37"/>
  <c r="O37"/>
  <c r="P37"/>
  <c r="Q37"/>
  <c r="N38"/>
  <c r="O38"/>
  <c r="P38"/>
  <c r="Q38"/>
  <c r="N39"/>
  <c r="O39"/>
  <c r="P39"/>
  <c r="Q39"/>
  <c r="N40"/>
  <c r="O40"/>
  <c r="P40"/>
  <c r="Q40"/>
  <c r="N41"/>
  <c r="O41"/>
  <c r="P41"/>
  <c r="Q41"/>
  <c r="N42"/>
  <c r="O42"/>
  <c r="P42"/>
  <c r="Q42"/>
  <c r="N43"/>
  <c r="O43"/>
  <c r="P43"/>
  <c r="Q43"/>
  <c r="N44"/>
  <c r="O44"/>
  <c r="P44"/>
  <c r="Q44"/>
  <c r="N45"/>
  <c r="O45"/>
  <c r="P45"/>
  <c r="Q45"/>
  <c r="N46"/>
  <c r="O46"/>
  <c r="P46"/>
  <c r="Q46"/>
  <c r="N47"/>
  <c r="O47"/>
  <c r="P47"/>
  <c r="Q47"/>
  <c r="N6" i="94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6" i="93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37"/>
  <c r="O37"/>
  <c r="P37"/>
  <c r="Q37"/>
  <c r="N38"/>
  <c r="O38"/>
  <c r="P38"/>
  <c r="Q38"/>
  <c r="N39"/>
  <c r="O39"/>
  <c r="P39"/>
  <c r="Q39"/>
  <c r="N40"/>
  <c r="O40"/>
  <c r="P40"/>
  <c r="Q40"/>
  <c r="N41"/>
  <c r="O41"/>
  <c r="P41"/>
  <c r="Q41"/>
  <c r="N6" i="92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6" i="91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6" i="10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37"/>
  <c r="O37"/>
  <c r="P37"/>
  <c r="Q37"/>
  <c r="N38"/>
  <c r="O38"/>
  <c r="P38"/>
  <c r="Q38"/>
  <c r="N39"/>
  <c r="O39"/>
  <c r="P39"/>
  <c r="Q39"/>
  <c r="N40"/>
  <c r="O40"/>
  <c r="P40"/>
  <c r="Q40"/>
  <c r="N41"/>
  <c r="O41"/>
  <c r="P41"/>
  <c r="Q41"/>
  <c r="N42"/>
  <c r="O42"/>
  <c r="P42"/>
  <c r="Q42"/>
  <c r="N43"/>
  <c r="O43"/>
  <c r="P43"/>
  <c r="Q43"/>
  <c r="N44"/>
  <c r="O44"/>
  <c r="P44"/>
  <c r="Q44"/>
  <c r="N45"/>
  <c r="O45"/>
  <c r="P45"/>
  <c r="Q45"/>
  <c r="N46"/>
  <c r="O46"/>
  <c r="P46"/>
  <c r="Q46"/>
  <c r="N47"/>
  <c r="O47"/>
  <c r="P47"/>
  <c r="Q47"/>
  <c r="N48"/>
  <c r="O48"/>
  <c r="P48"/>
  <c r="Q48"/>
  <c r="N49"/>
  <c r="O49"/>
  <c r="P49"/>
  <c r="Q49"/>
  <c r="N50"/>
  <c r="O50"/>
  <c r="P50"/>
  <c r="Q50"/>
  <c r="N51"/>
  <c r="O51"/>
  <c r="P51"/>
  <c r="Q51"/>
  <c r="N52"/>
  <c r="O52"/>
  <c r="P52"/>
  <c r="Q52"/>
  <c r="N53"/>
  <c r="O53"/>
  <c r="P53"/>
  <c r="Q53"/>
  <c r="N54"/>
  <c r="O54"/>
  <c r="P54"/>
  <c r="Q54"/>
  <c r="N55"/>
  <c r="O55"/>
  <c r="P55"/>
  <c r="Q55"/>
  <c r="N56"/>
  <c r="O56"/>
  <c r="P56"/>
  <c r="Q56"/>
  <c r="N57"/>
  <c r="O57"/>
  <c r="P57"/>
  <c r="Q57"/>
  <c r="N58"/>
  <c r="O58"/>
  <c r="P58"/>
  <c r="Q58"/>
  <c r="N59"/>
  <c r="O59"/>
  <c r="P59"/>
  <c r="Q59"/>
  <c r="N60"/>
  <c r="O60"/>
  <c r="P60"/>
  <c r="Q60"/>
  <c r="N6" i="11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37"/>
  <c r="O37"/>
  <c r="P37"/>
  <c r="Q37"/>
  <c r="N38"/>
  <c r="O38"/>
  <c r="P38"/>
  <c r="Q38"/>
  <c r="N39"/>
  <c r="O39"/>
  <c r="P39"/>
  <c r="Q39"/>
  <c r="N40"/>
  <c r="O40"/>
  <c r="P40"/>
  <c r="Q40"/>
  <c r="N41"/>
  <c r="O41"/>
  <c r="P41"/>
  <c r="Q41"/>
  <c r="N42"/>
  <c r="O42"/>
  <c r="P42"/>
  <c r="Q42"/>
  <c r="N43"/>
  <c r="O43"/>
  <c r="P43"/>
  <c r="Q43"/>
  <c r="N44"/>
  <c r="O44"/>
  <c r="P44"/>
  <c r="Q44"/>
  <c r="N45"/>
  <c r="O45"/>
  <c r="P45"/>
  <c r="Q45"/>
  <c r="N46"/>
  <c r="O46"/>
  <c r="P46"/>
  <c r="Q46"/>
  <c r="N47"/>
  <c r="O47"/>
  <c r="P47"/>
  <c r="Q47"/>
  <c r="N48"/>
  <c r="O48"/>
  <c r="P48"/>
  <c r="Q48"/>
  <c r="N49"/>
  <c r="O49"/>
  <c r="P49"/>
  <c r="Q49"/>
  <c r="N50"/>
  <c r="O50"/>
  <c r="P50"/>
  <c r="Q50"/>
  <c r="N51"/>
  <c r="O51"/>
  <c r="P51"/>
  <c r="Q51"/>
  <c r="N52"/>
  <c r="O52"/>
  <c r="P52"/>
  <c r="Q52"/>
  <c r="N53"/>
  <c r="O53"/>
  <c r="P53"/>
  <c r="Q53"/>
  <c r="N54"/>
  <c r="O54"/>
  <c r="P54"/>
  <c r="Q54"/>
  <c r="N55"/>
  <c r="O55"/>
  <c r="P55"/>
  <c r="Q55"/>
  <c r="N56"/>
  <c r="O56"/>
  <c r="P56"/>
  <c r="Q56"/>
  <c r="N6" i="12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37"/>
  <c r="O37"/>
  <c r="P37"/>
  <c r="Q37"/>
  <c r="N38"/>
  <c r="O38"/>
  <c r="P38"/>
  <c r="Q38"/>
  <c r="N39"/>
  <c r="O39"/>
  <c r="P39"/>
  <c r="Q39"/>
  <c r="N40"/>
  <c r="O40"/>
  <c r="P40"/>
  <c r="Q40"/>
  <c r="N41"/>
  <c r="O41"/>
  <c r="P41"/>
  <c r="Q41"/>
  <c r="N42"/>
  <c r="O42"/>
  <c r="P42"/>
  <c r="Q42"/>
  <c r="N43"/>
  <c r="O43"/>
  <c r="P43"/>
  <c r="Q43"/>
  <c r="N44"/>
  <c r="O44"/>
  <c r="P44"/>
  <c r="Q44"/>
  <c r="N45"/>
  <c r="O45"/>
  <c r="P45"/>
  <c r="Q45"/>
  <c r="N46"/>
  <c r="O46"/>
  <c r="P46"/>
  <c r="Q46"/>
  <c r="N47"/>
  <c r="O47"/>
  <c r="P47"/>
  <c r="Q47"/>
  <c r="N48"/>
  <c r="O48"/>
  <c r="P48"/>
  <c r="Q48"/>
  <c r="N49"/>
  <c r="O49"/>
  <c r="P49"/>
  <c r="Q49"/>
  <c r="N50"/>
  <c r="O50"/>
  <c r="P50"/>
  <c r="Q50"/>
  <c r="N51"/>
  <c r="O51"/>
  <c r="P51"/>
  <c r="Q51"/>
  <c r="N52"/>
  <c r="O52"/>
  <c r="P52"/>
  <c r="Q52"/>
  <c r="N53"/>
  <c r="O53"/>
  <c r="P53"/>
  <c r="Q53"/>
  <c r="N54"/>
  <c r="O54"/>
  <c r="P54"/>
  <c r="Q54"/>
  <c r="N6" i="13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37"/>
  <c r="O37"/>
  <c r="P37"/>
  <c r="Q37"/>
  <c r="N38"/>
  <c r="O38"/>
  <c r="P38"/>
  <c r="Q38"/>
  <c r="N39"/>
  <c r="O39"/>
  <c r="P39"/>
  <c r="Q39"/>
  <c r="N40"/>
  <c r="O40"/>
  <c r="P40"/>
  <c r="Q40"/>
  <c r="N41"/>
  <c r="O41"/>
  <c r="P41"/>
  <c r="Q41"/>
  <c r="N42"/>
  <c r="O42"/>
  <c r="P42"/>
  <c r="Q42"/>
  <c r="N43"/>
  <c r="O43"/>
  <c r="P43"/>
  <c r="Q43"/>
  <c r="N44"/>
  <c r="O44"/>
  <c r="P44"/>
  <c r="Q44"/>
  <c r="N45"/>
  <c r="O45"/>
  <c r="P45"/>
  <c r="Q45"/>
  <c r="N46"/>
  <c r="O46"/>
  <c r="P46"/>
  <c r="Q46"/>
  <c r="N47"/>
  <c r="O47"/>
  <c r="P47"/>
  <c r="Q47"/>
  <c r="N48"/>
  <c r="O48"/>
  <c r="P48"/>
  <c r="Q48"/>
  <c r="N49"/>
  <c r="O49"/>
  <c r="P49"/>
  <c r="Q49"/>
  <c r="N50"/>
  <c r="O50"/>
  <c r="P50"/>
  <c r="Q50"/>
  <c r="N51"/>
  <c r="O51"/>
  <c r="P51"/>
  <c r="Q51"/>
  <c r="N52"/>
  <c r="O52"/>
  <c r="P52"/>
  <c r="Q52"/>
  <c r="N53"/>
  <c r="O53"/>
  <c r="P53"/>
  <c r="Q53"/>
  <c r="N54"/>
  <c r="O54"/>
  <c r="P54"/>
  <c r="Q54"/>
  <c r="N55"/>
  <c r="O55"/>
  <c r="P55"/>
  <c r="Q55"/>
  <c r="N56"/>
  <c r="O56"/>
  <c r="P56"/>
  <c r="Q56"/>
  <c r="N57"/>
  <c r="O57"/>
  <c r="P57"/>
  <c r="Q57"/>
  <c r="N58"/>
  <c r="O58"/>
  <c r="P58"/>
  <c r="Q58"/>
  <c r="N59"/>
  <c r="O59"/>
  <c r="P59"/>
  <c r="Q59"/>
  <c r="N60"/>
  <c r="O60"/>
  <c r="P60"/>
  <c r="Q60"/>
  <c r="N6" i="90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37"/>
  <c r="O37"/>
  <c r="P37"/>
  <c r="Q37"/>
  <c r="N38"/>
  <c r="O38"/>
  <c r="P38"/>
  <c r="Q38"/>
  <c r="N39"/>
  <c r="O39"/>
  <c r="P39"/>
  <c r="Q39"/>
  <c r="N40"/>
  <c r="O40"/>
  <c r="P40"/>
  <c r="Q40"/>
  <c r="N41"/>
  <c r="O41"/>
  <c r="P41"/>
  <c r="Q41"/>
  <c r="N42"/>
  <c r="O42"/>
  <c r="P42"/>
  <c r="Q42"/>
  <c r="N43"/>
  <c r="O43"/>
  <c r="P43"/>
  <c r="Q43"/>
  <c r="N44"/>
  <c r="O44"/>
  <c r="P44"/>
  <c r="Q44"/>
  <c r="N45"/>
  <c r="O45"/>
  <c r="P45"/>
  <c r="Q45"/>
  <c r="N46"/>
  <c r="O46"/>
  <c r="P46"/>
  <c r="Q46"/>
  <c r="N47"/>
  <c r="O47"/>
  <c r="P47"/>
  <c r="Q47"/>
  <c r="N48"/>
  <c r="O48"/>
  <c r="P48"/>
  <c r="Q48"/>
  <c r="N49"/>
  <c r="O49"/>
  <c r="P49"/>
  <c r="Q49"/>
  <c r="N50"/>
  <c r="O50"/>
  <c r="P50"/>
  <c r="Q50"/>
  <c r="N51"/>
  <c r="O51"/>
  <c r="P51"/>
  <c r="Q51"/>
  <c r="N52"/>
  <c r="O52"/>
  <c r="P52"/>
  <c r="Q52"/>
  <c r="N53"/>
  <c r="O53"/>
  <c r="P53"/>
  <c r="Q53"/>
  <c r="N54"/>
  <c r="O54"/>
  <c r="P54"/>
  <c r="Q54"/>
  <c r="N55"/>
  <c r="O55"/>
  <c r="P55"/>
  <c r="Q55"/>
  <c r="N56"/>
  <c r="O56"/>
  <c r="P56"/>
  <c r="Q56"/>
  <c r="N57"/>
  <c r="O57"/>
  <c r="P57"/>
  <c r="Q57"/>
  <c r="N58"/>
  <c r="O58"/>
  <c r="P58"/>
  <c r="Q58"/>
  <c r="N59"/>
  <c r="O59"/>
  <c r="P59"/>
  <c r="Q59"/>
  <c r="N6" i="14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37"/>
  <c r="O37"/>
  <c r="P37"/>
  <c r="Q37"/>
  <c r="N38"/>
  <c r="O38"/>
  <c r="P38"/>
  <c r="Q38"/>
  <c r="N39"/>
  <c r="O39"/>
  <c r="P39"/>
  <c r="Q39"/>
  <c r="N40"/>
  <c r="O40"/>
  <c r="P40"/>
  <c r="Q40"/>
  <c r="N41"/>
  <c r="O41"/>
  <c r="P41"/>
  <c r="Q41"/>
  <c r="N42"/>
  <c r="O42"/>
  <c r="P42"/>
  <c r="Q42"/>
  <c r="N43"/>
  <c r="O43"/>
  <c r="P43"/>
  <c r="Q43"/>
  <c r="N44"/>
  <c r="O44"/>
  <c r="P44"/>
  <c r="Q44"/>
  <c r="N45"/>
  <c r="O45"/>
  <c r="P45"/>
  <c r="Q45"/>
  <c r="N46"/>
  <c r="O46"/>
  <c r="P46"/>
  <c r="Q46"/>
  <c r="N47"/>
  <c r="O47"/>
  <c r="P47"/>
  <c r="Q47"/>
  <c r="N48"/>
  <c r="O48"/>
  <c r="P48"/>
  <c r="Q48"/>
  <c r="N49"/>
  <c r="O49"/>
  <c r="P49"/>
  <c r="Q49"/>
  <c r="N50"/>
  <c r="O50"/>
  <c r="P50"/>
  <c r="Q50"/>
  <c r="N51"/>
  <c r="O51"/>
  <c r="P51"/>
  <c r="Q51"/>
  <c r="N52"/>
  <c r="O52"/>
  <c r="P52"/>
  <c r="Q52"/>
  <c r="N53"/>
  <c r="O53"/>
  <c r="P53"/>
  <c r="Q53"/>
  <c r="N54"/>
  <c r="O54"/>
  <c r="P54"/>
  <c r="Q54"/>
  <c r="N55"/>
  <c r="O55"/>
  <c r="P55"/>
  <c r="Q55"/>
  <c r="N56"/>
  <c r="O56"/>
  <c r="P56"/>
  <c r="Q56"/>
  <c r="N6" i="77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6" i="76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Q5" i="100"/>
  <c r="P5"/>
  <c r="O5"/>
  <c r="N5"/>
  <c r="Q5" i="99"/>
  <c r="P5"/>
  <c r="O5"/>
  <c r="N5"/>
  <c r="Q5" i="98"/>
  <c r="P5"/>
  <c r="O5"/>
  <c r="N5"/>
  <c r="Q5" i="97"/>
  <c r="P5"/>
  <c r="O5"/>
  <c r="N5"/>
  <c r="Q5" i="60"/>
  <c r="P5"/>
  <c r="O5"/>
  <c r="N5"/>
  <c r="Q5" i="61"/>
  <c r="P5"/>
  <c r="O5"/>
  <c r="N5"/>
  <c r="Q5" i="62"/>
  <c r="P5"/>
  <c r="O5"/>
  <c r="N5"/>
  <c r="Q5" i="63"/>
  <c r="P5"/>
  <c r="O5"/>
  <c r="N5"/>
  <c r="Q5" i="65"/>
  <c r="P5"/>
  <c r="O5"/>
  <c r="N5"/>
  <c r="Q5" i="66"/>
  <c r="P5"/>
  <c r="O5"/>
  <c r="N5"/>
  <c r="Q5" i="68"/>
  <c r="P5"/>
  <c r="O5"/>
  <c r="N5"/>
  <c r="Q5" i="69"/>
  <c r="P5"/>
  <c r="O5"/>
  <c r="N5"/>
  <c r="Q5" i="70"/>
  <c r="P5"/>
  <c r="O5"/>
  <c r="N5"/>
  <c r="Q5" i="78"/>
  <c r="P5"/>
  <c r="O5"/>
  <c r="N5"/>
  <c r="Q5" i="71"/>
  <c r="P5"/>
  <c r="O5"/>
  <c r="N5"/>
  <c r="Q5" i="89"/>
  <c r="P5"/>
  <c r="O5"/>
  <c r="N5"/>
  <c r="Q5" i="88"/>
  <c r="P5"/>
  <c r="O5"/>
  <c r="N5"/>
  <c r="Q5" i="72"/>
  <c r="P5"/>
  <c r="O5"/>
  <c r="N5"/>
  <c r="Q5" i="73"/>
  <c r="P5"/>
  <c r="O5"/>
  <c r="N5"/>
  <c r="Q5" i="102"/>
  <c r="P5"/>
  <c r="O5"/>
  <c r="N5"/>
  <c r="Q5" i="32"/>
  <c r="P5"/>
  <c r="O5"/>
  <c r="N5"/>
  <c r="Q5" i="33"/>
  <c r="P5"/>
  <c r="O5"/>
  <c r="N5"/>
  <c r="Q5" i="34"/>
  <c r="P5"/>
  <c r="O5"/>
  <c r="N5"/>
  <c r="Q5" i="35"/>
  <c r="P5"/>
  <c r="O5"/>
  <c r="N5"/>
  <c r="Q5" i="96"/>
  <c r="P5"/>
  <c r="O5"/>
  <c r="N5"/>
  <c r="Q5" i="37"/>
  <c r="P5"/>
  <c r="O5"/>
  <c r="N5"/>
  <c r="Q5" i="38"/>
  <c r="P5"/>
  <c r="O5"/>
  <c r="N5"/>
  <c r="Q5" i="95"/>
  <c r="P5"/>
  <c r="O5"/>
  <c r="N5"/>
  <c r="Q5" i="39"/>
  <c r="P5"/>
  <c r="O5"/>
  <c r="N5"/>
  <c r="Q5" i="40"/>
  <c r="P5"/>
  <c r="O5"/>
  <c r="N5"/>
  <c r="Q5" i="41"/>
  <c r="P5"/>
  <c r="O5"/>
  <c r="N5"/>
  <c r="Q5" i="42"/>
  <c r="P5"/>
  <c r="O5"/>
  <c r="N5"/>
  <c r="Q5" i="43"/>
  <c r="P5"/>
  <c r="O5"/>
  <c r="N5"/>
  <c r="Q5" i="44"/>
  <c r="P5"/>
  <c r="O5"/>
  <c r="N5"/>
  <c r="Q5" i="45"/>
  <c r="P5"/>
  <c r="O5"/>
  <c r="N5"/>
  <c r="Q5" i="46"/>
  <c r="P5"/>
  <c r="O5"/>
  <c r="N5"/>
  <c r="Q5" i="47"/>
  <c r="P5"/>
  <c r="O5"/>
  <c r="N5"/>
  <c r="Q5" i="85"/>
  <c r="P5"/>
  <c r="O5"/>
  <c r="N5"/>
  <c r="Q5" i="87"/>
  <c r="P5"/>
  <c r="O5"/>
  <c r="N5"/>
  <c r="Q5" i="86"/>
  <c r="P5"/>
  <c r="O5"/>
  <c r="N5"/>
  <c r="Q5" i="84"/>
  <c r="P5"/>
  <c r="O5"/>
  <c r="N5"/>
  <c r="Q5" i="49"/>
  <c r="P5"/>
  <c r="O5"/>
  <c r="N5"/>
  <c r="Q5" i="50"/>
  <c r="P5"/>
  <c r="O5"/>
  <c r="N5"/>
  <c r="Q5" i="51"/>
  <c r="P5"/>
  <c r="O5"/>
  <c r="N5"/>
  <c r="Q5" i="52"/>
  <c r="P5"/>
  <c r="O5"/>
  <c r="N5"/>
  <c r="Q5" i="28"/>
  <c r="P5"/>
  <c r="O5"/>
  <c r="N5"/>
  <c r="Q5" i="29"/>
  <c r="P5"/>
  <c r="O5"/>
  <c r="N5"/>
  <c r="Q5" i="30"/>
  <c r="P5"/>
  <c r="O5"/>
  <c r="N5"/>
  <c r="Q5" i="31"/>
  <c r="P5"/>
  <c r="O5"/>
  <c r="N5"/>
  <c r="Q5" i="83"/>
  <c r="P5"/>
  <c r="O5"/>
  <c r="N5"/>
  <c r="Q5" i="81"/>
  <c r="P5"/>
  <c r="O5"/>
  <c r="N5"/>
  <c r="Q5" i="82"/>
  <c r="P5"/>
  <c r="O5"/>
  <c r="N5"/>
  <c r="Q5" i="80"/>
  <c r="P5"/>
  <c r="O5"/>
  <c r="N5"/>
  <c r="Q5" i="79"/>
  <c r="P5"/>
  <c r="O5"/>
  <c r="N5"/>
  <c r="Q5" i="18"/>
  <c r="P5"/>
  <c r="O5"/>
  <c r="N5"/>
  <c r="Q5" i="19"/>
  <c r="P5"/>
  <c r="O5"/>
  <c r="N5"/>
  <c r="Q5" i="21"/>
  <c r="P5"/>
  <c r="O5"/>
  <c r="N5"/>
  <c r="Q5" i="75"/>
  <c r="P5"/>
  <c r="O5"/>
  <c r="N5"/>
  <c r="Q5" i="22"/>
  <c r="P5"/>
  <c r="O5"/>
  <c r="N5"/>
  <c r="Q5" i="23"/>
  <c r="P5"/>
  <c r="O5"/>
  <c r="N5"/>
  <c r="Q5" i="24"/>
  <c r="P5"/>
  <c r="O5"/>
  <c r="N5"/>
  <c r="Q5" i="25"/>
  <c r="P5"/>
  <c r="P55" s="1"/>
  <c r="O5"/>
  <c r="O55" s="1"/>
  <c r="N5"/>
  <c r="N55" s="1"/>
  <c r="Q5" i="26"/>
  <c r="P5"/>
  <c r="O5"/>
  <c r="O58" s="1"/>
  <c r="N5"/>
  <c r="Q5" i="27"/>
  <c r="P5"/>
  <c r="O5"/>
  <c r="N5"/>
  <c r="Q5" i="5"/>
  <c r="P5"/>
  <c r="O5"/>
  <c r="N5"/>
  <c r="Q5" i="15"/>
  <c r="P5"/>
  <c r="O5"/>
  <c r="N5"/>
  <c r="Q5" i="16"/>
  <c r="P5"/>
  <c r="O5"/>
  <c r="N5"/>
  <c r="Q5" i="6"/>
  <c r="P5"/>
  <c r="O5"/>
  <c r="N5"/>
  <c r="Q5" i="7"/>
  <c r="P5"/>
  <c r="O5"/>
  <c r="N5"/>
  <c r="Q5" i="8"/>
  <c r="P5"/>
  <c r="O5"/>
  <c r="N5"/>
  <c r="Q5" i="9"/>
  <c r="P5"/>
  <c r="O5"/>
  <c r="N5"/>
  <c r="Q5" i="94"/>
  <c r="P5"/>
  <c r="O5"/>
  <c r="N5"/>
  <c r="Q5" i="93"/>
  <c r="P5"/>
  <c r="O5"/>
  <c r="N5"/>
  <c r="Q5" i="92"/>
  <c r="P5"/>
  <c r="O5"/>
  <c r="N5"/>
  <c r="Q5" i="91"/>
  <c r="P5"/>
  <c r="O5"/>
  <c r="N5"/>
  <c r="Q5" i="10"/>
  <c r="P5"/>
  <c r="O5"/>
  <c r="N5"/>
  <c r="Q5" i="11"/>
  <c r="P5"/>
  <c r="O5"/>
  <c r="N5"/>
  <c r="Q5" i="12"/>
  <c r="P5"/>
  <c r="O5"/>
  <c r="N5"/>
  <c r="Q5" i="13"/>
  <c r="P5"/>
  <c r="O5"/>
  <c r="N5"/>
  <c r="Q5" i="90"/>
  <c r="P5"/>
  <c r="O5"/>
  <c r="N5"/>
  <c r="Q5" i="14"/>
  <c r="P5"/>
  <c r="O5"/>
  <c r="N5"/>
  <c r="Q5" i="77"/>
  <c r="P5"/>
  <c r="O5"/>
  <c r="N5"/>
  <c r="Q5" i="76"/>
  <c r="P5"/>
  <c r="O5"/>
  <c r="N5"/>
  <c r="N6" i="4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37"/>
  <c r="O37"/>
  <c r="P37"/>
  <c r="Q37"/>
  <c r="N38"/>
  <c r="O38"/>
  <c r="P38"/>
  <c r="Q38"/>
  <c r="N39"/>
  <c r="O39"/>
  <c r="P39"/>
  <c r="Q39"/>
  <c r="N40"/>
  <c r="O40"/>
  <c r="P40"/>
  <c r="Q40"/>
  <c r="N41"/>
  <c r="O41"/>
  <c r="P41"/>
  <c r="Q41"/>
  <c r="N42"/>
  <c r="O42"/>
  <c r="P42"/>
  <c r="Q42"/>
  <c r="N43"/>
  <c r="O43"/>
  <c r="P43"/>
  <c r="Q43"/>
  <c r="N44"/>
  <c r="O44"/>
  <c r="P44"/>
  <c r="Q44"/>
  <c r="N45"/>
  <c r="O45"/>
  <c r="P45"/>
  <c r="Q45"/>
  <c r="N46"/>
  <c r="O46"/>
  <c r="P46"/>
  <c r="Q46"/>
  <c r="N47"/>
  <c r="O47"/>
  <c r="P47"/>
  <c r="Q47"/>
  <c r="N48"/>
  <c r="O48"/>
  <c r="P48"/>
  <c r="Q48"/>
  <c r="N49"/>
  <c r="O49"/>
  <c r="P49"/>
  <c r="Q49"/>
  <c r="N50"/>
  <c r="O50"/>
  <c r="P50"/>
  <c r="Q50"/>
  <c r="N51"/>
  <c r="O51"/>
  <c r="P51"/>
  <c r="Q51"/>
  <c r="N52"/>
  <c r="O52"/>
  <c r="P52"/>
  <c r="Q52"/>
  <c r="N53"/>
  <c r="O53"/>
  <c r="P53"/>
  <c r="Q53"/>
  <c r="N54"/>
  <c r="O54"/>
  <c r="P54"/>
  <c r="Q54"/>
  <c r="N55"/>
  <c r="O55"/>
  <c r="P55"/>
  <c r="Q55"/>
  <c r="N56"/>
  <c r="O56"/>
  <c r="P56"/>
  <c r="Q56"/>
  <c r="N57"/>
  <c r="O57"/>
  <c r="P57"/>
  <c r="Q57"/>
  <c r="Q5"/>
  <c r="P5"/>
  <c r="O5"/>
  <c r="N5"/>
  <c r="N6" i="3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37"/>
  <c r="O37"/>
  <c r="P37"/>
  <c r="Q37"/>
  <c r="N38"/>
  <c r="O38"/>
  <c r="P38"/>
  <c r="Q38"/>
  <c r="N39"/>
  <c r="O39"/>
  <c r="P39"/>
  <c r="N40"/>
  <c r="O40"/>
  <c r="P40"/>
  <c r="Q40"/>
  <c r="N41"/>
  <c r="O41"/>
  <c r="P41"/>
  <c r="Q41"/>
  <c r="N42"/>
  <c r="O42"/>
  <c r="P42"/>
  <c r="Q42"/>
  <c r="N43"/>
  <c r="O43"/>
  <c r="P43"/>
  <c r="Q43"/>
  <c r="N44"/>
  <c r="O44"/>
  <c r="P44"/>
  <c r="Q44"/>
  <c r="N45"/>
  <c r="O45"/>
  <c r="P45"/>
  <c r="Q45"/>
  <c r="N46"/>
  <c r="O46"/>
  <c r="P46"/>
  <c r="Q46"/>
  <c r="N47"/>
  <c r="O47"/>
  <c r="P47"/>
  <c r="Q47"/>
  <c r="N48"/>
  <c r="O48"/>
  <c r="P48"/>
  <c r="Q48"/>
  <c r="N49"/>
  <c r="O49"/>
  <c r="P49"/>
  <c r="Q49"/>
  <c r="N50"/>
  <c r="O50"/>
  <c r="P50"/>
  <c r="Q50"/>
  <c r="N51"/>
  <c r="O51"/>
  <c r="P51"/>
  <c r="Q51"/>
  <c r="N52"/>
  <c r="O52"/>
  <c r="P52"/>
  <c r="Q52"/>
  <c r="N53"/>
  <c r="O53"/>
  <c r="P53"/>
  <c r="Q53"/>
  <c r="N54"/>
  <c r="O54"/>
  <c r="P54"/>
  <c r="Q54"/>
  <c r="N55"/>
  <c r="O55"/>
  <c r="P55"/>
  <c r="Q55"/>
  <c r="N56"/>
  <c r="O56"/>
  <c r="P56"/>
  <c r="Q56"/>
  <c r="N57"/>
  <c r="O57"/>
  <c r="P57"/>
  <c r="Q57"/>
  <c r="Q5"/>
  <c r="P5"/>
  <c r="O5"/>
  <c r="N5"/>
  <c r="N6" i="1"/>
  <c r="O6"/>
  <c r="P6"/>
  <c r="Q6"/>
  <c r="N7"/>
  <c r="O7"/>
  <c r="P7"/>
  <c r="Q7"/>
  <c r="N8"/>
  <c r="O8"/>
  <c r="P8"/>
  <c r="Q8"/>
  <c r="N9"/>
  <c r="O9"/>
  <c r="P9"/>
  <c r="Q9"/>
  <c r="N10"/>
  <c r="O10"/>
  <c r="P10"/>
  <c r="Q10"/>
  <c r="N11"/>
  <c r="O11"/>
  <c r="P11"/>
  <c r="Q11"/>
  <c r="N12"/>
  <c r="O12"/>
  <c r="P12"/>
  <c r="Q12"/>
  <c r="N13"/>
  <c r="O13"/>
  <c r="P13"/>
  <c r="Q13"/>
  <c r="N14"/>
  <c r="O14"/>
  <c r="P14"/>
  <c r="Q14"/>
  <c r="N15"/>
  <c r="O15"/>
  <c r="P15"/>
  <c r="Q15"/>
  <c r="N16"/>
  <c r="O16"/>
  <c r="P16"/>
  <c r="Q16"/>
  <c r="N17"/>
  <c r="O17"/>
  <c r="P17"/>
  <c r="Q17"/>
  <c r="N18"/>
  <c r="O18"/>
  <c r="P18"/>
  <c r="Q18"/>
  <c r="N19"/>
  <c r="O19"/>
  <c r="P19"/>
  <c r="Q19"/>
  <c r="N20"/>
  <c r="O20"/>
  <c r="P20"/>
  <c r="Q20"/>
  <c r="N21"/>
  <c r="O21"/>
  <c r="P21"/>
  <c r="Q21"/>
  <c r="N22"/>
  <c r="O22"/>
  <c r="P22"/>
  <c r="Q22"/>
  <c r="N23"/>
  <c r="O23"/>
  <c r="P23"/>
  <c r="Q23"/>
  <c r="N24"/>
  <c r="O24"/>
  <c r="P24"/>
  <c r="Q24"/>
  <c r="N25"/>
  <c r="O25"/>
  <c r="P25"/>
  <c r="Q25"/>
  <c r="N26"/>
  <c r="O26"/>
  <c r="P26"/>
  <c r="Q26"/>
  <c r="N27"/>
  <c r="O27"/>
  <c r="P27"/>
  <c r="Q27"/>
  <c r="N28"/>
  <c r="O28"/>
  <c r="P28"/>
  <c r="Q28"/>
  <c r="N29"/>
  <c r="O29"/>
  <c r="P29"/>
  <c r="Q29"/>
  <c r="N30"/>
  <c r="O30"/>
  <c r="P30"/>
  <c r="Q30"/>
  <c r="N31"/>
  <c r="O31"/>
  <c r="P31"/>
  <c r="Q31"/>
  <c r="N32"/>
  <c r="O32"/>
  <c r="P32"/>
  <c r="Q32"/>
  <c r="N33"/>
  <c r="O33"/>
  <c r="P33"/>
  <c r="Q33"/>
  <c r="N34"/>
  <c r="O34"/>
  <c r="P34"/>
  <c r="Q34"/>
  <c r="N35"/>
  <c r="O35"/>
  <c r="P35"/>
  <c r="Q35"/>
  <c r="N36"/>
  <c r="O36"/>
  <c r="P36"/>
  <c r="Q36"/>
  <c r="N37"/>
  <c r="O37"/>
  <c r="P37"/>
  <c r="Q37"/>
  <c r="N38"/>
  <c r="O38"/>
  <c r="P38"/>
  <c r="Q38"/>
  <c r="N39"/>
  <c r="O39"/>
  <c r="P39"/>
  <c r="Q39"/>
  <c r="N40"/>
  <c r="O40"/>
  <c r="P40"/>
  <c r="Q40"/>
  <c r="N41"/>
  <c r="O41"/>
  <c r="P41"/>
  <c r="Q41"/>
  <c r="N42"/>
  <c r="O42"/>
  <c r="P42"/>
  <c r="Q42"/>
  <c r="N43"/>
  <c r="O43"/>
  <c r="P43"/>
  <c r="Q43"/>
  <c r="N44"/>
  <c r="O44"/>
  <c r="P44"/>
  <c r="Q44"/>
  <c r="N45"/>
  <c r="O45"/>
  <c r="P45"/>
  <c r="Q45"/>
  <c r="N46"/>
  <c r="O46"/>
  <c r="P46"/>
  <c r="Q46"/>
  <c r="N47"/>
  <c r="O47"/>
  <c r="P47"/>
  <c r="Q47"/>
  <c r="N48"/>
  <c r="O48"/>
  <c r="P48"/>
  <c r="Q48"/>
  <c r="N49"/>
  <c r="O49"/>
  <c r="P49"/>
  <c r="Q49"/>
  <c r="N50"/>
  <c r="O50"/>
  <c r="P50"/>
  <c r="Q50"/>
  <c r="N51"/>
  <c r="O51"/>
  <c r="P51"/>
  <c r="Q51"/>
  <c r="N52"/>
  <c r="O52"/>
  <c r="P52"/>
  <c r="Q52"/>
  <c r="N53"/>
  <c r="O53"/>
  <c r="P53"/>
  <c r="Q53"/>
  <c r="N54"/>
  <c r="O54"/>
  <c r="P54"/>
  <c r="Q54"/>
  <c r="N55"/>
  <c r="O55"/>
  <c r="P55"/>
  <c r="Q55"/>
  <c r="N56"/>
  <c r="O56"/>
  <c r="P56"/>
  <c r="Q56"/>
  <c r="O57"/>
  <c r="P57"/>
  <c r="Q57"/>
  <c r="Q5"/>
  <c r="P5"/>
  <c r="N5"/>
  <c r="P58" i="26" l="1"/>
  <c r="N58"/>
  <c r="Q55" i="25"/>
  <c r="Q58" i="26"/>
  <c r="M51" i="101" l="1"/>
  <c r="AB47" s="1"/>
  <c r="L51"/>
  <c r="AA47" s="1"/>
  <c r="K51"/>
  <c r="J51"/>
  <c r="Y45" s="1"/>
  <c r="I51"/>
  <c r="X49" s="1"/>
  <c r="H51"/>
  <c r="W47" s="1"/>
  <c r="G51"/>
  <c r="V49" s="1"/>
  <c r="F51"/>
  <c r="U44" s="1"/>
  <c r="E51"/>
  <c r="T49" s="1"/>
  <c r="D51"/>
  <c r="S47" s="1"/>
  <c r="C51"/>
  <c r="R49" s="1"/>
  <c r="B51"/>
  <c r="Q45" s="1"/>
  <c r="AB49"/>
  <c r="AA49"/>
  <c r="Z49"/>
  <c r="U49"/>
  <c r="Q49"/>
  <c r="O49"/>
  <c r="N49"/>
  <c r="Q48"/>
  <c r="O48"/>
  <c r="N48"/>
  <c r="Y47"/>
  <c r="Q47"/>
  <c r="O47"/>
  <c r="N47"/>
  <c r="Y46"/>
  <c r="Q46"/>
  <c r="O46"/>
  <c r="N46"/>
  <c r="U45"/>
  <c r="O45"/>
  <c r="N45"/>
  <c r="O44"/>
  <c r="N44"/>
  <c r="O43"/>
  <c r="N43"/>
  <c r="O42"/>
  <c r="N42"/>
  <c r="O41"/>
  <c r="N41"/>
  <c r="O40"/>
  <c r="N40"/>
  <c r="O39"/>
  <c r="N39"/>
  <c r="O38"/>
  <c r="N38"/>
  <c r="O37"/>
  <c r="N37"/>
  <c r="O36"/>
  <c r="N36"/>
  <c r="O35"/>
  <c r="N35"/>
  <c r="O34"/>
  <c r="N34"/>
  <c r="O33"/>
  <c r="N33"/>
  <c r="O32"/>
  <c r="N32"/>
  <c r="O31"/>
  <c r="N31"/>
  <c r="O30"/>
  <c r="N30"/>
  <c r="O29"/>
  <c r="N29"/>
  <c r="O28"/>
  <c r="N28"/>
  <c r="O27"/>
  <c r="N27"/>
  <c r="O26"/>
  <c r="N26"/>
  <c r="O25"/>
  <c r="N25"/>
  <c r="O24"/>
  <c r="N24"/>
  <c r="O23"/>
  <c r="N23"/>
  <c r="O22"/>
  <c r="N22"/>
  <c r="O21"/>
  <c r="N21"/>
  <c r="O20"/>
  <c r="N20"/>
  <c r="O19"/>
  <c r="N19"/>
  <c r="O18"/>
  <c r="N18"/>
  <c r="O17"/>
  <c r="N17"/>
  <c r="O16"/>
  <c r="N16"/>
  <c r="O15"/>
  <c r="N15"/>
  <c r="O14"/>
  <c r="N14"/>
  <c r="O13"/>
  <c r="N13"/>
  <c r="O12"/>
  <c r="N12"/>
  <c r="O11"/>
  <c r="N11"/>
  <c r="O10"/>
  <c r="N10"/>
  <c r="O9"/>
  <c r="N9"/>
  <c r="O8"/>
  <c r="N8"/>
  <c r="O7"/>
  <c r="N7"/>
  <c r="O5"/>
  <c r="S49" l="1"/>
  <c r="W45"/>
  <c r="AB46"/>
  <c r="T47"/>
  <c r="AB44"/>
  <c r="T45"/>
  <c r="N51"/>
  <c r="AC44" s="1"/>
  <c r="P9"/>
  <c r="P11"/>
  <c r="P13"/>
  <c r="P15"/>
  <c r="P17"/>
  <c r="P19"/>
  <c r="P21"/>
  <c r="P23"/>
  <c r="P25"/>
  <c r="P27"/>
  <c r="P29"/>
  <c r="P31"/>
  <c r="P33"/>
  <c r="P35"/>
  <c r="P37"/>
  <c r="T44"/>
  <c r="S45"/>
  <c r="AA45"/>
  <c r="X46"/>
  <c r="W49"/>
  <c r="O51"/>
  <c r="AD44" s="1"/>
  <c r="AB45"/>
  <c r="T46"/>
  <c r="X47"/>
  <c r="AB48"/>
  <c r="X48"/>
  <c r="X44"/>
  <c r="X45"/>
  <c r="T48"/>
  <c r="Y48"/>
  <c r="P39"/>
  <c r="P41"/>
  <c r="P43"/>
  <c r="Q44"/>
  <c r="Y44"/>
  <c r="Y49"/>
  <c r="U46"/>
  <c r="U47"/>
  <c r="U48"/>
  <c r="R48"/>
  <c r="R46"/>
  <c r="R44"/>
  <c r="R47"/>
  <c r="R45"/>
  <c r="V48"/>
  <c r="V46"/>
  <c r="V44"/>
  <c r="V45"/>
  <c r="V47"/>
  <c r="Z48"/>
  <c r="Z46"/>
  <c r="Z44"/>
  <c r="Z47"/>
  <c r="Z45"/>
  <c r="S48"/>
  <c r="S46"/>
  <c r="S44"/>
  <c r="W48"/>
  <c r="W46"/>
  <c r="W44"/>
  <c r="AA48"/>
  <c r="AA46"/>
  <c r="AA44"/>
  <c r="P8"/>
  <c r="P10"/>
  <c r="P12"/>
  <c r="P14"/>
  <c r="P16"/>
  <c r="P18"/>
  <c r="P20"/>
  <c r="P22"/>
  <c r="P24"/>
  <c r="P26"/>
  <c r="P28"/>
  <c r="P30"/>
  <c r="P32"/>
  <c r="P34"/>
  <c r="P36"/>
  <c r="P38"/>
  <c r="P40"/>
  <c r="P42"/>
  <c r="AC45"/>
  <c r="AD45"/>
  <c r="AC47"/>
  <c r="AD47"/>
  <c r="AC49"/>
  <c r="AD49"/>
  <c r="P7"/>
  <c r="P44"/>
  <c r="P45"/>
  <c r="P46"/>
  <c r="P47"/>
  <c r="P48"/>
  <c r="P49"/>
  <c r="AC48" l="1"/>
  <c r="AC46"/>
  <c r="AD48"/>
  <c r="AD46"/>
  <c r="P51"/>
  <c r="AE49" s="1"/>
  <c r="R49" i="2"/>
  <c r="S49"/>
  <c r="T48"/>
  <c r="U49"/>
  <c r="V49"/>
  <c r="W49"/>
  <c r="X48"/>
  <c r="Y49"/>
  <c r="Z49"/>
  <c r="AA49"/>
  <c r="AB48"/>
  <c r="N49"/>
  <c r="N6"/>
  <c r="N7"/>
  <c r="N8"/>
  <c r="N9"/>
  <c r="N10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O49"/>
  <c r="O5"/>
  <c r="O6"/>
  <c r="O7"/>
  <c r="O8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U48"/>
  <c r="Q48"/>
  <c r="O5" i="1"/>
  <c r="C50" i="48"/>
  <c r="D50"/>
  <c r="E50"/>
  <c r="F50"/>
  <c r="G50"/>
  <c r="H50"/>
  <c r="I50"/>
  <c r="J50"/>
  <c r="K50"/>
  <c r="L50"/>
  <c r="M50"/>
  <c r="N6"/>
  <c r="N7"/>
  <c r="N8"/>
  <c r="P8" s="1"/>
  <c r="N9"/>
  <c r="N10"/>
  <c r="N11"/>
  <c r="N12"/>
  <c r="P12" s="1"/>
  <c r="N13"/>
  <c r="N14"/>
  <c r="N15"/>
  <c r="N16"/>
  <c r="P16" s="1"/>
  <c r="N17"/>
  <c r="N18"/>
  <c r="N19"/>
  <c r="N20"/>
  <c r="P20" s="1"/>
  <c r="N21"/>
  <c r="N22"/>
  <c r="N23"/>
  <c r="N24"/>
  <c r="P24" s="1"/>
  <c r="N25"/>
  <c r="N26"/>
  <c r="N27"/>
  <c r="N28"/>
  <c r="P28" s="1"/>
  <c r="N29"/>
  <c r="N30"/>
  <c r="N31"/>
  <c r="N32"/>
  <c r="P32" s="1"/>
  <c r="N33"/>
  <c r="N34"/>
  <c r="N35"/>
  <c r="N36"/>
  <c r="P36" s="1"/>
  <c r="N37"/>
  <c r="N38"/>
  <c r="N39"/>
  <c r="N40"/>
  <c r="P40" s="1"/>
  <c r="N41"/>
  <c r="N42"/>
  <c r="N43"/>
  <c r="N44"/>
  <c r="P44" s="1"/>
  <c r="N45"/>
  <c r="N46"/>
  <c r="N47"/>
  <c r="N48"/>
  <c r="P48" s="1"/>
  <c r="O5"/>
  <c r="O6"/>
  <c r="O7"/>
  <c r="P7" s="1"/>
  <c r="O8"/>
  <c r="O9"/>
  <c r="P9" s="1"/>
  <c r="O10"/>
  <c r="O11"/>
  <c r="O12"/>
  <c r="O13"/>
  <c r="O14"/>
  <c r="O15"/>
  <c r="O16"/>
  <c r="O17"/>
  <c r="P17" s="1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P41" s="1"/>
  <c r="O42"/>
  <c r="O43"/>
  <c r="O44"/>
  <c r="O45"/>
  <c r="O46"/>
  <c r="O47"/>
  <c r="O48"/>
  <c r="P25"/>
  <c r="P39"/>
  <c r="B50"/>
  <c r="R53" i="64"/>
  <c r="S52"/>
  <c r="T52"/>
  <c r="U53"/>
  <c r="V53"/>
  <c r="W52"/>
  <c r="W53"/>
  <c r="X52"/>
  <c r="Y53"/>
  <c r="Z53"/>
  <c r="AA52"/>
  <c r="AB52"/>
  <c r="N53"/>
  <c r="N6"/>
  <c r="N7"/>
  <c r="N8"/>
  <c r="N9"/>
  <c r="N10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O53"/>
  <c r="O5"/>
  <c r="O6"/>
  <c r="O7"/>
  <c r="O8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P29"/>
  <c r="U52"/>
  <c r="V52"/>
  <c r="Y52"/>
  <c r="C56" i="67"/>
  <c r="D56"/>
  <c r="E56"/>
  <c r="F56"/>
  <c r="G56"/>
  <c r="H56"/>
  <c r="I56"/>
  <c r="J56"/>
  <c r="K56"/>
  <c r="L56"/>
  <c r="M56"/>
  <c r="N6"/>
  <c r="N7"/>
  <c r="N8"/>
  <c r="N9"/>
  <c r="N10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P46" s="1"/>
  <c r="N47"/>
  <c r="N48"/>
  <c r="N49"/>
  <c r="N50"/>
  <c r="P50" s="1"/>
  <c r="N51"/>
  <c r="N52"/>
  <c r="N53"/>
  <c r="N54"/>
  <c r="P54" s="1"/>
  <c r="O5"/>
  <c r="O6"/>
  <c r="O7"/>
  <c r="O8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P10"/>
  <c r="P26"/>
  <c r="P42"/>
  <c r="B56"/>
  <c r="P42" i="2" l="1"/>
  <c r="P38"/>
  <c r="P26"/>
  <c r="P22"/>
  <c r="P10"/>
  <c r="P38" i="67"/>
  <c r="P34"/>
  <c r="P30"/>
  <c r="P22"/>
  <c r="P18"/>
  <c r="P14"/>
  <c r="P6"/>
  <c r="P47" i="48"/>
  <c r="P31"/>
  <c r="P23"/>
  <c r="P15"/>
  <c r="P47" i="2"/>
  <c r="P43"/>
  <c r="P39"/>
  <c r="P35"/>
  <c r="P31"/>
  <c r="P27"/>
  <c r="P23"/>
  <c r="P19"/>
  <c r="P15"/>
  <c r="P11"/>
  <c r="P7"/>
  <c r="P45" i="64"/>
  <c r="P37"/>
  <c r="P21"/>
  <c r="P13"/>
  <c r="P53"/>
  <c r="P33" i="48"/>
  <c r="P44" i="2"/>
  <c r="P40"/>
  <c r="P36"/>
  <c r="P32"/>
  <c r="P28"/>
  <c r="P24"/>
  <c r="P20"/>
  <c r="P16"/>
  <c r="P12"/>
  <c r="P8"/>
  <c r="Z52" i="64"/>
  <c r="R52"/>
  <c r="P41"/>
  <c r="P33"/>
  <c r="P25"/>
  <c r="P17"/>
  <c r="P9"/>
  <c r="P49"/>
  <c r="P51"/>
  <c r="P47"/>
  <c r="P43"/>
  <c r="P39"/>
  <c r="P35"/>
  <c r="P31"/>
  <c r="P27"/>
  <c r="P23"/>
  <c r="P19"/>
  <c r="P15"/>
  <c r="P11"/>
  <c r="P7"/>
  <c r="AA53"/>
  <c r="S53"/>
  <c r="P52" i="67"/>
  <c r="P48"/>
  <c r="P44"/>
  <c r="P40"/>
  <c r="P36"/>
  <c r="P32"/>
  <c r="P28"/>
  <c r="P24"/>
  <c r="P20"/>
  <c r="P16"/>
  <c r="P12"/>
  <c r="P8"/>
  <c r="P46" i="48"/>
  <c r="P42"/>
  <c r="P38"/>
  <c r="P34"/>
  <c r="P30"/>
  <c r="P26"/>
  <c r="P22"/>
  <c r="P18"/>
  <c r="P14"/>
  <c r="P10"/>
  <c r="P6"/>
  <c r="P45"/>
  <c r="P37"/>
  <c r="P29"/>
  <c r="P21"/>
  <c r="P13"/>
  <c r="O50"/>
  <c r="P43"/>
  <c r="P35"/>
  <c r="P27"/>
  <c r="P19"/>
  <c r="P11"/>
  <c r="N50"/>
  <c r="Q49" i="2"/>
  <c r="W48"/>
  <c r="P46"/>
  <c r="P34"/>
  <c r="P30"/>
  <c r="P18"/>
  <c r="P14"/>
  <c r="AD53" i="64"/>
  <c r="AD52"/>
  <c r="P51" i="67"/>
  <c r="P43"/>
  <c r="P39"/>
  <c r="P31"/>
  <c r="P27"/>
  <c r="P23"/>
  <c r="P15"/>
  <c r="P11"/>
  <c r="P50" i="64"/>
  <c r="P42"/>
  <c r="P38"/>
  <c r="P30"/>
  <c r="P26"/>
  <c r="P18"/>
  <c r="P14"/>
  <c r="P10"/>
  <c r="P6" i="2"/>
  <c r="O56" i="67"/>
  <c r="P53"/>
  <c r="P49"/>
  <c r="P45"/>
  <c r="P41"/>
  <c r="P37"/>
  <c r="P33"/>
  <c r="P29"/>
  <c r="P25"/>
  <c r="P21"/>
  <c r="P17"/>
  <c r="P13"/>
  <c r="P9"/>
  <c r="Q53" i="64"/>
  <c r="P48"/>
  <c r="P44"/>
  <c r="P40"/>
  <c r="P36"/>
  <c r="P32"/>
  <c r="P28"/>
  <c r="P24"/>
  <c r="P20"/>
  <c r="P16"/>
  <c r="P12"/>
  <c r="P8"/>
  <c r="AB53"/>
  <c r="X53"/>
  <c r="T53"/>
  <c r="Y48" i="2"/>
  <c r="P47" i="67"/>
  <c r="P35"/>
  <c r="P19"/>
  <c r="N56"/>
  <c r="P46" i="64"/>
  <c r="P34"/>
  <c r="P22"/>
  <c r="P6"/>
  <c r="AA48" i="2"/>
  <c r="S48"/>
  <c r="P45"/>
  <c r="P41"/>
  <c r="P37"/>
  <c r="P33"/>
  <c r="P29"/>
  <c r="P25"/>
  <c r="P21"/>
  <c r="P17"/>
  <c r="P13"/>
  <c r="P9"/>
  <c r="AD48"/>
  <c r="AD49"/>
  <c r="P48"/>
  <c r="AC48"/>
  <c r="P7" i="67"/>
  <c r="Q52" i="64"/>
  <c r="P52"/>
  <c r="AC53"/>
  <c r="Z48" i="2"/>
  <c r="V48"/>
  <c r="R48"/>
  <c r="AB49"/>
  <c r="X49"/>
  <c r="T49"/>
  <c r="P49"/>
  <c r="AE44" i="101"/>
  <c r="AE45"/>
  <c r="AE46"/>
  <c r="AE47"/>
  <c r="AE48"/>
  <c r="P50" i="48" l="1"/>
  <c r="AE49" i="2"/>
  <c r="P56" i="67"/>
  <c r="AC49" i="2"/>
  <c r="AC52" i="64"/>
  <c r="AE53"/>
  <c r="AE48" i="2" l="1"/>
  <c r="AE52" i="64"/>
</calcChain>
</file>

<file path=xl/sharedStrings.xml><?xml version="1.0" encoding="utf-8"?>
<sst xmlns="http://schemas.openxmlformats.org/spreadsheetml/2006/main" count="3549" uniqueCount="264">
  <si>
    <t>年份</t>
    <phoneticPr fontId="2" type="noConversion"/>
  </si>
  <si>
    <t>降水量(mm)</t>
    <phoneticPr fontId="2" type="noConversion"/>
  </si>
  <si>
    <t>距平值(%)</t>
    <phoneticPr fontId="2" type="noConversion"/>
  </si>
  <si>
    <t>月份</t>
    <phoneticPr fontId="2" type="noConversion"/>
  </si>
  <si>
    <t>汛期</t>
    <phoneticPr fontId="2" type="noConversion"/>
  </si>
  <si>
    <t>全年</t>
    <phoneticPr fontId="2" type="noConversion"/>
  </si>
  <si>
    <t>降水量</t>
    <phoneticPr fontId="2" type="noConversion"/>
  </si>
  <si>
    <t>1月</t>
    <phoneticPr fontId="2" type="noConversion"/>
  </si>
  <si>
    <t>2月</t>
    <phoneticPr fontId="2" type="noConversion"/>
  </si>
  <si>
    <r>
      <t>3月</t>
    </r>
    <r>
      <rPr>
        <sz val="12"/>
        <rFont val="宋体"/>
        <family val="3"/>
        <charset val="134"/>
      </rPr>
      <t/>
    </r>
  </si>
  <si>
    <r>
      <t>4月</t>
    </r>
    <r>
      <rPr>
        <sz val="12"/>
        <rFont val="宋体"/>
        <family val="3"/>
        <charset val="134"/>
      </rPr>
      <t/>
    </r>
  </si>
  <si>
    <r>
      <t>5月</t>
    </r>
    <r>
      <rPr>
        <sz val="12"/>
        <rFont val="宋体"/>
        <family val="3"/>
        <charset val="134"/>
      </rPr>
      <t/>
    </r>
  </si>
  <si>
    <r>
      <t>6月</t>
    </r>
    <r>
      <rPr>
        <sz val="12"/>
        <rFont val="宋体"/>
        <family val="3"/>
        <charset val="134"/>
      </rPr>
      <t/>
    </r>
  </si>
  <si>
    <r>
      <t>7月</t>
    </r>
    <r>
      <rPr>
        <sz val="12"/>
        <rFont val="宋体"/>
        <family val="3"/>
        <charset val="134"/>
      </rPr>
      <t/>
    </r>
  </si>
  <si>
    <r>
      <t>8月</t>
    </r>
    <r>
      <rPr>
        <sz val="12"/>
        <rFont val="宋体"/>
        <family val="3"/>
        <charset val="134"/>
      </rPr>
      <t/>
    </r>
  </si>
  <si>
    <r>
      <t>9月</t>
    </r>
    <r>
      <rPr>
        <sz val="12"/>
        <rFont val="宋体"/>
        <family val="3"/>
        <charset val="134"/>
      </rPr>
      <t/>
    </r>
  </si>
  <si>
    <r>
      <t>10月</t>
    </r>
    <r>
      <rPr>
        <sz val="12"/>
        <rFont val="宋体"/>
        <family val="3"/>
        <charset val="134"/>
      </rPr>
      <t/>
    </r>
  </si>
  <si>
    <r>
      <t>11月</t>
    </r>
    <r>
      <rPr>
        <sz val="12"/>
        <rFont val="宋体"/>
        <family val="3"/>
        <charset val="134"/>
      </rPr>
      <t/>
    </r>
  </si>
  <si>
    <r>
      <t>12月</t>
    </r>
    <r>
      <rPr>
        <sz val="12"/>
        <rFont val="宋体"/>
        <family val="3"/>
        <charset val="134"/>
      </rPr>
      <t/>
    </r>
  </si>
  <si>
    <r>
      <t>1</t>
    </r>
    <r>
      <rPr>
        <sz val="10"/>
        <rFont val="宋体"/>
        <family val="3"/>
        <charset val="134"/>
      </rPr>
      <t>月</t>
    </r>
    <phoneticPr fontId="2" type="noConversion"/>
  </si>
  <si>
    <r>
      <t>2</t>
    </r>
    <r>
      <rPr>
        <sz val="10"/>
        <rFont val="宋体"/>
        <family val="3"/>
        <charset val="134"/>
      </rPr>
      <t>月</t>
    </r>
    <phoneticPr fontId="2" type="noConversion"/>
  </si>
  <si>
    <r>
      <t>3</t>
    </r>
    <r>
      <rPr>
        <sz val="10"/>
        <rFont val="宋体"/>
        <family val="3"/>
        <charset val="134"/>
      </rPr>
      <t>月</t>
    </r>
    <phoneticPr fontId="2" type="noConversion"/>
  </si>
  <si>
    <r>
      <t>4</t>
    </r>
    <r>
      <rPr>
        <sz val="10"/>
        <rFont val="宋体"/>
        <family val="3"/>
        <charset val="134"/>
      </rPr>
      <t>月</t>
    </r>
    <phoneticPr fontId="2" type="noConversion"/>
  </si>
  <si>
    <t>5月</t>
    <phoneticPr fontId="2" type="noConversion"/>
  </si>
  <si>
    <t>6月</t>
    <phoneticPr fontId="2" type="noConversion"/>
  </si>
  <si>
    <t>7月</t>
  </si>
  <si>
    <t>8月</t>
  </si>
  <si>
    <t>9月</t>
  </si>
  <si>
    <r>
      <t>10</t>
    </r>
    <r>
      <rPr>
        <sz val="10"/>
        <rFont val="宋体"/>
        <family val="3"/>
        <charset val="134"/>
      </rPr>
      <t>月</t>
    </r>
    <phoneticPr fontId="2" type="noConversion"/>
  </si>
  <si>
    <r>
      <t>11</t>
    </r>
    <r>
      <rPr>
        <sz val="10"/>
        <rFont val="宋体"/>
        <family val="3"/>
        <charset val="134"/>
      </rPr>
      <t>月</t>
    </r>
    <phoneticPr fontId="2" type="noConversion"/>
  </si>
  <si>
    <r>
      <t>12</t>
    </r>
    <r>
      <rPr>
        <sz val="10"/>
        <rFont val="宋体"/>
        <family val="3"/>
        <charset val="134"/>
      </rPr>
      <t>月</t>
    </r>
    <phoneticPr fontId="2" type="noConversion"/>
  </si>
  <si>
    <t>枯期</t>
    <phoneticPr fontId="2" type="noConversion"/>
  </si>
  <si>
    <t>总量</t>
    <phoneticPr fontId="2" type="noConversion"/>
  </si>
  <si>
    <t>年份</t>
    <phoneticPr fontId="2" type="noConversion"/>
  </si>
  <si>
    <t>降水量(mm)</t>
    <phoneticPr fontId="2" type="noConversion"/>
  </si>
  <si>
    <t>距平值(%)</t>
    <phoneticPr fontId="2" type="noConversion"/>
  </si>
  <si>
    <t>月份</t>
    <phoneticPr fontId="2" type="noConversion"/>
  </si>
  <si>
    <t>总量</t>
    <phoneticPr fontId="2" type="noConversion"/>
  </si>
  <si>
    <t>降水量</t>
    <phoneticPr fontId="2" type="noConversion"/>
  </si>
  <si>
    <t>1月</t>
    <phoneticPr fontId="2" type="noConversion"/>
  </si>
  <si>
    <t>2月</t>
    <phoneticPr fontId="2" type="noConversion"/>
  </si>
  <si>
    <t>枯期</t>
    <phoneticPr fontId="2" type="noConversion"/>
  </si>
  <si>
    <t>汛期</t>
    <phoneticPr fontId="2" type="noConversion"/>
  </si>
  <si>
    <t>全年</t>
    <phoneticPr fontId="2" type="noConversion"/>
  </si>
  <si>
    <r>
      <t>1</t>
    </r>
    <r>
      <rPr>
        <sz val="10"/>
        <rFont val="宋体"/>
        <family val="3"/>
        <charset val="134"/>
      </rPr>
      <t>月</t>
    </r>
    <phoneticPr fontId="2" type="noConversion"/>
  </si>
  <si>
    <r>
      <t>2</t>
    </r>
    <r>
      <rPr>
        <sz val="10"/>
        <rFont val="宋体"/>
        <family val="3"/>
        <charset val="134"/>
      </rPr>
      <t>月</t>
    </r>
    <phoneticPr fontId="2" type="noConversion"/>
  </si>
  <si>
    <r>
      <t>3</t>
    </r>
    <r>
      <rPr>
        <sz val="10"/>
        <rFont val="宋体"/>
        <family val="3"/>
        <charset val="134"/>
      </rPr>
      <t>月</t>
    </r>
    <phoneticPr fontId="2" type="noConversion"/>
  </si>
  <si>
    <r>
      <t>4</t>
    </r>
    <r>
      <rPr>
        <sz val="10"/>
        <rFont val="宋体"/>
        <family val="3"/>
        <charset val="134"/>
      </rPr>
      <t>月</t>
    </r>
    <phoneticPr fontId="2" type="noConversion"/>
  </si>
  <si>
    <t>5月</t>
    <phoneticPr fontId="2" type="noConversion"/>
  </si>
  <si>
    <t>6月</t>
    <phoneticPr fontId="2" type="noConversion"/>
  </si>
  <si>
    <r>
      <t>10</t>
    </r>
    <r>
      <rPr>
        <sz val="10"/>
        <rFont val="宋体"/>
        <family val="3"/>
        <charset val="134"/>
      </rPr>
      <t>月</t>
    </r>
    <phoneticPr fontId="2" type="noConversion"/>
  </si>
  <si>
    <r>
      <t>11</t>
    </r>
    <r>
      <rPr>
        <sz val="10"/>
        <rFont val="宋体"/>
        <family val="3"/>
        <charset val="134"/>
      </rPr>
      <t>月</t>
    </r>
    <phoneticPr fontId="2" type="noConversion"/>
  </si>
  <si>
    <r>
      <t>12</t>
    </r>
    <r>
      <rPr>
        <sz val="10"/>
        <rFont val="宋体"/>
        <family val="3"/>
        <charset val="134"/>
      </rPr>
      <t>月</t>
    </r>
    <phoneticPr fontId="2" type="noConversion"/>
  </si>
  <si>
    <t>年份</t>
    <phoneticPr fontId="2" type="noConversion"/>
  </si>
  <si>
    <t>月份</t>
    <phoneticPr fontId="2" type="noConversion"/>
  </si>
  <si>
    <t>总量</t>
    <phoneticPr fontId="2" type="noConversion"/>
  </si>
  <si>
    <t>降水量</t>
    <phoneticPr fontId="2" type="noConversion"/>
  </si>
  <si>
    <r>
      <t>汛期</t>
    </r>
    <r>
      <rPr>
        <sz val="10"/>
        <rFont val="Times New Roman"/>
        <family val="1"/>
      </rPr>
      <t>5~9</t>
    </r>
    <phoneticPr fontId="2" type="noConversion"/>
  </si>
  <si>
    <r>
      <t>1</t>
    </r>
    <r>
      <rPr>
        <sz val="10"/>
        <rFont val="宋体"/>
        <family val="3"/>
        <charset val="134"/>
      </rPr>
      <t>月</t>
    </r>
    <phoneticPr fontId="2" type="noConversion"/>
  </si>
  <si>
    <r>
      <t>2</t>
    </r>
    <r>
      <rPr>
        <sz val="10"/>
        <rFont val="宋体"/>
        <family val="3"/>
        <charset val="134"/>
      </rPr>
      <t>月</t>
    </r>
    <phoneticPr fontId="2" type="noConversion"/>
  </si>
  <si>
    <r>
      <t>3</t>
    </r>
    <r>
      <rPr>
        <sz val="10"/>
        <rFont val="宋体"/>
        <family val="3"/>
        <charset val="134"/>
      </rPr>
      <t>月</t>
    </r>
    <phoneticPr fontId="2" type="noConversion"/>
  </si>
  <si>
    <r>
      <t>4</t>
    </r>
    <r>
      <rPr>
        <sz val="10"/>
        <rFont val="宋体"/>
        <family val="3"/>
        <charset val="134"/>
      </rPr>
      <t>月</t>
    </r>
    <phoneticPr fontId="2" type="noConversion"/>
  </si>
  <si>
    <r>
      <t>10</t>
    </r>
    <r>
      <rPr>
        <sz val="10"/>
        <rFont val="宋体"/>
        <family val="3"/>
        <charset val="134"/>
      </rPr>
      <t>月</t>
    </r>
    <phoneticPr fontId="2" type="noConversion"/>
  </si>
  <si>
    <r>
      <t>11</t>
    </r>
    <r>
      <rPr>
        <sz val="10"/>
        <rFont val="宋体"/>
        <family val="3"/>
        <charset val="134"/>
      </rPr>
      <t>月</t>
    </r>
    <phoneticPr fontId="2" type="noConversion"/>
  </si>
  <si>
    <r>
      <t>12</t>
    </r>
    <r>
      <rPr>
        <sz val="10"/>
        <rFont val="宋体"/>
        <family val="3"/>
        <charset val="134"/>
      </rPr>
      <t>月</t>
    </r>
    <phoneticPr fontId="2" type="noConversion"/>
  </si>
  <si>
    <t>汛期</t>
    <phoneticPr fontId="2" type="noConversion"/>
  </si>
  <si>
    <t>全年</t>
    <phoneticPr fontId="2" type="noConversion"/>
  </si>
  <si>
    <r>
      <t>降水量</t>
    </r>
    <r>
      <rPr>
        <sz val="10"/>
        <rFont val="Times New Roman"/>
        <family val="1"/>
      </rPr>
      <t>(mm)</t>
    </r>
    <phoneticPr fontId="2" type="noConversion"/>
  </si>
  <si>
    <r>
      <t>距平值</t>
    </r>
    <r>
      <rPr>
        <sz val="10"/>
        <rFont val="Times New Roman"/>
        <family val="1"/>
      </rPr>
      <t>(%)</t>
    </r>
    <phoneticPr fontId="2" type="noConversion"/>
  </si>
  <si>
    <r>
      <t>3</t>
    </r>
    <r>
      <rPr>
        <sz val="10"/>
        <rFont val="宋体"/>
        <family val="3"/>
        <charset val="134"/>
      </rPr>
      <t>月</t>
    </r>
    <r>
      <rPr>
        <sz val="12"/>
        <rFont val="宋体"/>
        <family val="3"/>
        <charset val="134"/>
      </rPr>
      <t/>
    </r>
  </si>
  <si>
    <r>
      <t>4</t>
    </r>
    <r>
      <rPr>
        <sz val="10"/>
        <rFont val="宋体"/>
        <family val="3"/>
        <charset val="134"/>
      </rPr>
      <t>月</t>
    </r>
    <r>
      <rPr>
        <sz val="12"/>
        <rFont val="宋体"/>
        <family val="3"/>
        <charset val="134"/>
      </rPr>
      <t/>
    </r>
  </si>
  <si>
    <r>
      <t>5</t>
    </r>
    <r>
      <rPr>
        <sz val="10"/>
        <rFont val="宋体"/>
        <family val="3"/>
        <charset val="134"/>
      </rPr>
      <t>月</t>
    </r>
    <r>
      <rPr>
        <sz val="12"/>
        <rFont val="宋体"/>
        <family val="3"/>
        <charset val="134"/>
      </rPr>
      <t/>
    </r>
  </si>
  <si>
    <r>
      <t>6</t>
    </r>
    <r>
      <rPr>
        <sz val="10"/>
        <rFont val="宋体"/>
        <family val="3"/>
        <charset val="134"/>
      </rPr>
      <t>月</t>
    </r>
    <r>
      <rPr>
        <sz val="12"/>
        <rFont val="宋体"/>
        <family val="3"/>
        <charset val="134"/>
      </rPr>
      <t/>
    </r>
  </si>
  <si>
    <r>
      <t>7</t>
    </r>
    <r>
      <rPr>
        <sz val="10"/>
        <rFont val="宋体"/>
        <family val="3"/>
        <charset val="134"/>
      </rPr>
      <t>月</t>
    </r>
    <r>
      <rPr>
        <sz val="12"/>
        <rFont val="宋体"/>
        <family val="3"/>
        <charset val="134"/>
      </rPr>
      <t/>
    </r>
  </si>
  <si>
    <r>
      <t>8</t>
    </r>
    <r>
      <rPr>
        <sz val="10"/>
        <rFont val="宋体"/>
        <family val="3"/>
        <charset val="134"/>
      </rPr>
      <t>月</t>
    </r>
    <r>
      <rPr>
        <sz val="12"/>
        <rFont val="宋体"/>
        <family val="3"/>
        <charset val="134"/>
      </rPr>
      <t/>
    </r>
  </si>
  <si>
    <r>
      <t>9</t>
    </r>
    <r>
      <rPr>
        <sz val="10"/>
        <rFont val="宋体"/>
        <family val="3"/>
        <charset val="134"/>
      </rPr>
      <t>月</t>
    </r>
    <r>
      <rPr>
        <sz val="12"/>
        <rFont val="宋体"/>
        <family val="3"/>
        <charset val="134"/>
      </rPr>
      <t/>
    </r>
  </si>
  <si>
    <r>
      <t>10</t>
    </r>
    <r>
      <rPr>
        <sz val="10"/>
        <rFont val="宋体"/>
        <family val="3"/>
        <charset val="134"/>
      </rPr>
      <t>月</t>
    </r>
    <r>
      <rPr>
        <sz val="12"/>
        <rFont val="宋体"/>
        <family val="3"/>
        <charset val="134"/>
      </rPr>
      <t/>
    </r>
  </si>
  <si>
    <r>
      <t>11</t>
    </r>
    <r>
      <rPr>
        <sz val="10"/>
        <rFont val="宋体"/>
        <family val="3"/>
        <charset val="134"/>
      </rPr>
      <t>月</t>
    </r>
    <r>
      <rPr>
        <sz val="12"/>
        <rFont val="宋体"/>
        <family val="3"/>
        <charset val="134"/>
      </rPr>
      <t/>
    </r>
  </si>
  <si>
    <r>
      <t>12</t>
    </r>
    <r>
      <rPr>
        <sz val="10"/>
        <rFont val="宋体"/>
        <family val="3"/>
        <charset val="134"/>
      </rPr>
      <t>月</t>
    </r>
    <r>
      <rPr>
        <sz val="12"/>
        <rFont val="宋体"/>
        <family val="3"/>
        <charset val="134"/>
      </rPr>
      <t/>
    </r>
  </si>
  <si>
    <r>
      <t>5</t>
    </r>
    <r>
      <rPr>
        <sz val="10"/>
        <rFont val="宋体"/>
        <family val="3"/>
        <charset val="134"/>
      </rPr>
      <t>月</t>
    </r>
    <phoneticPr fontId="2" type="noConversion"/>
  </si>
  <si>
    <r>
      <t>6</t>
    </r>
    <r>
      <rPr>
        <sz val="10"/>
        <rFont val="宋体"/>
        <family val="3"/>
        <charset val="134"/>
      </rPr>
      <t>月</t>
    </r>
    <phoneticPr fontId="2" type="noConversion"/>
  </si>
  <si>
    <r>
      <t>7</t>
    </r>
    <r>
      <rPr>
        <sz val="10"/>
        <rFont val="宋体"/>
        <family val="3"/>
        <charset val="134"/>
      </rPr>
      <t>月</t>
    </r>
  </si>
  <si>
    <r>
      <t>8</t>
    </r>
    <r>
      <rPr>
        <sz val="10"/>
        <rFont val="宋体"/>
        <family val="3"/>
        <charset val="134"/>
      </rPr>
      <t>月</t>
    </r>
  </si>
  <si>
    <r>
      <t>9</t>
    </r>
    <r>
      <rPr>
        <sz val="10"/>
        <rFont val="宋体"/>
        <family val="3"/>
        <charset val="134"/>
      </rPr>
      <t>月</t>
    </r>
  </si>
  <si>
    <t>江滨4月份迁到沙坝</t>
  </si>
  <si>
    <t>缺</t>
  </si>
  <si>
    <t>松桃（三）站2012</t>
    <phoneticPr fontId="2" type="noConversion"/>
  </si>
  <si>
    <r>
      <t>汛前</t>
    </r>
    <r>
      <rPr>
        <sz val="10"/>
        <rFont val="Times New Roman"/>
        <family val="1"/>
      </rPr>
      <t>1~4</t>
    </r>
    <phoneticPr fontId="2" type="noConversion"/>
  </si>
  <si>
    <r>
      <t>汛后10</t>
    </r>
    <r>
      <rPr>
        <sz val="10"/>
        <rFont val="Times New Roman"/>
        <family val="1"/>
      </rPr>
      <t>~12</t>
    </r>
    <phoneticPr fontId="2" type="noConversion"/>
  </si>
  <si>
    <r>
      <t>全年1</t>
    </r>
    <r>
      <rPr>
        <sz val="10"/>
        <rFont val="Times New Roman"/>
        <family val="1"/>
      </rPr>
      <t>~12</t>
    </r>
    <phoneticPr fontId="2" type="noConversion"/>
  </si>
  <si>
    <t>汛前</t>
    <phoneticPr fontId="2" type="noConversion"/>
  </si>
  <si>
    <t>汛后</t>
    <phoneticPr fontId="2" type="noConversion"/>
  </si>
  <si>
    <r>
      <t>距平值</t>
    </r>
    <r>
      <rPr>
        <sz val="10"/>
        <rFont val="Times New Roman"/>
        <family val="1"/>
      </rPr>
      <t>(%)</t>
    </r>
    <phoneticPr fontId="2" type="noConversion"/>
  </si>
  <si>
    <t>月份</t>
    <phoneticPr fontId="2" type="noConversion"/>
  </si>
  <si>
    <t>总量</t>
    <phoneticPr fontId="2" type="noConversion"/>
  </si>
  <si>
    <t>降水量</t>
    <phoneticPr fontId="2" type="noConversion"/>
  </si>
  <si>
    <r>
      <t>1</t>
    </r>
    <r>
      <rPr>
        <sz val="10"/>
        <rFont val="宋体"/>
        <family val="3"/>
        <charset val="134"/>
      </rPr>
      <t>月</t>
    </r>
    <phoneticPr fontId="2" type="noConversion"/>
  </si>
  <si>
    <r>
      <t>2</t>
    </r>
    <r>
      <rPr>
        <sz val="10"/>
        <rFont val="宋体"/>
        <family val="3"/>
        <charset val="134"/>
      </rPr>
      <t>月</t>
    </r>
    <phoneticPr fontId="2" type="noConversion"/>
  </si>
  <si>
    <r>
      <t>汛前</t>
    </r>
    <r>
      <rPr>
        <sz val="10"/>
        <rFont val="Times New Roman"/>
        <family val="1"/>
      </rPr>
      <t>1~4</t>
    </r>
    <phoneticPr fontId="2" type="noConversion"/>
  </si>
  <si>
    <r>
      <t>汛期</t>
    </r>
    <r>
      <rPr>
        <sz val="10"/>
        <rFont val="Times New Roman"/>
        <family val="1"/>
      </rPr>
      <t>5~9</t>
    </r>
    <phoneticPr fontId="2" type="noConversion"/>
  </si>
  <si>
    <r>
      <t>汛后10</t>
    </r>
    <r>
      <rPr>
        <sz val="10"/>
        <rFont val="Times New Roman"/>
        <family val="1"/>
      </rPr>
      <t>~12</t>
    </r>
    <phoneticPr fontId="2" type="noConversion"/>
  </si>
  <si>
    <r>
      <t>全年1</t>
    </r>
    <r>
      <rPr>
        <sz val="10"/>
        <rFont val="Times New Roman"/>
        <family val="1"/>
      </rPr>
      <t>~12</t>
    </r>
    <phoneticPr fontId="2" type="noConversion"/>
  </si>
  <si>
    <r>
      <t>3</t>
    </r>
    <r>
      <rPr>
        <sz val="10"/>
        <rFont val="宋体"/>
        <family val="3"/>
        <charset val="134"/>
      </rPr>
      <t>月</t>
    </r>
    <phoneticPr fontId="2" type="noConversion"/>
  </si>
  <si>
    <r>
      <t>4</t>
    </r>
    <r>
      <rPr>
        <sz val="10"/>
        <rFont val="宋体"/>
        <family val="3"/>
        <charset val="134"/>
      </rPr>
      <t>月</t>
    </r>
    <phoneticPr fontId="2" type="noConversion"/>
  </si>
  <si>
    <r>
      <t>5</t>
    </r>
    <r>
      <rPr>
        <sz val="10"/>
        <rFont val="宋体"/>
        <family val="3"/>
        <charset val="134"/>
      </rPr>
      <t>月</t>
    </r>
    <phoneticPr fontId="2" type="noConversion"/>
  </si>
  <si>
    <r>
      <t>6</t>
    </r>
    <r>
      <rPr>
        <sz val="10"/>
        <rFont val="宋体"/>
        <family val="3"/>
        <charset val="134"/>
      </rPr>
      <t>月</t>
    </r>
    <phoneticPr fontId="2" type="noConversion"/>
  </si>
  <si>
    <r>
      <t>10</t>
    </r>
    <r>
      <rPr>
        <sz val="10"/>
        <rFont val="宋体"/>
        <family val="3"/>
        <charset val="134"/>
      </rPr>
      <t>月</t>
    </r>
    <phoneticPr fontId="2" type="noConversion"/>
  </si>
  <si>
    <r>
      <t>11</t>
    </r>
    <r>
      <rPr>
        <sz val="10"/>
        <rFont val="宋体"/>
        <family val="3"/>
        <charset val="134"/>
      </rPr>
      <t>月</t>
    </r>
    <phoneticPr fontId="2" type="noConversion"/>
  </si>
  <si>
    <r>
      <t>12</t>
    </r>
    <r>
      <rPr>
        <sz val="10"/>
        <rFont val="宋体"/>
        <family val="3"/>
        <charset val="134"/>
      </rPr>
      <t>月</t>
    </r>
    <phoneticPr fontId="2" type="noConversion"/>
  </si>
  <si>
    <t>汛前</t>
    <phoneticPr fontId="2" type="noConversion"/>
  </si>
  <si>
    <t>汛期</t>
    <phoneticPr fontId="2" type="noConversion"/>
  </si>
  <si>
    <t>汛后</t>
    <phoneticPr fontId="2" type="noConversion"/>
  </si>
  <si>
    <t>全年</t>
    <phoneticPr fontId="2" type="noConversion"/>
  </si>
  <si>
    <r>
      <t>5</t>
    </r>
    <r>
      <rPr>
        <sz val="10"/>
        <rFont val="宋体"/>
        <family val="3"/>
        <charset val="134"/>
      </rPr>
      <t>月</t>
    </r>
    <phoneticPr fontId="2" type="noConversion"/>
  </si>
  <si>
    <r>
      <t>降水量</t>
    </r>
    <r>
      <rPr>
        <sz val="10"/>
        <rFont val="Times New Roman"/>
        <family val="1"/>
      </rPr>
      <t>(mm)</t>
    </r>
    <phoneticPr fontId="2" type="noConversion"/>
  </si>
  <si>
    <r>
      <t>距平值</t>
    </r>
    <r>
      <rPr>
        <sz val="10"/>
        <rFont val="Times New Roman"/>
        <family val="1"/>
      </rPr>
      <t>(%)</t>
    </r>
    <phoneticPr fontId="2" type="noConversion"/>
  </si>
  <si>
    <t>月份</t>
    <phoneticPr fontId="2" type="noConversion"/>
  </si>
  <si>
    <t>总量</t>
    <phoneticPr fontId="2" type="noConversion"/>
  </si>
  <si>
    <t>降水量</t>
    <phoneticPr fontId="2" type="noConversion"/>
  </si>
  <si>
    <r>
      <t>1</t>
    </r>
    <r>
      <rPr>
        <sz val="10"/>
        <rFont val="宋体"/>
        <family val="3"/>
        <charset val="134"/>
      </rPr>
      <t>月</t>
    </r>
    <phoneticPr fontId="2" type="noConversion"/>
  </si>
  <si>
    <r>
      <t>2</t>
    </r>
    <r>
      <rPr>
        <sz val="10"/>
        <rFont val="宋体"/>
        <family val="3"/>
        <charset val="134"/>
      </rPr>
      <t>月</t>
    </r>
    <phoneticPr fontId="2" type="noConversion"/>
  </si>
  <si>
    <r>
      <t>汛前</t>
    </r>
    <r>
      <rPr>
        <sz val="10"/>
        <rFont val="Times New Roman"/>
        <family val="1"/>
      </rPr>
      <t>1~4</t>
    </r>
    <phoneticPr fontId="2" type="noConversion"/>
  </si>
  <si>
    <r>
      <t>汛期</t>
    </r>
    <r>
      <rPr>
        <sz val="10"/>
        <rFont val="Times New Roman"/>
        <family val="1"/>
      </rPr>
      <t>5~9</t>
    </r>
    <phoneticPr fontId="2" type="noConversion"/>
  </si>
  <si>
    <r>
      <t>汛后10</t>
    </r>
    <r>
      <rPr>
        <sz val="10"/>
        <rFont val="Times New Roman"/>
        <family val="1"/>
      </rPr>
      <t>~12</t>
    </r>
    <phoneticPr fontId="2" type="noConversion"/>
  </si>
  <si>
    <r>
      <t>全年1</t>
    </r>
    <r>
      <rPr>
        <sz val="10"/>
        <rFont val="Times New Roman"/>
        <family val="1"/>
      </rPr>
      <t>~12</t>
    </r>
    <phoneticPr fontId="2" type="noConversion"/>
  </si>
  <si>
    <r>
      <t>3</t>
    </r>
    <r>
      <rPr>
        <sz val="10"/>
        <rFont val="宋体"/>
        <family val="3"/>
        <charset val="134"/>
      </rPr>
      <t>月</t>
    </r>
    <phoneticPr fontId="2" type="noConversion"/>
  </si>
  <si>
    <r>
      <t>4</t>
    </r>
    <r>
      <rPr>
        <sz val="10"/>
        <rFont val="宋体"/>
        <family val="3"/>
        <charset val="134"/>
      </rPr>
      <t>月</t>
    </r>
    <phoneticPr fontId="2" type="noConversion"/>
  </si>
  <si>
    <r>
      <t>5</t>
    </r>
    <r>
      <rPr>
        <sz val="10"/>
        <rFont val="宋体"/>
        <family val="3"/>
        <charset val="134"/>
      </rPr>
      <t>月</t>
    </r>
    <phoneticPr fontId="2" type="noConversion"/>
  </si>
  <si>
    <r>
      <t>6</t>
    </r>
    <r>
      <rPr>
        <sz val="10"/>
        <rFont val="宋体"/>
        <family val="3"/>
        <charset val="134"/>
      </rPr>
      <t>月</t>
    </r>
    <phoneticPr fontId="2" type="noConversion"/>
  </si>
  <si>
    <r>
      <t>10</t>
    </r>
    <r>
      <rPr>
        <sz val="10"/>
        <rFont val="宋体"/>
        <family val="3"/>
        <charset val="134"/>
      </rPr>
      <t>月</t>
    </r>
    <phoneticPr fontId="2" type="noConversion"/>
  </si>
  <si>
    <r>
      <t>11</t>
    </r>
    <r>
      <rPr>
        <sz val="10"/>
        <rFont val="宋体"/>
        <family val="3"/>
        <charset val="134"/>
      </rPr>
      <t>月</t>
    </r>
    <phoneticPr fontId="2" type="noConversion"/>
  </si>
  <si>
    <r>
      <t>12</t>
    </r>
    <r>
      <rPr>
        <sz val="10"/>
        <rFont val="宋体"/>
        <family val="3"/>
        <charset val="134"/>
      </rPr>
      <t>月</t>
    </r>
    <phoneticPr fontId="2" type="noConversion"/>
  </si>
  <si>
    <t>汛前</t>
    <phoneticPr fontId="2" type="noConversion"/>
  </si>
  <si>
    <t>汛期</t>
    <phoneticPr fontId="2" type="noConversion"/>
  </si>
  <si>
    <t>汛后</t>
    <phoneticPr fontId="2" type="noConversion"/>
  </si>
  <si>
    <t>全年</t>
    <phoneticPr fontId="2" type="noConversion"/>
  </si>
  <si>
    <r>
      <t>10</t>
    </r>
    <r>
      <rPr>
        <sz val="10"/>
        <rFont val="宋体"/>
        <family val="3"/>
        <charset val="134"/>
      </rPr>
      <t>月</t>
    </r>
    <phoneticPr fontId="2" type="noConversion"/>
  </si>
  <si>
    <t>全年</t>
    <phoneticPr fontId="2" type="noConversion"/>
  </si>
  <si>
    <t>3月</t>
  </si>
  <si>
    <t>4月</t>
  </si>
  <si>
    <t>5月</t>
  </si>
  <si>
    <t>6月</t>
  </si>
  <si>
    <t>10月</t>
  </si>
  <si>
    <t>11月</t>
  </si>
  <si>
    <t>12月</t>
  </si>
  <si>
    <t>汛前1~4</t>
    <phoneticPr fontId="2" type="noConversion"/>
  </si>
  <si>
    <t>汛期5~9</t>
    <phoneticPr fontId="2" type="noConversion"/>
  </si>
  <si>
    <t>汛后10~12</t>
    <phoneticPr fontId="2" type="noConversion"/>
  </si>
  <si>
    <t>全年1~12</t>
    <phoneticPr fontId="2" type="noConversion"/>
  </si>
  <si>
    <t>1月</t>
    <phoneticPr fontId="2" type="noConversion"/>
  </si>
  <si>
    <t>2月</t>
    <phoneticPr fontId="2" type="noConversion"/>
  </si>
  <si>
    <t>3月</t>
    <phoneticPr fontId="2" type="noConversion"/>
  </si>
  <si>
    <t>4月</t>
    <phoneticPr fontId="2" type="noConversion"/>
  </si>
  <si>
    <t>5月</t>
    <phoneticPr fontId="2" type="noConversion"/>
  </si>
  <si>
    <t>6月</t>
    <phoneticPr fontId="2" type="noConversion"/>
  </si>
  <si>
    <t>10月</t>
    <phoneticPr fontId="2" type="noConversion"/>
  </si>
  <si>
    <t>11月</t>
    <phoneticPr fontId="2" type="noConversion"/>
  </si>
  <si>
    <t>12月</t>
    <phoneticPr fontId="2" type="noConversion"/>
  </si>
  <si>
    <t>汛前</t>
    <phoneticPr fontId="2" type="noConversion"/>
  </si>
  <si>
    <t>汛期</t>
    <phoneticPr fontId="2" type="noConversion"/>
  </si>
  <si>
    <t>汛后</t>
    <phoneticPr fontId="2" type="noConversion"/>
  </si>
  <si>
    <t>全年</t>
    <phoneticPr fontId="2" type="noConversion"/>
  </si>
  <si>
    <t>汛前1~4</t>
    <phoneticPr fontId="2" type="noConversion"/>
  </si>
  <si>
    <t>汛期5~9</t>
    <phoneticPr fontId="2" type="noConversion"/>
  </si>
  <si>
    <t>汛后10~12</t>
    <phoneticPr fontId="2" type="noConversion"/>
  </si>
  <si>
    <t>全年1~12</t>
    <phoneticPr fontId="2" type="noConversion"/>
  </si>
  <si>
    <t>3月</t>
    <phoneticPr fontId="2" type="noConversion"/>
  </si>
  <si>
    <t>4月</t>
    <phoneticPr fontId="2" type="noConversion"/>
  </si>
  <si>
    <t>10月</t>
    <phoneticPr fontId="2" type="noConversion"/>
  </si>
  <si>
    <t>11月</t>
    <phoneticPr fontId="2" type="noConversion"/>
  </si>
  <si>
    <t>12月</t>
    <phoneticPr fontId="2" type="noConversion"/>
  </si>
  <si>
    <t>降水量(mm)</t>
    <phoneticPr fontId="2" type="noConversion"/>
  </si>
  <si>
    <t>年份</t>
    <phoneticPr fontId="2" type="noConversion"/>
  </si>
  <si>
    <t>月份</t>
    <phoneticPr fontId="2" type="noConversion"/>
  </si>
  <si>
    <t>总量</t>
    <phoneticPr fontId="2" type="noConversion"/>
  </si>
  <si>
    <t>降水量</t>
    <phoneticPr fontId="2" type="noConversion"/>
  </si>
  <si>
    <t>汛前</t>
    <phoneticPr fontId="2" type="noConversion"/>
  </si>
  <si>
    <t>汛期</t>
    <phoneticPr fontId="2" type="noConversion"/>
  </si>
  <si>
    <t>汛后</t>
    <phoneticPr fontId="2" type="noConversion"/>
  </si>
  <si>
    <t>全年</t>
    <phoneticPr fontId="2" type="noConversion"/>
  </si>
  <si>
    <t>降水量(mm)</t>
    <phoneticPr fontId="2" type="noConversion"/>
  </si>
  <si>
    <t>距平值(%)</t>
    <phoneticPr fontId="2" type="noConversion"/>
  </si>
  <si>
    <t>1月</t>
    <phoneticPr fontId="2" type="noConversion"/>
  </si>
  <si>
    <t>2月</t>
    <phoneticPr fontId="2" type="noConversion"/>
  </si>
  <si>
    <t>汛前1~4</t>
    <phoneticPr fontId="2" type="noConversion"/>
  </si>
  <si>
    <t>汛期5~9</t>
    <phoneticPr fontId="2" type="noConversion"/>
  </si>
  <si>
    <t>汛后10~12</t>
    <phoneticPr fontId="2" type="noConversion"/>
  </si>
  <si>
    <t>全年1~12</t>
    <phoneticPr fontId="2" type="noConversion"/>
  </si>
  <si>
    <t>3月</t>
    <phoneticPr fontId="2" type="noConversion"/>
  </si>
  <si>
    <t>4月</t>
    <phoneticPr fontId="2" type="noConversion"/>
  </si>
  <si>
    <t>5月</t>
    <phoneticPr fontId="2" type="noConversion"/>
  </si>
  <si>
    <t>6月</t>
    <phoneticPr fontId="2" type="noConversion"/>
  </si>
  <si>
    <t>10月</t>
    <phoneticPr fontId="2" type="noConversion"/>
  </si>
  <si>
    <t>11月</t>
    <phoneticPr fontId="2" type="noConversion"/>
  </si>
  <si>
    <t>12月</t>
    <phoneticPr fontId="2" type="noConversion"/>
  </si>
  <si>
    <t>石阡（二）站2012</t>
    <phoneticPr fontId="2" type="noConversion"/>
  </si>
  <si>
    <t>2011玉屏(崇滩)</t>
    <phoneticPr fontId="2" type="noConversion"/>
  </si>
  <si>
    <t>2011铜仁</t>
    <phoneticPr fontId="2" type="noConversion"/>
  </si>
  <si>
    <t>年份</t>
    <phoneticPr fontId="2" type="noConversion"/>
  </si>
  <si>
    <t>月份</t>
    <phoneticPr fontId="2" type="noConversion"/>
  </si>
  <si>
    <t>总量</t>
    <phoneticPr fontId="2" type="noConversion"/>
  </si>
  <si>
    <t>降水量</t>
    <phoneticPr fontId="2" type="noConversion"/>
  </si>
  <si>
    <t>汛前</t>
    <phoneticPr fontId="2" type="noConversion"/>
  </si>
  <si>
    <t>汛期</t>
    <phoneticPr fontId="2" type="noConversion"/>
  </si>
  <si>
    <t>汛后</t>
    <phoneticPr fontId="2" type="noConversion"/>
  </si>
  <si>
    <t>全年</t>
    <phoneticPr fontId="2" type="noConversion"/>
  </si>
  <si>
    <t>降水量(mm)</t>
    <phoneticPr fontId="2" type="noConversion"/>
  </si>
  <si>
    <t>距平值(%)</t>
    <phoneticPr fontId="2" type="noConversion"/>
  </si>
  <si>
    <t>1月</t>
    <phoneticPr fontId="2" type="noConversion"/>
  </si>
  <si>
    <t>2月</t>
    <phoneticPr fontId="2" type="noConversion"/>
  </si>
  <si>
    <t>汛前1~4</t>
    <phoneticPr fontId="2" type="noConversion"/>
  </si>
  <si>
    <t>汛期5~9</t>
    <phoneticPr fontId="2" type="noConversion"/>
  </si>
  <si>
    <t>汛后10~12</t>
    <phoneticPr fontId="2" type="noConversion"/>
  </si>
  <si>
    <t>全年1~12</t>
    <phoneticPr fontId="2" type="noConversion"/>
  </si>
  <si>
    <t>3月</t>
    <phoneticPr fontId="2" type="noConversion"/>
  </si>
  <si>
    <t>4月</t>
    <phoneticPr fontId="2" type="noConversion"/>
  </si>
  <si>
    <t>5月</t>
    <phoneticPr fontId="2" type="noConversion"/>
  </si>
  <si>
    <t>6月</t>
    <phoneticPr fontId="2" type="noConversion"/>
  </si>
  <si>
    <t>10月</t>
    <phoneticPr fontId="2" type="noConversion"/>
  </si>
  <si>
    <t>11月</t>
    <phoneticPr fontId="2" type="noConversion"/>
  </si>
  <si>
    <t>12月</t>
    <phoneticPr fontId="2" type="noConversion"/>
  </si>
  <si>
    <t>毕节2007</t>
    <phoneticPr fontId="2" type="noConversion"/>
  </si>
  <si>
    <t>年份</t>
    <phoneticPr fontId="2" type="noConversion"/>
  </si>
  <si>
    <t>月份</t>
    <phoneticPr fontId="2" type="noConversion"/>
  </si>
  <si>
    <t>总量</t>
    <phoneticPr fontId="2" type="noConversion"/>
  </si>
  <si>
    <t>降水量</t>
    <phoneticPr fontId="2" type="noConversion"/>
  </si>
  <si>
    <t>汛前</t>
    <phoneticPr fontId="2" type="noConversion"/>
  </si>
  <si>
    <t>汛期</t>
    <phoneticPr fontId="2" type="noConversion"/>
  </si>
  <si>
    <t>汛后</t>
    <phoneticPr fontId="2" type="noConversion"/>
  </si>
  <si>
    <t>全年</t>
    <phoneticPr fontId="2" type="noConversion"/>
  </si>
  <si>
    <t>汛前</t>
    <phoneticPr fontId="2" type="noConversion"/>
  </si>
  <si>
    <t>汛后</t>
    <phoneticPr fontId="2" type="noConversion"/>
  </si>
  <si>
    <t>降水量(mm)</t>
    <phoneticPr fontId="2" type="noConversion"/>
  </si>
  <si>
    <t>距平值(%)</t>
    <phoneticPr fontId="2" type="noConversion"/>
  </si>
  <si>
    <t>1月</t>
    <phoneticPr fontId="2" type="noConversion"/>
  </si>
  <si>
    <t>2月</t>
    <phoneticPr fontId="2" type="noConversion"/>
  </si>
  <si>
    <t>汛前1~4</t>
    <phoneticPr fontId="2" type="noConversion"/>
  </si>
  <si>
    <t>汛期5~9</t>
    <phoneticPr fontId="2" type="noConversion"/>
  </si>
  <si>
    <t>汛后10~12</t>
    <phoneticPr fontId="2" type="noConversion"/>
  </si>
  <si>
    <t>全年1~12</t>
    <phoneticPr fontId="2" type="noConversion"/>
  </si>
  <si>
    <t>3月</t>
    <phoneticPr fontId="2" type="noConversion"/>
  </si>
  <si>
    <t>4月</t>
    <phoneticPr fontId="2" type="noConversion"/>
  </si>
  <si>
    <t>5月</t>
    <phoneticPr fontId="2" type="noConversion"/>
  </si>
  <si>
    <t>6月</t>
    <phoneticPr fontId="2" type="noConversion"/>
  </si>
  <si>
    <t>10月</t>
    <phoneticPr fontId="2" type="noConversion"/>
  </si>
  <si>
    <t>11月</t>
    <phoneticPr fontId="2" type="noConversion"/>
  </si>
  <si>
    <t>12月</t>
    <phoneticPr fontId="2" type="noConversion"/>
  </si>
  <si>
    <t>降水量(mm)</t>
    <phoneticPr fontId="2" type="noConversion"/>
  </si>
  <si>
    <t>1月</t>
    <phoneticPr fontId="2" type="noConversion"/>
  </si>
  <si>
    <t>2月</t>
    <phoneticPr fontId="2" type="noConversion"/>
  </si>
  <si>
    <t>汛前1~4</t>
    <phoneticPr fontId="2" type="noConversion"/>
  </si>
  <si>
    <t>汛期5~9</t>
    <phoneticPr fontId="2" type="noConversion"/>
  </si>
  <si>
    <t>汛后10~12</t>
    <phoneticPr fontId="2" type="noConversion"/>
  </si>
  <si>
    <t>全年1~12</t>
    <phoneticPr fontId="2" type="noConversion"/>
  </si>
  <si>
    <t>3月</t>
    <phoneticPr fontId="2" type="noConversion"/>
  </si>
  <si>
    <t>4月</t>
    <phoneticPr fontId="2" type="noConversion"/>
  </si>
  <si>
    <t>5月</t>
    <phoneticPr fontId="2" type="noConversion"/>
  </si>
  <si>
    <t>6月</t>
    <phoneticPr fontId="2" type="noConversion"/>
  </si>
  <si>
    <t>10月</t>
    <phoneticPr fontId="2" type="noConversion"/>
  </si>
  <si>
    <t>11月</t>
    <phoneticPr fontId="2" type="noConversion"/>
  </si>
  <si>
    <t>12月</t>
    <phoneticPr fontId="2" type="noConversion"/>
  </si>
  <si>
    <t>均值</t>
  </si>
  <si>
    <t>`</t>
    <phoneticPr fontId="2" type="noConversion"/>
  </si>
  <si>
    <t xml:space="preserve"> </t>
    <phoneticPr fontId="2" type="noConversion"/>
  </si>
</sst>
</file>

<file path=xl/styles.xml><?xml version="1.0" encoding="utf-8"?>
<styleSheet xmlns="http://schemas.openxmlformats.org/spreadsheetml/2006/main">
  <numFmts count="5">
    <numFmt numFmtId="176" formatCode="0.0_ "/>
    <numFmt numFmtId="177" formatCode="0.0_);[Red]\(0.0\)"/>
    <numFmt numFmtId="178" formatCode="0_ "/>
    <numFmt numFmtId="179" formatCode="0.00_ "/>
    <numFmt numFmtId="180" formatCode="0;_ࠀ"/>
  </numFmts>
  <fonts count="36">
    <font>
      <sz val="12"/>
      <name val="宋体"/>
      <charset val="134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10"/>
      <name val="Times New Roman"/>
      <family val="1"/>
    </font>
    <font>
      <sz val="12"/>
      <name val="宋体"/>
      <family val="3"/>
      <charset val="134"/>
    </font>
    <font>
      <sz val="10"/>
      <color indexed="8"/>
      <name val="Times New Roman"/>
      <family val="1"/>
    </font>
    <font>
      <sz val="12"/>
      <name val="宋体"/>
      <family val="3"/>
      <charset val="134"/>
    </font>
    <font>
      <sz val="10"/>
      <color rgb="FFFF0000"/>
      <name val="Times New Roman"/>
      <family val="1"/>
    </font>
    <font>
      <sz val="12"/>
      <color rgb="FFFF0000"/>
      <name val="宋体"/>
      <family val="3"/>
      <charset val="134"/>
    </font>
    <font>
      <sz val="10"/>
      <color rgb="FFFF0000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  <font>
      <sz val="10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0"/>
      <color rgb="FF000000"/>
      <name val="宋体"/>
      <family val="3"/>
      <charset val="134"/>
      <scheme val="minor"/>
    </font>
    <font>
      <sz val="11"/>
      <color indexed="9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63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8"/>
      <name val="宋体"/>
      <family val="3"/>
      <charset val="134"/>
    </font>
    <font>
      <b/>
      <sz val="18"/>
      <color indexed="56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5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62"/>
      <name val="宋体"/>
      <family val="3"/>
      <charset val="134"/>
    </font>
    <font>
      <b/>
      <sz val="11"/>
      <color indexed="9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10"/>
      <name val="宋体"/>
      <family val="3"/>
      <charset val="134"/>
    </font>
    <font>
      <i/>
      <sz val="11"/>
      <color indexed="23"/>
      <name val="宋体"/>
      <family val="3"/>
      <charset val="134"/>
    </font>
    <font>
      <b/>
      <sz val="11"/>
      <color indexed="52"/>
      <name val="宋体"/>
      <family val="3"/>
      <charset val="134"/>
    </font>
    <font>
      <sz val="11"/>
      <color indexed="17"/>
      <name val="宋体"/>
      <family val="3"/>
      <charset val="134"/>
    </font>
    <font>
      <sz val="11"/>
      <color indexed="52"/>
      <name val="宋体"/>
      <family val="3"/>
      <charset val="134"/>
    </font>
    <font>
      <sz val="16"/>
      <name val="宋体"/>
      <family val="3"/>
      <charset val="134"/>
    </font>
  </fonts>
  <fills count="26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6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475">
    <xf numFmtId="0" fontId="0" fillId="0" borderId="0"/>
    <xf numFmtId="0" fontId="7" fillId="0" borderId="0">
      <alignment vertical="center"/>
    </xf>
    <xf numFmtId="0" fontId="5" fillId="0" borderId="0"/>
    <xf numFmtId="0" fontId="5" fillId="0" borderId="0"/>
    <xf numFmtId="0" fontId="5" fillId="0" borderId="0"/>
    <xf numFmtId="0" fontId="15" fillId="0" borderId="0"/>
    <xf numFmtId="0" fontId="5" fillId="0" borderId="0"/>
    <xf numFmtId="0" fontId="22" fillId="6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0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2" borderId="0" applyNumberFormat="0" applyBorder="0" applyAlignment="0" applyProtection="0">
      <alignment vertical="center"/>
    </xf>
    <xf numFmtId="0" fontId="22" fillId="13" borderId="0" applyNumberFormat="0" applyBorder="0" applyAlignment="0" applyProtection="0">
      <alignment vertical="center"/>
    </xf>
    <xf numFmtId="0" fontId="22" fillId="14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2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5" fillId="0" borderId="9" applyNumberFormat="0" applyFill="0" applyAlignment="0" applyProtection="0">
      <alignment vertical="center"/>
    </xf>
    <xf numFmtId="0" fontId="19" fillId="0" borderId="10" applyNumberFormat="0" applyFill="0" applyAlignment="0" applyProtection="0">
      <alignment vertical="center"/>
    </xf>
    <xf numFmtId="0" fontId="21" fillId="0" borderId="11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33" fillId="8" borderId="0" applyNumberFormat="0" applyBorder="0" applyAlignment="0" applyProtection="0">
      <alignment vertical="center"/>
    </xf>
    <xf numFmtId="0" fontId="29" fillId="0" borderId="12" applyNumberFormat="0" applyFill="0" applyAlignment="0" applyProtection="0">
      <alignment vertical="center"/>
    </xf>
    <xf numFmtId="0" fontId="32" fillId="20" borderId="13" applyNumberFormat="0" applyAlignment="0" applyProtection="0">
      <alignment vertical="center"/>
    </xf>
    <xf numFmtId="0" fontId="28" fillId="21" borderId="14" applyNumberFormat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4" fillId="0" borderId="15" applyNumberFormat="0" applyFill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0" fillId="20" borderId="16" applyNumberFormat="0" applyAlignment="0" applyProtection="0">
      <alignment vertical="center"/>
    </xf>
    <xf numFmtId="0" fontId="27" fillId="11" borderId="13" applyNumberFormat="0" applyAlignment="0" applyProtection="0">
      <alignment vertical="center"/>
    </xf>
    <xf numFmtId="0" fontId="5" fillId="25" borderId="17" applyNumberFormat="0" applyFont="0" applyAlignment="0" applyProtection="0">
      <alignment vertical="center"/>
    </xf>
    <xf numFmtId="0" fontId="22" fillId="6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0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2" borderId="0" applyNumberFormat="0" applyBorder="0" applyAlignment="0" applyProtection="0">
      <alignment vertical="center"/>
    </xf>
    <xf numFmtId="0" fontId="22" fillId="13" borderId="0" applyNumberFormat="0" applyBorder="0" applyAlignment="0" applyProtection="0">
      <alignment vertical="center"/>
    </xf>
    <xf numFmtId="0" fontId="22" fillId="14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2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5" fillId="0" borderId="9" applyNumberFormat="0" applyFill="0" applyAlignment="0" applyProtection="0">
      <alignment vertical="center"/>
    </xf>
    <xf numFmtId="0" fontId="19" fillId="0" borderId="10" applyNumberFormat="0" applyFill="0" applyAlignment="0" applyProtection="0">
      <alignment vertical="center"/>
    </xf>
    <xf numFmtId="0" fontId="21" fillId="0" borderId="11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5" fillId="0" borderId="0"/>
    <xf numFmtId="0" fontId="22" fillId="7" borderId="0" applyNumberFormat="0" applyBorder="0" applyAlignment="0" applyProtection="0">
      <alignment vertical="center"/>
    </xf>
    <xf numFmtId="0" fontId="22" fillId="6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29" fillId="0" borderId="12" applyNumberFormat="0" applyFill="0" applyAlignment="0" applyProtection="0">
      <alignment vertical="center"/>
    </xf>
    <xf numFmtId="0" fontId="32" fillId="20" borderId="13" applyNumberFormat="0" applyAlignment="0" applyProtection="0">
      <alignment vertical="center"/>
    </xf>
    <xf numFmtId="0" fontId="28" fillId="21" borderId="14" applyNumberFormat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4" fillId="0" borderId="15" applyNumberFormat="0" applyFill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0" fillId="20" borderId="16" applyNumberFormat="0" applyAlignment="0" applyProtection="0">
      <alignment vertical="center"/>
    </xf>
    <xf numFmtId="0" fontId="27" fillId="11" borderId="13" applyNumberFormat="0" applyAlignment="0" applyProtection="0">
      <alignment vertical="center"/>
    </xf>
    <xf numFmtId="0" fontId="5" fillId="25" borderId="17" applyNumberFormat="0" applyFont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0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2" borderId="0" applyNumberFormat="0" applyBorder="0" applyAlignment="0" applyProtection="0">
      <alignment vertical="center"/>
    </xf>
    <xf numFmtId="0" fontId="22" fillId="13" borderId="0" applyNumberFormat="0" applyBorder="0" applyAlignment="0" applyProtection="0">
      <alignment vertical="center"/>
    </xf>
    <xf numFmtId="0" fontId="22" fillId="14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2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5" fillId="0" borderId="9" applyNumberFormat="0" applyFill="0" applyAlignment="0" applyProtection="0">
      <alignment vertical="center"/>
    </xf>
    <xf numFmtId="0" fontId="19" fillId="0" borderId="10" applyNumberFormat="0" applyFill="0" applyAlignment="0" applyProtection="0">
      <alignment vertical="center"/>
    </xf>
    <xf numFmtId="0" fontId="21" fillId="0" borderId="11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5" fillId="0" borderId="0"/>
    <xf numFmtId="0" fontId="22" fillId="7" borderId="0" applyNumberFormat="0" applyBorder="0" applyAlignment="0" applyProtection="0">
      <alignment vertical="center"/>
    </xf>
    <xf numFmtId="0" fontId="22" fillId="6" borderId="0" applyNumberFormat="0" applyBorder="0" applyAlignment="0" applyProtection="0">
      <alignment vertical="center"/>
    </xf>
    <xf numFmtId="0" fontId="33" fillId="8" borderId="0" applyNumberFormat="0" applyBorder="0" applyAlignment="0" applyProtection="0">
      <alignment vertical="center"/>
    </xf>
    <xf numFmtId="0" fontId="29" fillId="0" borderId="12" applyNumberFormat="0" applyFill="0" applyAlignment="0" applyProtection="0">
      <alignment vertical="center"/>
    </xf>
    <xf numFmtId="0" fontId="32" fillId="20" borderId="13" applyNumberFormat="0" applyAlignment="0" applyProtection="0">
      <alignment vertical="center"/>
    </xf>
    <xf numFmtId="0" fontId="28" fillId="21" borderId="14" applyNumberFormat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4" fillId="0" borderId="15" applyNumberFormat="0" applyFill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0" fillId="20" borderId="16" applyNumberFormat="0" applyAlignment="0" applyProtection="0">
      <alignment vertical="center"/>
    </xf>
    <xf numFmtId="0" fontId="27" fillId="11" borderId="13" applyNumberFormat="0" applyAlignment="0" applyProtection="0">
      <alignment vertical="center"/>
    </xf>
    <xf numFmtId="0" fontId="5" fillId="25" borderId="17" applyNumberFormat="0" applyFont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0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2" borderId="0" applyNumberFormat="0" applyBorder="0" applyAlignment="0" applyProtection="0">
      <alignment vertical="center"/>
    </xf>
    <xf numFmtId="0" fontId="22" fillId="13" borderId="0" applyNumberFormat="0" applyBorder="0" applyAlignment="0" applyProtection="0">
      <alignment vertical="center"/>
    </xf>
    <xf numFmtId="0" fontId="22" fillId="14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2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5" fillId="0" borderId="9" applyNumberFormat="0" applyFill="0" applyAlignment="0" applyProtection="0">
      <alignment vertical="center"/>
    </xf>
    <xf numFmtId="0" fontId="19" fillId="0" borderId="10" applyNumberFormat="0" applyFill="0" applyAlignment="0" applyProtection="0">
      <alignment vertical="center"/>
    </xf>
    <xf numFmtId="0" fontId="21" fillId="0" borderId="11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5" fillId="0" borderId="0"/>
    <xf numFmtId="0" fontId="5" fillId="0" borderId="0"/>
    <xf numFmtId="0" fontId="33" fillId="8" borderId="0" applyNumberFormat="0" applyBorder="0" applyAlignment="0" applyProtection="0">
      <alignment vertical="center"/>
    </xf>
    <xf numFmtId="0" fontId="29" fillId="0" borderId="12" applyNumberFormat="0" applyFill="0" applyAlignment="0" applyProtection="0">
      <alignment vertical="center"/>
    </xf>
    <xf numFmtId="0" fontId="32" fillId="20" borderId="13" applyNumberFormat="0" applyAlignment="0" applyProtection="0">
      <alignment vertical="center"/>
    </xf>
    <xf numFmtId="0" fontId="28" fillId="21" borderId="14" applyNumberFormat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4" fillId="0" borderId="15" applyNumberFormat="0" applyFill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0" fillId="20" borderId="16" applyNumberFormat="0" applyAlignment="0" applyProtection="0">
      <alignment vertical="center"/>
    </xf>
    <xf numFmtId="0" fontId="27" fillId="11" borderId="13" applyNumberFormat="0" applyAlignment="0" applyProtection="0">
      <alignment vertical="center"/>
    </xf>
    <xf numFmtId="0" fontId="5" fillId="25" borderId="17" applyNumberFormat="0" applyFont="0" applyAlignment="0" applyProtection="0">
      <alignment vertical="center"/>
    </xf>
    <xf numFmtId="0" fontId="5" fillId="0" borderId="0"/>
    <xf numFmtId="0" fontId="22" fillId="6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0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2" borderId="0" applyNumberFormat="0" applyBorder="0" applyAlignment="0" applyProtection="0">
      <alignment vertical="center"/>
    </xf>
    <xf numFmtId="0" fontId="22" fillId="13" borderId="0" applyNumberFormat="0" applyBorder="0" applyAlignment="0" applyProtection="0">
      <alignment vertical="center"/>
    </xf>
    <xf numFmtId="0" fontId="22" fillId="14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2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5" fillId="0" borderId="9" applyNumberFormat="0" applyFill="0" applyAlignment="0" applyProtection="0">
      <alignment vertical="center"/>
    </xf>
    <xf numFmtId="0" fontId="19" fillId="0" borderId="10" applyNumberFormat="0" applyFill="0" applyAlignment="0" applyProtection="0">
      <alignment vertical="center"/>
    </xf>
    <xf numFmtId="0" fontId="21" fillId="0" borderId="11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5" fillId="0" borderId="0"/>
    <xf numFmtId="0" fontId="22" fillId="7" borderId="0" applyNumberFormat="0" applyBorder="0" applyAlignment="0" applyProtection="0">
      <alignment vertical="center"/>
    </xf>
    <xf numFmtId="0" fontId="22" fillId="6" borderId="0" applyNumberFormat="0" applyBorder="0" applyAlignment="0" applyProtection="0">
      <alignment vertical="center"/>
    </xf>
    <xf numFmtId="0" fontId="5" fillId="0" borderId="0"/>
    <xf numFmtId="0" fontId="33" fillId="8" borderId="0" applyNumberFormat="0" applyBorder="0" applyAlignment="0" applyProtection="0">
      <alignment vertical="center"/>
    </xf>
    <xf numFmtId="0" fontId="29" fillId="0" borderId="12" applyNumberFormat="0" applyFill="0" applyAlignment="0" applyProtection="0">
      <alignment vertical="center"/>
    </xf>
    <xf numFmtId="0" fontId="32" fillId="20" borderId="13" applyNumberFormat="0" applyAlignment="0" applyProtection="0">
      <alignment vertical="center"/>
    </xf>
    <xf numFmtId="0" fontId="28" fillId="21" borderId="14" applyNumberFormat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4" fillId="0" borderId="15" applyNumberFormat="0" applyFill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0" fillId="20" borderId="16" applyNumberFormat="0" applyAlignment="0" applyProtection="0">
      <alignment vertical="center"/>
    </xf>
    <xf numFmtId="0" fontId="27" fillId="11" borderId="13" applyNumberFormat="0" applyAlignment="0" applyProtection="0">
      <alignment vertical="center"/>
    </xf>
    <xf numFmtId="0" fontId="5" fillId="25" borderId="17" applyNumberFormat="0" applyFont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0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2" borderId="0" applyNumberFormat="0" applyBorder="0" applyAlignment="0" applyProtection="0">
      <alignment vertical="center"/>
    </xf>
    <xf numFmtId="0" fontId="22" fillId="13" borderId="0" applyNumberFormat="0" applyBorder="0" applyAlignment="0" applyProtection="0">
      <alignment vertical="center"/>
    </xf>
    <xf numFmtId="0" fontId="22" fillId="14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2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5" fillId="0" borderId="9" applyNumberFormat="0" applyFill="0" applyAlignment="0" applyProtection="0">
      <alignment vertical="center"/>
    </xf>
    <xf numFmtId="0" fontId="19" fillId="0" borderId="10" applyNumberFormat="0" applyFill="0" applyAlignment="0" applyProtection="0">
      <alignment vertical="center"/>
    </xf>
    <xf numFmtId="0" fontId="21" fillId="0" borderId="11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5" fillId="0" borderId="0"/>
    <xf numFmtId="0" fontId="22" fillId="7" borderId="0" applyNumberFormat="0" applyBorder="0" applyAlignment="0" applyProtection="0">
      <alignment vertical="center"/>
    </xf>
    <xf numFmtId="0" fontId="22" fillId="6" borderId="0" applyNumberFormat="0" applyBorder="0" applyAlignment="0" applyProtection="0">
      <alignment vertical="center"/>
    </xf>
    <xf numFmtId="0" fontId="5" fillId="0" borderId="0"/>
    <xf numFmtId="0" fontId="33" fillId="8" borderId="0" applyNumberFormat="0" applyBorder="0" applyAlignment="0" applyProtection="0">
      <alignment vertical="center"/>
    </xf>
    <xf numFmtId="0" fontId="29" fillId="0" borderId="12" applyNumberFormat="0" applyFill="0" applyAlignment="0" applyProtection="0">
      <alignment vertical="center"/>
    </xf>
    <xf numFmtId="0" fontId="32" fillId="20" borderId="13" applyNumberFormat="0" applyAlignment="0" applyProtection="0">
      <alignment vertical="center"/>
    </xf>
    <xf numFmtId="0" fontId="28" fillId="21" borderId="14" applyNumberFormat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4" fillId="0" borderId="15" applyNumberFormat="0" applyFill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0" fillId="20" borderId="16" applyNumberFormat="0" applyAlignment="0" applyProtection="0">
      <alignment vertical="center"/>
    </xf>
    <xf numFmtId="0" fontId="27" fillId="11" borderId="13" applyNumberFormat="0" applyAlignment="0" applyProtection="0">
      <alignment vertical="center"/>
    </xf>
    <xf numFmtId="0" fontId="5" fillId="25" borderId="17" applyNumberFormat="0" applyFont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0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2" borderId="0" applyNumberFormat="0" applyBorder="0" applyAlignment="0" applyProtection="0">
      <alignment vertical="center"/>
    </xf>
    <xf numFmtId="0" fontId="22" fillId="13" borderId="0" applyNumberFormat="0" applyBorder="0" applyAlignment="0" applyProtection="0">
      <alignment vertical="center"/>
    </xf>
    <xf numFmtId="0" fontId="22" fillId="14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2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5" fillId="0" borderId="9" applyNumberFormat="0" applyFill="0" applyAlignment="0" applyProtection="0">
      <alignment vertical="center"/>
    </xf>
    <xf numFmtId="0" fontId="19" fillId="0" borderId="10" applyNumberFormat="0" applyFill="0" applyAlignment="0" applyProtection="0">
      <alignment vertical="center"/>
    </xf>
    <xf numFmtId="0" fontId="21" fillId="0" borderId="11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5" fillId="0" borderId="0"/>
    <xf numFmtId="0" fontId="33" fillId="8" borderId="0" applyNumberFormat="0" applyBorder="0" applyAlignment="0" applyProtection="0">
      <alignment vertical="center"/>
    </xf>
    <xf numFmtId="0" fontId="29" fillId="0" borderId="12" applyNumberFormat="0" applyFill="0" applyAlignment="0" applyProtection="0">
      <alignment vertical="center"/>
    </xf>
    <xf numFmtId="0" fontId="32" fillId="20" borderId="13" applyNumberFormat="0" applyAlignment="0" applyProtection="0">
      <alignment vertical="center"/>
    </xf>
    <xf numFmtId="0" fontId="28" fillId="21" borderId="14" applyNumberFormat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4" fillId="0" borderId="15" applyNumberFormat="0" applyFill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0" fillId="20" borderId="16" applyNumberFormat="0" applyAlignment="0" applyProtection="0">
      <alignment vertical="center"/>
    </xf>
    <xf numFmtId="0" fontId="27" fillId="11" borderId="13" applyNumberFormat="0" applyAlignment="0" applyProtection="0">
      <alignment vertical="center"/>
    </xf>
    <xf numFmtId="0" fontId="5" fillId="25" borderId="17" applyNumberFormat="0" applyFont="0" applyAlignment="0" applyProtection="0">
      <alignment vertical="center"/>
    </xf>
    <xf numFmtId="0" fontId="5" fillId="0" borderId="0"/>
    <xf numFmtId="0" fontId="22" fillId="6" borderId="0" applyNumberFormat="0" applyBorder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0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2" borderId="0" applyNumberFormat="0" applyBorder="0" applyAlignment="0" applyProtection="0">
      <alignment vertical="center"/>
    </xf>
    <xf numFmtId="0" fontId="22" fillId="13" borderId="0" applyNumberFormat="0" applyBorder="0" applyAlignment="0" applyProtection="0">
      <alignment vertical="center"/>
    </xf>
    <xf numFmtId="0" fontId="22" fillId="14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2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5" fillId="0" borderId="9" applyNumberFormat="0" applyFill="0" applyAlignment="0" applyProtection="0">
      <alignment vertical="center"/>
    </xf>
    <xf numFmtId="0" fontId="19" fillId="0" borderId="10" applyNumberFormat="0" applyFill="0" applyAlignment="0" applyProtection="0">
      <alignment vertical="center"/>
    </xf>
    <xf numFmtId="0" fontId="21" fillId="0" borderId="11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5" fillId="0" borderId="0"/>
    <xf numFmtId="0" fontId="22" fillId="7" borderId="0" applyNumberFormat="0" applyBorder="0" applyAlignment="0" applyProtection="0">
      <alignment vertical="center"/>
    </xf>
    <xf numFmtId="0" fontId="22" fillId="6" borderId="0" applyNumberFormat="0" applyBorder="0" applyAlignment="0" applyProtection="0">
      <alignment vertical="center"/>
    </xf>
    <xf numFmtId="0" fontId="5" fillId="0" borderId="0"/>
    <xf numFmtId="0" fontId="33" fillId="8" borderId="0" applyNumberFormat="0" applyBorder="0" applyAlignment="0" applyProtection="0">
      <alignment vertical="center"/>
    </xf>
    <xf numFmtId="0" fontId="29" fillId="0" borderId="12" applyNumberFormat="0" applyFill="0" applyAlignment="0" applyProtection="0">
      <alignment vertical="center"/>
    </xf>
    <xf numFmtId="0" fontId="32" fillId="20" borderId="13" applyNumberFormat="0" applyAlignment="0" applyProtection="0">
      <alignment vertical="center"/>
    </xf>
    <xf numFmtId="0" fontId="28" fillId="21" borderId="14" applyNumberFormat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4" fillId="0" borderId="15" applyNumberFormat="0" applyFill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0" fillId="20" borderId="16" applyNumberFormat="0" applyAlignment="0" applyProtection="0">
      <alignment vertical="center"/>
    </xf>
    <xf numFmtId="0" fontId="27" fillId="11" borderId="13" applyNumberFormat="0" applyAlignment="0" applyProtection="0">
      <alignment vertical="center"/>
    </xf>
    <xf numFmtId="0" fontId="5" fillId="25" borderId="17" applyNumberFormat="0" applyFont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0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2" borderId="0" applyNumberFormat="0" applyBorder="0" applyAlignment="0" applyProtection="0">
      <alignment vertical="center"/>
    </xf>
    <xf numFmtId="0" fontId="22" fillId="13" borderId="0" applyNumberFormat="0" applyBorder="0" applyAlignment="0" applyProtection="0">
      <alignment vertical="center"/>
    </xf>
    <xf numFmtId="0" fontId="22" fillId="14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2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5" fillId="0" borderId="9" applyNumberFormat="0" applyFill="0" applyAlignment="0" applyProtection="0">
      <alignment vertical="center"/>
    </xf>
    <xf numFmtId="0" fontId="19" fillId="0" borderId="10" applyNumberFormat="0" applyFill="0" applyAlignment="0" applyProtection="0">
      <alignment vertical="center"/>
    </xf>
    <xf numFmtId="0" fontId="21" fillId="0" borderId="11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5" fillId="0" borderId="0"/>
    <xf numFmtId="0" fontId="22" fillId="6" borderId="0" applyNumberFormat="0" applyBorder="0" applyAlignment="0" applyProtection="0">
      <alignment vertical="center"/>
    </xf>
    <xf numFmtId="0" fontId="5" fillId="0" borderId="0"/>
    <xf numFmtId="0" fontId="33" fillId="8" borderId="0" applyNumberFormat="0" applyBorder="0" applyAlignment="0" applyProtection="0">
      <alignment vertical="center"/>
    </xf>
    <xf numFmtId="0" fontId="29" fillId="0" borderId="12" applyNumberFormat="0" applyFill="0" applyAlignment="0" applyProtection="0">
      <alignment vertical="center"/>
    </xf>
    <xf numFmtId="0" fontId="32" fillId="20" borderId="13" applyNumberFormat="0" applyAlignment="0" applyProtection="0">
      <alignment vertical="center"/>
    </xf>
    <xf numFmtId="0" fontId="28" fillId="21" borderId="14" applyNumberFormat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4" fillId="0" borderId="15" applyNumberFormat="0" applyFill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0" fillId="20" borderId="16" applyNumberFormat="0" applyAlignment="0" applyProtection="0">
      <alignment vertical="center"/>
    </xf>
    <xf numFmtId="0" fontId="27" fillId="11" borderId="13" applyNumberFormat="0" applyAlignment="0" applyProtection="0">
      <alignment vertical="center"/>
    </xf>
    <xf numFmtId="0" fontId="5" fillId="25" borderId="17" applyNumberFormat="0" applyFont="0" applyAlignment="0" applyProtection="0">
      <alignment vertical="center"/>
    </xf>
    <xf numFmtId="0" fontId="22" fillId="7" borderId="0" applyNumberFormat="0" applyBorder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0" borderId="0" applyNumberFormat="0" applyBorder="0" applyAlignment="0" applyProtection="0">
      <alignment vertical="center"/>
    </xf>
    <xf numFmtId="0" fontId="22" fillId="11" borderId="0" applyNumberFormat="0" applyBorder="0" applyAlignment="0" applyProtection="0">
      <alignment vertical="center"/>
    </xf>
    <xf numFmtId="0" fontId="22" fillId="12" borderId="0" applyNumberFormat="0" applyBorder="0" applyAlignment="0" applyProtection="0">
      <alignment vertical="center"/>
    </xf>
    <xf numFmtId="0" fontId="22" fillId="13" borderId="0" applyNumberFormat="0" applyBorder="0" applyAlignment="0" applyProtection="0">
      <alignment vertical="center"/>
    </xf>
    <xf numFmtId="0" fontId="22" fillId="14" borderId="0" applyNumberFormat="0" applyBorder="0" applyAlignment="0" applyProtection="0">
      <alignment vertical="center"/>
    </xf>
    <xf numFmtId="0" fontId="22" fillId="9" borderId="0" applyNumberFormat="0" applyBorder="0" applyAlignment="0" applyProtection="0">
      <alignment vertical="center"/>
    </xf>
    <xf numFmtId="0" fontId="22" fillId="12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18" fillId="19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5" fillId="0" borderId="9" applyNumberFormat="0" applyFill="0" applyAlignment="0" applyProtection="0">
      <alignment vertical="center"/>
    </xf>
    <xf numFmtId="0" fontId="19" fillId="0" borderId="10" applyNumberFormat="0" applyFill="0" applyAlignment="0" applyProtection="0">
      <alignment vertical="center"/>
    </xf>
    <xf numFmtId="0" fontId="21" fillId="0" borderId="11" applyNumberFormat="0" applyFill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5" fillId="0" borderId="0"/>
    <xf numFmtId="0" fontId="33" fillId="8" borderId="0" applyNumberFormat="0" applyBorder="0" applyAlignment="0" applyProtection="0">
      <alignment vertical="center"/>
    </xf>
    <xf numFmtId="0" fontId="29" fillId="0" borderId="12" applyNumberFormat="0" applyFill="0" applyAlignment="0" applyProtection="0">
      <alignment vertical="center"/>
    </xf>
    <xf numFmtId="0" fontId="32" fillId="20" borderId="13" applyNumberFormat="0" applyAlignment="0" applyProtection="0">
      <alignment vertical="center"/>
    </xf>
    <xf numFmtId="0" fontId="28" fillId="21" borderId="14" applyNumberFormat="0" applyAlignment="0" applyProtection="0">
      <alignment vertical="center"/>
    </xf>
    <xf numFmtId="0" fontId="31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4" fillId="0" borderId="15" applyNumberFormat="0" applyFill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24" fillId="5" borderId="0" applyNumberFormat="0" applyBorder="0" applyAlignment="0" applyProtection="0">
      <alignment vertical="center"/>
    </xf>
    <xf numFmtId="0" fontId="20" fillId="20" borderId="16" applyNumberFormat="0" applyAlignment="0" applyProtection="0">
      <alignment vertical="center"/>
    </xf>
    <xf numFmtId="0" fontId="27" fillId="11" borderId="13" applyNumberFormat="0" applyAlignment="0" applyProtection="0">
      <alignment vertical="center"/>
    </xf>
    <xf numFmtId="0" fontId="5" fillId="25" borderId="17" applyNumberFormat="0" applyFont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>
      <alignment vertical="center"/>
    </xf>
    <xf numFmtId="0" fontId="5" fillId="0" borderId="0"/>
    <xf numFmtId="0" fontId="5" fillId="0" borderId="0"/>
    <xf numFmtId="9" fontId="5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179">
    <xf numFmtId="0" fontId="0" fillId="0" borderId="0" xfId="0"/>
    <xf numFmtId="178" fontId="3" fillId="0" borderId="1" xfId="0" applyNumberFormat="1" applyFont="1" applyBorder="1" applyAlignment="1">
      <alignment horizontal="center" vertical="center"/>
    </xf>
    <xf numFmtId="178" fontId="0" fillId="0" borderId="0" xfId="0" applyNumberFormat="1"/>
    <xf numFmtId="178" fontId="3" fillId="0" borderId="2" xfId="0" applyNumberFormat="1" applyFont="1" applyBorder="1" applyAlignment="1">
      <alignment horizontal="center" vertical="center"/>
    </xf>
    <xf numFmtId="178" fontId="4" fillId="0" borderId="3" xfId="0" applyNumberFormat="1" applyFont="1" applyBorder="1" applyAlignment="1">
      <alignment horizontal="center" vertical="center" wrapText="1"/>
    </xf>
    <xf numFmtId="178" fontId="4" fillId="0" borderId="1" xfId="0" applyNumberFormat="1" applyFont="1" applyBorder="1" applyAlignment="1">
      <alignment horizontal="center" vertical="center" wrapText="1"/>
    </xf>
    <xf numFmtId="178" fontId="4" fillId="0" borderId="1" xfId="0" applyNumberFormat="1" applyFont="1" applyBorder="1" applyAlignment="1">
      <alignment horizontal="center" vertical="center"/>
    </xf>
    <xf numFmtId="178" fontId="3" fillId="0" borderId="1" xfId="0" applyNumberFormat="1" applyFont="1" applyBorder="1"/>
    <xf numFmtId="178" fontId="4" fillId="0" borderId="1" xfId="0" applyNumberFormat="1" applyFont="1" applyBorder="1"/>
    <xf numFmtId="178" fontId="3" fillId="0" borderId="1" xfId="0" applyNumberFormat="1" applyFont="1" applyFill="1" applyBorder="1"/>
    <xf numFmtId="178" fontId="0" fillId="2" borderId="0" xfId="0" applyNumberFormat="1" applyFill="1"/>
    <xf numFmtId="178" fontId="0" fillId="3" borderId="0" xfId="0" applyNumberFormat="1" applyFill="1"/>
    <xf numFmtId="178" fontId="0" fillId="2" borderId="1" xfId="0" applyNumberFormat="1" applyFill="1" applyBorder="1"/>
    <xf numFmtId="178" fontId="3" fillId="4" borderId="1" xfId="0" applyNumberFormat="1" applyFont="1" applyFill="1" applyBorder="1" applyAlignment="1">
      <alignment horizontal="center" vertical="center"/>
    </xf>
    <xf numFmtId="178" fontId="0" fillId="4" borderId="0" xfId="0" applyNumberFormat="1" applyFill="1"/>
    <xf numFmtId="178" fontId="0" fillId="0" borderId="1" xfId="0" applyNumberFormat="1" applyBorder="1" applyAlignment="1">
      <alignment horizont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3" borderId="0" xfId="0" applyFill="1"/>
    <xf numFmtId="0" fontId="0" fillId="0" borderId="1" xfId="0" applyBorder="1"/>
    <xf numFmtId="178" fontId="0" fillId="0" borderId="0" xfId="0" applyNumberFormat="1" applyBorder="1"/>
    <xf numFmtId="178" fontId="0" fillId="3" borderId="0" xfId="0" applyNumberFormat="1" applyFill="1" applyBorder="1"/>
    <xf numFmtId="177" fontId="0" fillId="0" borderId="1" xfId="0" applyNumberFormat="1" applyBorder="1"/>
    <xf numFmtId="178" fontId="4" fillId="0" borderId="0" xfId="0" applyNumberFormat="1" applyFont="1" applyBorder="1" applyAlignment="1">
      <alignment horizontal="center" vertical="center"/>
    </xf>
    <xf numFmtId="0" fontId="0" fillId="2" borderId="0" xfId="0" applyFill="1"/>
    <xf numFmtId="176" fontId="3" fillId="0" borderId="5" xfId="0" applyNumberFormat="1" applyFont="1" applyFill="1" applyBorder="1" applyAlignment="1">
      <alignment horizontal="center" vertical="center"/>
    </xf>
    <xf numFmtId="176" fontId="3" fillId="0" borderId="5" xfId="0" applyNumberFormat="1" applyFont="1" applyBorder="1" applyAlignment="1">
      <alignment horizontal="center" vertical="center"/>
    </xf>
    <xf numFmtId="178" fontId="3" fillId="5" borderId="1" xfId="0" applyNumberFormat="1" applyFont="1" applyFill="1" applyBorder="1" applyAlignment="1">
      <alignment horizontal="center" vertical="center"/>
    </xf>
    <xf numFmtId="178" fontId="3" fillId="5" borderId="1" xfId="0" applyNumberFormat="1" applyFont="1" applyFill="1" applyBorder="1"/>
    <xf numFmtId="178" fontId="0" fillId="5" borderId="0" xfId="0" applyNumberFormat="1" applyFill="1"/>
    <xf numFmtId="176" fontId="3" fillId="5" borderId="1" xfId="0" applyNumberFormat="1" applyFont="1" applyFill="1" applyBorder="1" applyAlignment="1">
      <alignment horizontal="center" vertical="center"/>
    </xf>
    <xf numFmtId="178" fontId="0" fillId="5" borderId="1" xfId="0" applyNumberFormat="1" applyFill="1" applyBorder="1"/>
    <xf numFmtId="176" fontId="3" fillId="5" borderId="5" xfId="0" applyNumberFormat="1" applyFont="1" applyFill="1" applyBorder="1" applyAlignment="1">
      <alignment horizontal="center" vertical="center"/>
    </xf>
    <xf numFmtId="178" fontId="4" fillId="0" borderId="0" xfId="0" applyNumberFormat="1" applyFont="1"/>
    <xf numFmtId="178" fontId="4" fillId="0" borderId="0" xfId="0" applyNumberFormat="1" applyFont="1" applyFill="1"/>
    <xf numFmtId="178" fontId="0" fillId="0" borderId="0" xfId="0" applyNumberFormat="1" applyFill="1"/>
    <xf numFmtId="178" fontId="3" fillId="0" borderId="1" xfId="0" applyNumberFormat="1" applyFont="1" applyBorder="1" applyAlignment="1">
      <alignment horizontal="center" vertical="center"/>
    </xf>
    <xf numFmtId="178" fontId="4" fillId="0" borderId="1" xfId="0" applyNumberFormat="1" applyFont="1" applyBorder="1" applyAlignment="1">
      <alignment horizontal="center" vertical="center"/>
    </xf>
    <xf numFmtId="178" fontId="3" fillId="0" borderId="2" xfId="0" applyNumberFormat="1" applyFont="1" applyBorder="1" applyAlignment="1">
      <alignment horizontal="center" vertical="center"/>
    </xf>
    <xf numFmtId="178" fontId="4" fillId="0" borderId="0" xfId="0" applyNumberFormat="1" applyFont="1" applyFill="1" applyBorder="1"/>
    <xf numFmtId="178" fontId="4" fillId="0" borderId="0" xfId="0" applyNumberFormat="1" applyFont="1" applyFill="1" applyBorder="1" applyAlignment="1">
      <alignment horizontal="center" vertical="center"/>
    </xf>
    <xf numFmtId="178" fontId="3" fillId="0" borderId="0" xfId="0" applyNumberFormat="1" applyFont="1" applyFill="1" applyBorder="1" applyAlignment="1">
      <alignment horizontal="center" vertical="center"/>
    </xf>
    <xf numFmtId="178" fontId="4" fillId="0" borderId="0" xfId="0" applyNumberFormat="1" applyFont="1" applyFill="1" applyBorder="1" applyAlignment="1">
      <alignment horizontal="center" vertical="center" wrapText="1"/>
    </xf>
    <xf numFmtId="178" fontId="4" fillId="0" borderId="0" xfId="0" applyNumberFormat="1" applyFont="1" applyFill="1" applyBorder="1" applyAlignment="1">
      <alignment horizontal="right"/>
    </xf>
    <xf numFmtId="178" fontId="6" fillId="0" borderId="0" xfId="0" applyNumberFormat="1" applyFont="1" applyFill="1" applyBorder="1"/>
    <xf numFmtId="178" fontId="6" fillId="0" borderId="0" xfId="0" applyNumberFormat="1" applyFont="1" applyFill="1"/>
    <xf numFmtId="179" fontId="3" fillId="0" borderId="0" xfId="0" applyNumberFormat="1" applyFont="1" applyFill="1"/>
    <xf numFmtId="178" fontId="4" fillId="0" borderId="0" xfId="0" applyNumberFormat="1" applyFont="1" applyFill="1" applyAlignment="1">
      <alignment horizontal="right"/>
    </xf>
    <xf numFmtId="178" fontId="8" fillId="0" borderId="0" xfId="0" applyNumberFormat="1" applyFont="1" applyFill="1" applyBorder="1" applyAlignment="1">
      <alignment horizontal="right"/>
    </xf>
    <xf numFmtId="178" fontId="8" fillId="0" borderId="0" xfId="0" applyNumberFormat="1" applyFont="1" applyFill="1" applyBorder="1"/>
    <xf numFmtId="178" fontId="8" fillId="0" borderId="0" xfId="0" applyNumberFormat="1" applyFont="1" applyFill="1"/>
    <xf numFmtId="178" fontId="3" fillId="0" borderId="0" xfId="0" applyNumberFormat="1" applyFont="1" applyFill="1" applyBorder="1" applyAlignment="1">
      <alignment horizontal="right" vertical="center"/>
    </xf>
    <xf numFmtId="178" fontId="4" fillId="0" borderId="0" xfId="0" applyNumberFormat="1" applyFont="1" applyFill="1" applyBorder="1" applyAlignment="1">
      <alignment horizontal="right" vertical="center"/>
    </xf>
    <xf numFmtId="178" fontId="6" fillId="0" borderId="0" xfId="0" applyNumberFormat="1" applyFont="1" applyFill="1" applyBorder="1" applyAlignment="1">
      <alignment horizontal="right"/>
    </xf>
    <xf numFmtId="178" fontId="4" fillId="0" borderId="0" xfId="0" applyNumberFormat="1" applyFont="1" applyFill="1" applyBorder="1" applyAlignment="1">
      <alignment vertical="center"/>
    </xf>
    <xf numFmtId="178" fontId="4" fillId="0" borderId="0" xfId="0" applyNumberFormat="1" applyFont="1" applyFill="1" applyBorder="1" applyAlignment="1"/>
    <xf numFmtId="178" fontId="4" fillId="0" borderId="0" xfId="0" applyNumberFormat="1" applyFont="1" applyFill="1" applyAlignment="1"/>
    <xf numFmtId="178" fontId="8" fillId="0" borderId="0" xfId="0" applyNumberFormat="1" applyFont="1" applyFill="1" applyBorder="1" applyAlignment="1"/>
    <xf numFmtId="178" fontId="3" fillId="0" borderId="0" xfId="0" applyNumberFormat="1" applyFont="1" applyFill="1" applyBorder="1" applyAlignment="1">
      <alignment horizontal="center" vertical="center" wrapText="1"/>
    </xf>
    <xf numFmtId="178" fontId="4" fillId="0" borderId="0" xfId="0" applyNumberFormat="1" applyFont="1" applyFill="1" applyBorder="1" applyAlignment="1">
      <alignment horizontal="center" vertical="center" wrapText="1"/>
    </xf>
    <xf numFmtId="178" fontId="3" fillId="0" borderId="0" xfId="0" applyNumberFormat="1" applyFont="1" applyFill="1" applyBorder="1"/>
    <xf numFmtId="178" fontId="4" fillId="0" borderId="0" xfId="0" applyNumberFormat="1" applyFont="1" applyFill="1" applyBorder="1" applyAlignment="1">
      <alignment horizontal="right" vertical="center" wrapText="1"/>
    </xf>
    <xf numFmtId="178" fontId="3" fillId="0" borderId="0" xfId="0" applyNumberFormat="1" applyFont="1" applyFill="1" applyBorder="1" applyAlignment="1">
      <alignment horizontal="right"/>
    </xf>
    <xf numFmtId="176" fontId="6" fillId="0" borderId="0" xfId="0" applyNumberFormat="1" applyFont="1" applyFill="1" applyBorder="1" applyAlignment="1">
      <alignment horizontal="right" vertical="center"/>
    </xf>
    <xf numFmtId="0" fontId="3" fillId="0" borderId="0" xfId="0" applyFont="1" applyFill="1" applyBorder="1" applyAlignment="1">
      <alignment horizontal="right" vertical="center"/>
    </xf>
    <xf numFmtId="178" fontId="10" fillId="0" borderId="0" xfId="0" applyNumberFormat="1" applyFont="1" applyFill="1" applyBorder="1" applyAlignment="1">
      <alignment horizontal="right" vertical="center"/>
    </xf>
    <xf numFmtId="178" fontId="9" fillId="0" borderId="0" xfId="0" applyNumberFormat="1" applyFont="1" applyFill="1" applyBorder="1" applyAlignment="1">
      <alignment horizontal="right" vertical="center"/>
    </xf>
    <xf numFmtId="178" fontId="9" fillId="0" borderId="0" xfId="0" applyNumberFormat="1" applyFont="1"/>
    <xf numFmtId="0" fontId="9" fillId="0" borderId="0" xfId="0" applyFont="1"/>
    <xf numFmtId="178" fontId="3" fillId="0" borderId="0" xfId="0" applyNumberFormat="1" applyFont="1" applyBorder="1" applyAlignment="1">
      <alignment horizontal="right" vertical="center"/>
    </xf>
    <xf numFmtId="178" fontId="6" fillId="0" borderId="0" xfId="0" applyNumberFormat="1" applyFont="1" applyFill="1" applyBorder="1" applyAlignment="1">
      <alignment horizontal="right" vertical="center"/>
    </xf>
    <xf numFmtId="178" fontId="3" fillId="0" borderId="0" xfId="3" applyNumberFormat="1" applyFont="1" applyFill="1" applyBorder="1" applyAlignment="1">
      <alignment horizontal="right" vertical="center"/>
    </xf>
    <xf numFmtId="178" fontId="10" fillId="0" borderId="0" xfId="0" applyNumberFormat="1" applyFont="1" applyBorder="1" applyAlignment="1">
      <alignment horizontal="right" vertical="center"/>
    </xf>
    <xf numFmtId="178" fontId="3" fillId="0" borderId="0" xfId="0" applyNumberFormat="1" applyFont="1" applyFill="1" applyBorder="1" applyAlignment="1">
      <alignment horizontal="right" wrapText="1"/>
    </xf>
    <xf numFmtId="178" fontId="3" fillId="0" borderId="0" xfId="0" applyNumberFormat="1" applyFont="1" applyFill="1" applyBorder="1" applyAlignment="1">
      <alignment horizontal="right" vertical="center" wrapText="1"/>
    </xf>
    <xf numFmtId="0" fontId="3" fillId="0" borderId="0" xfId="0" applyFont="1" applyFill="1" applyBorder="1"/>
    <xf numFmtId="178" fontId="6" fillId="0" borderId="0" xfId="0" applyNumberFormat="1" applyFont="1" applyFill="1" applyBorder="1" applyAlignment="1">
      <alignment horizontal="right" wrapText="1"/>
    </xf>
    <xf numFmtId="178" fontId="3" fillId="0" borderId="0" xfId="4" applyNumberFormat="1" applyFont="1" applyFill="1" applyBorder="1" applyAlignment="1">
      <alignment horizontal="right" vertical="center" wrapText="1"/>
    </xf>
    <xf numFmtId="178" fontId="10" fillId="0" borderId="0" xfId="0" applyNumberFormat="1" applyFont="1" applyFill="1" applyBorder="1" applyAlignment="1">
      <alignment horizontal="right" vertical="center" wrapText="1"/>
    </xf>
    <xf numFmtId="178" fontId="10" fillId="0" borderId="0" xfId="0" applyNumberFormat="1" applyFont="1" applyFill="1" applyBorder="1" applyAlignment="1">
      <alignment horizontal="right" wrapText="1"/>
    </xf>
    <xf numFmtId="0" fontId="0" fillId="0" borderId="0" xfId="0" applyBorder="1"/>
    <xf numFmtId="178" fontId="3" fillId="0" borderId="0" xfId="0" applyNumberFormat="1" applyFont="1" applyFill="1" applyAlignment="1">
      <alignment horizontal="right"/>
    </xf>
    <xf numFmtId="178" fontId="3" fillId="0" borderId="7" xfId="0" applyNumberFormat="1" applyFont="1" applyFill="1" applyBorder="1" applyAlignment="1">
      <alignment horizontal="right"/>
    </xf>
    <xf numFmtId="178" fontId="4" fillId="0" borderId="0" xfId="0" applyNumberFormat="1" applyFont="1" applyFill="1" applyBorder="1" applyAlignment="1">
      <alignment horizontal="center" vertical="top" wrapText="1"/>
    </xf>
    <xf numFmtId="178" fontId="4" fillId="0" borderId="0" xfId="0" applyNumberFormat="1" applyFont="1" applyFill="1" applyBorder="1" applyAlignment="1">
      <alignment horizontal="right" vertical="top" wrapText="1"/>
    </xf>
    <xf numFmtId="178" fontId="3" fillId="0" borderId="0" xfId="0" applyNumberFormat="1" applyFont="1" applyFill="1" applyBorder="1" applyAlignment="1">
      <alignment horizontal="right" vertical="top" wrapText="1"/>
    </xf>
    <xf numFmtId="178" fontId="3" fillId="0" borderId="4" xfId="0" applyNumberFormat="1" applyFont="1" applyFill="1" applyBorder="1" applyAlignment="1">
      <alignment horizontal="right" vertical="top" wrapText="1"/>
    </xf>
    <xf numFmtId="178" fontId="3" fillId="0" borderId="7" xfId="0" applyNumberFormat="1" applyFont="1" applyFill="1" applyBorder="1" applyAlignment="1">
      <alignment horizontal="right" vertical="top" wrapText="1"/>
    </xf>
    <xf numFmtId="178" fontId="6" fillId="0" borderId="0" xfId="0" applyNumberFormat="1" applyFont="1" applyFill="1" applyBorder="1" applyAlignment="1">
      <alignment horizontal="right" vertical="top" wrapText="1"/>
    </xf>
    <xf numFmtId="180" fontId="3" fillId="0" borderId="0" xfId="1" applyNumberFormat="1" applyFont="1" applyBorder="1" applyAlignment="1">
      <alignment horizontal="right" vertical="center"/>
    </xf>
    <xf numFmtId="178" fontId="11" fillId="0" borderId="0" xfId="0" applyNumberFormat="1" applyFont="1" applyFill="1" applyBorder="1" applyAlignment="1">
      <alignment horizontal="right" vertical="top" wrapText="1"/>
    </xf>
    <xf numFmtId="180" fontId="11" fillId="0" borderId="0" xfId="1" applyNumberFormat="1" applyFont="1" applyBorder="1" applyAlignment="1">
      <alignment horizontal="right" vertical="center"/>
    </xf>
    <xf numFmtId="178" fontId="11" fillId="0" borderId="0" xfId="0" applyNumberFormat="1" applyFont="1" applyFill="1" applyAlignment="1">
      <alignment horizontal="right"/>
    </xf>
    <xf numFmtId="178" fontId="4" fillId="0" borderId="0" xfId="0" applyNumberFormat="1" applyFont="1" applyFill="1" applyAlignment="1">
      <alignment horizontal="center"/>
    </xf>
    <xf numFmtId="178" fontId="3" fillId="0" borderId="0" xfId="0" applyNumberFormat="1" applyFont="1" applyFill="1" applyBorder="1" applyAlignment="1">
      <alignment horizontal="center" vertical="top" wrapText="1"/>
    </xf>
    <xf numFmtId="178" fontId="4" fillId="0" borderId="0" xfId="0" applyNumberFormat="1" applyFont="1" applyFill="1" applyBorder="1" applyAlignment="1">
      <alignment horizontal="right" wrapText="1"/>
    </xf>
    <xf numFmtId="178" fontId="3" fillId="0" borderId="0" xfId="1" applyNumberFormat="1" applyFont="1" applyBorder="1" applyAlignment="1">
      <alignment horizontal="right" vertical="center" wrapText="1"/>
    </xf>
    <xf numFmtId="178" fontId="10" fillId="0" borderId="0" xfId="1" applyNumberFormat="1" applyFont="1" applyBorder="1" applyAlignment="1">
      <alignment horizontal="right" vertical="center" wrapText="1"/>
    </xf>
    <xf numFmtId="178" fontId="9" fillId="0" borderId="0" xfId="0" applyNumberFormat="1" applyFont="1" applyBorder="1"/>
    <xf numFmtId="178" fontId="4" fillId="0" borderId="0" xfId="0" applyNumberFormat="1" applyFont="1" applyFill="1" applyBorder="1" applyAlignment="1">
      <alignment horizontal="center" wrapText="1"/>
    </xf>
    <xf numFmtId="178" fontId="12" fillId="0" borderId="0" xfId="0" applyNumberFormat="1" applyFont="1" applyFill="1" applyBorder="1" applyAlignment="1">
      <alignment horizontal="right" wrapText="1"/>
    </xf>
    <xf numFmtId="178" fontId="12" fillId="0" borderId="0" xfId="0" applyNumberFormat="1" applyFont="1" applyFill="1" applyBorder="1" applyAlignment="1">
      <alignment horizontal="right" vertical="center" wrapText="1"/>
    </xf>
    <xf numFmtId="178" fontId="13" fillId="0" borderId="0" xfId="0" applyNumberFormat="1" applyFont="1" applyFill="1" applyBorder="1" applyAlignment="1">
      <alignment horizontal="right" wrapText="1"/>
    </xf>
    <xf numFmtId="178" fontId="4" fillId="0" borderId="0" xfId="0" applyNumberFormat="1" applyFont="1" applyAlignment="1">
      <alignment horizontal="center"/>
    </xf>
    <xf numFmtId="178" fontId="12" fillId="0" borderId="0" xfId="0" applyNumberFormat="1" applyFont="1" applyFill="1" applyBorder="1" applyAlignment="1">
      <alignment horizontal="center" vertical="center" wrapText="1"/>
    </xf>
    <xf numFmtId="180" fontId="3" fillId="0" borderId="0" xfId="1" applyNumberFormat="1" applyFont="1" applyBorder="1" applyAlignment="1">
      <alignment horizontal="right" vertical="center" wrapText="1"/>
    </xf>
    <xf numFmtId="178" fontId="14" fillId="0" borderId="0" xfId="0" applyNumberFormat="1" applyFont="1" applyFill="1" applyBorder="1" applyAlignment="1">
      <alignment horizontal="right" wrapText="1"/>
    </xf>
    <xf numFmtId="180" fontId="10" fillId="0" borderId="0" xfId="1" applyNumberFormat="1" applyFont="1" applyBorder="1" applyAlignment="1">
      <alignment horizontal="right" vertical="center" wrapText="1"/>
    </xf>
    <xf numFmtId="178" fontId="10" fillId="0" borderId="0" xfId="0" applyNumberFormat="1" applyFont="1"/>
    <xf numFmtId="0" fontId="10" fillId="0" borderId="0" xfId="0" applyFont="1"/>
    <xf numFmtId="178" fontId="0" fillId="0" borderId="0" xfId="0" applyNumberFormat="1" applyFill="1" applyBorder="1"/>
    <xf numFmtId="178" fontId="4" fillId="0" borderId="0" xfId="0" applyNumberFormat="1" applyFont="1" applyBorder="1" applyAlignment="1">
      <alignment horizontal="center"/>
    </xf>
    <xf numFmtId="178" fontId="12" fillId="0" borderId="0" xfId="1" applyNumberFormat="1" applyFont="1" applyBorder="1" applyAlignment="1">
      <alignment horizontal="right" vertical="center" wrapText="1"/>
    </xf>
    <xf numFmtId="178" fontId="14" fillId="0" borderId="0" xfId="1" applyNumberFormat="1" applyFont="1" applyBorder="1" applyAlignment="1">
      <alignment horizontal="right" vertical="center" wrapText="1"/>
    </xf>
    <xf numFmtId="0" fontId="9" fillId="0" borderId="0" xfId="0" applyFont="1" applyBorder="1"/>
    <xf numFmtId="178" fontId="14" fillId="0" borderId="0" xfId="0" applyNumberFormat="1" applyFont="1" applyFill="1" applyBorder="1" applyAlignment="1">
      <alignment horizontal="right" vertical="center" wrapText="1"/>
    </xf>
    <xf numFmtId="178" fontId="12" fillId="0" borderId="0" xfId="0" applyNumberFormat="1" applyFont="1" applyFill="1" applyBorder="1" applyAlignment="1">
      <alignment horizontal="center" wrapText="1"/>
    </xf>
    <xf numFmtId="178" fontId="4" fillId="0" borderId="0" xfId="0" applyNumberFormat="1" applyFont="1" applyAlignment="1">
      <alignment horizontal="center" wrapText="1"/>
    </xf>
    <xf numFmtId="178" fontId="12" fillId="0" borderId="0" xfId="1" applyNumberFormat="1" applyFont="1" applyFill="1" applyBorder="1" applyAlignment="1">
      <alignment horizontal="right" vertical="center" wrapText="1"/>
    </xf>
    <xf numFmtId="178" fontId="14" fillId="0" borderId="0" xfId="1" applyNumberFormat="1" applyFont="1" applyFill="1" applyBorder="1" applyAlignment="1">
      <alignment horizontal="right" vertical="center" wrapText="1"/>
    </xf>
    <xf numFmtId="178" fontId="12" fillId="0" borderId="0" xfId="1" applyNumberFormat="1" applyFont="1" applyAlignment="1">
      <alignment horizontal="right" vertical="center" wrapText="1"/>
    </xf>
    <xf numFmtId="178" fontId="14" fillId="0" borderId="0" xfId="1" applyNumberFormat="1" applyFont="1" applyAlignment="1">
      <alignment horizontal="right" vertical="center" wrapText="1"/>
    </xf>
    <xf numFmtId="178" fontId="12" fillId="0" borderId="0" xfId="0" applyNumberFormat="1" applyFont="1" applyFill="1" applyBorder="1" applyAlignment="1">
      <alignment horizontal="center" vertical="center" wrapText="1"/>
    </xf>
    <xf numFmtId="178" fontId="12" fillId="0" borderId="0" xfId="0" applyNumberFormat="1" applyFont="1" applyFill="1" applyBorder="1" applyAlignment="1">
      <alignment horizontal="center" vertical="center" wrapText="1"/>
    </xf>
    <xf numFmtId="178" fontId="12" fillId="0" borderId="0" xfId="3" applyNumberFormat="1" applyFont="1" applyFill="1" applyBorder="1" applyAlignment="1">
      <alignment horizontal="right" vertical="center" wrapText="1"/>
    </xf>
    <xf numFmtId="178" fontId="14" fillId="0" borderId="0" xfId="3" applyNumberFormat="1" applyFont="1" applyFill="1" applyBorder="1" applyAlignment="1">
      <alignment horizontal="right" vertical="center" wrapText="1"/>
    </xf>
    <xf numFmtId="178" fontId="17" fillId="0" borderId="0" xfId="0" applyNumberFormat="1" applyFont="1" applyFill="1" applyBorder="1" applyAlignment="1">
      <alignment horizontal="right" vertical="center" wrapText="1"/>
    </xf>
    <xf numFmtId="178" fontId="16" fillId="0" borderId="0" xfId="0" applyNumberFormat="1" applyFont="1" applyFill="1" applyBorder="1" applyAlignment="1">
      <alignment horizontal="right" wrapText="1"/>
    </xf>
    <xf numFmtId="178" fontId="16" fillId="0" borderId="0" xfId="3" applyNumberFormat="1" applyFont="1" applyFill="1" applyBorder="1" applyAlignment="1">
      <alignment horizontal="right" vertical="center" wrapText="1"/>
    </xf>
    <xf numFmtId="178" fontId="17" fillId="0" borderId="0" xfId="0" applyNumberFormat="1" applyFont="1" applyFill="1" applyBorder="1" applyAlignment="1" applyProtection="1">
      <alignment horizontal="right" vertical="center" wrapText="1"/>
      <protection locked="0"/>
    </xf>
    <xf numFmtId="178" fontId="16" fillId="0" borderId="0" xfId="0" applyNumberFormat="1" applyFont="1" applyFill="1" applyBorder="1" applyAlignment="1">
      <alignment horizontal="right" vertical="center" wrapText="1"/>
    </xf>
    <xf numFmtId="178" fontId="17" fillId="0" borderId="0" xfId="0" applyNumberFormat="1" applyFont="1" applyFill="1" applyBorder="1" applyAlignment="1" applyProtection="1">
      <alignment horizontal="right" wrapText="1"/>
      <protection locked="0"/>
    </xf>
    <xf numFmtId="178" fontId="17" fillId="0" borderId="0" xfId="0" applyNumberFormat="1" applyFont="1" applyFill="1" applyBorder="1" applyAlignment="1">
      <alignment horizontal="right" wrapText="1"/>
    </xf>
    <xf numFmtId="178" fontId="17" fillId="0" borderId="0" xfId="0" applyNumberFormat="1" applyFont="1" applyFill="1" applyBorder="1" applyAlignment="1">
      <alignment horizontal="right" vertical="top" wrapText="1"/>
    </xf>
    <xf numFmtId="178" fontId="12" fillId="0" borderId="0" xfId="0" applyNumberFormat="1" applyFont="1" applyFill="1" applyBorder="1" applyAlignment="1">
      <alignment horizontal="center" vertical="center" wrapText="1"/>
    </xf>
    <xf numFmtId="178" fontId="12" fillId="0" borderId="0" xfId="0" applyNumberFormat="1" applyFont="1" applyFill="1" applyBorder="1" applyAlignment="1">
      <alignment horizontal="center" vertical="center" wrapText="1"/>
    </xf>
    <xf numFmtId="178" fontId="12" fillId="0" borderId="0" xfId="0" applyNumberFormat="1" applyFont="1" applyFill="1" applyBorder="1" applyAlignment="1">
      <alignment horizontal="center" vertical="center" wrapText="1"/>
    </xf>
    <xf numFmtId="178" fontId="12" fillId="0" borderId="0" xfId="160" applyNumberFormat="1" applyFont="1" applyFill="1" applyBorder="1" applyAlignment="1">
      <alignment horizontal="right" wrapText="1"/>
    </xf>
    <xf numFmtId="178" fontId="3" fillId="0" borderId="0" xfId="0" applyNumberFormat="1" applyFont="1" applyFill="1" applyBorder="1" applyAlignment="1">
      <alignment horizontal="right" vertical="center"/>
    </xf>
    <xf numFmtId="178" fontId="4" fillId="0" borderId="0" xfId="0" applyNumberFormat="1" applyFont="1" applyFill="1" applyBorder="1" applyAlignment="1">
      <alignment horizontal="right" vertical="center"/>
    </xf>
    <xf numFmtId="178" fontId="3" fillId="0" borderId="0" xfId="0" applyNumberFormat="1" applyFont="1" applyFill="1" applyBorder="1" applyAlignment="1">
      <alignment horizontal="center" vertical="center"/>
    </xf>
    <xf numFmtId="178" fontId="4" fillId="0" borderId="0" xfId="0" applyNumberFormat="1" applyFont="1" applyFill="1" applyBorder="1" applyAlignment="1">
      <alignment horizontal="center" vertical="center"/>
    </xf>
    <xf numFmtId="178" fontId="4" fillId="0" borderId="0" xfId="0" applyNumberFormat="1" applyFont="1" applyFill="1" applyBorder="1" applyAlignment="1">
      <alignment vertical="center"/>
    </xf>
    <xf numFmtId="178" fontId="3" fillId="0" borderId="0" xfId="0" applyNumberFormat="1" applyFont="1" applyFill="1" applyBorder="1" applyAlignment="1">
      <alignment horizontal="center" vertical="center" wrapText="1"/>
    </xf>
    <xf numFmtId="178" fontId="4" fillId="0" borderId="0" xfId="0" applyNumberFormat="1" applyFont="1" applyFill="1" applyBorder="1" applyAlignment="1">
      <alignment horizontal="center" vertical="center" wrapText="1"/>
    </xf>
    <xf numFmtId="178" fontId="3" fillId="0" borderId="1" xfId="0" applyNumberFormat="1" applyFont="1" applyBorder="1" applyAlignment="1">
      <alignment horizontal="center" vertical="center"/>
    </xf>
    <xf numFmtId="178" fontId="3" fillId="0" borderId="0" xfId="0" applyNumberFormat="1" applyFont="1" applyFill="1" applyBorder="1" applyAlignment="1">
      <alignment horizontal="right" vertical="center" wrapText="1"/>
    </xf>
    <xf numFmtId="178" fontId="4" fillId="0" borderId="0" xfId="0" applyNumberFormat="1" applyFont="1" applyFill="1" applyBorder="1" applyAlignment="1">
      <alignment horizontal="right" vertical="center" wrapText="1"/>
    </xf>
    <xf numFmtId="178" fontId="12" fillId="0" borderId="0" xfId="0" applyNumberFormat="1" applyFont="1" applyFill="1" applyBorder="1" applyAlignment="1">
      <alignment horizontal="center" vertical="center" wrapText="1"/>
    </xf>
    <xf numFmtId="178" fontId="3" fillId="0" borderId="0" xfId="0" applyNumberFormat="1" applyFont="1" applyFill="1" applyBorder="1" applyAlignment="1">
      <alignment horizontal="center" vertical="top" wrapText="1"/>
    </xf>
    <xf numFmtId="178" fontId="4" fillId="0" borderId="0" xfId="0" applyNumberFormat="1" applyFont="1" applyFill="1" applyBorder="1" applyAlignment="1">
      <alignment horizontal="center" vertical="top" wrapText="1"/>
    </xf>
    <xf numFmtId="178" fontId="3" fillId="0" borderId="0" xfId="0" applyNumberFormat="1" applyFont="1" applyBorder="1" applyAlignment="1">
      <alignment horizontal="center" vertical="center"/>
    </xf>
    <xf numFmtId="178" fontId="4" fillId="0" borderId="0" xfId="0" applyNumberFormat="1" applyFont="1" applyBorder="1" applyAlignment="1">
      <alignment horizontal="center" vertical="center" wrapText="1"/>
    </xf>
    <xf numFmtId="178" fontId="3" fillId="0" borderId="0" xfId="0" applyNumberFormat="1" applyFont="1" applyFill="1" applyBorder="1" applyAlignment="1">
      <alignment horizontal="right" vertical="center"/>
    </xf>
    <xf numFmtId="178" fontId="4" fillId="0" borderId="0" xfId="0" applyNumberFormat="1" applyFont="1" applyFill="1" applyBorder="1" applyAlignment="1">
      <alignment horizontal="right" vertical="center"/>
    </xf>
    <xf numFmtId="178" fontId="3" fillId="0" borderId="0" xfId="0" applyNumberFormat="1" applyFont="1" applyFill="1" applyBorder="1" applyAlignment="1">
      <alignment horizontal="center" vertical="center"/>
    </xf>
    <xf numFmtId="178" fontId="4" fillId="0" borderId="0" xfId="0" applyNumberFormat="1" applyFont="1" applyFill="1" applyBorder="1" applyAlignment="1">
      <alignment horizontal="center" vertical="center"/>
    </xf>
    <xf numFmtId="178" fontId="3" fillId="0" borderId="0" xfId="0" applyNumberFormat="1" applyFont="1" applyFill="1" applyBorder="1" applyAlignment="1">
      <alignment vertical="center"/>
    </xf>
    <xf numFmtId="178" fontId="4" fillId="0" borderId="0" xfId="0" applyNumberFormat="1" applyFont="1" applyFill="1" applyBorder="1" applyAlignment="1">
      <alignment vertical="center"/>
    </xf>
    <xf numFmtId="178" fontId="3" fillId="0" borderId="0" xfId="0" applyNumberFormat="1" applyFont="1" applyFill="1" applyBorder="1" applyAlignment="1">
      <alignment horizontal="center" vertical="center" wrapText="1"/>
    </xf>
    <xf numFmtId="178" fontId="4" fillId="0" borderId="0" xfId="0" applyNumberFormat="1" applyFont="1" applyFill="1" applyBorder="1" applyAlignment="1">
      <alignment horizontal="center" vertical="center" wrapText="1"/>
    </xf>
    <xf numFmtId="178" fontId="3" fillId="0" borderId="1" xfId="0" applyNumberFormat="1" applyFont="1" applyBorder="1" applyAlignment="1">
      <alignment horizontal="center" vertical="center"/>
    </xf>
    <xf numFmtId="178" fontId="3" fillId="0" borderId="4" xfId="0" applyNumberFormat="1" applyFont="1" applyBorder="1" applyAlignment="1">
      <alignment horizontal="center" vertical="center"/>
    </xf>
    <xf numFmtId="178" fontId="3" fillId="0" borderId="7" xfId="0" applyNumberFormat="1" applyFont="1" applyBorder="1" applyAlignment="1">
      <alignment horizontal="center" vertical="center"/>
    </xf>
    <xf numFmtId="178" fontId="0" fillId="0" borderId="7" xfId="0" applyNumberFormat="1" applyBorder="1" applyAlignment="1">
      <alignment horizontal="center" vertical="center"/>
    </xf>
    <xf numFmtId="178" fontId="0" fillId="0" borderId="8" xfId="0" applyNumberFormat="1" applyBorder="1" applyAlignment="1">
      <alignment horizontal="center" vertical="center"/>
    </xf>
    <xf numFmtId="178" fontId="3" fillId="0" borderId="6" xfId="0" applyNumberFormat="1" applyFont="1" applyBorder="1" applyAlignment="1">
      <alignment horizontal="center" vertical="center"/>
    </xf>
    <xf numFmtId="178" fontId="3" fillId="0" borderId="4" xfId="0" applyNumberFormat="1" applyFont="1" applyBorder="1" applyAlignment="1">
      <alignment horizontal="center" vertical="center" wrapText="1"/>
    </xf>
    <xf numFmtId="178" fontId="3" fillId="0" borderId="7" xfId="0" applyNumberFormat="1" applyFont="1" applyBorder="1" applyAlignment="1">
      <alignment horizontal="center" vertical="center" wrapText="1"/>
    </xf>
    <xf numFmtId="178" fontId="3" fillId="0" borderId="8" xfId="0" applyNumberFormat="1" applyFont="1" applyBorder="1" applyAlignment="1">
      <alignment horizontal="center" vertical="center" wrapText="1"/>
    </xf>
    <xf numFmtId="178" fontId="3" fillId="0" borderId="2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178" fontId="3" fillId="0" borderId="0" xfId="0" applyNumberFormat="1" applyFont="1" applyFill="1" applyBorder="1" applyAlignment="1">
      <alignment horizontal="right" vertical="center" wrapText="1"/>
    </xf>
    <xf numFmtId="178" fontId="4" fillId="0" borderId="0" xfId="0" applyNumberFormat="1" applyFont="1" applyFill="1" applyBorder="1" applyAlignment="1">
      <alignment horizontal="right" vertical="center" wrapText="1"/>
    </xf>
    <xf numFmtId="178" fontId="12" fillId="0" borderId="0" xfId="0" applyNumberFormat="1" applyFont="1" applyFill="1" applyBorder="1" applyAlignment="1">
      <alignment horizontal="center" vertical="center" wrapText="1"/>
    </xf>
    <xf numFmtId="178" fontId="3" fillId="0" borderId="0" xfId="0" applyNumberFormat="1" applyFont="1" applyFill="1" applyBorder="1" applyAlignment="1">
      <alignment horizontal="center" vertical="top" wrapText="1"/>
    </xf>
    <xf numFmtId="178" fontId="4" fillId="0" borderId="0" xfId="0" applyNumberFormat="1" applyFont="1" applyFill="1" applyBorder="1" applyAlignment="1">
      <alignment horizontal="center" vertical="top" wrapText="1"/>
    </xf>
  </cellXfs>
  <cellStyles count="475">
    <cellStyle name="20% - 强调文字颜色 1 10" xfId="334"/>
    <cellStyle name="20% - 强调文字颜色 1 11" xfId="376"/>
    <cellStyle name="20% - 强调文字颜色 1 2" xfId="7"/>
    <cellStyle name="20% - 强调文字颜色 1 3" xfId="51"/>
    <cellStyle name="20% - 强调文字颜色 1 4" xfId="77"/>
    <cellStyle name="20% - 强调文字颜色 1 5" xfId="119"/>
    <cellStyle name="20% - 强调文字颜色 1 6" xfId="179"/>
    <cellStyle name="20% - 强调文字颜色 1 7" xfId="205"/>
    <cellStyle name="20% - 强调文字颜色 1 8" xfId="248"/>
    <cellStyle name="20% - 强调文字颜色 1 9" xfId="308"/>
    <cellStyle name="20% - 强调文字颜色 2 10" xfId="333"/>
    <cellStyle name="20% - 强调文字颜色 2 11" xfId="395"/>
    <cellStyle name="20% - 强调文字颜色 2 2" xfId="8"/>
    <cellStyle name="20% - 强调文字颜色 2 3" xfId="52"/>
    <cellStyle name="20% - 强调文字颜色 2 4" xfId="76"/>
    <cellStyle name="20% - 强调文字颜色 2 5" xfId="118"/>
    <cellStyle name="20% - 强调文字颜色 2 6" xfId="180"/>
    <cellStyle name="20% - 强调文字颜色 2 7" xfId="204"/>
    <cellStyle name="20% - 强调文字颜色 2 8" xfId="247"/>
    <cellStyle name="20% - 强调文字颜色 2 9" xfId="309"/>
    <cellStyle name="20% - 强调文字颜色 3 10" xfId="353"/>
    <cellStyle name="20% - 强调文字颜色 3 11" xfId="396"/>
    <cellStyle name="20% - 强调文字颜色 3 2" xfId="9"/>
    <cellStyle name="20% - 强调文字颜色 3 3" xfId="53"/>
    <cellStyle name="20% - 强调文字颜色 3 4" xfId="95"/>
    <cellStyle name="20% - 强调文字颜色 3 5" xfId="137"/>
    <cellStyle name="20% - 强调文字颜色 3 6" xfId="181"/>
    <cellStyle name="20% - 强调文字颜色 3 7" xfId="224"/>
    <cellStyle name="20% - 强调文字颜色 3 8" xfId="267"/>
    <cellStyle name="20% - 强调文字颜色 3 9" xfId="310"/>
    <cellStyle name="20% - 强调文字颜色 4 10" xfId="354"/>
    <cellStyle name="20% - 强调文字颜色 4 11" xfId="397"/>
    <cellStyle name="20% - 强调文字颜色 4 2" xfId="10"/>
    <cellStyle name="20% - 强调文字颜色 4 3" xfId="54"/>
    <cellStyle name="20% - 强调文字颜色 4 4" xfId="96"/>
    <cellStyle name="20% - 强调文字颜色 4 5" xfId="138"/>
    <cellStyle name="20% - 强调文字颜色 4 6" xfId="182"/>
    <cellStyle name="20% - 强调文字颜色 4 7" xfId="225"/>
    <cellStyle name="20% - 强调文字颜色 4 8" xfId="268"/>
    <cellStyle name="20% - 强调文字颜色 4 9" xfId="311"/>
    <cellStyle name="20% - 强调文字颜色 5 10" xfId="355"/>
    <cellStyle name="20% - 强调文字颜色 5 11" xfId="398"/>
    <cellStyle name="20% - 强调文字颜色 5 2" xfId="11"/>
    <cellStyle name="20% - 强调文字颜色 5 3" xfId="55"/>
    <cellStyle name="20% - 强调文字颜色 5 4" xfId="97"/>
    <cellStyle name="20% - 强调文字颜色 5 5" xfId="139"/>
    <cellStyle name="20% - 强调文字颜色 5 6" xfId="183"/>
    <cellStyle name="20% - 强调文字颜色 5 7" xfId="226"/>
    <cellStyle name="20% - 强调文字颜色 5 8" xfId="269"/>
    <cellStyle name="20% - 强调文字颜色 5 9" xfId="312"/>
    <cellStyle name="20% - 强调文字颜色 6 10" xfId="356"/>
    <cellStyle name="20% - 强调文字颜色 6 11" xfId="399"/>
    <cellStyle name="20% - 强调文字颜色 6 2" xfId="12"/>
    <cellStyle name="20% - 强调文字颜色 6 3" xfId="56"/>
    <cellStyle name="20% - 强调文字颜色 6 4" xfId="98"/>
    <cellStyle name="20% - 强调文字颜色 6 5" xfId="140"/>
    <cellStyle name="20% - 强调文字颜色 6 6" xfId="184"/>
    <cellStyle name="20% - 强调文字颜色 6 7" xfId="227"/>
    <cellStyle name="20% - 强调文字颜色 6 8" xfId="270"/>
    <cellStyle name="20% - 强调文字颜色 6 9" xfId="313"/>
    <cellStyle name="40% - 强调文字颜色 1 10" xfId="357"/>
    <cellStyle name="40% - 强调文字颜色 1 11" xfId="400"/>
    <cellStyle name="40% - 强调文字颜色 1 2" xfId="13"/>
    <cellStyle name="40% - 强调文字颜色 1 3" xfId="57"/>
    <cellStyle name="40% - 强调文字颜色 1 4" xfId="99"/>
    <cellStyle name="40% - 强调文字颜色 1 5" xfId="141"/>
    <cellStyle name="40% - 强调文字颜色 1 6" xfId="185"/>
    <cellStyle name="40% - 强调文字颜色 1 7" xfId="228"/>
    <cellStyle name="40% - 强调文字颜色 1 8" xfId="271"/>
    <cellStyle name="40% - 强调文字颜色 1 9" xfId="314"/>
    <cellStyle name="40% - 强调文字颜色 2 10" xfId="358"/>
    <cellStyle name="40% - 强调文字颜色 2 11" xfId="401"/>
    <cellStyle name="40% - 强调文字颜色 2 2" xfId="14"/>
    <cellStyle name="40% - 强调文字颜色 2 3" xfId="58"/>
    <cellStyle name="40% - 强调文字颜色 2 4" xfId="100"/>
    <cellStyle name="40% - 强调文字颜色 2 5" xfId="142"/>
    <cellStyle name="40% - 强调文字颜色 2 6" xfId="186"/>
    <cellStyle name="40% - 强调文字颜色 2 7" xfId="229"/>
    <cellStyle name="40% - 强调文字颜色 2 8" xfId="272"/>
    <cellStyle name="40% - 强调文字颜色 2 9" xfId="315"/>
    <cellStyle name="40% - 强调文字颜色 3 10" xfId="359"/>
    <cellStyle name="40% - 强调文字颜色 3 11" xfId="402"/>
    <cellStyle name="40% - 强调文字颜色 3 2" xfId="15"/>
    <cellStyle name="40% - 强调文字颜色 3 3" xfId="59"/>
    <cellStyle name="40% - 强调文字颜色 3 4" xfId="101"/>
    <cellStyle name="40% - 强调文字颜色 3 5" xfId="143"/>
    <cellStyle name="40% - 强调文字颜色 3 6" xfId="187"/>
    <cellStyle name="40% - 强调文字颜色 3 7" xfId="230"/>
    <cellStyle name="40% - 强调文字颜色 3 8" xfId="273"/>
    <cellStyle name="40% - 强调文字颜色 3 9" xfId="316"/>
    <cellStyle name="40% - 强调文字颜色 4 10" xfId="360"/>
    <cellStyle name="40% - 强调文字颜色 4 11" xfId="403"/>
    <cellStyle name="40% - 强调文字颜色 4 2" xfId="16"/>
    <cellStyle name="40% - 强调文字颜色 4 3" xfId="60"/>
    <cellStyle name="40% - 强调文字颜色 4 4" xfId="102"/>
    <cellStyle name="40% - 强调文字颜色 4 5" xfId="144"/>
    <cellStyle name="40% - 强调文字颜色 4 6" xfId="188"/>
    <cellStyle name="40% - 强调文字颜色 4 7" xfId="231"/>
    <cellStyle name="40% - 强调文字颜色 4 8" xfId="274"/>
    <cellStyle name="40% - 强调文字颜色 4 9" xfId="317"/>
    <cellStyle name="40% - 强调文字颜色 5 10" xfId="361"/>
    <cellStyle name="40% - 强调文字颜色 5 11" xfId="404"/>
    <cellStyle name="40% - 强调文字颜色 5 2" xfId="17"/>
    <cellStyle name="40% - 强调文字颜色 5 3" xfId="61"/>
    <cellStyle name="40% - 强调文字颜色 5 4" xfId="103"/>
    <cellStyle name="40% - 强调文字颜色 5 5" xfId="145"/>
    <cellStyle name="40% - 强调文字颜色 5 6" xfId="189"/>
    <cellStyle name="40% - 强调文字颜色 5 7" xfId="232"/>
    <cellStyle name="40% - 强调文字颜色 5 8" xfId="275"/>
    <cellStyle name="40% - 强调文字颜色 5 9" xfId="318"/>
    <cellStyle name="40% - 强调文字颜色 6 10" xfId="362"/>
    <cellStyle name="40% - 强调文字颜色 6 11" xfId="405"/>
    <cellStyle name="40% - 强调文字颜色 6 2" xfId="18"/>
    <cellStyle name="40% - 强调文字颜色 6 3" xfId="62"/>
    <cellStyle name="40% - 强调文字颜色 6 4" xfId="104"/>
    <cellStyle name="40% - 强调文字颜色 6 5" xfId="146"/>
    <cellStyle name="40% - 强调文字颜色 6 6" xfId="190"/>
    <cellStyle name="40% - 强调文字颜色 6 7" xfId="233"/>
    <cellStyle name="40% - 强调文字颜色 6 8" xfId="276"/>
    <cellStyle name="40% - 强调文字颜色 6 9" xfId="319"/>
    <cellStyle name="60% - 强调文字颜色 1 10" xfId="363"/>
    <cellStyle name="60% - 强调文字颜色 1 11" xfId="406"/>
    <cellStyle name="60% - 强调文字颜色 1 2" xfId="19"/>
    <cellStyle name="60% - 强调文字颜色 1 3" xfId="63"/>
    <cellStyle name="60% - 强调文字颜色 1 4" xfId="105"/>
    <cellStyle name="60% - 强调文字颜色 1 5" xfId="147"/>
    <cellStyle name="60% - 强调文字颜色 1 6" xfId="191"/>
    <cellStyle name="60% - 强调文字颜色 1 7" xfId="234"/>
    <cellStyle name="60% - 强调文字颜色 1 8" xfId="277"/>
    <cellStyle name="60% - 强调文字颜色 1 9" xfId="320"/>
    <cellStyle name="60% - 强调文字颜色 2 10" xfId="364"/>
    <cellStyle name="60% - 强调文字颜色 2 11" xfId="407"/>
    <cellStyle name="60% - 强调文字颜色 2 2" xfId="20"/>
    <cellStyle name="60% - 强调文字颜色 2 3" xfId="64"/>
    <cellStyle name="60% - 强调文字颜色 2 4" xfId="106"/>
    <cellStyle name="60% - 强调文字颜色 2 5" xfId="148"/>
    <cellStyle name="60% - 强调文字颜色 2 6" xfId="192"/>
    <cellStyle name="60% - 强调文字颜色 2 7" xfId="235"/>
    <cellStyle name="60% - 强调文字颜色 2 8" xfId="278"/>
    <cellStyle name="60% - 强调文字颜色 2 9" xfId="321"/>
    <cellStyle name="60% - 强调文字颜色 3 10" xfId="365"/>
    <cellStyle name="60% - 强调文字颜色 3 11" xfId="408"/>
    <cellStyle name="60% - 强调文字颜色 3 2" xfId="21"/>
    <cellStyle name="60% - 强调文字颜色 3 3" xfId="65"/>
    <cellStyle name="60% - 强调文字颜色 3 4" xfId="107"/>
    <cellStyle name="60% - 强调文字颜色 3 5" xfId="149"/>
    <cellStyle name="60% - 强调文字颜色 3 6" xfId="193"/>
    <cellStyle name="60% - 强调文字颜色 3 7" xfId="236"/>
    <cellStyle name="60% - 强调文字颜色 3 8" xfId="279"/>
    <cellStyle name="60% - 强调文字颜色 3 9" xfId="322"/>
    <cellStyle name="60% - 强调文字颜色 4 10" xfId="366"/>
    <cellStyle name="60% - 强调文字颜色 4 11" xfId="409"/>
    <cellStyle name="60% - 强调文字颜色 4 2" xfId="22"/>
    <cellStyle name="60% - 强调文字颜色 4 3" xfId="66"/>
    <cellStyle name="60% - 强调文字颜色 4 4" xfId="108"/>
    <cellStyle name="60% - 强调文字颜色 4 5" xfId="150"/>
    <cellStyle name="60% - 强调文字颜色 4 6" xfId="194"/>
    <cellStyle name="60% - 强调文字颜色 4 7" xfId="237"/>
    <cellStyle name="60% - 强调文字颜色 4 8" xfId="280"/>
    <cellStyle name="60% - 强调文字颜色 4 9" xfId="323"/>
    <cellStyle name="60% - 强调文字颜色 5 10" xfId="367"/>
    <cellStyle name="60% - 强调文字颜色 5 11" xfId="410"/>
    <cellStyle name="60% - 强调文字颜色 5 2" xfId="23"/>
    <cellStyle name="60% - 强调文字颜色 5 3" xfId="67"/>
    <cellStyle name="60% - 强调文字颜色 5 4" xfId="109"/>
    <cellStyle name="60% - 强调文字颜色 5 5" xfId="151"/>
    <cellStyle name="60% - 强调文字颜色 5 6" xfId="195"/>
    <cellStyle name="60% - 强调文字颜色 5 7" xfId="238"/>
    <cellStyle name="60% - 强调文字颜色 5 8" xfId="281"/>
    <cellStyle name="60% - 强调文字颜色 5 9" xfId="324"/>
    <cellStyle name="60% - 强调文字颜色 6 10" xfId="368"/>
    <cellStyle name="60% - 强调文字颜色 6 11" xfId="411"/>
    <cellStyle name="60% - 强调文字颜色 6 2" xfId="24"/>
    <cellStyle name="60% - 强调文字颜色 6 3" xfId="68"/>
    <cellStyle name="60% - 强调文字颜色 6 4" xfId="110"/>
    <cellStyle name="60% - 强调文字颜色 6 5" xfId="152"/>
    <cellStyle name="60% - 强调文字颜色 6 6" xfId="196"/>
    <cellStyle name="60% - 强调文字颜色 6 7" xfId="239"/>
    <cellStyle name="60% - 强调文字颜色 6 8" xfId="282"/>
    <cellStyle name="60% - 强调文字颜色 6 9" xfId="325"/>
    <cellStyle name="百分比 2" xfId="473"/>
    <cellStyle name="标题 1 10" xfId="370"/>
    <cellStyle name="标题 1 11" xfId="413"/>
    <cellStyle name="标题 1 2" xfId="26"/>
    <cellStyle name="标题 1 3" xfId="70"/>
    <cellStyle name="标题 1 4" xfId="112"/>
    <cellStyle name="标题 1 5" xfId="154"/>
    <cellStyle name="标题 1 6" xfId="198"/>
    <cellStyle name="标题 1 7" xfId="241"/>
    <cellStyle name="标题 1 8" xfId="284"/>
    <cellStyle name="标题 1 9" xfId="327"/>
    <cellStyle name="标题 10" xfId="240"/>
    <cellStyle name="标题 11" xfId="283"/>
    <cellStyle name="标题 12" xfId="326"/>
    <cellStyle name="标题 13" xfId="369"/>
    <cellStyle name="标题 14" xfId="412"/>
    <cellStyle name="标题 2 10" xfId="371"/>
    <cellStyle name="标题 2 11" xfId="414"/>
    <cellStyle name="标题 2 2" xfId="27"/>
    <cellStyle name="标题 2 3" xfId="71"/>
    <cellStyle name="标题 2 4" xfId="113"/>
    <cellStyle name="标题 2 5" xfId="155"/>
    <cellStyle name="标题 2 6" xfId="199"/>
    <cellStyle name="标题 2 7" xfId="242"/>
    <cellStyle name="标题 2 8" xfId="285"/>
    <cellStyle name="标题 2 9" xfId="328"/>
    <cellStyle name="标题 3 10" xfId="372"/>
    <cellStyle name="标题 3 11" xfId="415"/>
    <cellStyle name="标题 3 2" xfId="28"/>
    <cellStyle name="标题 3 3" xfId="72"/>
    <cellStyle name="标题 3 4" xfId="114"/>
    <cellStyle name="标题 3 5" xfId="156"/>
    <cellStyle name="标题 3 6" xfId="200"/>
    <cellStyle name="标题 3 7" xfId="243"/>
    <cellStyle name="标题 3 8" xfId="286"/>
    <cellStyle name="标题 3 9" xfId="329"/>
    <cellStyle name="标题 4 10" xfId="373"/>
    <cellStyle name="标题 4 11" xfId="416"/>
    <cellStyle name="标题 4 2" xfId="29"/>
    <cellStyle name="标题 4 3" xfId="73"/>
    <cellStyle name="标题 4 4" xfId="115"/>
    <cellStyle name="标题 4 5" xfId="157"/>
    <cellStyle name="标题 4 6" xfId="201"/>
    <cellStyle name="标题 4 7" xfId="244"/>
    <cellStyle name="标题 4 8" xfId="287"/>
    <cellStyle name="标题 4 9" xfId="330"/>
    <cellStyle name="标题 5" xfId="25"/>
    <cellStyle name="标题 6" xfId="69"/>
    <cellStyle name="标题 7" xfId="111"/>
    <cellStyle name="标题 8" xfId="153"/>
    <cellStyle name="标题 9" xfId="197"/>
    <cellStyle name="差 10" xfId="374"/>
    <cellStyle name="差 11" xfId="417"/>
    <cellStyle name="差 2" xfId="30"/>
    <cellStyle name="差 3" xfId="74"/>
    <cellStyle name="差 4" xfId="116"/>
    <cellStyle name="差 5" xfId="158"/>
    <cellStyle name="差 6" xfId="202"/>
    <cellStyle name="差 7" xfId="245"/>
    <cellStyle name="差 8" xfId="288"/>
    <cellStyle name="差 9" xfId="331"/>
    <cellStyle name="常规" xfId="0" builtinId="0"/>
    <cellStyle name="常规 10" xfId="206"/>
    <cellStyle name="常规 10 2" xfId="448"/>
    <cellStyle name="常规 10 3" xfId="455"/>
    <cellStyle name="常规 10 4" xfId="462"/>
    <cellStyle name="常规 10 5" xfId="469"/>
    <cellStyle name="常规 11" xfId="249"/>
    <cellStyle name="常规 11 2" xfId="449"/>
    <cellStyle name="常规 11 3" xfId="456"/>
    <cellStyle name="常规 11 4" xfId="463"/>
    <cellStyle name="常规 11 5" xfId="470"/>
    <cellStyle name="常规 12" xfId="307"/>
    <cellStyle name="常规 12 2" xfId="450"/>
    <cellStyle name="常规 12 3" xfId="457"/>
    <cellStyle name="常规 12 4" xfId="464"/>
    <cellStyle name="常规 12 5" xfId="471"/>
    <cellStyle name="常规 13" xfId="335"/>
    <cellStyle name="常规 13 2" xfId="451"/>
    <cellStyle name="常规 13 3" xfId="458"/>
    <cellStyle name="常规 13 4" xfId="465"/>
    <cellStyle name="常规 13 5" xfId="472"/>
    <cellStyle name="常规 14" xfId="377"/>
    <cellStyle name="常规 15" xfId="436"/>
    <cellStyle name="常规 16" xfId="437"/>
    <cellStyle name="常规 17" xfId="438"/>
    <cellStyle name="常规 18" xfId="474"/>
    <cellStyle name="常规 19" xfId="439"/>
    <cellStyle name="常规 2" xfId="1"/>
    <cellStyle name="常规 2 10" xfId="375"/>
    <cellStyle name="常规 2 11" xfId="418"/>
    <cellStyle name="常规 2 12" xfId="6"/>
    <cellStyle name="常规 2 2" xfId="5"/>
    <cellStyle name="常规 2 2 2" xfId="31"/>
    <cellStyle name="常规 2 3" xfId="75"/>
    <cellStyle name="常规 2 4" xfId="117"/>
    <cellStyle name="常规 2 5" xfId="159"/>
    <cellStyle name="常规 2 6" xfId="203"/>
    <cellStyle name="常规 2 7" xfId="246"/>
    <cellStyle name="常规 2 8" xfId="289"/>
    <cellStyle name="常规 2 9" xfId="332"/>
    <cellStyle name="常规 20" xfId="440"/>
    <cellStyle name="常规 21" xfId="441"/>
    <cellStyle name="常规 22" xfId="442"/>
    <cellStyle name="常规 24" xfId="443"/>
    <cellStyle name="常规 25" xfId="444"/>
    <cellStyle name="常规 3" xfId="32"/>
    <cellStyle name="常规 4" xfId="33"/>
    <cellStyle name="常规 5" xfId="3"/>
    <cellStyle name="常规 5 2" xfId="445"/>
    <cellStyle name="常规 5 3" xfId="452"/>
    <cellStyle name="常规 5 4" xfId="459"/>
    <cellStyle name="常规 5 5" xfId="466"/>
    <cellStyle name="常规 6" xfId="2"/>
    <cellStyle name="常规 6 2" xfId="446"/>
    <cellStyle name="常规 6 3" xfId="453"/>
    <cellStyle name="常规 6 4" xfId="460"/>
    <cellStyle name="常规 6 5" xfId="467"/>
    <cellStyle name="常规 7" xfId="4"/>
    <cellStyle name="常规 7 2" xfId="447"/>
    <cellStyle name="常规 7 3" xfId="454"/>
    <cellStyle name="常规 7 4" xfId="461"/>
    <cellStyle name="常规 7 5" xfId="468"/>
    <cellStyle name="常规 8" xfId="160"/>
    <cellStyle name="常规 9" xfId="178"/>
    <cellStyle name="好 10" xfId="378"/>
    <cellStyle name="好 11" xfId="419"/>
    <cellStyle name="好 2" xfId="34"/>
    <cellStyle name="好 3" xfId="78"/>
    <cellStyle name="好 4" xfId="120"/>
    <cellStyle name="好 5" xfId="161"/>
    <cellStyle name="好 6" xfId="207"/>
    <cellStyle name="好 7" xfId="250"/>
    <cellStyle name="好 8" xfId="290"/>
    <cellStyle name="好 9" xfId="336"/>
    <cellStyle name="汇总 10" xfId="379"/>
    <cellStyle name="汇总 11" xfId="420"/>
    <cellStyle name="汇总 2" xfId="35"/>
    <cellStyle name="汇总 3" xfId="79"/>
    <cellStyle name="汇总 4" xfId="121"/>
    <cellStyle name="汇总 5" xfId="162"/>
    <cellStyle name="汇总 6" xfId="208"/>
    <cellStyle name="汇总 7" xfId="251"/>
    <cellStyle name="汇总 8" xfId="291"/>
    <cellStyle name="汇总 9" xfId="337"/>
    <cellStyle name="计算 10" xfId="380"/>
    <cellStyle name="计算 11" xfId="421"/>
    <cellStyle name="计算 2" xfId="36"/>
    <cellStyle name="计算 3" xfId="80"/>
    <cellStyle name="计算 4" xfId="122"/>
    <cellStyle name="计算 5" xfId="163"/>
    <cellStyle name="计算 6" xfId="209"/>
    <cellStyle name="计算 7" xfId="252"/>
    <cellStyle name="计算 8" xfId="292"/>
    <cellStyle name="计算 9" xfId="338"/>
    <cellStyle name="检查单元格 10" xfId="381"/>
    <cellStyle name="检查单元格 11" xfId="422"/>
    <cellStyle name="检查单元格 2" xfId="37"/>
    <cellStyle name="检查单元格 3" xfId="81"/>
    <cellStyle name="检查单元格 4" xfId="123"/>
    <cellStyle name="检查单元格 5" xfId="164"/>
    <cellStyle name="检查单元格 6" xfId="210"/>
    <cellStyle name="检查单元格 7" xfId="253"/>
    <cellStyle name="检查单元格 8" xfId="293"/>
    <cellStyle name="检查单元格 9" xfId="339"/>
    <cellStyle name="解释性文本 10" xfId="382"/>
    <cellStyle name="解释性文本 11" xfId="423"/>
    <cellStyle name="解释性文本 2" xfId="38"/>
    <cellStyle name="解释性文本 3" xfId="82"/>
    <cellStyle name="解释性文本 4" xfId="124"/>
    <cellStyle name="解释性文本 5" xfId="165"/>
    <cellStyle name="解释性文本 6" xfId="211"/>
    <cellStyle name="解释性文本 7" xfId="254"/>
    <cellStyle name="解释性文本 8" xfId="294"/>
    <cellStyle name="解释性文本 9" xfId="340"/>
    <cellStyle name="警告文本 10" xfId="383"/>
    <cellStyle name="警告文本 11" xfId="424"/>
    <cellStyle name="警告文本 2" xfId="39"/>
    <cellStyle name="警告文本 3" xfId="83"/>
    <cellStyle name="警告文本 4" xfId="125"/>
    <cellStyle name="警告文本 5" xfId="166"/>
    <cellStyle name="警告文本 6" xfId="212"/>
    <cellStyle name="警告文本 7" xfId="255"/>
    <cellStyle name="警告文本 8" xfId="295"/>
    <cellStyle name="警告文本 9" xfId="341"/>
    <cellStyle name="链接单元格 10" xfId="384"/>
    <cellStyle name="链接单元格 11" xfId="425"/>
    <cellStyle name="链接单元格 2" xfId="40"/>
    <cellStyle name="链接单元格 3" xfId="84"/>
    <cellStyle name="链接单元格 4" xfId="126"/>
    <cellStyle name="链接单元格 5" xfId="167"/>
    <cellStyle name="链接单元格 6" xfId="213"/>
    <cellStyle name="链接单元格 7" xfId="256"/>
    <cellStyle name="链接单元格 8" xfId="296"/>
    <cellStyle name="链接单元格 9" xfId="342"/>
    <cellStyle name="强调文字颜色 1 10" xfId="385"/>
    <cellStyle name="强调文字颜色 1 11" xfId="426"/>
    <cellStyle name="强调文字颜色 1 2" xfId="41"/>
    <cellStyle name="强调文字颜色 1 3" xfId="85"/>
    <cellStyle name="强调文字颜色 1 4" xfId="127"/>
    <cellStyle name="强调文字颜色 1 5" xfId="168"/>
    <cellStyle name="强调文字颜色 1 6" xfId="214"/>
    <cellStyle name="强调文字颜色 1 7" xfId="257"/>
    <cellStyle name="强调文字颜色 1 8" xfId="297"/>
    <cellStyle name="强调文字颜色 1 9" xfId="343"/>
    <cellStyle name="强调文字颜色 2 10" xfId="386"/>
    <cellStyle name="强调文字颜色 2 11" xfId="427"/>
    <cellStyle name="强调文字颜色 2 2" xfId="42"/>
    <cellStyle name="强调文字颜色 2 3" xfId="86"/>
    <cellStyle name="强调文字颜色 2 4" xfId="128"/>
    <cellStyle name="强调文字颜色 2 5" xfId="169"/>
    <cellStyle name="强调文字颜色 2 6" xfId="215"/>
    <cellStyle name="强调文字颜色 2 7" xfId="258"/>
    <cellStyle name="强调文字颜色 2 8" xfId="298"/>
    <cellStyle name="强调文字颜色 2 9" xfId="344"/>
    <cellStyle name="强调文字颜色 3 10" xfId="387"/>
    <cellStyle name="强调文字颜色 3 11" xfId="428"/>
    <cellStyle name="强调文字颜色 3 2" xfId="43"/>
    <cellStyle name="强调文字颜色 3 3" xfId="87"/>
    <cellStyle name="强调文字颜色 3 4" xfId="129"/>
    <cellStyle name="强调文字颜色 3 5" xfId="170"/>
    <cellStyle name="强调文字颜色 3 6" xfId="216"/>
    <cellStyle name="强调文字颜色 3 7" xfId="259"/>
    <cellStyle name="强调文字颜色 3 8" xfId="299"/>
    <cellStyle name="强调文字颜色 3 9" xfId="345"/>
    <cellStyle name="强调文字颜色 4 10" xfId="388"/>
    <cellStyle name="强调文字颜色 4 11" xfId="429"/>
    <cellStyle name="强调文字颜色 4 2" xfId="44"/>
    <cellStyle name="强调文字颜色 4 3" xfId="88"/>
    <cellStyle name="强调文字颜色 4 4" xfId="130"/>
    <cellStyle name="强调文字颜色 4 5" xfId="171"/>
    <cellStyle name="强调文字颜色 4 6" xfId="217"/>
    <cellStyle name="强调文字颜色 4 7" xfId="260"/>
    <cellStyle name="强调文字颜色 4 8" xfId="300"/>
    <cellStyle name="强调文字颜色 4 9" xfId="346"/>
    <cellStyle name="强调文字颜色 5 10" xfId="389"/>
    <cellStyle name="强调文字颜色 5 11" xfId="430"/>
    <cellStyle name="强调文字颜色 5 2" xfId="45"/>
    <cellStyle name="强调文字颜色 5 3" xfId="89"/>
    <cellStyle name="强调文字颜色 5 4" xfId="131"/>
    <cellStyle name="强调文字颜色 5 5" xfId="172"/>
    <cellStyle name="强调文字颜色 5 6" xfId="218"/>
    <cellStyle name="强调文字颜色 5 7" xfId="261"/>
    <cellStyle name="强调文字颜色 5 8" xfId="301"/>
    <cellStyle name="强调文字颜色 5 9" xfId="347"/>
    <cellStyle name="强调文字颜色 6 10" xfId="390"/>
    <cellStyle name="强调文字颜色 6 11" xfId="431"/>
    <cellStyle name="强调文字颜色 6 2" xfId="46"/>
    <cellStyle name="强调文字颜色 6 3" xfId="90"/>
    <cellStyle name="强调文字颜色 6 4" xfId="132"/>
    <cellStyle name="强调文字颜色 6 5" xfId="173"/>
    <cellStyle name="强调文字颜色 6 6" xfId="219"/>
    <cellStyle name="强调文字颜色 6 7" xfId="262"/>
    <cellStyle name="强调文字颜色 6 8" xfId="302"/>
    <cellStyle name="强调文字颜色 6 9" xfId="348"/>
    <cellStyle name="适中 10" xfId="391"/>
    <cellStyle name="适中 11" xfId="432"/>
    <cellStyle name="适中 2" xfId="47"/>
    <cellStyle name="适中 3" xfId="91"/>
    <cellStyle name="适中 4" xfId="133"/>
    <cellStyle name="适中 5" xfId="174"/>
    <cellStyle name="适中 6" xfId="220"/>
    <cellStyle name="适中 7" xfId="263"/>
    <cellStyle name="适中 8" xfId="303"/>
    <cellStyle name="适中 9" xfId="349"/>
    <cellStyle name="输出 10" xfId="392"/>
    <cellStyle name="输出 11" xfId="433"/>
    <cellStyle name="输出 2" xfId="48"/>
    <cellStyle name="输出 3" xfId="92"/>
    <cellStyle name="输出 4" xfId="134"/>
    <cellStyle name="输出 5" xfId="175"/>
    <cellStyle name="输出 6" xfId="221"/>
    <cellStyle name="输出 7" xfId="264"/>
    <cellStyle name="输出 8" xfId="304"/>
    <cellStyle name="输出 9" xfId="350"/>
    <cellStyle name="输入 10" xfId="393"/>
    <cellStyle name="输入 11" xfId="434"/>
    <cellStyle name="输入 2" xfId="49"/>
    <cellStyle name="输入 3" xfId="93"/>
    <cellStyle name="输入 4" xfId="135"/>
    <cellStyle name="输入 5" xfId="176"/>
    <cellStyle name="输入 6" xfId="222"/>
    <cellStyle name="输入 7" xfId="265"/>
    <cellStyle name="输入 8" xfId="305"/>
    <cellStyle name="输入 9" xfId="351"/>
    <cellStyle name="注释 10" xfId="394"/>
    <cellStyle name="注释 11" xfId="435"/>
    <cellStyle name="注释 2" xfId="50"/>
    <cellStyle name="注释 3" xfId="94"/>
    <cellStyle name="注释 4" xfId="136"/>
    <cellStyle name="注释 5" xfId="177"/>
    <cellStyle name="注释 6" xfId="223"/>
    <cellStyle name="注释 7" xfId="266"/>
    <cellStyle name="注释 8" xfId="306"/>
    <cellStyle name="注释 9" xfId="352"/>
  </cellStyles>
  <dxfs count="0"/>
  <tableStyles count="0" defaultTableStyle="TableStyleMedium9" defaultPivotStyle="PivotStyleLight16"/>
  <colors>
    <mruColors>
      <color rgb="FFFFFF99"/>
    </mruColors>
  </colors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J60"/>
  <sheetViews>
    <sheetView tabSelected="1" zoomScale="85" zoomScaleNormal="85" workbookViewId="0">
      <selection activeCell="V27" sqref="V27"/>
    </sheetView>
  </sheetViews>
  <sheetFormatPr defaultRowHeight="12.75"/>
  <cols>
    <col min="1" max="1" width="7.125" style="49" customWidth="1"/>
    <col min="2" max="13" width="7.125" style="58" customWidth="1"/>
    <col min="14" max="15" width="8" style="36" bestFit="1" customWidth="1"/>
    <col min="16" max="16" width="9.75" style="36" customWidth="1"/>
    <col min="17" max="17" width="8.875" style="36" bestFit="1" customWidth="1"/>
    <col min="18" max="18" width="10.125" style="36" customWidth="1"/>
    <col min="19" max="33" width="7.125" style="36" customWidth="1"/>
    <col min="34" max="16384" width="9" style="36"/>
  </cols>
  <sheetData>
    <row r="1" spans="1:33" ht="14.25" customHeight="1">
      <c r="A1" s="155" t="s">
        <v>53</v>
      </c>
      <c r="B1" s="157" t="s">
        <v>67</v>
      </c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7" t="s">
        <v>68</v>
      </c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</row>
    <row r="2" spans="1:33">
      <c r="A2" s="156"/>
      <c r="B2" s="159" t="s">
        <v>54</v>
      </c>
      <c r="C2" s="160"/>
      <c r="D2" s="160"/>
      <c r="E2" s="160"/>
      <c r="F2" s="160"/>
      <c r="G2" s="160"/>
      <c r="H2" s="160"/>
      <c r="I2" s="160"/>
      <c r="J2" s="160"/>
      <c r="K2" s="160"/>
      <c r="L2" s="160"/>
      <c r="M2" s="160"/>
      <c r="N2" s="161" t="s">
        <v>55</v>
      </c>
      <c r="O2" s="162"/>
      <c r="P2" s="162"/>
      <c r="Q2" s="162"/>
      <c r="R2" s="157" t="s">
        <v>56</v>
      </c>
      <c r="S2" s="158"/>
      <c r="T2" s="158"/>
      <c r="U2" s="158"/>
      <c r="V2" s="158"/>
      <c r="W2" s="158"/>
      <c r="X2" s="158"/>
      <c r="Y2" s="158"/>
      <c r="Z2" s="158"/>
      <c r="AA2" s="158"/>
      <c r="AB2" s="158"/>
      <c r="AC2" s="158"/>
      <c r="AD2" s="158"/>
      <c r="AE2" s="158"/>
      <c r="AF2" s="158"/>
      <c r="AG2" s="158"/>
    </row>
    <row r="3" spans="1:33" ht="14.25">
      <c r="A3" s="156"/>
      <c r="B3" s="56" t="s">
        <v>58</v>
      </c>
      <c r="C3" s="56" t="s">
        <v>59</v>
      </c>
      <c r="D3" s="56" t="s">
        <v>69</v>
      </c>
      <c r="E3" s="56" t="s">
        <v>70</v>
      </c>
      <c r="F3" s="56" t="s">
        <v>71</v>
      </c>
      <c r="G3" s="56" t="s">
        <v>72</v>
      </c>
      <c r="H3" s="56" t="s">
        <v>73</v>
      </c>
      <c r="I3" s="56" t="s">
        <v>74</v>
      </c>
      <c r="J3" s="56" t="s">
        <v>75</v>
      </c>
      <c r="K3" s="56" t="s">
        <v>76</v>
      </c>
      <c r="L3" s="56" t="s">
        <v>77</v>
      </c>
      <c r="M3" s="56" t="s">
        <v>78</v>
      </c>
      <c r="N3" s="43" t="s">
        <v>87</v>
      </c>
      <c r="O3" s="43" t="s">
        <v>57</v>
      </c>
      <c r="P3" s="43" t="s">
        <v>88</v>
      </c>
      <c r="Q3" s="43" t="s">
        <v>89</v>
      </c>
      <c r="R3" s="44" t="s">
        <v>58</v>
      </c>
      <c r="S3" s="44" t="s">
        <v>59</v>
      </c>
      <c r="T3" s="44" t="s">
        <v>60</v>
      </c>
      <c r="U3" s="44" t="s">
        <v>61</v>
      </c>
      <c r="V3" s="42" t="s">
        <v>79</v>
      </c>
      <c r="W3" s="42" t="s">
        <v>80</v>
      </c>
      <c r="X3" s="42" t="s">
        <v>81</v>
      </c>
      <c r="Y3" s="42" t="s">
        <v>82</v>
      </c>
      <c r="Z3" s="42" t="s">
        <v>83</v>
      </c>
      <c r="AA3" s="42" t="s">
        <v>62</v>
      </c>
      <c r="AB3" s="42" t="s">
        <v>63</v>
      </c>
      <c r="AC3" s="42" t="s">
        <v>64</v>
      </c>
      <c r="AD3" s="43" t="s">
        <v>90</v>
      </c>
      <c r="AE3" s="43" t="s">
        <v>65</v>
      </c>
      <c r="AF3" s="43" t="s">
        <v>91</v>
      </c>
      <c r="AG3" s="43" t="s">
        <v>66</v>
      </c>
    </row>
    <row r="4" spans="1:33">
      <c r="A4" s="141" t="s">
        <v>261</v>
      </c>
      <c r="B4" s="144">
        <f t="shared" ref="B4:Q4" si="0">AVERAGE(B5:B59)</f>
        <v>17.023636363636363</v>
      </c>
      <c r="C4" s="144">
        <f t="shared" si="0"/>
        <v>19.552727272727271</v>
      </c>
      <c r="D4" s="144">
        <f t="shared" si="0"/>
        <v>34.421818181818182</v>
      </c>
      <c r="E4" s="144">
        <f t="shared" si="0"/>
        <v>88.290909090909096</v>
      </c>
      <c r="F4" s="144">
        <f t="shared" si="0"/>
        <v>170.94545454545454</v>
      </c>
      <c r="G4" s="144">
        <f t="shared" si="0"/>
        <v>204.14999999999998</v>
      </c>
      <c r="H4" s="144">
        <f t="shared" si="0"/>
        <v>183.72727272727272</v>
      </c>
      <c r="I4" s="144">
        <f t="shared" si="0"/>
        <v>131.12181818181818</v>
      </c>
      <c r="J4" s="144">
        <f t="shared" si="0"/>
        <v>91.058181818181808</v>
      </c>
      <c r="K4" s="144">
        <f t="shared" si="0"/>
        <v>94.023636363636371</v>
      </c>
      <c r="L4" s="144">
        <f t="shared" si="0"/>
        <v>46.316363636363633</v>
      </c>
      <c r="M4" s="144">
        <f t="shared" si="0"/>
        <v>20.101818181818182</v>
      </c>
      <c r="N4" s="142">
        <f t="shared" si="0"/>
        <v>159.2890909090909</v>
      </c>
      <c r="O4" s="142">
        <f t="shared" si="0"/>
        <v>777.29090909090905</v>
      </c>
      <c r="P4" s="142">
        <f t="shared" si="0"/>
        <v>160.44181818181823</v>
      </c>
      <c r="Q4" s="142">
        <f t="shared" si="0"/>
        <v>1097.0218181818184</v>
      </c>
      <c r="R4" s="146"/>
      <c r="S4" s="146"/>
      <c r="T4" s="146"/>
      <c r="U4" s="146"/>
      <c r="V4" s="143"/>
      <c r="W4" s="143"/>
      <c r="X4" s="143"/>
      <c r="Y4" s="143"/>
      <c r="Z4" s="143"/>
      <c r="AA4" s="143"/>
      <c r="AB4" s="143"/>
      <c r="AC4" s="143"/>
      <c r="AD4" s="142"/>
      <c r="AE4" s="142"/>
      <c r="AF4" s="142"/>
      <c r="AG4" s="142"/>
    </row>
    <row r="5" spans="1:33">
      <c r="A5" s="45">
        <v>1961</v>
      </c>
      <c r="B5" s="57">
        <v>15.9</v>
      </c>
      <c r="C5" s="57">
        <v>20.100000000000001</v>
      </c>
      <c r="D5" s="57">
        <v>40</v>
      </c>
      <c r="E5" s="57">
        <v>180.5</v>
      </c>
      <c r="F5" s="57">
        <v>143.4</v>
      </c>
      <c r="G5" s="57">
        <v>33.200000000000003</v>
      </c>
      <c r="H5" s="57">
        <v>143.1</v>
      </c>
      <c r="I5" s="57">
        <v>97.7</v>
      </c>
      <c r="J5" s="57">
        <v>76.7</v>
      </c>
      <c r="K5" s="57">
        <v>184</v>
      </c>
      <c r="L5" s="57">
        <v>110.9</v>
      </c>
      <c r="M5" s="57">
        <v>56.1</v>
      </c>
      <c r="N5" s="41">
        <f>SUM(B5:E5)</f>
        <v>256.5</v>
      </c>
      <c r="O5" s="41">
        <f>SUM(F5:J5)</f>
        <v>494.1</v>
      </c>
      <c r="P5" s="41">
        <f>SUM(K5:M5)</f>
        <v>351</v>
      </c>
      <c r="Q5" s="41">
        <f>SUM(B5:M5)</f>
        <v>1101.5999999999999</v>
      </c>
      <c r="R5" s="52"/>
      <c r="S5" s="52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</row>
    <row r="6" spans="1:33">
      <c r="A6" s="45">
        <v>1962</v>
      </c>
      <c r="B6" s="57">
        <v>20.399999999999999</v>
      </c>
      <c r="C6" s="57">
        <v>9</v>
      </c>
      <c r="D6" s="57">
        <v>17</v>
      </c>
      <c r="E6" s="57">
        <v>114.9</v>
      </c>
      <c r="F6" s="57">
        <v>101</v>
      </c>
      <c r="G6" s="57">
        <v>235.6</v>
      </c>
      <c r="H6" s="57">
        <v>112.9</v>
      </c>
      <c r="I6" s="57">
        <v>108.9</v>
      </c>
      <c r="J6" s="57">
        <v>77.7</v>
      </c>
      <c r="K6" s="57">
        <v>77</v>
      </c>
      <c r="L6" s="57">
        <v>16.7</v>
      </c>
      <c r="M6" s="57">
        <v>12.3</v>
      </c>
      <c r="N6" s="41">
        <f t="shared" ref="N6:N56" si="1">SUM(B6:E6)</f>
        <v>161.30000000000001</v>
      </c>
      <c r="O6" s="41">
        <f t="shared" ref="O6:O56" si="2">SUM(F6:J6)</f>
        <v>636.1</v>
      </c>
      <c r="P6" s="41">
        <f t="shared" ref="P6:P56" si="3">SUM(K6:M6)</f>
        <v>106</v>
      </c>
      <c r="Q6" s="41">
        <f t="shared" ref="Q6:Q56" si="4">SUM(B6:M6)</f>
        <v>903.4</v>
      </c>
      <c r="R6" s="52"/>
      <c r="S6" s="52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</row>
    <row r="7" spans="1:33">
      <c r="A7" s="45">
        <v>1963</v>
      </c>
      <c r="B7" s="57">
        <v>5.4</v>
      </c>
      <c r="C7" s="57">
        <v>12.2</v>
      </c>
      <c r="D7" s="57">
        <v>32.700000000000003</v>
      </c>
      <c r="E7" s="57">
        <v>26.6</v>
      </c>
      <c r="F7" s="57">
        <v>232.2</v>
      </c>
      <c r="G7" s="57">
        <v>77.400000000000006</v>
      </c>
      <c r="H7" s="57">
        <v>413.9</v>
      </c>
      <c r="I7" s="57">
        <v>53.8</v>
      </c>
      <c r="J7" s="57">
        <v>62</v>
      </c>
      <c r="K7" s="57">
        <v>74.900000000000006</v>
      </c>
      <c r="L7" s="57">
        <v>186.7</v>
      </c>
      <c r="M7" s="57">
        <v>51.8</v>
      </c>
      <c r="N7" s="41">
        <f t="shared" si="1"/>
        <v>76.900000000000006</v>
      </c>
      <c r="O7" s="41">
        <f t="shared" si="2"/>
        <v>839.3</v>
      </c>
      <c r="P7" s="41">
        <f t="shared" si="3"/>
        <v>313.40000000000003</v>
      </c>
      <c r="Q7" s="41">
        <f t="shared" si="4"/>
        <v>1229.5999999999999</v>
      </c>
      <c r="R7" s="52"/>
      <c r="S7" s="52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</row>
    <row r="8" spans="1:33">
      <c r="A8" s="45">
        <v>1964</v>
      </c>
      <c r="B8" s="57">
        <v>8.6999999999999993</v>
      </c>
      <c r="C8" s="57">
        <v>30.9</v>
      </c>
      <c r="D8" s="57">
        <v>18.2</v>
      </c>
      <c r="E8" s="57">
        <v>187.4</v>
      </c>
      <c r="F8" s="57">
        <v>96.4</v>
      </c>
      <c r="G8" s="57">
        <v>351.2</v>
      </c>
      <c r="H8" s="57">
        <v>105.3</v>
      </c>
      <c r="I8" s="57">
        <v>251.3</v>
      </c>
      <c r="J8" s="57">
        <v>29.7</v>
      </c>
      <c r="K8" s="57">
        <v>103.4</v>
      </c>
      <c r="L8" s="57">
        <v>27.9</v>
      </c>
      <c r="M8" s="57">
        <v>42.1</v>
      </c>
      <c r="N8" s="41">
        <f t="shared" si="1"/>
        <v>245.2</v>
      </c>
      <c r="O8" s="41">
        <f t="shared" si="2"/>
        <v>833.90000000000009</v>
      </c>
      <c r="P8" s="41">
        <f t="shared" si="3"/>
        <v>173.4</v>
      </c>
      <c r="Q8" s="41">
        <f t="shared" si="4"/>
        <v>1252.5</v>
      </c>
      <c r="R8" s="52"/>
      <c r="S8" s="52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</row>
    <row r="9" spans="1:33">
      <c r="A9" s="45">
        <v>1965</v>
      </c>
      <c r="B9" s="57">
        <v>28.4</v>
      </c>
      <c r="C9" s="57">
        <v>25.3</v>
      </c>
      <c r="D9" s="57">
        <v>61.4</v>
      </c>
      <c r="E9" s="57">
        <v>134.69999999999999</v>
      </c>
      <c r="F9" s="57">
        <v>231</v>
      </c>
      <c r="G9" s="57">
        <v>205.9</v>
      </c>
      <c r="H9" s="57">
        <v>141.9</v>
      </c>
      <c r="I9" s="57">
        <v>188.3</v>
      </c>
      <c r="J9" s="57">
        <v>59.6</v>
      </c>
      <c r="K9" s="57">
        <v>208.4</v>
      </c>
      <c r="L9" s="57">
        <v>63.9</v>
      </c>
      <c r="M9" s="57">
        <v>27.6</v>
      </c>
      <c r="N9" s="41">
        <f t="shared" si="1"/>
        <v>249.79999999999998</v>
      </c>
      <c r="O9" s="41">
        <f t="shared" si="2"/>
        <v>826.69999999999993</v>
      </c>
      <c r="P9" s="41">
        <f t="shared" si="3"/>
        <v>299.90000000000003</v>
      </c>
      <c r="Q9" s="41">
        <f t="shared" si="4"/>
        <v>1376.3999999999999</v>
      </c>
      <c r="R9" s="52"/>
      <c r="S9" s="52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</row>
    <row r="10" spans="1:33">
      <c r="A10" s="45">
        <v>1966</v>
      </c>
      <c r="B10" s="57">
        <v>15.2</v>
      </c>
      <c r="C10" s="57">
        <v>12.8</v>
      </c>
      <c r="D10" s="57">
        <v>5.3</v>
      </c>
      <c r="E10" s="57">
        <v>77.8</v>
      </c>
      <c r="F10" s="57">
        <v>152.1</v>
      </c>
      <c r="G10" s="57">
        <v>191</v>
      </c>
      <c r="H10" s="57">
        <v>105.5</v>
      </c>
      <c r="I10" s="57">
        <v>60.1</v>
      </c>
      <c r="J10" s="57">
        <v>34.299999999999997</v>
      </c>
      <c r="K10" s="57">
        <v>82.7</v>
      </c>
      <c r="L10" s="57">
        <v>11.6</v>
      </c>
      <c r="M10" s="57">
        <v>17.3</v>
      </c>
      <c r="N10" s="41">
        <f t="shared" si="1"/>
        <v>111.1</v>
      </c>
      <c r="O10" s="41">
        <f t="shared" si="2"/>
        <v>543</v>
      </c>
      <c r="P10" s="41">
        <f t="shared" si="3"/>
        <v>111.6</v>
      </c>
      <c r="Q10" s="41">
        <f t="shared" si="4"/>
        <v>765.7</v>
      </c>
      <c r="R10" s="52"/>
      <c r="S10" s="52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</row>
    <row r="11" spans="1:33">
      <c r="A11" s="45">
        <v>1967</v>
      </c>
      <c r="B11" s="57">
        <v>6.6</v>
      </c>
      <c r="C11" s="57">
        <v>46.9</v>
      </c>
      <c r="D11" s="57">
        <v>22.9</v>
      </c>
      <c r="E11" s="57">
        <v>236.6</v>
      </c>
      <c r="F11" s="57">
        <v>153.9</v>
      </c>
      <c r="G11" s="57">
        <v>301.3</v>
      </c>
      <c r="H11" s="57">
        <v>219.6</v>
      </c>
      <c r="I11" s="57">
        <v>147.30000000000001</v>
      </c>
      <c r="J11" s="57">
        <v>171.7</v>
      </c>
      <c r="K11" s="57">
        <v>43.1</v>
      </c>
      <c r="L11" s="57">
        <v>66</v>
      </c>
      <c r="M11" s="57">
        <v>19.3</v>
      </c>
      <c r="N11" s="41">
        <f t="shared" si="1"/>
        <v>313</v>
      </c>
      <c r="O11" s="41">
        <f t="shared" si="2"/>
        <v>993.80000000000018</v>
      </c>
      <c r="P11" s="41">
        <f t="shared" si="3"/>
        <v>128.4</v>
      </c>
      <c r="Q11" s="41">
        <f t="shared" si="4"/>
        <v>1435.2</v>
      </c>
      <c r="R11" s="52"/>
      <c r="S11" s="52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</row>
    <row r="12" spans="1:33">
      <c r="A12" s="45">
        <v>1968</v>
      </c>
      <c r="B12" s="57">
        <v>7.1</v>
      </c>
      <c r="C12" s="57">
        <v>8.1999999999999993</v>
      </c>
      <c r="D12" s="57">
        <v>24.1</v>
      </c>
      <c r="E12" s="57">
        <v>131</v>
      </c>
      <c r="F12" s="57">
        <v>192</v>
      </c>
      <c r="G12" s="57">
        <v>161.6</v>
      </c>
      <c r="H12" s="57">
        <v>160</v>
      </c>
      <c r="I12" s="57">
        <v>252.2</v>
      </c>
      <c r="J12" s="57">
        <v>32.200000000000003</v>
      </c>
      <c r="K12" s="57">
        <v>55.1</v>
      </c>
      <c r="L12" s="57">
        <v>66.400000000000006</v>
      </c>
      <c r="M12" s="57">
        <v>13.9</v>
      </c>
      <c r="N12" s="41">
        <f t="shared" si="1"/>
        <v>170.4</v>
      </c>
      <c r="O12" s="41">
        <f t="shared" si="2"/>
        <v>798</v>
      </c>
      <c r="P12" s="41">
        <f t="shared" si="3"/>
        <v>135.4</v>
      </c>
      <c r="Q12" s="41">
        <f t="shared" si="4"/>
        <v>1103.8000000000002</v>
      </c>
      <c r="R12" s="52"/>
      <c r="S12" s="52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</row>
    <row r="13" spans="1:33">
      <c r="A13" s="45">
        <v>1969</v>
      </c>
      <c r="B13" s="57">
        <v>8.8000000000000007</v>
      </c>
      <c r="C13" s="57">
        <v>4.7</v>
      </c>
      <c r="D13" s="57">
        <v>29</v>
      </c>
      <c r="E13" s="57">
        <v>59</v>
      </c>
      <c r="F13" s="57">
        <v>139.19999999999999</v>
      </c>
      <c r="G13" s="57">
        <v>275.89999999999998</v>
      </c>
      <c r="H13" s="57">
        <v>164.9</v>
      </c>
      <c r="I13" s="57">
        <v>186.3</v>
      </c>
      <c r="J13" s="57">
        <v>16.600000000000001</v>
      </c>
      <c r="K13" s="57">
        <v>88.3</v>
      </c>
      <c r="L13" s="57">
        <v>49.3</v>
      </c>
      <c r="M13" s="57">
        <v>7</v>
      </c>
      <c r="N13" s="41">
        <f t="shared" si="1"/>
        <v>101.5</v>
      </c>
      <c r="O13" s="41">
        <f t="shared" si="2"/>
        <v>782.9</v>
      </c>
      <c r="P13" s="41">
        <f t="shared" si="3"/>
        <v>144.6</v>
      </c>
      <c r="Q13" s="41">
        <f t="shared" si="4"/>
        <v>1029</v>
      </c>
      <c r="R13" s="52"/>
      <c r="S13" s="52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</row>
    <row r="14" spans="1:33">
      <c r="A14" s="45">
        <v>1970</v>
      </c>
      <c r="B14" s="57">
        <v>30.4</v>
      </c>
      <c r="C14" s="57">
        <v>15.7</v>
      </c>
      <c r="D14" s="57">
        <v>93</v>
      </c>
      <c r="E14" s="57">
        <v>80.8</v>
      </c>
      <c r="F14" s="57">
        <v>107.4</v>
      </c>
      <c r="G14" s="57">
        <v>129.5</v>
      </c>
      <c r="H14" s="57">
        <v>412.4</v>
      </c>
      <c r="I14" s="57">
        <v>49.6</v>
      </c>
      <c r="J14" s="57">
        <v>175.7</v>
      </c>
      <c r="K14" s="57">
        <v>61.5</v>
      </c>
      <c r="L14" s="57">
        <v>39.5</v>
      </c>
      <c r="M14" s="57">
        <v>54.8</v>
      </c>
      <c r="N14" s="41">
        <f t="shared" si="1"/>
        <v>219.89999999999998</v>
      </c>
      <c r="O14" s="41">
        <f t="shared" si="2"/>
        <v>874.59999999999991</v>
      </c>
      <c r="P14" s="41">
        <f t="shared" si="3"/>
        <v>155.80000000000001</v>
      </c>
      <c r="Q14" s="41">
        <f t="shared" si="4"/>
        <v>1250.3</v>
      </c>
      <c r="R14" s="52"/>
      <c r="S14" s="52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</row>
    <row r="15" spans="1:33">
      <c r="A15" s="45">
        <v>1971</v>
      </c>
      <c r="B15" s="57">
        <v>7.6</v>
      </c>
      <c r="C15" s="57">
        <v>45.9</v>
      </c>
      <c r="D15" s="57">
        <v>27.8</v>
      </c>
      <c r="E15" s="57">
        <v>165</v>
      </c>
      <c r="F15" s="57">
        <v>153.9</v>
      </c>
      <c r="G15" s="57">
        <v>286.10000000000002</v>
      </c>
      <c r="H15" s="57">
        <v>216.8</v>
      </c>
      <c r="I15" s="57">
        <v>152.9</v>
      </c>
      <c r="J15" s="57">
        <v>172.9</v>
      </c>
      <c r="K15" s="57">
        <v>41.8</v>
      </c>
      <c r="L15" s="57">
        <v>60.4</v>
      </c>
      <c r="M15" s="57">
        <v>19.3</v>
      </c>
      <c r="N15" s="41">
        <f t="shared" si="1"/>
        <v>246.3</v>
      </c>
      <c r="O15" s="41">
        <f t="shared" si="2"/>
        <v>982.59999999999991</v>
      </c>
      <c r="P15" s="41">
        <f t="shared" si="3"/>
        <v>121.49999999999999</v>
      </c>
      <c r="Q15" s="41">
        <f t="shared" si="4"/>
        <v>1350.4000000000003</v>
      </c>
      <c r="R15" s="52"/>
      <c r="S15" s="52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</row>
    <row r="16" spans="1:33">
      <c r="A16" s="45">
        <v>1972</v>
      </c>
      <c r="B16" s="57">
        <v>14.4</v>
      </c>
      <c r="C16" s="57">
        <v>15.2</v>
      </c>
      <c r="D16" s="57">
        <v>43.1</v>
      </c>
      <c r="E16" s="57">
        <v>116</v>
      </c>
      <c r="F16" s="57">
        <v>334.1</v>
      </c>
      <c r="G16" s="57">
        <v>157.69999999999999</v>
      </c>
      <c r="H16" s="57">
        <v>55.5</v>
      </c>
      <c r="I16" s="57">
        <v>34.6</v>
      </c>
      <c r="J16" s="57">
        <v>293.39999999999998</v>
      </c>
      <c r="K16" s="57">
        <v>161.5</v>
      </c>
      <c r="L16" s="57">
        <v>65.099999999999994</v>
      </c>
      <c r="M16" s="57">
        <v>25.7</v>
      </c>
      <c r="N16" s="41">
        <f t="shared" si="1"/>
        <v>188.7</v>
      </c>
      <c r="O16" s="41">
        <f t="shared" si="2"/>
        <v>875.3</v>
      </c>
      <c r="P16" s="41">
        <f t="shared" si="3"/>
        <v>252.29999999999998</v>
      </c>
      <c r="Q16" s="41">
        <f t="shared" si="4"/>
        <v>1316.3</v>
      </c>
      <c r="R16" s="52"/>
      <c r="S16" s="52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</row>
    <row r="17" spans="1:33">
      <c r="A17" s="45">
        <v>1973</v>
      </c>
      <c r="B17" s="57">
        <v>25.4</v>
      </c>
      <c r="C17" s="57">
        <v>22.5</v>
      </c>
      <c r="D17" s="57">
        <v>27.1</v>
      </c>
      <c r="E17" s="57">
        <v>96.2</v>
      </c>
      <c r="F17" s="57">
        <v>124.2</v>
      </c>
      <c r="G17" s="57">
        <v>328.6</v>
      </c>
      <c r="H17" s="57">
        <v>164.4</v>
      </c>
      <c r="I17" s="57">
        <v>163.6</v>
      </c>
      <c r="J17" s="57">
        <v>148.6</v>
      </c>
      <c r="K17" s="57">
        <v>62.7</v>
      </c>
      <c r="L17" s="57">
        <v>46.6</v>
      </c>
      <c r="M17" s="57">
        <v>7</v>
      </c>
      <c r="N17" s="41">
        <f t="shared" si="1"/>
        <v>171.2</v>
      </c>
      <c r="O17" s="41">
        <f t="shared" si="2"/>
        <v>929.40000000000009</v>
      </c>
      <c r="P17" s="41">
        <f t="shared" si="3"/>
        <v>116.30000000000001</v>
      </c>
      <c r="Q17" s="41">
        <f t="shared" si="4"/>
        <v>1216.8999999999999</v>
      </c>
      <c r="R17" s="52"/>
      <c r="S17" s="52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</row>
    <row r="18" spans="1:33">
      <c r="A18" s="45">
        <v>1974</v>
      </c>
      <c r="B18" s="57">
        <v>17.8</v>
      </c>
      <c r="C18" s="57">
        <v>8.5</v>
      </c>
      <c r="D18" s="57">
        <v>52.4</v>
      </c>
      <c r="E18" s="57">
        <v>177.4</v>
      </c>
      <c r="F18" s="57">
        <v>174.9</v>
      </c>
      <c r="G18" s="57">
        <v>184.7</v>
      </c>
      <c r="H18" s="57">
        <v>171.8</v>
      </c>
      <c r="I18" s="57">
        <v>138.1</v>
      </c>
      <c r="J18" s="57">
        <v>94.2</v>
      </c>
      <c r="K18" s="57">
        <v>71.7</v>
      </c>
      <c r="L18" s="57">
        <v>17.899999999999999</v>
      </c>
      <c r="M18" s="57">
        <v>17.600000000000001</v>
      </c>
      <c r="N18" s="41">
        <f t="shared" si="1"/>
        <v>256.10000000000002</v>
      </c>
      <c r="O18" s="41">
        <f t="shared" si="2"/>
        <v>763.70000000000016</v>
      </c>
      <c r="P18" s="41">
        <f t="shared" si="3"/>
        <v>107.19999999999999</v>
      </c>
      <c r="Q18" s="41">
        <f t="shared" si="4"/>
        <v>1127</v>
      </c>
      <c r="R18" s="52"/>
      <c r="S18" s="52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</row>
    <row r="19" spans="1:33">
      <c r="A19" s="45">
        <v>1975</v>
      </c>
      <c r="B19" s="57">
        <v>28.8</v>
      </c>
      <c r="C19" s="57">
        <v>13.6</v>
      </c>
      <c r="D19" s="57">
        <v>57.1</v>
      </c>
      <c r="E19" s="57">
        <v>157.80000000000001</v>
      </c>
      <c r="F19" s="57">
        <v>180.7</v>
      </c>
      <c r="G19" s="57">
        <v>75.5</v>
      </c>
      <c r="H19" s="57">
        <v>68.900000000000006</v>
      </c>
      <c r="I19" s="57">
        <v>174.5</v>
      </c>
      <c r="J19" s="57">
        <v>76.900000000000006</v>
      </c>
      <c r="K19" s="57">
        <v>55.8</v>
      </c>
      <c r="L19" s="57">
        <v>79</v>
      </c>
      <c r="M19" s="57">
        <v>3.1</v>
      </c>
      <c r="N19" s="41">
        <f t="shared" si="1"/>
        <v>257.3</v>
      </c>
      <c r="O19" s="41">
        <f t="shared" si="2"/>
        <v>576.5</v>
      </c>
      <c r="P19" s="41">
        <f t="shared" si="3"/>
        <v>137.9</v>
      </c>
      <c r="Q19" s="41">
        <f t="shared" si="4"/>
        <v>971.69999999999993</v>
      </c>
      <c r="R19" s="52"/>
      <c r="S19" s="52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</row>
    <row r="20" spans="1:33">
      <c r="A20" s="45">
        <v>1976</v>
      </c>
      <c r="B20" s="57">
        <v>21.2</v>
      </c>
      <c r="C20" s="57">
        <v>11.8</v>
      </c>
      <c r="D20" s="57">
        <v>36</v>
      </c>
      <c r="E20" s="57">
        <v>116.4</v>
      </c>
      <c r="F20" s="57">
        <v>194</v>
      </c>
      <c r="G20" s="57">
        <v>325.3</v>
      </c>
      <c r="H20" s="57">
        <v>217.6</v>
      </c>
      <c r="I20" s="57">
        <v>56.8</v>
      </c>
      <c r="J20" s="57">
        <v>117</v>
      </c>
      <c r="K20" s="57">
        <v>192.1</v>
      </c>
      <c r="L20" s="57">
        <v>48.3</v>
      </c>
      <c r="M20" s="57">
        <v>16.899999999999999</v>
      </c>
      <c r="N20" s="41">
        <f t="shared" si="1"/>
        <v>185.4</v>
      </c>
      <c r="O20" s="41">
        <f t="shared" si="2"/>
        <v>910.69999999999993</v>
      </c>
      <c r="P20" s="41">
        <f t="shared" si="3"/>
        <v>257.29999999999995</v>
      </c>
      <c r="Q20" s="41">
        <f t="shared" si="4"/>
        <v>1353.3999999999999</v>
      </c>
      <c r="R20" s="52"/>
      <c r="S20" s="52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</row>
    <row r="21" spans="1:33">
      <c r="A21" s="45">
        <v>1977</v>
      </c>
      <c r="B21" s="57">
        <v>21.4</v>
      </c>
      <c r="C21" s="57">
        <v>18.899999999999999</v>
      </c>
      <c r="D21" s="57">
        <v>45</v>
      </c>
      <c r="E21" s="57">
        <v>120.9</v>
      </c>
      <c r="F21" s="57">
        <v>191.5</v>
      </c>
      <c r="G21" s="57">
        <v>301.7</v>
      </c>
      <c r="H21" s="57">
        <v>192.5</v>
      </c>
      <c r="I21" s="57">
        <v>193.3</v>
      </c>
      <c r="J21" s="57">
        <v>91.6</v>
      </c>
      <c r="K21" s="57">
        <v>150.19999999999999</v>
      </c>
      <c r="L21" s="57">
        <v>45.2</v>
      </c>
      <c r="M21" s="57">
        <v>2.1</v>
      </c>
      <c r="N21" s="41">
        <f t="shared" si="1"/>
        <v>206.2</v>
      </c>
      <c r="O21" s="41">
        <f t="shared" si="2"/>
        <v>970.6</v>
      </c>
      <c r="P21" s="41">
        <f t="shared" si="3"/>
        <v>197.49999999999997</v>
      </c>
      <c r="Q21" s="41">
        <f t="shared" si="4"/>
        <v>1374.3</v>
      </c>
      <c r="R21" s="52"/>
      <c r="S21" s="52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</row>
    <row r="22" spans="1:33">
      <c r="A22" s="45">
        <v>1978</v>
      </c>
      <c r="B22" s="57">
        <v>15.1</v>
      </c>
      <c r="C22" s="57">
        <v>2.4</v>
      </c>
      <c r="D22" s="57">
        <v>15.6</v>
      </c>
      <c r="E22" s="57">
        <v>38.4</v>
      </c>
      <c r="F22" s="57">
        <v>214.7</v>
      </c>
      <c r="G22" s="57">
        <v>242.7</v>
      </c>
      <c r="H22" s="57">
        <v>106.1</v>
      </c>
      <c r="I22" s="57">
        <v>97</v>
      </c>
      <c r="J22" s="57">
        <v>60.6</v>
      </c>
      <c r="K22" s="57">
        <v>140.4</v>
      </c>
      <c r="L22" s="57">
        <v>84.5</v>
      </c>
      <c r="M22" s="57">
        <v>11.2</v>
      </c>
      <c r="N22" s="41">
        <f t="shared" si="1"/>
        <v>71.5</v>
      </c>
      <c r="O22" s="41">
        <f t="shared" si="2"/>
        <v>721.1</v>
      </c>
      <c r="P22" s="41">
        <f t="shared" si="3"/>
        <v>236.1</v>
      </c>
      <c r="Q22" s="41">
        <f t="shared" si="4"/>
        <v>1028.7</v>
      </c>
      <c r="R22" s="52"/>
      <c r="S22" s="52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</row>
    <row r="23" spans="1:33">
      <c r="A23" s="45">
        <v>1979</v>
      </c>
      <c r="B23" s="57">
        <v>7.4</v>
      </c>
      <c r="C23" s="57">
        <v>31.3</v>
      </c>
      <c r="D23" s="57">
        <v>33.9</v>
      </c>
      <c r="E23" s="57">
        <v>84.2</v>
      </c>
      <c r="F23" s="57">
        <v>166.1</v>
      </c>
      <c r="G23" s="57">
        <v>312.10000000000002</v>
      </c>
      <c r="H23" s="57">
        <v>265.5</v>
      </c>
      <c r="I23" s="57">
        <v>112.7</v>
      </c>
      <c r="J23" s="57">
        <v>131.6</v>
      </c>
      <c r="K23" s="57">
        <v>47</v>
      </c>
      <c r="L23" s="57">
        <v>9.6</v>
      </c>
      <c r="M23" s="57">
        <v>32.700000000000003</v>
      </c>
      <c r="N23" s="41">
        <f t="shared" si="1"/>
        <v>156.80000000000001</v>
      </c>
      <c r="O23" s="41">
        <f t="shared" si="2"/>
        <v>988.00000000000011</v>
      </c>
      <c r="P23" s="41">
        <f t="shared" si="3"/>
        <v>89.300000000000011</v>
      </c>
      <c r="Q23" s="41">
        <f t="shared" si="4"/>
        <v>1234.0999999999999</v>
      </c>
      <c r="R23" s="52"/>
      <c r="S23" s="52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</row>
    <row r="24" spans="1:33">
      <c r="A24" s="45">
        <v>1980</v>
      </c>
      <c r="B24" s="57">
        <v>12.8</v>
      </c>
      <c r="C24" s="57">
        <v>18.7</v>
      </c>
      <c r="D24" s="57">
        <v>19</v>
      </c>
      <c r="E24" s="57">
        <v>73</v>
      </c>
      <c r="F24" s="57">
        <v>201.2</v>
      </c>
      <c r="G24" s="57">
        <v>189.6</v>
      </c>
      <c r="H24" s="57">
        <v>117.7</v>
      </c>
      <c r="I24" s="57">
        <v>162.6</v>
      </c>
      <c r="J24" s="57">
        <v>62.4</v>
      </c>
      <c r="K24" s="57">
        <v>133.30000000000001</v>
      </c>
      <c r="L24" s="57">
        <v>70.599999999999994</v>
      </c>
      <c r="M24" s="57">
        <v>20</v>
      </c>
      <c r="N24" s="41">
        <f t="shared" si="1"/>
        <v>123.5</v>
      </c>
      <c r="O24" s="41">
        <f t="shared" si="2"/>
        <v>733.49999999999989</v>
      </c>
      <c r="P24" s="41">
        <f t="shared" si="3"/>
        <v>223.9</v>
      </c>
      <c r="Q24" s="41">
        <f t="shared" si="4"/>
        <v>1080.8999999999999</v>
      </c>
      <c r="R24" s="52"/>
      <c r="S24" s="52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</row>
    <row r="25" spans="1:33">
      <c r="A25" s="45">
        <v>1981</v>
      </c>
      <c r="B25" s="57">
        <v>11.8</v>
      </c>
      <c r="C25" s="57">
        <v>19.600000000000001</v>
      </c>
      <c r="D25" s="57">
        <v>9</v>
      </c>
      <c r="E25" s="57">
        <v>79.3</v>
      </c>
      <c r="F25" s="57">
        <v>135.1</v>
      </c>
      <c r="G25" s="57">
        <v>74.2</v>
      </c>
      <c r="H25" s="57">
        <v>126.3</v>
      </c>
      <c r="I25" s="57">
        <v>7.9</v>
      </c>
      <c r="J25" s="57">
        <v>111.1</v>
      </c>
      <c r="K25" s="57">
        <v>71.2</v>
      </c>
      <c r="L25" s="57">
        <v>68.599999999999994</v>
      </c>
      <c r="M25" s="57">
        <v>4.5</v>
      </c>
      <c r="N25" s="41">
        <f t="shared" si="1"/>
        <v>119.7</v>
      </c>
      <c r="O25" s="41">
        <f t="shared" si="2"/>
        <v>454.6</v>
      </c>
      <c r="P25" s="41">
        <f t="shared" si="3"/>
        <v>144.30000000000001</v>
      </c>
      <c r="Q25" s="41">
        <f t="shared" si="4"/>
        <v>718.6</v>
      </c>
      <c r="R25" s="52"/>
      <c r="S25" s="52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</row>
    <row r="26" spans="1:33">
      <c r="A26" s="45">
        <v>1982</v>
      </c>
      <c r="B26" s="57">
        <v>28.5</v>
      </c>
      <c r="C26" s="57">
        <v>58.4</v>
      </c>
      <c r="D26" s="57">
        <v>24.7</v>
      </c>
      <c r="E26" s="57">
        <v>102.8</v>
      </c>
      <c r="F26" s="57">
        <v>153.5</v>
      </c>
      <c r="G26" s="57">
        <v>188</v>
      </c>
      <c r="H26" s="57">
        <v>106.8</v>
      </c>
      <c r="I26" s="57">
        <v>104.1</v>
      </c>
      <c r="J26" s="57">
        <v>113.3</v>
      </c>
      <c r="K26" s="57">
        <v>65</v>
      </c>
      <c r="L26" s="57">
        <v>106</v>
      </c>
      <c r="M26" s="57">
        <v>17.7</v>
      </c>
      <c r="N26" s="41">
        <f t="shared" si="1"/>
        <v>214.4</v>
      </c>
      <c r="O26" s="41">
        <f t="shared" si="2"/>
        <v>665.69999999999993</v>
      </c>
      <c r="P26" s="41">
        <f t="shared" si="3"/>
        <v>188.7</v>
      </c>
      <c r="Q26" s="41">
        <f t="shared" si="4"/>
        <v>1068.8</v>
      </c>
      <c r="R26" s="52"/>
      <c r="S26" s="52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</row>
    <row r="27" spans="1:33">
      <c r="A27" s="45">
        <v>1983</v>
      </c>
      <c r="B27" s="57">
        <v>39.4</v>
      </c>
      <c r="C27" s="57">
        <v>30</v>
      </c>
      <c r="D27" s="57">
        <v>36.299999999999997</v>
      </c>
      <c r="E27" s="57">
        <v>109.5</v>
      </c>
      <c r="F27" s="57">
        <v>156.6</v>
      </c>
      <c r="G27" s="57">
        <v>183.2</v>
      </c>
      <c r="H27" s="57">
        <v>84.3</v>
      </c>
      <c r="I27" s="57">
        <v>164.4</v>
      </c>
      <c r="J27" s="57">
        <v>150.5</v>
      </c>
      <c r="K27" s="57">
        <v>96.9</v>
      </c>
      <c r="L27" s="57">
        <v>65</v>
      </c>
      <c r="M27" s="57">
        <v>24.4</v>
      </c>
      <c r="N27" s="41">
        <f t="shared" si="1"/>
        <v>215.2</v>
      </c>
      <c r="O27" s="41">
        <f t="shared" si="2"/>
        <v>739</v>
      </c>
      <c r="P27" s="41">
        <f t="shared" si="3"/>
        <v>186.3</v>
      </c>
      <c r="Q27" s="41">
        <f t="shared" si="4"/>
        <v>1140.5</v>
      </c>
      <c r="R27" s="52"/>
      <c r="S27" s="52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</row>
    <row r="28" spans="1:33">
      <c r="A28" s="45">
        <v>1984</v>
      </c>
      <c r="B28" s="57">
        <v>14.7</v>
      </c>
      <c r="C28" s="57">
        <v>19.2</v>
      </c>
      <c r="D28" s="57">
        <v>27.7</v>
      </c>
      <c r="E28" s="57">
        <v>135.80000000000001</v>
      </c>
      <c r="F28" s="57">
        <v>271.10000000000002</v>
      </c>
      <c r="G28" s="57">
        <v>136.4</v>
      </c>
      <c r="H28" s="57">
        <v>202.6</v>
      </c>
      <c r="I28" s="57">
        <v>169</v>
      </c>
      <c r="J28" s="57">
        <v>75.099999999999994</v>
      </c>
      <c r="K28" s="57">
        <v>59.9</v>
      </c>
      <c r="L28" s="57">
        <v>25.7</v>
      </c>
      <c r="M28" s="57">
        <v>36.200000000000003</v>
      </c>
      <c r="N28" s="41">
        <f t="shared" si="1"/>
        <v>197.4</v>
      </c>
      <c r="O28" s="41">
        <f t="shared" si="2"/>
        <v>854.2</v>
      </c>
      <c r="P28" s="41">
        <f t="shared" si="3"/>
        <v>121.8</v>
      </c>
      <c r="Q28" s="41">
        <f t="shared" si="4"/>
        <v>1173.4000000000001</v>
      </c>
      <c r="R28" s="52"/>
      <c r="S28" s="52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</row>
    <row r="29" spans="1:33">
      <c r="A29" s="45">
        <v>1985</v>
      </c>
      <c r="B29" s="57">
        <v>4.5999999999999996</v>
      </c>
      <c r="C29" s="57">
        <v>18.5</v>
      </c>
      <c r="D29" s="57">
        <v>29.1</v>
      </c>
      <c r="E29" s="57">
        <v>58.4</v>
      </c>
      <c r="F29" s="57">
        <v>233.7</v>
      </c>
      <c r="G29" s="57">
        <v>237.5</v>
      </c>
      <c r="H29" s="57">
        <v>261.8</v>
      </c>
      <c r="I29" s="57">
        <v>163.30000000000001</v>
      </c>
      <c r="J29" s="57">
        <v>27</v>
      </c>
      <c r="K29" s="57">
        <v>70.599999999999994</v>
      </c>
      <c r="L29" s="57">
        <v>29.9</v>
      </c>
      <c r="M29" s="57">
        <v>18</v>
      </c>
      <c r="N29" s="41">
        <f t="shared" si="1"/>
        <v>110.6</v>
      </c>
      <c r="O29" s="41">
        <f t="shared" si="2"/>
        <v>923.3</v>
      </c>
      <c r="P29" s="41">
        <f t="shared" si="3"/>
        <v>118.5</v>
      </c>
      <c r="Q29" s="41">
        <f t="shared" si="4"/>
        <v>1152.3999999999999</v>
      </c>
      <c r="R29" s="52"/>
      <c r="S29" s="52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</row>
    <row r="30" spans="1:33">
      <c r="A30" s="45">
        <v>1986</v>
      </c>
      <c r="B30" s="57">
        <v>8</v>
      </c>
      <c r="C30" s="57">
        <v>11.8</v>
      </c>
      <c r="D30" s="57">
        <v>18.8</v>
      </c>
      <c r="E30" s="57">
        <v>29</v>
      </c>
      <c r="F30" s="57">
        <v>112.8</v>
      </c>
      <c r="G30" s="57">
        <v>173.6</v>
      </c>
      <c r="H30" s="57">
        <v>232.6</v>
      </c>
      <c r="I30" s="57">
        <v>128.69999999999999</v>
      </c>
      <c r="J30" s="57">
        <v>82.9</v>
      </c>
      <c r="K30" s="57">
        <v>78.5</v>
      </c>
      <c r="L30" s="57">
        <v>35</v>
      </c>
      <c r="M30" s="57">
        <v>4.8</v>
      </c>
      <c r="N30" s="41">
        <f t="shared" si="1"/>
        <v>67.599999999999994</v>
      </c>
      <c r="O30" s="41">
        <f t="shared" si="2"/>
        <v>730.6</v>
      </c>
      <c r="P30" s="41">
        <f t="shared" si="3"/>
        <v>118.3</v>
      </c>
      <c r="Q30" s="41">
        <f t="shared" si="4"/>
        <v>916.49999999999989</v>
      </c>
      <c r="R30" s="52"/>
      <c r="S30" s="52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</row>
    <row r="31" spans="1:33">
      <c r="A31" s="45">
        <v>1987</v>
      </c>
      <c r="B31" s="57">
        <v>21.8</v>
      </c>
      <c r="C31" s="57">
        <v>13.3</v>
      </c>
      <c r="D31" s="57">
        <v>33.4</v>
      </c>
      <c r="E31" s="57">
        <v>37.4</v>
      </c>
      <c r="F31" s="57">
        <v>129.80000000000001</v>
      </c>
      <c r="G31" s="57">
        <v>104</v>
      </c>
      <c r="H31" s="57">
        <v>194.1</v>
      </c>
      <c r="I31" s="57">
        <v>98.4</v>
      </c>
      <c r="J31" s="57">
        <v>92.2</v>
      </c>
      <c r="K31" s="57">
        <v>210.8</v>
      </c>
      <c r="L31" s="57">
        <v>46.1</v>
      </c>
      <c r="M31" s="57">
        <v>4.4000000000000004</v>
      </c>
      <c r="N31" s="41">
        <f t="shared" si="1"/>
        <v>105.9</v>
      </c>
      <c r="O31" s="41">
        <f t="shared" si="2"/>
        <v>618.5</v>
      </c>
      <c r="P31" s="41">
        <f t="shared" si="3"/>
        <v>261.3</v>
      </c>
      <c r="Q31" s="41">
        <f t="shared" si="4"/>
        <v>985.7</v>
      </c>
      <c r="R31" s="52"/>
      <c r="S31" s="52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</row>
    <row r="32" spans="1:33">
      <c r="A32" s="45">
        <v>1988</v>
      </c>
      <c r="B32" s="57">
        <v>7.4</v>
      </c>
      <c r="C32" s="57">
        <v>31.7</v>
      </c>
      <c r="D32" s="57">
        <v>3.8</v>
      </c>
      <c r="E32" s="57">
        <v>92.1</v>
      </c>
      <c r="F32" s="57">
        <v>100.2</v>
      </c>
      <c r="G32" s="57">
        <v>322.8</v>
      </c>
      <c r="H32" s="57">
        <v>71.7</v>
      </c>
      <c r="I32" s="57">
        <v>263.7</v>
      </c>
      <c r="J32" s="57">
        <v>179.3</v>
      </c>
      <c r="K32" s="57">
        <v>57.2</v>
      </c>
      <c r="L32" s="57">
        <v>0.5</v>
      </c>
      <c r="M32" s="57">
        <v>10.8</v>
      </c>
      <c r="N32" s="41">
        <f t="shared" si="1"/>
        <v>135</v>
      </c>
      <c r="O32" s="41">
        <f t="shared" si="2"/>
        <v>937.7</v>
      </c>
      <c r="P32" s="41">
        <f t="shared" si="3"/>
        <v>68.5</v>
      </c>
      <c r="Q32" s="41">
        <f t="shared" si="4"/>
        <v>1141.2</v>
      </c>
      <c r="R32" s="52"/>
      <c r="S32" s="52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</row>
    <row r="33" spans="1:33">
      <c r="A33" s="45">
        <v>1989</v>
      </c>
      <c r="B33" s="57">
        <v>11.8</v>
      </c>
      <c r="C33" s="57">
        <v>22.6</v>
      </c>
      <c r="D33" s="57">
        <v>45.7</v>
      </c>
      <c r="E33" s="57">
        <v>23.2</v>
      </c>
      <c r="F33" s="57">
        <v>82.8</v>
      </c>
      <c r="G33" s="57">
        <v>239.5</v>
      </c>
      <c r="H33" s="57">
        <v>52</v>
      </c>
      <c r="I33" s="57">
        <v>113.9</v>
      </c>
      <c r="J33" s="57">
        <v>153.4</v>
      </c>
      <c r="K33" s="57">
        <v>79.099999999999994</v>
      </c>
      <c r="L33" s="57">
        <v>30.8</v>
      </c>
      <c r="M33" s="57">
        <v>34.6</v>
      </c>
      <c r="N33" s="41">
        <f t="shared" si="1"/>
        <v>103.30000000000001</v>
      </c>
      <c r="O33" s="41">
        <f t="shared" si="2"/>
        <v>641.6</v>
      </c>
      <c r="P33" s="41">
        <f t="shared" si="3"/>
        <v>144.5</v>
      </c>
      <c r="Q33" s="41">
        <f t="shared" si="4"/>
        <v>889.4</v>
      </c>
      <c r="R33" s="52"/>
      <c r="S33" s="52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</row>
    <row r="34" spans="1:33">
      <c r="A34" s="45">
        <v>1990</v>
      </c>
      <c r="B34" s="57">
        <v>21.5</v>
      </c>
      <c r="C34" s="57">
        <v>18.3</v>
      </c>
      <c r="D34" s="57">
        <v>62.7</v>
      </c>
      <c r="E34" s="57">
        <v>60.1</v>
      </c>
      <c r="F34" s="57">
        <v>165.5</v>
      </c>
      <c r="G34" s="57">
        <v>214.2</v>
      </c>
      <c r="H34" s="57">
        <v>49.4</v>
      </c>
      <c r="I34" s="57">
        <v>129.9</v>
      </c>
      <c r="J34" s="57">
        <v>83.7</v>
      </c>
      <c r="K34" s="57">
        <v>75.5</v>
      </c>
      <c r="L34" s="57">
        <v>39.299999999999997</v>
      </c>
      <c r="M34" s="57">
        <v>22</v>
      </c>
      <c r="N34" s="41">
        <f t="shared" si="1"/>
        <v>162.6</v>
      </c>
      <c r="O34" s="41">
        <f t="shared" si="2"/>
        <v>642.70000000000005</v>
      </c>
      <c r="P34" s="41">
        <f t="shared" si="3"/>
        <v>136.80000000000001</v>
      </c>
      <c r="Q34" s="41">
        <f t="shared" si="4"/>
        <v>942.09999999999991</v>
      </c>
      <c r="R34" s="52"/>
      <c r="S34" s="52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</row>
    <row r="35" spans="1:33">
      <c r="A35" s="45">
        <v>1991</v>
      </c>
      <c r="B35" s="57">
        <v>58.9</v>
      </c>
      <c r="C35" s="57">
        <v>14.9</v>
      </c>
      <c r="D35" s="57">
        <v>70.3</v>
      </c>
      <c r="E35" s="57">
        <v>39.700000000000003</v>
      </c>
      <c r="F35" s="57">
        <v>82.6</v>
      </c>
      <c r="G35" s="57">
        <v>183.8</v>
      </c>
      <c r="H35" s="57">
        <v>534.5</v>
      </c>
      <c r="I35" s="57">
        <v>144.69999999999999</v>
      </c>
      <c r="J35" s="57">
        <v>124.1</v>
      </c>
      <c r="K35" s="57">
        <v>47</v>
      </c>
      <c r="L35" s="57">
        <v>57</v>
      </c>
      <c r="M35" s="57">
        <v>9.5</v>
      </c>
      <c r="N35" s="41">
        <f t="shared" si="1"/>
        <v>183.8</v>
      </c>
      <c r="O35" s="41">
        <f t="shared" si="2"/>
        <v>1069.6999999999998</v>
      </c>
      <c r="P35" s="41">
        <f t="shared" si="3"/>
        <v>113.5</v>
      </c>
      <c r="Q35" s="41">
        <f t="shared" si="4"/>
        <v>1367</v>
      </c>
      <c r="R35" s="52"/>
      <c r="S35" s="52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</row>
    <row r="36" spans="1:33">
      <c r="A36" s="45">
        <v>1992</v>
      </c>
      <c r="B36" s="57">
        <v>33.700000000000003</v>
      </c>
      <c r="C36" s="57">
        <v>31.5</v>
      </c>
      <c r="D36" s="57">
        <v>40.5</v>
      </c>
      <c r="E36" s="57">
        <v>122.5</v>
      </c>
      <c r="F36" s="57">
        <v>215.3</v>
      </c>
      <c r="G36" s="57">
        <v>324.5</v>
      </c>
      <c r="H36" s="57">
        <v>135.6</v>
      </c>
      <c r="I36" s="57">
        <v>26.9</v>
      </c>
      <c r="J36" s="57">
        <v>32</v>
      </c>
      <c r="K36" s="57">
        <v>117.7</v>
      </c>
      <c r="L36" s="57">
        <v>14.5</v>
      </c>
      <c r="M36" s="57">
        <v>19.100000000000001</v>
      </c>
      <c r="N36" s="41">
        <f t="shared" si="1"/>
        <v>228.2</v>
      </c>
      <c r="O36" s="41">
        <f t="shared" si="2"/>
        <v>734.3</v>
      </c>
      <c r="P36" s="41">
        <f t="shared" si="3"/>
        <v>151.29999999999998</v>
      </c>
      <c r="Q36" s="41">
        <f t="shared" si="4"/>
        <v>1113.8</v>
      </c>
      <c r="R36" s="52"/>
      <c r="S36" s="52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</row>
    <row r="37" spans="1:33">
      <c r="A37" s="45">
        <v>1993</v>
      </c>
      <c r="B37" s="57">
        <v>29.5</v>
      </c>
      <c r="C37" s="57">
        <v>51</v>
      </c>
      <c r="D37" s="57">
        <v>9.1</v>
      </c>
      <c r="E37" s="57">
        <v>73.8</v>
      </c>
      <c r="F37" s="57">
        <v>165.2</v>
      </c>
      <c r="G37" s="57">
        <v>228.3</v>
      </c>
      <c r="H37" s="57">
        <v>301.89999999999998</v>
      </c>
      <c r="I37" s="57">
        <v>124.2</v>
      </c>
      <c r="J37" s="57">
        <v>149.4</v>
      </c>
      <c r="K37" s="57">
        <v>49.5</v>
      </c>
      <c r="L37" s="57">
        <v>70</v>
      </c>
      <c r="M37" s="57">
        <v>12</v>
      </c>
      <c r="N37" s="41">
        <f t="shared" si="1"/>
        <v>163.39999999999998</v>
      </c>
      <c r="O37" s="41">
        <f t="shared" si="2"/>
        <v>969</v>
      </c>
      <c r="P37" s="41">
        <f t="shared" si="3"/>
        <v>131.5</v>
      </c>
      <c r="Q37" s="41">
        <f t="shared" si="4"/>
        <v>1263.9000000000001</v>
      </c>
      <c r="R37" s="52"/>
      <c r="S37" s="52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</row>
    <row r="38" spans="1:33">
      <c r="A38" s="45">
        <v>1994</v>
      </c>
      <c r="B38" s="57">
        <v>15.5</v>
      </c>
      <c r="C38" s="57">
        <v>8.6999999999999993</v>
      </c>
      <c r="D38" s="57">
        <v>58.4</v>
      </c>
      <c r="E38" s="57">
        <v>32.299999999999997</v>
      </c>
      <c r="F38" s="57">
        <v>188.7</v>
      </c>
      <c r="G38" s="57">
        <v>208</v>
      </c>
      <c r="H38" s="57">
        <v>87.7</v>
      </c>
      <c r="I38" s="57">
        <v>84.1</v>
      </c>
      <c r="J38" s="57">
        <v>107.7</v>
      </c>
      <c r="K38" s="57">
        <v>151.9</v>
      </c>
      <c r="L38" s="57">
        <v>88.6</v>
      </c>
      <c r="M38" s="57">
        <v>40</v>
      </c>
      <c r="N38" s="41">
        <f t="shared" si="1"/>
        <v>114.89999999999999</v>
      </c>
      <c r="O38" s="41">
        <f t="shared" si="2"/>
        <v>676.2</v>
      </c>
      <c r="P38" s="41">
        <f t="shared" si="3"/>
        <v>280.5</v>
      </c>
      <c r="Q38" s="41">
        <f t="shared" si="4"/>
        <v>1071.5999999999999</v>
      </c>
      <c r="R38" s="52"/>
      <c r="S38" s="52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</row>
    <row r="39" spans="1:33">
      <c r="A39" s="45">
        <v>1995</v>
      </c>
      <c r="B39" s="57">
        <v>12.4</v>
      </c>
      <c r="C39" s="57">
        <v>31</v>
      </c>
      <c r="D39" s="57">
        <v>24.9</v>
      </c>
      <c r="E39" s="57">
        <v>54.7</v>
      </c>
      <c r="F39" s="57">
        <v>188.7</v>
      </c>
      <c r="G39" s="57">
        <v>220.6</v>
      </c>
      <c r="H39" s="57">
        <v>212.3</v>
      </c>
      <c r="I39" s="57">
        <v>105.2</v>
      </c>
      <c r="J39" s="57">
        <v>99.7</v>
      </c>
      <c r="K39" s="57">
        <v>50.2</v>
      </c>
      <c r="L39" s="57">
        <v>33.200000000000003</v>
      </c>
      <c r="M39" s="57">
        <v>6.4</v>
      </c>
      <c r="N39" s="41">
        <f t="shared" si="1"/>
        <v>123</v>
      </c>
      <c r="O39" s="41">
        <f t="shared" si="2"/>
        <v>826.5</v>
      </c>
      <c r="P39" s="41">
        <f t="shared" si="3"/>
        <v>89.800000000000011</v>
      </c>
      <c r="Q39" s="41">
        <f t="shared" si="4"/>
        <v>1039.3000000000002</v>
      </c>
      <c r="R39" s="52"/>
      <c r="S39" s="52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</row>
    <row r="40" spans="1:33">
      <c r="A40" s="45">
        <v>1996</v>
      </c>
      <c r="B40" s="57">
        <v>8.1999999999999993</v>
      </c>
      <c r="C40" s="57">
        <v>5.6</v>
      </c>
      <c r="D40" s="57">
        <v>40.700000000000003</v>
      </c>
      <c r="E40" s="57">
        <v>25.9</v>
      </c>
      <c r="F40" s="57">
        <v>200.3</v>
      </c>
      <c r="G40" s="57">
        <v>282.39999999999998</v>
      </c>
      <c r="H40" s="57">
        <v>346.4</v>
      </c>
      <c r="I40" s="57">
        <v>103.2</v>
      </c>
      <c r="J40" s="57">
        <v>14.4</v>
      </c>
      <c r="K40" s="57">
        <v>35.9</v>
      </c>
      <c r="L40" s="57">
        <v>43.3</v>
      </c>
      <c r="M40" s="57">
        <v>13.2</v>
      </c>
      <c r="N40" s="41">
        <f t="shared" si="1"/>
        <v>80.400000000000006</v>
      </c>
      <c r="O40" s="41">
        <f t="shared" si="2"/>
        <v>946.69999999999993</v>
      </c>
      <c r="P40" s="41">
        <f t="shared" si="3"/>
        <v>92.399999999999991</v>
      </c>
      <c r="Q40" s="41">
        <f t="shared" si="4"/>
        <v>1119.5000000000002</v>
      </c>
      <c r="R40" s="52"/>
      <c r="S40" s="52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</row>
    <row r="41" spans="1:33">
      <c r="A41" s="45">
        <v>1997</v>
      </c>
      <c r="B41" s="57">
        <v>31.8</v>
      </c>
      <c r="C41" s="57">
        <v>33.4</v>
      </c>
      <c r="D41" s="57">
        <v>33.1</v>
      </c>
      <c r="E41" s="57">
        <v>132.4</v>
      </c>
      <c r="F41" s="57">
        <v>81.3</v>
      </c>
      <c r="G41" s="57">
        <v>155</v>
      </c>
      <c r="H41" s="57">
        <v>164.9</v>
      </c>
      <c r="I41" s="57">
        <v>45.2</v>
      </c>
      <c r="J41" s="57">
        <v>158.9</v>
      </c>
      <c r="K41" s="57">
        <v>154.9</v>
      </c>
      <c r="L41" s="57">
        <v>6.9</v>
      </c>
      <c r="M41" s="57">
        <v>8.8000000000000007</v>
      </c>
      <c r="N41" s="41">
        <f t="shared" si="1"/>
        <v>230.70000000000002</v>
      </c>
      <c r="O41" s="41">
        <f t="shared" si="2"/>
        <v>605.30000000000007</v>
      </c>
      <c r="P41" s="41">
        <f t="shared" si="3"/>
        <v>170.60000000000002</v>
      </c>
      <c r="Q41" s="41">
        <f t="shared" si="4"/>
        <v>1006.5999999999999</v>
      </c>
      <c r="R41" s="52"/>
      <c r="S41" s="52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</row>
    <row r="42" spans="1:33">
      <c r="A42" s="45">
        <v>1998</v>
      </c>
      <c r="B42" s="57">
        <v>26</v>
      </c>
      <c r="C42" s="57">
        <v>6.5</v>
      </c>
      <c r="D42" s="57">
        <v>15.1</v>
      </c>
      <c r="E42" s="57">
        <v>33</v>
      </c>
      <c r="F42" s="57">
        <v>151.69999999999999</v>
      </c>
      <c r="G42" s="57">
        <v>250</v>
      </c>
      <c r="H42" s="57">
        <v>232.7</v>
      </c>
      <c r="I42" s="57">
        <v>153.6</v>
      </c>
      <c r="J42" s="57">
        <v>21.6</v>
      </c>
      <c r="K42" s="57">
        <v>201.3</v>
      </c>
      <c r="L42" s="57">
        <v>16.100000000000001</v>
      </c>
      <c r="M42" s="57">
        <v>26.2</v>
      </c>
      <c r="N42" s="41">
        <f t="shared" si="1"/>
        <v>80.599999999999994</v>
      </c>
      <c r="O42" s="41">
        <f t="shared" si="2"/>
        <v>809.6</v>
      </c>
      <c r="P42" s="41">
        <f t="shared" si="3"/>
        <v>243.6</v>
      </c>
      <c r="Q42" s="41">
        <f t="shared" si="4"/>
        <v>1133.8</v>
      </c>
      <c r="R42" s="52"/>
      <c r="S42" s="52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</row>
    <row r="43" spans="1:33">
      <c r="A43" s="45">
        <v>1999</v>
      </c>
      <c r="B43" s="57">
        <v>12.6</v>
      </c>
      <c r="C43" s="57">
        <v>8.9</v>
      </c>
      <c r="D43" s="57">
        <v>35</v>
      </c>
      <c r="E43" s="57">
        <v>81.5</v>
      </c>
      <c r="F43" s="57">
        <v>112.7</v>
      </c>
      <c r="G43" s="57" t="s">
        <v>263</v>
      </c>
      <c r="H43" s="57">
        <v>349.6</v>
      </c>
      <c r="I43" s="57">
        <v>237.7</v>
      </c>
      <c r="J43" s="57">
        <v>47.5</v>
      </c>
      <c r="K43" s="57">
        <v>90.3</v>
      </c>
      <c r="L43" s="57">
        <v>48.8</v>
      </c>
      <c r="M43" s="57">
        <v>4.7</v>
      </c>
      <c r="N43" s="41">
        <f t="shared" si="1"/>
        <v>138</v>
      </c>
      <c r="O43" s="41">
        <f t="shared" si="2"/>
        <v>747.5</v>
      </c>
      <c r="P43" s="41">
        <f t="shared" si="3"/>
        <v>143.79999999999998</v>
      </c>
      <c r="Q43" s="41">
        <f t="shared" si="4"/>
        <v>1029.3</v>
      </c>
      <c r="R43" s="52"/>
      <c r="S43" s="52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</row>
    <row r="44" spans="1:33">
      <c r="A44" s="45">
        <v>2000</v>
      </c>
      <c r="B44" s="57">
        <v>20.399999999999999</v>
      </c>
      <c r="C44" s="57">
        <v>18.899999999999999</v>
      </c>
      <c r="D44" s="57">
        <v>39.299999999999997</v>
      </c>
      <c r="E44" s="57">
        <v>43.5</v>
      </c>
      <c r="F44" s="57">
        <v>187.5</v>
      </c>
      <c r="G44" s="57">
        <v>328</v>
      </c>
      <c r="H44" s="57">
        <v>197.5</v>
      </c>
      <c r="I44" s="57">
        <v>232.5</v>
      </c>
      <c r="J44" s="57">
        <v>102.5</v>
      </c>
      <c r="K44" s="57">
        <v>103</v>
      </c>
      <c r="L44" s="57">
        <v>30.5</v>
      </c>
      <c r="M44" s="57">
        <v>15</v>
      </c>
      <c r="N44" s="41">
        <f t="shared" si="1"/>
        <v>122.1</v>
      </c>
      <c r="O44" s="41">
        <f t="shared" si="2"/>
        <v>1048</v>
      </c>
      <c r="P44" s="41">
        <f t="shared" si="3"/>
        <v>148.5</v>
      </c>
      <c r="Q44" s="41">
        <f t="shared" si="4"/>
        <v>1318.6</v>
      </c>
      <c r="R44" s="52"/>
      <c r="S44" s="52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</row>
    <row r="45" spans="1:33">
      <c r="A45" s="45">
        <v>2001</v>
      </c>
      <c r="B45" s="57">
        <v>13.5</v>
      </c>
      <c r="C45" s="57">
        <v>8</v>
      </c>
      <c r="D45" s="57">
        <v>32</v>
      </c>
      <c r="E45" s="57">
        <v>86</v>
      </c>
      <c r="F45" s="57">
        <v>153</v>
      </c>
      <c r="G45" s="57">
        <v>149</v>
      </c>
      <c r="H45" s="57">
        <v>209</v>
      </c>
      <c r="I45" s="57">
        <v>49</v>
      </c>
      <c r="J45" s="57">
        <v>3.5</v>
      </c>
      <c r="K45" s="57">
        <v>147</v>
      </c>
      <c r="L45" s="57">
        <v>20.5</v>
      </c>
      <c r="M45" s="57">
        <v>14.5</v>
      </c>
      <c r="N45" s="41">
        <f t="shared" si="1"/>
        <v>139.5</v>
      </c>
      <c r="O45" s="41">
        <f t="shared" si="2"/>
        <v>563.5</v>
      </c>
      <c r="P45" s="41">
        <f t="shared" si="3"/>
        <v>182</v>
      </c>
      <c r="Q45" s="41">
        <f t="shared" si="4"/>
        <v>885</v>
      </c>
      <c r="R45" s="52"/>
      <c r="S45" s="52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</row>
    <row r="46" spans="1:33">
      <c r="A46" s="45">
        <v>2002</v>
      </c>
      <c r="B46" s="57">
        <v>3</v>
      </c>
      <c r="C46" s="57">
        <v>17</v>
      </c>
      <c r="D46" s="57">
        <v>51</v>
      </c>
      <c r="E46" s="57">
        <v>32.5</v>
      </c>
      <c r="F46" s="57">
        <v>258</v>
      </c>
      <c r="G46" s="57">
        <v>159.5</v>
      </c>
      <c r="H46" s="57">
        <v>115.5</v>
      </c>
      <c r="I46" s="57">
        <v>250.5</v>
      </c>
      <c r="J46" s="57">
        <v>19.5</v>
      </c>
      <c r="K46" s="57">
        <v>71</v>
      </c>
      <c r="L46" s="57">
        <v>17</v>
      </c>
      <c r="M46" s="57">
        <v>27</v>
      </c>
      <c r="N46" s="41">
        <f t="shared" si="1"/>
        <v>103.5</v>
      </c>
      <c r="O46" s="41">
        <f t="shared" si="2"/>
        <v>803</v>
      </c>
      <c r="P46" s="41">
        <f t="shared" si="3"/>
        <v>115</v>
      </c>
      <c r="Q46" s="41">
        <f t="shared" si="4"/>
        <v>1021.5</v>
      </c>
      <c r="R46" s="52"/>
      <c r="S46" s="52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</row>
    <row r="47" spans="1:33">
      <c r="A47" s="45">
        <v>2003</v>
      </c>
      <c r="B47" s="57">
        <v>19</v>
      </c>
      <c r="C47" s="57">
        <v>2.5</v>
      </c>
      <c r="D47" s="57">
        <v>35</v>
      </c>
      <c r="E47" s="57">
        <v>163</v>
      </c>
      <c r="F47" s="57">
        <v>236</v>
      </c>
      <c r="G47" s="57">
        <v>135</v>
      </c>
      <c r="H47" s="57">
        <v>109</v>
      </c>
      <c r="I47" s="57">
        <v>21</v>
      </c>
      <c r="J47" s="57">
        <v>40.5</v>
      </c>
      <c r="K47" s="57">
        <v>63</v>
      </c>
      <c r="L47" s="57">
        <v>19.5</v>
      </c>
      <c r="M47" s="57">
        <v>36</v>
      </c>
      <c r="N47" s="41">
        <f t="shared" si="1"/>
        <v>219.5</v>
      </c>
      <c r="O47" s="41">
        <f t="shared" si="2"/>
        <v>541.5</v>
      </c>
      <c r="P47" s="41">
        <f t="shared" si="3"/>
        <v>118.5</v>
      </c>
      <c r="Q47" s="41">
        <f t="shared" si="4"/>
        <v>879.5</v>
      </c>
      <c r="R47" s="52"/>
      <c r="S47" s="52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</row>
    <row r="48" spans="1:33">
      <c r="A48" s="45">
        <v>2004</v>
      </c>
      <c r="B48" s="56">
        <v>22</v>
      </c>
      <c r="C48" s="56">
        <v>48</v>
      </c>
      <c r="D48" s="56">
        <v>21.5</v>
      </c>
      <c r="E48" s="56">
        <v>108.5</v>
      </c>
      <c r="F48" s="56">
        <v>264.5</v>
      </c>
      <c r="G48" s="56">
        <v>39.5</v>
      </c>
      <c r="H48" s="56">
        <v>247</v>
      </c>
      <c r="I48" s="56">
        <v>116</v>
      </c>
      <c r="J48" s="56">
        <v>56.5</v>
      </c>
      <c r="K48" s="56">
        <v>32</v>
      </c>
      <c r="L48" s="56">
        <v>53.5</v>
      </c>
      <c r="M48" s="56">
        <v>0</v>
      </c>
      <c r="N48" s="41">
        <f t="shared" si="1"/>
        <v>200</v>
      </c>
      <c r="O48" s="41">
        <f t="shared" si="2"/>
        <v>723.5</v>
      </c>
      <c r="P48" s="41">
        <f t="shared" si="3"/>
        <v>85.5</v>
      </c>
      <c r="Q48" s="41">
        <f t="shared" si="4"/>
        <v>1009</v>
      </c>
      <c r="R48" s="52"/>
      <c r="S48" s="52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</row>
    <row r="49" spans="1:36" s="47" customFormat="1">
      <c r="A49" s="55">
        <v>2005</v>
      </c>
      <c r="B49" s="56">
        <v>18</v>
      </c>
      <c r="C49" s="56">
        <v>8.5</v>
      </c>
      <c r="D49" s="56">
        <v>44.5</v>
      </c>
      <c r="E49" s="56">
        <v>54</v>
      </c>
      <c r="F49" s="56">
        <v>285.5</v>
      </c>
      <c r="G49" s="56">
        <v>133</v>
      </c>
      <c r="H49" s="56">
        <v>165</v>
      </c>
      <c r="I49" s="56">
        <v>111.5</v>
      </c>
      <c r="J49" s="56">
        <v>59.5</v>
      </c>
      <c r="K49" s="56">
        <v>67.5</v>
      </c>
      <c r="L49" s="56">
        <v>58</v>
      </c>
      <c r="M49" s="56">
        <v>18.5</v>
      </c>
      <c r="N49" s="41">
        <f t="shared" si="1"/>
        <v>125</v>
      </c>
      <c r="O49" s="41">
        <f t="shared" si="2"/>
        <v>754.5</v>
      </c>
      <c r="P49" s="41">
        <f t="shared" si="3"/>
        <v>144</v>
      </c>
      <c r="Q49" s="41">
        <f t="shared" si="4"/>
        <v>1023.5</v>
      </c>
      <c r="R49" s="52"/>
      <c r="S49" s="52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</row>
    <row r="50" spans="1:36">
      <c r="A50" s="45">
        <v>2006</v>
      </c>
      <c r="B50" s="56">
        <v>12</v>
      </c>
      <c r="C50" s="56">
        <v>33.5</v>
      </c>
      <c r="D50" s="56">
        <v>28.5</v>
      </c>
      <c r="E50" s="56">
        <v>86.5</v>
      </c>
      <c r="F50" s="56">
        <v>165.5</v>
      </c>
      <c r="G50" s="56">
        <v>181.5</v>
      </c>
      <c r="H50" s="56">
        <v>83</v>
      </c>
      <c r="I50" s="56">
        <v>87.5</v>
      </c>
      <c r="J50" s="56">
        <v>53</v>
      </c>
      <c r="K50" s="57">
        <v>185.5</v>
      </c>
      <c r="L50" s="57">
        <v>20</v>
      </c>
      <c r="M50" s="57">
        <v>14.5</v>
      </c>
      <c r="N50" s="41">
        <f t="shared" si="1"/>
        <v>160.5</v>
      </c>
      <c r="O50" s="41">
        <f t="shared" si="2"/>
        <v>570.5</v>
      </c>
      <c r="P50" s="41">
        <f t="shared" si="3"/>
        <v>220</v>
      </c>
      <c r="Q50" s="41">
        <f t="shared" si="4"/>
        <v>951</v>
      </c>
      <c r="R50" s="52"/>
      <c r="S50" s="52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</row>
    <row r="51" spans="1:36">
      <c r="A51" s="45">
        <v>2007</v>
      </c>
      <c r="B51" s="57">
        <v>20</v>
      </c>
      <c r="C51" s="57">
        <v>12</v>
      </c>
      <c r="D51" s="57">
        <v>18.5</v>
      </c>
      <c r="E51" s="57">
        <v>74.5</v>
      </c>
      <c r="F51" s="57">
        <v>59.5</v>
      </c>
      <c r="G51" s="57">
        <v>201.5</v>
      </c>
      <c r="H51" s="57">
        <v>266.5</v>
      </c>
      <c r="I51" s="57">
        <v>80.5</v>
      </c>
      <c r="J51" s="57">
        <v>90.5</v>
      </c>
      <c r="K51" s="57">
        <v>13.5</v>
      </c>
      <c r="L51" s="57">
        <v>0.5</v>
      </c>
      <c r="M51" s="57">
        <v>12.5</v>
      </c>
      <c r="N51" s="41">
        <f t="shared" si="1"/>
        <v>125</v>
      </c>
      <c r="O51" s="41">
        <f t="shared" si="2"/>
        <v>698.5</v>
      </c>
      <c r="P51" s="41">
        <f t="shared" si="3"/>
        <v>26.5</v>
      </c>
      <c r="Q51" s="41">
        <f t="shared" si="4"/>
        <v>850</v>
      </c>
      <c r="R51" s="52"/>
      <c r="S51" s="52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</row>
    <row r="52" spans="1:36">
      <c r="A52" s="45">
        <v>2008</v>
      </c>
      <c r="B52" s="57">
        <v>0.5</v>
      </c>
      <c r="C52" s="57">
        <v>14</v>
      </c>
      <c r="D52" s="57">
        <v>66</v>
      </c>
      <c r="E52" s="57">
        <v>50</v>
      </c>
      <c r="F52" s="57">
        <v>169.5</v>
      </c>
      <c r="G52" s="57">
        <v>117</v>
      </c>
      <c r="H52" s="57">
        <v>240</v>
      </c>
      <c r="I52" s="57">
        <v>378</v>
      </c>
      <c r="J52" s="57">
        <v>84.5</v>
      </c>
      <c r="K52" s="57">
        <v>100</v>
      </c>
      <c r="L52" s="57">
        <v>85</v>
      </c>
      <c r="M52" s="57">
        <v>20</v>
      </c>
      <c r="N52" s="41">
        <f t="shared" si="1"/>
        <v>130.5</v>
      </c>
      <c r="O52" s="41">
        <f t="shared" si="2"/>
        <v>989</v>
      </c>
      <c r="P52" s="41">
        <f t="shared" si="3"/>
        <v>205</v>
      </c>
      <c r="Q52" s="41">
        <f t="shared" si="4"/>
        <v>1324.5</v>
      </c>
      <c r="R52" s="52"/>
      <c r="S52" s="52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</row>
    <row r="53" spans="1:36">
      <c r="A53" s="45">
        <v>2009</v>
      </c>
      <c r="B53" s="57">
        <v>11.5</v>
      </c>
      <c r="C53" s="57">
        <v>29.5</v>
      </c>
      <c r="D53" s="57">
        <v>28.5</v>
      </c>
      <c r="E53" s="57">
        <v>198</v>
      </c>
      <c r="F53" s="57">
        <v>88.5</v>
      </c>
      <c r="G53" s="57">
        <v>107</v>
      </c>
      <c r="H53" s="57">
        <v>153</v>
      </c>
      <c r="I53" s="57">
        <v>89.5</v>
      </c>
      <c r="J53" s="57">
        <v>29.5</v>
      </c>
      <c r="K53" s="57">
        <v>43.5</v>
      </c>
      <c r="L53" s="57">
        <v>8.5</v>
      </c>
      <c r="M53" s="57">
        <v>12</v>
      </c>
      <c r="N53" s="41">
        <f t="shared" si="1"/>
        <v>267.5</v>
      </c>
      <c r="O53" s="41">
        <f t="shared" si="2"/>
        <v>467.5</v>
      </c>
      <c r="P53" s="41">
        <f t="shared" si="3"/>
        <v>64</v>
      </c>
      <c r="Q53" s="41">
        <f t="shared" si="4"/>
        <v>799</v>
      </c>
      <c r="R53" s="52"/>
      <c r="S53" s="52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</row>
    <row r="54" spans="1:36">
      <c r="A54" s="45">
        <v>2010</v>
      </c>
      <c r="B54" s="57">
        <v>3</v>
      </c>
      <c r="C54" s="57">
        <v>3</v>
      </c>
      <c r="D54" s="57">
        <v>21</v>
      </c>
      <c r="E54" s="57">
        <v>72</v>
      </c>
      <c r="F54" s="57">
        <v>100</v>
      </c>
      <c r="G54" s="57">
        <v>180</v>
      </c>
      <c r="H54" s="57">
        <v>140</v>
      </c>
      <c r="I54" s="57">
        <v>119</v>
      </c>
      <c r="J54" s="57">
        <v>153.5</v>
      </c>
      <c r="K54" s="57">
        <v>88</v>
      </c>
      <c r="L54" s="57">
        <v>39.5</v>
      </c>
      <c r="M54" s="57">
        <v>41.5</v>
      </c>
      <c r="N54" s="41">
        <f t="shared" si="1"/>
        <v>99</v>
      </c>
      <c r="O54" s="41">
        <f t="shared" si="2"/>
        <v>692.5</v>
      </c>
      <c r="P54" s="41">
        <f t="shared" si="3"/>
        <v>169</v>
      </c>
      <c r="Q54" s="41">
        <f t="shared" si="4"/>
        <v>960.5</v>
      </c>
      <c r="R54" s="52"/>
      <c r="S54" s="52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</row>
    <row r="55" spans="1:36">
      <c r="A55" s="45">
        <v>2011</v>
      </c>
      <c r="B55" s="57">
        <v>13.5</v>
      </c>
      <c r="C55" s="57">
        <v>3.5</v>
      </c>
      <c r="D55" s="57">
        <v>17.5</v>
      </c>
      <c r="E55" s="57">
        <v>23.5</v>
      </c>
      <c r="F55" s="57">
        <v>58</v>
      </c>
      <c r="G55" s="57">
        <v>199.5</v>
      </c>
      <c r="H55" s="57">
        <v>19</v>
      </c>
      <c r="I55" s="57">
        <v>59</v>
      </c>
      <c r="J55" s="57">
        <v>118.5</v>
      </c>
      <c r="K55" s="57">
        <v>112.5</v>
      </c>
      <c r="L55" s="57">
        <v>74</v>
      </c>
      <c r="M55" s="57">
        <v>17</v>
      </c>
      <c r="N55" s="41">
        <f t="shared" si="1"/>
        <v>58</v>
      </c>
      <c r="O55" s="41">
        <f t="shared" si="2"/>
        <v>454</v>
      </c>
      <c r="P55" s="41">
        <f t="shared" si="3"/>
        <v>203.5</v>
      </c>
      <c r="Q55" s="41">
        <f t="shared" si="4"/>
        <v>715.5</v>
      </c>
      <c r="R55" s="52"/>
      <c r="S55" s="52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</row>
    <row r="56" spans="1:36">
      <c r="A56" s="45">
        <v>2012</v>
      </c>
      <c r="B56" s="57">
        <v>10</v>
      </c>
      <c r="C56" s="57">
        <v>13.5</v>
      </c>
      <c r="D56" s="57">
        <v>29</v>
      </c>
      <c r="E56" s="57">
        <v>24</v>
      </c>
      <c r="F56" s="57">
        <v>242.5</v>
      </c>
      <c r="G56" s="57">
        <v>201.5</v>
      </c>
      <c r="H56" s="57">
        <v>244.5</v>
      </c>
      <c r="I56" s="57">
        <v>83.5</v>
      </c>
      <c r="J56" s="57">
        <v>119.5</v>
      </c>
      <c r="K56" s="57">
        <v>56.5</v>
      </c>
      <c r="L56" s="57">
        <v>22.5</v>
      </c>
      <c r="M56" s="57">
        <v>11</v>
      </c>
      <c r="N56" s="41">
        <f t="shared" si="1"/>
        <v>76.5</v>
      </c>
      <c r="O56" s="41">
        <f t="shared" si="2"/>
        <v>891.5</v>
      </c>
      <c r="P56" s="41">
        <f t="shared" si="3"/>
        <v>90</v>
      </c>
      <c r="Q56" s="41">
        <f t="shared" si="4"/>
        <v>1058</v>
      </c>
      <c r="R56" s="52"/>
      <c r="S56" s="52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J56" s="48"/>
    </row>
    <row r="57" spans="1:36">
      <c r="A57" s="45">
        <v>2013</v>
      </c>
      <c r="B57" s="57">
        <v>6.5</v>
      </c>
      <c r="C57" s="57">
        <v>14</v>
      </c>
      <c r="D57" s="57">
        <v>38.5</v>
      </c>
      <c r="E57" s="57">
        <v>40.5</v>
      </c>
      <c r="F57" s="57">
        <v>205.5</v>
      </c>
      <c r="G57" s="57">
        <v>167.5</v>
      </c>
      <c r="H57" s="57">
        <v>21.5</v>
      </c>
      <c r="I57" s="57">
        <v>113.5</v>
      </c>
      <c r="J57" s="57">
        <v>81.5</v>
      </c>
      <c r="K57" s="57">
        <v>63</v>
      </c>
      <c r="L57" s="57">
        <v>31</v>
      </c>
      <c r="M57" s="57">
        <v>31</v>
      </c>
      <c r="N57" s="41">
        <f>SUM(B57:E57)</f>
        <v>99.5</v>
      </c>
      <c r="O57" s="41">
        <f>SUM(F57:J57)</f>
        <v>589.5</v>
      </c>
      <c r="P57" s="41">
        <f>SUM(K57:M57)</f>
        <v>125</v>
      </c>
      <c r="Q57" s="41">
        <f>SUM(B57:M57)</f>
        <v>814</v>
      </c>
      <c r="R57" s="52"/>
      <c r="S57" s="52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</row>
    <row r="58" spans="1:36">
      <c r="A58" s="45">
        <v>2014</v>
      </c>
      <c r="B58" s="57">
        <v>12</v>
      </c>
      <c r="C58" s="57">
        <v>30.5</v>
      </c>
      <c r="D58" s="57">
        <v>80</v>
      </c>
      <c r="E58" s="57">
        <v>32</v>
      </c>
      <c r="F58" s="57">
        <v>193</v>
      </c>
      <c r="G58" s="57">
        <v>269</v>
      </c>
      <c r="H58" s="57">
        <v>460.5</v>
      </c>
      <c r="I58" s="57">
        <v>156.5</v>
      </c>
      <c r="J58" s="57">
        <v>112</v>
      </c>
      <c r="K58" s="57">
        <v>86</v>
      </c>
      <c r="L58" s="57">
        <v>46.5</v>
      </c>
      <c r="M58" s="57">
        <v>10.5</v>
      </c>
      <c r="N58" s="41">
        <f>SUM(B58:E58)</f>
        <v>154.5</v>
      </c>
      <c r="O58" s="41">
        <f t="shared" ref="O58:O59" si="5">SUM(F58:J58)</f>
        <v>1191</v>
      </c>
      <c r="P58" s="41">
        <f>SUM(K58:M58)</f>
        <v>143</v>
      </c>
      <c r="Q58" s="41">
        <f>SUM(B58:M58)</f>
        <v>1488.5</v>
      </c>
      <c r="R58" s="52"/>
      <c r="S58" s="52"/>
    </row>
    <row r="59" spans="1:36">
      <c r="A59" s="45">
        <v>2015</v>
      </c>
      <c r="B59" s="57">
        <v>34.5</v>
      </c>
      <c r="C59" s="57">
        <v>9.5</v>
      </c>
      <c r="D59" s="57">
        <v>23.5</v>
      </c>
      <c r="E59" s="57">
        <v>69.5</v>
      </c>
      <c r="F59" s="57">
        <v>324</v>
      </c>
      <c r="G59" s="57">
        <v>363</v>
      </c>
      <c r="H59" s="57">
        <v>130.5</v>
      </c>
      <c r="I59" s="57">
        <v>214.5</v>
      </c>
      <c r="J59" s="57">
        <v>74.5</v>
      </c>
      <c r="K59" s="57">
        <v>141</v>
      </c>
      <c r="L59" s="57">
        <v>29.5</v>
      </c>
      <c r="M59" s="57">
        <v>49.5</v>
      </c>
      <c r="N59" s="41">
        <f>SUM(B59:E59)</f>
        <v>137</v>
      </c>
      <c r="O59" s="41">
        <f t="shared" si="5"/>
        <v>1106.5</v>
      </c>
      <c r="P59" s="41">
        <f>SUM(K59:M59)</f>
        <v>220</v>
      </c>
      <c r="Q59" s="41">
        <f>SUM(B59:M59)</f>
        <v>1463.5</v>
      </c>
      <c r="R59" s="52"/>
      <c r="S59" s="52"/>
    </row>
    <row r="60" spans="1:36" s="52" customFormat="1">
      <c r="A60" s="50">
        <v>2016</v>
      </c>
      <c r="B60" s="59">
        <v>28.5</v>
      </c>
      <c r="C60" s="59">
        <v>8.5</v>
      </c>
      <c r="D60" s="59">
        <v>81</v>
      </c>
      <c r="E60" s="59">
        <v>149.5</v>
      </c>
      <c r="F60" s="59">
        <v>170.5</v>
      </c>
      <c r="G60" s="59">
        <v>167</v>
      </c>
      <c r="H60" s="59">
        <v>27.5</v>
      </c>
      <c r="I60" s="59">
        <v>176.5</v>
      </c>
      <c r="J60" s="59">
        <v>32.5</v>
      </c>
      <c r="K60" s="59">
        <v>106.5</v>
      </c>
      <c r="L60" s="59">
        <v>54</v>
      </c>
      <c r="M60" s="59">
        <v>29.5</v>
      </c>
      <c r="N60" s="52">
        <f>SUM(B60:E60)</f>
        <v>267.5</v>
      </c>
      <c r="O60" s="51">
        <f>SUM(F60:J60)</f>
        <v>574</v>
      </c>
      <c r="P60" s="51">
        <f>SUM(K60:M60)</f>
        <v>190</v>
      </c>
      <c r="Q60" s="51">
        <f>SUM(B60:M60)</f>
        <v>1031.5</v>
      </c>
      <c r="R60" s="52">
        <f t="shared" ref="R60:AG60" si="6">100*(B60-B4)/B4</f>
        <v>67.414290291573224</v>
      </c>
      <c r="S60" s="52">
        <f t="shared" si="6"/>
        <v>-56.527803607959818</v>
      </c>
      <c r="T60" s="52">
        <f t="shared" si="6"/>
        <v>135.31586731459961</v>
      </c>
      <c r="U60" s="52">
        <f t="shared" si="6"/>
        <v>69.326606260296529</v>
      </c>
      <c r="V60" s="52">
        <f t="shared" si="6"/>
        <v>-0.26058285471175924</v>
      </c>
      <c r="W60" s="52">
        <f t="shared" si="6"/>
        <v>-18.197403869703638</v>
      </c>
      <c r="X60" s="52">
        <f t="shared" si="6"/>
        <v>-85.032162295893116</v>
      </c>
      <c r="Y60" s="52">
        <f t="shared" si="6"/>
        <v>34.607651455274066</v>
      </c>
      <c r="Z60" s="52">
        <f t="shared" si="6"/>
        <v>-64.308534004233053</v>
      </c>
      <c r="AA60" s="52">
        <f t="shared" si="6"/>
        <v>13.269390675458775</v>
      </c>
      <c r="AB60" s="52">
        <f t="shared" si="6"/>
        <v>16.589463766978103</v>
      </c>
      <c r="AC60" s="52">
        <f t="shared" si="6"/>
        <v>46.75289435600579</v>
      </c>
      <c r="AD60" s="52">
        <f t="shared" si="6"/>
        <v>67.933659783812175</v>
      </c>
      <c r="AE60" s="52">
        <f t="shared" si="6"/>
        <v>-26.153774180720916</v>
      </c>
      <c r="AF60" s="52">
        <f t="shared" si="6"/>
        <v>18.422991058780827</v>
      </c>
      <c r="AG60" s="52">
        <f t="shared" si="6"/>
        <v>-5.9726996396856462</v>
      </c>
    </row>
  </sheetData>
  <mergeCells count="6">
    <mergeCell ref="A1:A3"/>
    <mergeCell ref="R1:AG1"/>
    <mergeCell ref="B2:M2"/>
    <mergeCell ref="R2:AG2"/>
    <mergeCell ref="B1:Q1"/>
    <mergeCell ref="N2:Q2"/>
  </mergeCells>
  <phoneticPr fontId="2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C00000"/>
  </sheetPr>
  <dimension ref="A1:AG50"/>
  <sheetViews>
    <sheetView zoomScaleNormal="100" workbookViewId="0">
      <selection activeCell="S55" sqref="S55"/>
    </sheetView>
  </sheetViews>
  <sheetFormatPr defaultRowHeight="14.25"/>
  <cols>
    <col min="1" max="31" width="7.125" style="2" customWidth="1"/>
  </cols>
  <sheetData>
    <row r="1" spans="1:31" ht="14.25" customHeight="1">
      <c r="A1" s="163" t="s">
        <v>0</v>
      </c>
      <c r="B1" s="164" t="s">
        <v>1</v>
      </c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6"/>
      <c r="O1" s="166"/>
      <c r="P1" s="167"/>
      <c r="Q1" s="168" t="s">
        <v>2</v>
      </c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</row>
    <row r="2" spans="1:31">
      <c r="A2" s="163"/>
      <c r="B2" s="163" t="s">
        <v>3</v>
      </c>
      <c r="C2" s="163"/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69" t="s">
        <v>32</v>
      </c>
      <c r="O2" s="170"/>
      <c r="P2" s="171"/>
      <c r="Q2" s="168" t="s">
        <v>6</v>
      </c>
      <c r="R2" s="165"/>
      <c r="S2" s="165"/>
      <c r="T2" s="165"/>
      <c r="U2" s="165"/>
      <c r="V2" s="165"/>
      <c r="W2" s="165"/>
      <c r="X2" s="165"/>
      <c r="Y2" s="165"/>
      <c r="Z2" s="165"/>
      <c r="AA2" s="165"/>
      <c r="AB2" s="165"/>
      <c r="AC2" s="165"/>
      <c r="AD2" s="165"/>
      <c r="AE2" s="172"/>
    </row>
    <row r="3" spans="1:31">
      <c r="A3" s="163"/>
      <c r="B3" s="1" t="s">
        <v>7</v>
      </c>
      <c r="C3" s="1" t="s">
        <v>8</v>
      </c>
      <c r="D3" s="1" t="s">
        <v>9</v>
      </c>
      <c r="E3" s="1" t="s">
        <v>10</v>
      </c>
      <c r="F3" s="1" t="s">
        <v>11</v>
      </c>
      <c r="G3" s="1" t="s">
        <v>12</v>
      </c>
      <c r="H3" s="1" t="s">
        <v>13</v>
      </c>
      <c r="I3" s="1" t="s">
        <v>14</v>
      </c>
      <c r="J3" s="1" t="s">
        <v>15</v>
      </c>
      <c r="K3" s="1" t="s">
        <v>16</v>
      </c>
      <c r="L3" s="1" t="s">
        <v>17</v>
      </c>
      <c r="M3" s="1" t="s">
        <v>18</v>
      </c>
      <c r="N3" s="3" t="s">
        <v>31</v>
      </c>
      <c r="O3" s="3" t="s">
        <v>4</v>
      </c>
      <c r="P3" s="3" t="s">
        <v>5</v>
      </c>
      <c r="Q3" s="4" t="s">
        <v>19</v>
      </c>
      <c r="R3" s="5" t="s">
        <v>20</v>
      </c>
      <c r="S3" s="5" t="s">
        <v>21</v>
      </c>
      <c r="T3" s="5" t="s">
        <v>22</v>
      </c>
      <c r="U3" s="1" t="s">
        <v>23</v>
      </c>
      <c r="V3" s="1" t="s">
        <v>24</v>
      </c>
      <c r="W3" s="1" t="s">
        <v>25</v>
      </c>
      <c r="X3" s="1" t="s">
        <v>26</v>
      </c>
      <c r="Y3" s="1" t="s">
        <v>27</v>
      </c>
      <c r="Z3" s="6" t="s">
        <v>28</v>
      </c>
      <c r="AA3" s="6" t="s">
        <v>29</v>
      </c>
      <c r="AB3" s="6" t="s">
        <v>30</v>
      </c>
      <c r="AC3" s="1" t="s">
        <v>31</v>
      </c>
      <c r="AD3" s="1" t="s">
        <v>4</v>
      </c>
      <c r="AE3" s="1" t="s">
        <v>5</v>
      </c>
    </row>
    <row r="4" spans="1:31">
      <c r="A4" s="153" t="s">
        <v>261</v>
      </c>
      <c r="B4" s="153">
        <f t="shared" ref="B4:Q4" si="0">AVERAGE(B5:B49)</f>
        <v>19.362222222222226</v>
      </c>
      <c r="C4" s="153">
        <f t="shared" si="0"/>
        <v>17.464444444444446</v>
      </c>
      <c r="D4" s="153">
        <f t="shared" si="0"/>
        <v>34.113333333333337</v>
      </c>
      <c r="E4" s="153">
        <f t="shared" si="0"/>
        <v>97.628888888888895</v>
      </c>
      <c r="F4" s="153">
        <f t="shared" si="0"/>
        <v>157.69111111111113</v>
      </c>
      <c r="G4" s="153">
        <f t="shared" si="0"/>
        <v>182.65777777777774</v>
      </c>
      <c r="H4" s="153">
        <f t="shared" si="0"/>
        <v>147.89555555555555</v>
      </c>
      <c r="I4" s="153">
        <f t="shared" si="0"/>
        <v>118.03111111111113</v>
      </c>
      <c r="J4" s="153">
        <f t="shared" si="0"/>
        <v>83.037777777777762</v>
      </c>
      <c r="K4" s="153">
        <f t="shared" si="0"/>
        <v>83.673333333333346</v>
      </c>
      <c r="L4" s="153">
        <f t="shared" si="0"/>
        <v>43.260000000000012</v>
      </c>
      <c r="M4" s="153">
        <f t="shared" si="0"/>
        <v>18.88</v>
      </c>
      <c r="N4" s="153">
        <f t="shared" si="0"/>
        <v>313.50909090909096</v>
      </c>
      <c r="O4" s="153">
        <f t="shared" si="0"/>
        <v>689.31333333333328</v>
      </c>
      <c r="P4" s="153">
        <f t="shared" si="0"/>
        <v>1004.3977272727273</v>
      </c>
      <c r="Q4" s="154" t="e">
        <f t="shared" si="0"/>
        <v>#REF!</v>
      </c>
      <c r="R4" s="154"/>
      <c r="S4" s="154"/>
      <c r="T4" s="154"/>
      <c r="U4" s="153"/>
      <c r="V4" s="153"/>
      <c r="W4" s="153"/>
      <c r="X4" s="153"/>
      <c r="Y4" s="153"/>
      <c r="Z4" s="25"/>
      <c r="AA4" s="25"/>
      <c r="AB4" s="25"/>
      <c r="AC4" s="153"/>
      <c r="AD4" s="153"/>
      <c r="AE4" s="153"/>
    </row>
    <row r="5" spans="1:31" hidden="1">
      <c r="A5" s="2">
        <v>1961</v>
      </c>
      <c r="B5" s="2">
        <v>9.6</v>
      </c>
      <c r="C5" s="2">
        <v>14.8</v>
      </c>
      <c r="D5" s="2">
        <v>61.5</v>
      </c>
      <c r="E5" s="2">
        <v>133.69999999999999</v>
      </c>
      <c r="F5" s="2">
        <v>164.8</v>
      </c>
      <c r="G5" s="2">
        <v>51.9</v>
      </c>
      <c r="H5" s="2">
        <v>105.1</v>
      </c>
      <c r="I5" s="2">
        <v>162.30000000000001</v>
      </c>
      <c r="J5" s="2">
        <v>135.9</v>
      </c>
      <c r="K5" s="2">
        <v>120.5</v>
      </c>
      <c r="L5" s="2">
        <v>72.3</v>
      </c>
      <c r="M5" s="2">
        <v>53.8</v>
      </c>
      <c r="O5" s="2">
        <f>SUM(F5:J5)</f>
        <v>620</v>
      </c>
    </row>
    <row r="6" spans="1:31" hidden="1">
      <c r="A6" s="2">
        <v>1962</v>
      </c>
      <c r="B6" s="2">
        <v>18.5</v>
      </c>
      <c r="C6" s="2">
        <v>2.2000000000000002</v>
      </c>
      <c r="D6" s="2">
        <v>27.1</v>
      </c>
      <c r="E6" s="2">
        <v>99.1</v>
      </c>
      <c r="F6" s="2">
        <v>111.1</v>
      </c>
      <c r="G6" s="2">
        <v>138.9</v>
      </c>
      <c r="H6" s="2">
        <v>55.8</v>
      </c>
      <c r="I6" s="2">
        <v>158.1</v>
      </c>
      <c r="J6" s="2">
        <v>61.1</v>
      </c>
      <c r="K6" s="2">
        <v>59.3</v>
      </c>
      <c r="L6" s="2">
        <v>31.5</v>
      </c>
      <c r="M6" s="2">
        <v>16.899999999999999</v>
      </c>
      <c r="N6" s="2">
        <f>K5+L5+M5+B6+C6+D6+E6</f>
        <v>393.5</v>
      </c>
      <c r="O6" s="2">
        <f t="shared" ref="O6:O49" si="1">SUM(F6:J6)</f>
        <v>525</v>
      </c>
      <c r="P6" s="2">
        <f>SUM(N6:O6)</f>
        <v>918.5</v>
      </c>
    </row>
    <row r="7" spans="1:31" hidden="1">
      <c r="A7" s="2">
        <v>1963</v>
      </c>
      <c r="B7" s="2">
        <v>7.3</v>
      </c>
      <c r="C7" s="2">
        <v>12.2</v>
      </c>
      <c r="D7" s="2">
        <v>13</v>
      </c>
      <c r="E7" s="2">
        <v>106.9</v>
      </c>
      <c r="F7" s="2">
        <v>165.1</v>
      </c>
      <c r="G7" s="2">
        <v>62.3</v>
      </c>
      <c r="H7" s="2">
        <v>239.5</v>
      </c>
      <c r="I7" s="2">
        <v>23.4</v>
      </c>
      <c r="J7" s="2">
        <v>43.8</v>
      </c>
      <c r="K7" s="2">
        <v>87.3</v>
      </c>
      <c r="L7" s="2">
        <v>126.8</v>
      </c>
      <c r="M7" s="2">
        <v>40.4</v>
      </c>
      <c r="N7" s="2">
        <f t="shared" ref="N7:N49" si="2">K6+L6+M6+B7+C7+D7+E7</f>
        <v>247.1</v>
      </c>
      <c r="O7" s="2">
        <f t="shared" si="1"/>
        <v>534.09999999999991</v>
      </c>
      <c r="P7" s="2">
        <f t="shared" ref="P7:P49" si="3">SUM(N7:O7)</f>
        <v>781.19999999999993</v>
      </c>
    </row>
    <row r="8" spans="1:31" hidden="1">
      <c r="A8" s="2">
        <v>1964</v>
      </c>
      <c r="B8" s="2">
        <v>7.1</v>
      </c>
      <c r="C8" s="2">
        <v>16.899999999999999</v>
      </c>
      <c r="D8" s="2">
        <v>16.2</v>
      </c>
      <c r="E8" s="2">
        <v>220.8</v>
      </c>
      <c r="F8" s="2">
        <v>87.9</v>
      </c>
      <c r="G8" s="2">
        <v>266.3</v>
      </c>
      <c r="H8" s="2">
        <v>77.7</v>
      </c>
      <c r="I8" s="2">
        <v>268.5</v>
      </c>
      <c r="J8" s="2">
        <v>52.4</v>
      </c>
      <c r="K8" s="2">
        <v>46.9</v>
      </c>
      <c r="L8" s="2">
        <v>27.4</v>
      </c>
      <c r="M8" s="2">
        <v>28</v>
      </c>
      <c r="N8" s="2">
        <f t="shared" si="2"/>
        <v>515.5</v>
      </c>
      <c r="O8" s="2">
        <f t="shared" si="1"/>
        <v>752.80000000000007</v>
      </c>
      <c r="P8" s="2">
        <f t="shared" si="3"/>
        <v>1268.3000000000002</v>
      </c>
    </row>
    <row r="9" spans="1:31" hidden="1">
      <c r="A9" s="2">
        <v>1965</v>
      </c>
      <c r="B9" s="2">
        <v>27.3</v>
      </c>
      <c r="C9" s="2">
        <v>13.2</v>
      </c>
      <c r="D9" s="2">
        <v>24.7</v>
      </c>
      <c r="E9" s="2">
        <v>104.2</v>
      </c>
      <c r="F9" s="2">
        <v>215</v>
      </c>
      <c r="G9" s="2">
        <v>97.8</v>
      </c>
      <c r="H9" s="2">
        <v>135.1</v>
      </c>
      <c r="I9" s="2">
        <v>105.9</v>
      </c>
      <c r="J9" s="2">
        <v>66.900000000000006</v>
      </c>
      <c r="K9" s="2">
        <v>128.5</v>
      </c>
      <c r="L9" s="2">
        <v>43.8</v>
      </c>
      <c r="M9" s="2">
        <v>31.5</v>
      </c>
      <c r="N9" s="2">
        <f t="shared" si="2"/>
        <v>271.7</v>
      </c>
      <c r="O9" s="2">
        <f t="shared" si="1"/>
        <v>620.69999999999993</v>
      </c>
      <c r="P9" s="2">
        <f t="shared" si="3"/>
        <v>892.39999999999986</v>
      </c>
    </row>
    <row r="10" spans="1:31" hidden="1">
      <c r="A10" s="2">
        <v>1966</v>
      </c>
      <c r="B10" s="2">
        <v>5.3</v>
      </c>
      <c r="C10" s="2">
        <v>19.399999999999999</v>
      </c>
      <c r="D10" s="2">
        <v>15.8</v>
      </c>
      <c r="E10" s="2">
        <v>46.2</v>
      </c>
      <c r="F10" s="2">
        <v>160.4</v>
      </c>
      <c r="G10" s="2">
        <v>115.9</v>
      </c>
      <c r="H10" s="2">
        <v>102.8</v>
      </c>
      <c r="I10" s="2">
        <v>36.799999999999997</v>
      </c>
      <c r="J10" s="2">
        <v>31.5</v>
      </c>
      <c r="K10" s="2">
        <v>79.599999999999994</v>
      </c>
      <c r="L10" s="2">
        <v>19.3</v>
      </c>
      <c r="M10" s="2">
        <v>10.1</v>
      </c>
      <c r="N10" s="2">
        <f t="shared" si="2"/>
        <v>290.50000000000006</v>
      </c>
      <c r="O10" s="2">
        <f t="shared" si="1"/>
        <v>447.40000000000003</v>
      </c>
      <c r="P10" s="2">
        <f t="shared" si="3"/>
        <v>737.90000000000009</v>
      </c>
    </row>
    <row r="11" spans="1:31" hidden="1">
      <c r="A11" s="2">
        <v>1967</v>
      </c>
      <c r="B11" s="2">
        <v>5.9</v>
      </c>
      <c r="C11" s="2">
        <v>33.4</v>
      </c>
      <c r="D11" s="2">
        <v>25.2</v>
      </c>
      <c r="E11" s="2">
        <v>82.7</v>
      </c>
      <c r="F11" s="2">
        <v>87.6</v>
      </c>
      <c r="G11" s="2">
        <v>295</v>
      </c>
      <c r="H11" s="2">
        <v>288.3</v>
      </c>
      <c r="I11" s="2">
        <v>196.5</v>
      </c>
      <c r="J11" s="2">
        <v>198.8</v>
      </c>
      <c r="K11" s="2">
        <v>57.3</v>
      </c>
      <c r="L11" s="2">
        <v>56.7</v>
      </c>
      <c r="M11" s="2">
        <v>21.7</v>
      </c>
      <c r="N11" s="2">
        <f t="shared" si="2"/>
        <v>256.2</v>
      </c>
      <c r="O11" s="2">
        <f t="shared" si="1"/>
        <v>1066.2</v>
      </c>
      <c r="P11" s="2">
        <f t="shared" si="3"/>
        <v>1322.4</v>
      </c>
    </row>
    <row r="12" spans="1:31" hidden="1">
      <c r="A12" s="2">
        <v>1968</v>
      </c>
      <c r="B12" s="2">
        <v>7.8</v>
      </c>
      <c r="C12" s="2">
        <v>12.5</v>
      </c>
      <c r="D12" s="2">
        <v>9.3000000000000007</v>
      </c>
      <c r="E12" s="2">
        <v>96.1</v>
      </c>
      <c r="F12" s="2">
        <v>154</v>
      </c>
      <c r="G12" s="2">
        <v>136.69999999999999</v>
      </c>
      <c r="H12" s="2">
        <v>134</v>
      </c>
      <c r="I12" s="2">
        <v>154.5</v>
      </c>
      <c r="J12" s="2">
        <v>96.6</v>
      </c>
      <c r="K12" s="2">
        <v>50.6</v>
      </c>
      <c r="L12" s="2">
        <v>28.9</v>
      </c>
      <c r="M12" s="2">
        <v>13.9</v>
      </c>
      <c r="N12" s="2">
        <f t="shared" si="2"/>
        <v>261.39999999999998</v>
      </c>
      <c r="O12" s="2">
        <f t="shared" si="1"/>
        <v>675.80000000000007</v>
      </c>
      <c r="P12" s="2">
        <f t="shared" si="3"/>
        <v>937.2</v>
      </c>
    </row>
    <row r="13" spans="1:31" hidden="1">
      <c r="A13" s="2">
        <v>1969</v>
      </c>
      <c r="B13" s="2">
        <v>18.7</v>
      </c>
      <c r="C13" s="2">
        <v>2.6</v>
      </c>
      <c r="D13" s="2">
        <v>60.9</v>
      </c>
      <c r="E13" s="2">
        <v>74.3</v>
      </c>
      <c r="F13" s="2">
        <v>174.5</v>
      </c>
      <c r="G13" s="2">
        <v>368.9</v>
      </c>
      <c r="H13" s="2">
        <v>164.4</v>
      </c>
      <c r="I13" s="2">
        <v>137.80000000000001</v>
      </c>
      <c r="J13" s="2">
        <v>13.3</v>
      </c>
      <c r="K13" s="2">
        <v>166.4</v>
      </c>
      <c r="L13" s="2">
        <v>61.8</v>
      </c>
      <c r="M13" s="2">
        <v>3.9</v>
      </c>
      <c r="N13" s="2">
        <f t="shared" si="2"/>
        <v>249.89999999999998</v>
      </c>
      <c r="O13" s="2">
        <f t="shared" si="1"/>
        <v>858.89999999999986</v>
      </c>
      <c r="P13" s="2">
        <f t="shared" si="3"/>
        <v>1108.7999999999997</v>
      </c>
    </row>
    <row r="14" spans="1:31" hidden="1">
      <c r="A14" s="2">
        <v>1970</v>
      </c>
      <c r="B14" s="2">
        <v>23.3</v>
      </c>
      <c r="C14" s="2">
        <v>25.4</v>
      </c>
      <c r="D14" s="2">
        <v>40.5</v>
      </c>
      <c r="E14" s="2">
        <v>65.3</v>
      </c>
      <c r="F14" s="2">
        <v>162.1</v>
      </c>
      <c r="G14" s="2">
        <v>123.9</v>
      </c>
      <c r="H14" s="2">
        <v>192</v>
      </c>
      <c r="I14" s="2">
        <v>29.7</v>
      </c>
      <c r="J14" s="2">
        <v>140</v>
      </c>
      <c r="K14" s="2">
        <v>64.5</v>
      </c>
      <c r="L14" s="2">
        <v>51.7</v>
      </c>
      <c r="M14" s="2">
        <v>54.3</v>
      </c>
      <c r="N14" s="2">
        <f t="shared" si="2"/>
        <v>386.6</v>
      </c>
      <c r="O14" s="2">
        <f t="shared" si="1"/>
        <v>647.70000000000005</v>
      </c>
      <c r="P14" s="2">
        <f t="shared" si="3"/>
        <v>1034.3000000000002</v>
      </c>
    </row>
    <row r="15" spans="1:31" hidden="1">
      <c r="A15" s="2">
        <v>1971</v>
      </c>
      <c r="B15" s="2">
        <v>16.2</v>
      </c>
      <c r="C15" s="2">
        <v>12.5</v>
      </c>
      <c r="D15" s="2">
        <v>31.3</v>
      </c>
      <c r="E15" s="2">
        <v>111.8</v>
      </c>
      <c r="F15" s="2">
        <v>198.8</v>
      </c>
      <c r="G15" s="2">
        <v>218.1</v>
      </c>
      <c r="H15" s="2">
        <v>31.9</v>
      </c>
      <c r="I15" s="2">
        <v>83.4</v>
      </c>
      <c r="J15" s="2">
        <v>77.3</v>
      </c>
      <c r="K15" s="2">
        <v>68.7</v>
      </c>
      <c r="L15" s="2">
        <v>28.2</v>
      </c>
      <c r="M15" s="2">
        <v>22.5</v>
      </c>
      <c r="N15" s="2">
        <f t="shared" si="2"/>
        <v>342.3</v>
      </c>
      <c r="O15" s="2">
        <f t="shared" si="1"/>
        <v>609.49999999999989</v>
      </c>
      <c r="P15" s="2">
        <f t="shared" si="3"/>
        <v>951.8</v>
      </c>
    </row>
    <row r="16" spans="1:31" hidden="1">
      <c r="A16" s="2">
        <v>1972</v>
      </c>
      <c r="B16" s="2">
        <v>6.7</v>
      </c>
      <c r="C16" s="2">
        <v>9.6</v>
      </c>
      <c r="D16" s="2">
        <v>14.9</v>
      </c>
      <c r="E16" s="2">
        <v>80.099999999999994</v>
      </c>
      <c r="F16" s="2">
        <v>207.8</v>
      </c>
      <c r="G16" s="2">
        <v>256.60000000000002</v>
      </c>
      <c r="H16" s="2">
        <v>41.2</v>
      </c>
      <c r="I16" s="2">
        <v>36.5</v>
      </c>
      <c r="J16" s="2">
        <v>172.7</v>
      </c>
      <c r="K16" s="2">
        <v>125.4</v>
      </c>
      <c r="L16" s="2">
        <v>70.400000000000006</v>
      </c>
      <c r="M16" s="2">
        <v>14.1</v>
      </c>
      <c r="N16" s="2">
        <f t="shared" si="2"/>
        <v>230.70000000000002</v>
      </c>
      <c r="O16" s="2">
        <f t="shared" si="1"/>
        <v>714.8</v>
      </c>
      <c r="P16" s="2">
        <f t="shared" si="3"/>
        <v>945.5</v>
      </c>
    </row>
    <row r="17" spans="1:16" hidden="1">
      <c r="A17" s="2">
        <v>1973</v>
      </c>
      <c r="B17" s="2">
        <v>12.6</v>
      </c>
      <c r="C17" s="2">
        <v>11.7</v>
      </c>
      <c r="D17" s="2">
        <v>16.600000000000001</v>
      </c>
      <c r="E17" s="2">
        <v>158.1</v>
      </c>
      <c r="F17" s="2">
        <v>163</v>
      </c>
      <c r="G17" s="2">
        <v>332.6</v>
      </c>
      <c r="H17" s="2">
        <v>120</v>
      </c>
      <c r="I17" s="2">
        <v>127.8</v>
      </c>
      <c r="J17" s="2">
        <v>117.2</v>
      </c>
      <c r="K17" s="2">
        <v>68.400000000000006</v>
      </c>
      <c r="L17" s="2">
        <v>40.6</v>
      </c>
      <c r="M17" s="2">
        <v>7.4</v>
      </c>
      <c r="N17" s="2">
        <f t="shared" si="2"/>
        <v>408.9</v>
      </c>
      <c r="O17" s="2">
        <f t="shared" si="1"/>
        <v>860.6</v>
      </c>
      <c r="P17" s="2">
        <f t="shared" si="3"/>
        <v>1269.5</v>
      </c>
    </row>
    <row r="18" spans="1:16" hidden="1">
      <c r="A18" s="2">
        <v>1974</v>
      </c>
      <c r="B18" s="2">
        <v>13.9</v>
      </c>
      <c r="C18" s="2">
        <v>4.2</v>
      </c>
      <c r="D18" s="2">
        <v>61.7</v>
      </c>
      <c r="E18" s="2">
        <v>195</v>
      </c>
      <c r="F18" s="2">
        <v>213.9</v>
      </c>
      <c r="G18" s="2">
        <v>201.5</v>
      </c>
      <c r="H18" s="2">
        <v>96.5</v>
      </c>
      <c r="I18" s="2">
        <v>198.9</v>
      </c>
      <c r="J18" s="2">
        <v>93.5</v>
      </c>
      <c r="K18" s="2">
        <v>56.8</v>
      </c>
      <c r="L18" s="2">
        <v>10.5</v>
      </c>
      <c r="M18" s="2">
        <v>17.3</v>
      </c>
      <c r="N18" s="2">
        <f t="shared" si="2"/>
        <v>391.2</v>
      </c>
      <c r="O18" s="2">
        <f t="shared" si="1"/>
        <v>804.3</v>
      </c>
      <c r="P18" s="2">
        <f t="shared" si="3"/>
        <v>1195.5</v>
      </c>
    </row>
    <row r="19" spans="1:16" hidden="1">
      <c r="A19" s="2">
        <v>1975</v>
      </c>
      <c r="B19" s="2">
        <v>30.7</v>
      </c>
      <c r="C19" s="2">
        <v>16</v>
      </c>
      <c r="D19" s="2">
        <v>18.600000000000001</v>
      </c>
      <c r="E19" s="2">
        <v>138.30000000000001</v>
      </c>
      <c r="F19" s="2">
        <v>163.6</v>
      </c>
      <c r="G19" s="2">
        <v>104.2</v>
      </c>
      <c r="H19" s="2">
        <v>54.1</v>
      </c>
      <c r="I19" s="2">
        <v>319.39999999999998</v>
      </c>
      <c r="J19" s="2">
        <v>101.6</v>
      </c>
      <c r="K19" s="2">
        <v>76</v>
      </c>
      <c r="L19" s="2">
        <v>89.3</v>
      </c>
      <c r="M19" s="2">
        <v>11.1</v>
      </c>
      <c r="N19" s="2">
        <f t="shared" si="2"/>
        <v>288.20000000000005</v>
      </c>
      <c r="O19" s="2">
        <f t="shared" si="1"/>
        <v>742.9</v>
      </c>
      <c r="P19" s="2">
        <f t="shared" si="3"/>
        <v>1031.0999999999999</v>
      </c>
    </row>
    <row r="20" spans="1:16" hidden="1">
      <c r="A20" s="2">
        <v>1976</v>
      </c>
      <c r="B20" s="2">
        <v>25.9</v>
      </c>
      <c r="C20" s="2">
        <v>6.3</v>
      </c>
      <c r="D20" s="2">
        <v>18.399999999999999</v>
      </c>
      <c r="E20" s="2">
        <v>149.5</v>
      </c>
      <c r="F20" s="2">
        <v>142.9</v>
      </c>
      <c r="G20" s="2">
        <v>228.4</v>
      </c>
      <c r="H20" s="2">
        <v>110.3</v>
      </c>
      <c r="I20" s="2">
        <v>79.2</v>
      </c>
      <c r="J20" s="2">
        <v>93.3</v>
      </c>
      <c r="K20" s="2">
        <v>66.099999999999994</v>
      </c>
      <c r="L20" s="2">
        <v>59</v>
      </c>
      <c r="M20" s="2">
        <v>17</v>
      </c>
      <c r="N20" s="2">
        <f t="shared" si="2"/>
        <v>376.5</v>
      </c>
      <c r="O20" s="2">
        <f t="shared" si="1"/>
        <v>654.1</v>
      </c>
      <c r="P20" s="2">
        <f t="shared" si="3"/>
        <v>1030.5999999999999</v>
      </c>
    </row>
    <row r="21" spans="1:16" hidden="1">
      <c r="A21" s="2">
        <v>1977</v>
      </c>
      <c r="B21" s="2">
        <v>11.9</v>
      </c>
      <c r="C21" s="2">
        <v>27.4</v>
      </c>
      <c r="D21" s="2">
        <v>41.6</v>
      </c>
      <c r="E21" s="2">
        <v>108.2</v>
      </c>
      <c r="F21" s="2">
        <v>197.9</v>
      </c>
      <c r="G21" s="2">
        <v>312.2</v>
      </c>
      <c r="H21" s="2">
        <v>166.6</v>
      </c>
      <c r="I21" s="2">
        <v>130.6</v>
      </c>
      <c r="J21" s="2">
        <v>85.6</v>
      </c>
      <c r="K21" s="2">
        <v>153.69999999999999</v>
      </c>
      <c r="L21" s="2">
        <v>58.3</v>
      </c>
      <c r="M21" s="2">
        <v>4.0999999999999996</v>
      </c>
      <c r="N21" s="2">
        <f t="shared" si="2"/>
        <v>331.2</v>
      </c>
      <c r="O21" s="2">
        <f t="shared" si="1"/>
        <v>892.90000000000009</v>
      </c>
      <c r="P21" s="2">
        <f t="shared" si="3"/>
        <v>1224.1000000000001</v>
      </c>
    </row>
    <row r="22" spans="1:16" hidden="1">
      <c r="A22" s="2">
        <v>1978</v>
      </c>
      <c r="B22" s="2">
        <v>15.6</v>
      </c>
      <c r="C22" s="2">
        <v>1.8</v>
      </c>
      <c r="D22" s="2">
        <v>11.3</v>
      </c>
      <c r="E22" s="2">
        <v>96.2</v>
      </c>
      <c r="F22" s="2">
        <v>191.4</v>
      </c>
      <c r="G22" s="2">
        <v>258.10000000000002</v>
      </c>
      <c r="H22" s="2">
        <v>102.2</v>
      </c>
      <c r="I22" s="2">
        <v>69.900000000000006</v>
      </c>
      <c r="J22" s="2">
        <v>51.2</v>
      </c>
      <c r="K22" s="2">
        <v>133</v>
      </c>
      <c r="L22" s="2">
        <v>76.2</v>
      </c>
      <c r="M22" s="2">
        <v>3</v>
      </c>
      <c r="N22" s="2">
        <f t="shared" si="2"/>
        <v>341</v>
      </c>
      <c r="O22" s="2">
        <f t="shared" si="1"/>
        <v>672.80000000000007</v>
      </c>
      <c r="P22" s="2">
        <f t="shared" si="3"/>
        <v>1013.8000000000001</v>
      </c>
    </row>
    <row r="23" spans="1:16" hidden="1">
      <c r="A23" s="2">
        <v>1979</v>
      </c>
      <c r="B23" s="2">
        <v>3</v>
      </c>
      <c r="C23" s="2">
        <v>6.1</v>
      </c>
      <c r="D23" s="2">
        <v>24.5</v>
      </c>
      <c r="E23" s="2">
        <v>88.3</v>
      </c>
      <c r="F23" s="2">
        <v>79.8</v>
      </c>
      <c r="G23" s="2">
        <v>181.3</v>
      </c>
      <c r="H23" s="2">
        <v>222.2</v>
      </c>
      <c r="I23" s="2">
        <v>107.5</v>
      </c>
      <c r="J23" s="2">
        <v>123.1</v>
      </c>
      <c r="K23" s="2">
        <v>35.5</v>
      </c>
      <c r="L23" s="2">
        <v>7.7</v>
      </c>
      <c r="M23" s="2">
        <v>35.4</v>
      </c>
      <c r="N23" s="2">
        <f t="shared" si="2"/>
        <v>334.09999999999997</v>
      </c>
      <c r="O23" s="2">
        <f t="shared" si="1"/>
        <v>713.9</v>
      </c>
      <c r="P23" s="2">
        <f t="shared" si="3"/>
        <v>1048</v>
      </c>
    </row>
    <row r="24" spans="1:16" hidden="1">
      <c r="A24" s="2">
        <v>1980</v>
      </c>
      <c r="B24" s="2">
        <v>21</v>
      </c>
      <c r="C24" s="2">
        <v>12.7</v>
      </c>
      <c r="D24" s="2">
        <v>42.7</v>
      </c>
      <c r="E24" s="2">
        <v>81.599999999999994</v>
      </c>
      <c r="F24" s="2">
        <v>285.3</v>
      </c>
      <c r="G24" s="2">
        <v>180.6</v>
      </c>
      <c r="H24" s="2">
        <v>259.89999999999998</v>
      </c>
      <c r="I24" s="2">
        <v>72.8</v>
      </c>
      <c r="J24" s="2">
        <v>56.3</v>
      </c>
      <c r="K24" s="2">
        <v>113.6</v>
      </c>
      <c r="L24" s="2">
        <v>49.8</v>
      </c>
      <c r="M24" s="2">
        <v>18.7</v>
      </c>
      <c r="N24" s="2">
        <f t="shared" si="2"/>
        <v>236.6</v>
      </c>
      <c r="O24" s="2">
        <f t="shared" si="1"/>
        <v>854.89999999999986</v>
      </c>
      <c r="P24" s="2">
        <f t="shared" si="3"/>
        <v>1091.4999999999998</v>
      </c>
    </row>
    <row r="25" spans="1:16" hidden="1">
      <c r="A25" s="2">
        <v>1981</v>
      </c>
      <c r="B25" s="2">
        <v>23.1</v>
      </c>
      <c r="C25" s="2">
        <v>15.7</v>
      </c>
      <c r="D25" s="2">
        <v>24.9</v>
      </c>
      <c r="E25" s="2">
        <v>138</v>
      </c>
      <c r="F25" s="2">
        <v>130.9</v>
      </c>
      <c r="G25" s="2">
        <v>85.1</v>
      </c>
      <c r="H25" s="2">
        <v>46.7</v>
      </c>
      <c r="I25" s="2">
        <v>57.6</v>
      </c>
      <c r="J25" s="2">
        <v>77.5</v>
      </c>
      <c r="K25" s="2">
        <v>72.2</v>
      </c>
      <c r="L25" s="2">
        <v>49.1</v>
      </c>
      <c r="M25" s="2">
        <v>3.2</v>
      </c>
      <c r="N25" s="2">
        <f t="shared" si="2"/>
        <v>383.79999999999995</v>
      </c>
      <c r="O25" s="2">
        <f t="shared" si="1"/>
        <v>397.8</v>
      </c>
      <c r="P25" s="2">
        <f t="shared" si="3"/>
        <v>781.59999999999991</v>
      </c>
    </row>
    <row r="26" spans="1:16" hidden="1">
      <c r="A26" s="2">
        <v>1982</v>
      </c>
      <c r="B26" s="2">
        <v>22.4</v>
      </c>
      <c r="C26" s="2">
        <v>65.400000000000006</v>
      </c>
      <c r="D26" s="2">
        <v>9.3000000000000007</v>
      </c>
      <c r="E26" s="2">
        <v>92.3</v>
      </c>
      <c r="F26" s="2">
        <v>133</v>
      </c>
      <c r="G26" s="2">
        <v>170.5</v>
      </c>
      <c r="H26" s="2">
        <v>160.30000000000001</v>
      </c>
      <c r="I26" s="2">
        <v>189</v>
      </c>
      <c r="J26" s="2">
        <v>141.80000000000001</v>
      </c>
      <c r="K26" s="2">
        <v>57.1</v>
      </c>
      <c r="L26" s="2">
        <v>68.8</v>
      </c>
      <c r="M26" s="2">
        <v>29.5</v>
      </c>
      <c r="N26" s="2">
        <f t="shared" si="2"/>
        <v>313.90000000000003</v>
      </c>
      <c r="O26" s="2">
        <f t="shared" si="1"/>
        <v>794.59999999999991</v>
      </c>
      <c r="P26" s="2">
        <f t="shared" si="3"/>
        <v>1108.5</v>
      </c>
    </row>
    <row r="27" spans="1:16" hidden="1">
      <c r="A27" s="2">
        <v>1983</v>
      </c>
      <c r="B27" s="2">
        <v>33.799999999999997</v>
      </c>
      <c r="C27" s="2">
        <v>24.2</v>
      </c>
      <c r="D27" s="2">
        <v>44.4</v>
      </c>
      <c r="E27" s="2">
        <v>123.7</v>
      </c>
      <c r="F27" s="2">
        <v>85.5</v>
      </c>
      <c r="G27" s="2">
        <v>137.80000000000001</v>
      </c>
      <c r="H27" s="2">
        <v>56.7</v>
      </c>
      <c r="I27" s="2">
        <v>86.7</v>
      </c>
      <c r="J27" s="2">
        <v>74.400000000000006</v>
      </c>
      <c r="K27" s="2">
        <v>73.900000000000006</v>
      </c>
      <c r="L27" s="2">
        <v>73.400000000000006</v>
      </c>
      <c r="M27" s="2">
        <v>25</v>
      </c>
      <c r="N27" s="2">
        <f t="shared" si="2"/>
        <v>381.49999999999994</v>
      </c>
      <c r="O27" s="2">
        <f t="shared" si="1"/>
        <v>441.1</v>
      </c>
      <c r="P27" s="2">
        <f t="shared" si="3"/>
        <v>822.59999999999991</v>
      </c>
    </row>
    <row r="28" spans="1:16" hidden="1">
      <c r="A28" s="2">
        <v>1984</v>
      </c>
      <c r="B28" s="2">
        <v>6.1</v>
      </c>
      <c r="C28" s="2">
        <v>9.1999999999999993</v>
      </c>
      <c r="D28" s="2">
        <v>30.3</v>
      </c>
      <c r="E28" s="2">
        <v>131</v>
      </c>
      <c r="F28" s="2">
        <v>210.9</v>
      </c>
      <c r="G28" s="2">
        <v>48.6</v>
      </c>
      <c r="H28" s="2">
        <v>177.7</v>
      </c>
      <c r="I28" s="2">
        <v>189.2</v>
      </c>
      <c r="J28" s="2">
        <v>95.2</v>
      </c>
      <c r="K28" s="2">
        <v>74.599999999999994</v>
      </c>
      <c r="L28" s="2">
        <v>9.1</v>
      </c>
      <c r="M28" s="2">
        <v>23.1</v>
      </c>
      <c r="N28" s="2">
        <f t="shared" si="2"/>
        <v>348.9</v>
      </c>
      <c r="O28" s="2">
        <f t="shared" si="1"/>
        <v>721.6</v>
      </c>
      <c r="P28" s="2">
        <f t="shared" si="3"/>
        <v>1070.5</v>
      </c>
    </row>
    <row r="29" spans="1:16" hidden="1">
      <c r="A29" s="2">
        <v>1985</v>
      </c>
      <c r="B29" s="2">
        <v>7.2</v>
      </c>
      <c r="C29" s="2">
        <v>23.6</v>
      </c>
      <c r="D29" s="2">
        <v>70.400000000000006</v>
      </c>
      <c r="E29" s="2">
        <v>93</v>
      </c>
      <c r="F29" s="2">
        <v>113.1</v>
      </c>
      <c r="G29" s="2">
        <v>90</v>
      </c>
      <c r="H29" s="2">
        <v>68.2</v>
      </c>
      <c r="I29" s="2">
        <v>140.4</v>
      </c>
      <c r="J29" s="2">
        <v>36.700000000000003</v>
      </c>
      <c r="K29" s="2">
        <v>61.2</v>
      </c>
      <c r="L29" s="2">
        <v>50</v>
      </c>
      <c r="M29" s="2">
        <v>13.3</v>
      </c>
      <c r="N29" s="2">
        <f t="shared" si="2"/>
        <v>301</v>
      </c>
      <c r="O29" s="2">
        <f t="shared" si="1"/>
        <v>448.40000000000003</v>
      </c>
      <c r="P29" s="2">
        <f t="shared" si="3"/>
        <v>749.40000000000009</v>
      </c>
    </row>
    <row r="30" spans="1:16" hidden="1">
      <c r="A30" s="2">
        <v>1986</v>
      </c>
      <c r="B30" s="2">
        <v>12.1</v>
      </c>
      <c r="C30" s="2">
        <v>6.7</v>
      </c>
      <c r="D30" s="2">
        <v>36.1</v>
      </c>
      <c r="E30" s="2">
        <v>57.7</v>
      </c>
      <c r="F30" s="2">
        <v>120.6</v>
      </c>
      <c r="G30" s="2">
        <v>101.7</v>
      </c>
      <c r="H30" s="2">
        <v>126.6</v>
      </c>
      <c r="I30" s="2">
        <v>77.5</v>
      </c>
      <c r="J30" s="2">
        <v>47.5</v>
      </c>
      <c r="K30" s="2">
        <v>57.4</v>
      </c>
      <c r="L30" s="2">
        <v>53.3</v>
      </c>
      <c r="M30" s="2">
        <v>1.2</v>
      </c>
      <c r="N30" s="2">
        <f t="shared" si="2"/>
        <v>237.09999999999997</v>
      </c>
      <c r="O30" s="2">
        <f t="shared" si="1"/>
        <v>473.9</v>
      </c>
      <c r="P30" s="2">
        <f t="shared" si="3"/>
        <v>711</v>
      </c>
    </row>
    <row r="31" spans="1:16" hidden="1">
      <c r="A31" s="2">
        <v>1987</v>
      </c>
      <c r="B31" s="2">
        <v>34.4</v>
      </c>
      <c r="C31" s="2">
        <v>11.1</v>
      </c>
      <c r="D31" s="2">
        <v>19.100000000000001</v>
      </c>
      <c r="E31" s="2">
        <v>48.6</v>
      </c>
      <c r="F31" s="2">
        <v>110.2</v>
      </c>
      <c r="G31" s="2">
        <v>175.4</v>
      </c>
      <c r="H31" s="2">
        <v>179.3</v>
      </c>
      <c r="I31" s="2">
        <v>124.4</v>
      </c>
      <c r="J31" s="2">
        <v>87</v>
      </c>
      <c r="K31" s="2">
        <v>70.3</v>
      </c>
      <c r="L31" s="2">
        <v>46.4</v>
      </c>
      <c r="M31" s="2">
        <v>2.9</v>
      </c>
      <c r="N31" s="2">
        <f t="shared" si="2"/>
        <v>225.09999999999997</v>
      </c>
      <c r="O31" s="2">
        <f t="shared" si="1"/>
        <v>676.30000000000007</v>
      </c>
      <c r="P31" s="2">
        <f t="shared" si="3"/>
        <v>901.40000000000009</v>
      </c>
    </row>
    <row r="32" spans="1:16" hidden="1">
      <c r="A32" s="2">
        <v>1988</v>
      </c>
      <c r="B32" s="2">
        <v>17.7</v>
      </c>
      <c r="C32" s="2">
        <v>8</v>
      </c>
      <c r="D32" s="2">
        <v>5</v>
      </c>
      <c r="E32" s="2">
        <v>58.5</v>
      </c>
      <c r="F32" s="2">
        <v>92.1</v>
      </c>
      <c r="G32" s="2">
        <v>204.7</v>
      </c>
      <c r="H32" s="2">
        <v>63</v>
      </c>
      <c r="I32" s="2">
        <v>239.4</v>
      </c>
      <c r="J32" s="2">
        <v>114</v>
      </c>
      <c r="K32" s="2">
        <v>58.9</v>
      </c>
      <c r="L32" s="2">
        <v>4.5</v>
      </c>
      <c r="M32" s="2">
        <v>9.1999999999999993</v>
      </c>
      <c r="N32" s="2">
        <f t="shared" si="2"/>
        <v>208.79999999999998</v>
      </c>
      <c r="O32" s="2">
        <f t="shared" si="1"/>
        <v>713.19999999999993</v>
      </c>
      <c r="P32" s="2">
        <f t="shared" si="3"/>
        <v>921.99999999999989</v>
      </c>
    </row>
    <row r="33" spans="1:31" hidden="1">
      <c r="A33" s="2">
        <v>1989</v>
      </c>
      <c r="B33" s="2">
        <v>8.3000000000000007</v>
      </c>
      <c r="C33" s="2">
        <v>26.3</v>
      </c>
      <c r="D33" s="2">
        <v>47.8</v>
      </c>
      <c r="E33" s="2">
        <v>74.2</v>
      </c>
      <c r="F33" s="2">
        <v>66.599999999999994</v>
      </c>
      <c r="G33" s="2">
        <v>236.5</v>
      </c>
      <c r="H33" s="2">
        <v>107.8</v>
      </c>
      <c r="I33" s="2">
        <v>87.7</v>
      </c>
      <c r="J33" s="2">
        <v>112</v>
      </c>
      <c r="K33" s="2">
        <v>43.4</v>
      </c>
      <c r="L33" s="2">
        <v>36.1</v>
      </c>
      <c r="M33" s="2">
        <v>17.399999999999999</v>
      </c>
      <c r="N33" s="2">
        <f t="shared" si="2"/>
        <v>229.2</v>
      </c>
      <c r="O33" s="2">
        <f t="shared" si="1"/>
        <v>610.6</v>
      </c>
      <c r="P33" s="2">
        <f t="shared" si="3"/>
        <v>839.8</v>
      </c>
    </row>
    <row r="34" spans="1:31" hidden="1">
      <c r="A34" s="2">
        <v>1990</v>
      </c>
      <c r="B34" s="2">
        <v>12</v>
      </c>
      <c r="C34" s="2">
        <v>6.3</v>
      </c>
      <c r="D34" s="2">
        <v>73.099999999999994</v>
      </c>
      <c r="E34" s="2">
        <v>39.299999999999997</v>
      </c>
      <c r="F34" s="2">
        <v>157.69999999999999</v>
      </c>
      <c r="G34" s="2">
        <v>226</v>
      </c>
      <c r="H34" s="2">
        <v>107.2</v>
      </c>
      <c r="I34" s="2">
        <v>31.4</v>
      </c>
      <c r="J34" s="2">
        <v>88.7</v>
      </c>
      <c r="K34" s="2">
        <v>94.8</v>
      </c>
      <c r="L34" s="2">
        <v>79</v>
      </c>
      <c r="M34" s="2">
        <v>15.5</v>
      </c>
      <c r="N34" s="2">
        <f t="shared" si="2"/>
        <v>227.60000000000002</v>
      </c>
      <c r="O34" s="2">
        <f t="shared" si="1"/>
        <v>611</v>
      </c>
      <c r="P34" s="2">
        <f t="shared" si="3"/>
        <v>838.6</v>
      </c>
    </row>
    <row r="35" spans="1:31" hidden="1">
      <c r="A35" s="2">
        <v>1991</v>
      </c>
      <c r="B35" s="2">
        <v>58.4</v>
      </c>
      <c r="C35" s="2">
        <v>30.2</v>
      </c>
      <c r="D35" s="2">
        <v>35.299999999999997</v>
      </c>
      <c r="E35" s="2">
        <v>43.2</v>
      </c>
      <c r="F35" s="2">
        <v>60.7</v>
      </c>
      <c r="G35" s="2">
        <v>122.5</v>
      </c>
      <c r="H35" s="2">
        <v>399.1</v>
      </c>
      <c r="I35" s="2">
        <v>101.8</v>
      </c>
      <c r="J35" s="2">
        <v>57.4</v>
      </c>
      <c r="K35" s="2">
        <v>60.8</v>
      </c>
      <c r="L35" s="2">
        <v>52.4</v>
      </c>
      <c r="M35" s="2">
        <v>19.5</v>
      </c>
      <c r="N35" s="2">
        <f t="shared" si="2"/>
        <v>356.40000000000003</v>
      </c>
      <c r="O35" s="2">
        <f t="shared" si="1"/>
        <v>741.49999999999989</v>
      </c>
      <c r="P35" s="2">
        <f t="shared" si="3"/>
        <v>1097.8999999999999</v>
      </c>
    </row>
    <row r="36" spans="1:31" hidden="1">
      <c r="A36" s="2">
        <v>1992</v>
      </c>
      <c r="B36" s="2">
        <v>26</v>
      </c>
      <c r="C36" s="2">
        <v>25.2</v>
      </c>
      <c r="D36" s="2">
        <v>52.3</v>
      </c>
      <c r="E36" s="2">
        <v>96.8</v>
      </c>
      <c r="F36" s="2">
        <v>229.2</v>
      </c>
      <c r="G36" s="2">
        <v>141.69999999999999</v>
      </c>
      <c r="H36" s="2">
        <v>129.30000000000001</v>
      </c>
      <c r="I36" s="2">
        <v>56.5</v>
      </c>
      <c r="J36" s="2">
        <v>41.7</v>
      </c>
      <c r="K36" s="2">
        <v>106.3</v>
      </c>
      <c r="L36" s="2">
        <v>21.2</v>
      </c>
      <c r="M36" s="2">
        <v>17.899999999999999</v>
      </c>
      <c r="N36" s="2">
        <f t="shared" si="2"/>
        <v>333</v>
      </c>
      <c r="O36" s="2">
        <f t="shared" si="1"/>
        <v>598.40000000000009</v>
      </c>
      <c r="P36" s="2">
        <f t="shared" si="3"/>
        <v>931.40000000000009</v>
      </c>
    </row>
    <row r="37" spans="1:31" hidden="1">
      <c r="A37" s="2">
        <v>1993</v>
      </c>
      <c r="B37" s="2">
        <v>34.5</v>
      </c>
      <c r="C37" s="2">
        <v>48.7</v>
      </c>
      <c r="D37" s="2">
        <v>27</v>
      </c>
      <c r="E37" s="2">
        <v>33.4</v>
      </c>
      <c r="F37" s="2">
        <v>164.9</v>
      </c>
      <c r="G37" s="2">
        <v>139.5</v>
      </c>
      <c r="H37" s="2">
        <v>261</v>
      </c>
      <c r="I37" s="2">
        <v>121</v>
      </c>
      <c r="J37" s="2">
        <v>95.5</v>
      </c>
      <c r="K37" s="2">
        <v>44.6</v>
      </c>
      <c r="L37" s="2">
        <v>32.799999999999997</v>
      </c>
      <c r="M37" s="2">
        <v>7.3</v>
      </c>
      <c r="N37" s="2">
        <f t="shared" si="2"/>
        <v>289</v>
      </c>
      <c r="O37" s="2">
        <f t="shared" si="1"/>
        <v>781.9</v>
      </c>
      <c r="P37" s="2">
        <f t="shared" si="3"/>
        <v>1070.9000000000001</v>
      </c>
    </row>
    <row r="38" spans="1:31" hidden="1">
      <c r="A38" s="2">
        <v>1994</v>
      </c>
      <c r="B38" s="2">
        <v>14.6</v>
      </c>
      <c r="C38" s="2">
        <v>9.6</v>
      </c>
      <c r="D38" s="2">
        <v>88.6</v>
      </c>
      <c r="E38" s="2">
        <v>57.2</v>
      </c>
      <c r="F38" s="2">
        <v>152.80000000000001</v>
      </c>
      <c r="G38" s="2">
        <v>145</v>
      </c>
      <c r="H38" s="2">
        <v>103.7</v>
      </c>
      <c r="I38" s="2">
        <v>48.3</v>
      </c>
      <c r="J38" s="2">
        <v>114.1</v>
      </c>
      <c r="K38" s="2">
        <v>156.30000000000001</v>
      </c>
      <c r="L38" s="2">
        <v>69.7</v>
      </c>
      <c r="M38" s="2">
        <v>25.4</v>
      </c>
      <c r="N38" s="2">
        <f t="shared" si="2"/>
        <v>254.7</v>
      </c>
      <c r="O38" s="2">
        <f t="shared" si="1"/>
        <v>563.9</v>
      </c>
      <c r="P38" s="2">
        <f t="shared" si="3"/>
        <v>818.59999999999991</v>
      </c>
    </row>
    <row r="39" spans="1:31" hidden="1">
      <c r="A39" s="2">
        <v>1995</v>
      </c>
      <c r="B39" s="2">
        <v>23.2</v>
      </c>
      <c r="C39" s="2">
        <v>53.4</v>
      </c>
      <c r="D39" s="2">
        <v>32.5</v>
      </c>
      <c r="E39" s="2">
        <v>62.5</v>
      </c>
      <c r="F39" s="2">
        <v>245.3</v>
      </c>
      <c r="G39" s="2">
        <v>279.10000000000002</v>
      </c>
      <c r="H39" s="2">
        <v>63</v>
      </c>
      <c r="I39" s="2">
        <v>55.5</v>
      </c>
      <c r="J39" s="2">
        <v>72.900000000000006</v>
      </c>
      <c r="K39" s="2">
        <v>64.7</v>
      </c>
      <c r="L39" s="2">
        <v>43.5</v>
      </c>
      <c r="M39" s="2">
        <v>3.1</v>
      </c>
      <c r="N39" s="2">
        <f t="shared" si="2"/>
        <v>423</v>
      </c>
      <c r="O39" s="2">
        <f t="shared" si="1"/>
        <v>715.80000000000007</v>
      </c>
      <c r="P39" s="2">
        <f t="shared" si="3"/>
        <v>1138.8000000000002</v>
      </c>
    </row>
    <row r="40" spans="1:31" hidden="1">
      <c r="A40" s="2">
        <v>1996</v>
      </c>
      <c r="B40" s="2">
        <v>20</v>
      </c>
      <c r="C40" s="2">
        <v>2.7</v>
      </c>
      <c r="D40" s="2">
        <v>37.9</v>
      </c>
      <c r="E40" s="2">
        <v>56.4</v>
      </c>
      <c r="F40" s="2">
        <v>202.1</v>
      </c>
      <c r="G40" s="2">
        <v>275.2</v>
      </c>
      <c r="H40" s="2">
        <v>324.39999999999998</v>
      </c>
      <c r="I40" s="2">
        <v>88.8</v>
      </c>
      <c r="J40" s="2">
        <v>18</v>
      </c>
      <c r="K40" s="2">
        <v>55.9</v>
      </c>
      <c r="L40" s="2">
        <v>51.4</v>
      </c>
      <c r="M40" s="2">
        <v>12.3</v>
      </c>
      <c r="N40" s="2">
        <f t="shared" si="2"/>
        <v>228.3</v>
      </c>
      <c r="O40" s="2">
        <f t="shared" si="1"/>
        <v>908.49999999999989</v>
      </c>
      <c r="P40" s="2">
        <f t="shared" si="3"/>
        <v>1136.8</v>
      </c>
    </row>
    <row r="41" spans="1:31" hidden="1">
      <c r="A41" s="2">
        <v>1997</v>
      </c>
      <c r="B41" s="2">
        <v>43.5</v>
      </c>
      <c r="C41" s="2">
        <v>30.8</v>
      </c>
      <c r="D41" s="2">
        <v>36.299999999999997</v>
      </c>
      <c r="E41" s="2">
        <v>125.3</v>
      </c>
      <c r="F41" s="2">
        <v>175.8</v>
      </c>
      <c r="G41" s="2">
        <v>152.1</v>
      </c>
      <c r="H41" s="2">
        <v>159.6</v>
      </c>
      <c r="I41" s="2">
        <v>35.9</v>
      </c>
      <c r="J41" s="2">
        <v>175.9</v>
      </c>
      <c r="K41" s="2">
        <v>127</v>
      </c>
      <c r="L41" s="2">
        <v>6.2</v>
      </c>
      <c r="M41" s="2">
        <v>19.600000000000001</v>
      </c>
      <c r="N41" s="2">
        <f t="shared" si="2"/>
        <v>355.5</v>
      </c>
      <c r="O41" s="2">
        <f t="shared" si="1"/>
        <v>699.3</v>
      </c>
      <c r="P41" s="2">
        <f t="shared" si="3"/>
        <v>1054.8</v>
      </c>
    </row>
    <row r="42" spans="1:31" hidden="1">
      <c r="A42" s="2">
        <v>1998</v>
      </c>
      <c r="B42" s="2">
        <v>11.1</v>
      </c>
      <c r="C42" s="2">
        <v>17</v>
      </c>
      <c r="D42" s="2">
        <v>27.9</v>
      </c>
      <c r="E42" s="2">
        <v>63.1</v>
      </c>
      <c r="F42" s="2">
        <v>119.3</v>
      </c>
      <c r="G42" s="2">
        <v>244.7</v>
      </c>
      <c r="H42" s="2">
        <v>166.2</v>
      </c>
      <c r="I42" s="2">
        <v>135</v>
      </c>
      <c r="J42" s="2">
        <v>29.1</v>
      </c>
      <c r="K42" s="2">
        <v>125.6</v>
      </c>
      <c r="L42" s="2">
        <v>21.9</v>
      </c>
      <c r="M42" s="2">
        <v>20.2</v>
      </c>
      <c r="N42" s="2">
        <f t="shared" si="2"/>
        <v>271.89999999999998</v>
      </c>
      <c r="O42" s="2">
        <f t="shared" si="1"/>
        <v>694.30000000000007</v>
      </c>
      <c r="P42" s="2">
        <f t="shared" si="3"/>
        <v>966.2</v>
      </c>
    </row>
    <row r="43" spans="1:31" hidden="1">
      <c r="A43" s="2">
        <v>1999</v>
      </c>
      <c r="B43" s="2">
        <v>28.5</v>
      </c>
      <c r="C43" s="2">
        <v>7.5</v>
      </c>
      <c r="D43" s="2">
        <v>16.899999999999999</v>
      </c>
      <c r="E43" s="2">
        <v>75.5</v>
      </c>
      <c r="F43" s="2">
        <v>139.69999999999999</v>
      </c>
      <c r="G43" s="2">
        <v>180.5</v>
      </c>
      <c r="H43" s="2">
        <v>292.8</v>
      </c>
      <c r="I43" s="2">
        <v>288</v>
      </c>
      <c r="J43" s="2">
        <v>131.80000000000001</v>
      </c>
      <c r="K43" s="2">
        <v>79.400000000000006</v>
      </c>
      <c r="L43" s="2">
        <v>15.4</v>
      </c>
      <c r="M43" s="2">
        <v>7.4</v>
      </c>
      <c r="N43" s="2">
        <f t="shared" si="2"/>
        <v>296.10000000000002</v>
      </c>
      <c r="O43" s="2">
        <f t="shared" si="1"/>
        <v>1032.8</v>
      </c>
      <c r="P43" s="2">
        <f t="shared" si="3"/>
        <v>1328.9</v>
      </c>
    </row>
    <row r="44" spans="1:31" hidden="1">
      <c r="A44" s="2">
        <v>2000</v>
      </c>
      <c r="B44" s="2">
        <v>35.4</v>
      </c>
      <c r="C44" s="2">
        <v>19.3</v>
      </c>
      <c r="D44" s="2">
        <v>50.3</v>
      </c>
      <c r="E44" s="2">
        <v>131.1</v>
      </c>
      <c r="F44" s="2">
        <v>120.1</v>
      </c>
      <c r="G44" s="2">
        <v>282.10000000000002</v>
      </c>
      <c r="H44" s="2">
        <v>150.5</v>
      </c>
      <c r="I44" s="2">
        <v>142.30000000000001</v>
      </c>
      <c r="J44" s="2">
        <v>85.3</v>
      </c>
      <c r="K44" s="2">
        <v>124.6</v>
      </c>
      <c r="L44" s="2">
        <v>25.7</v>
      </c>
      <c r="M44" s="2">
        <v>21.8</v>
      </c>
      <c r="N44" s="2">
        <f t="shared" si="2"/>
        <v>338.30000000000007</v>
      </c>
      <c r="O44" s="2">
        <f t="shared" si="1"/>
        <v>780.3</v>
      </c>
      <c r="P44" s="2">
        <f t="shared" si="3"/>
        <v>1118.5999999999999</v>
      </c>
    </row>
    <row r="45" spans="1:31" hidden="1">
      <c r="A45" s="2">
        <v>2001</v>
      </c>
      <c r="B45" s="2">
        <v>17.7</v>
      </c>
      <c r="C45" s="2">
        <v>16.899999999999999</v>
      </c>
      <c r="D45" s="2">
        <v>52.4</v>
      </c>
      <c r="E45" s="2">
        <v>88</v>
      </c>
      <c r="F45" s="2">
        <v>142.4</v>
      </c>
      <c r="G45" s="2">
        <v>130.5</v>
      </c>
      <c r="H45" s="2">
        <v>174.3</v>
      </c>
      <c r="I45" s="2">
        <v>47</v>
      </c>
      <c r="J45" s="2">
        <v>58.7</v>
      </c>
      <c r="K45" s="2">
        <v>140</v>
      </c>
      <c r="L45" s="2">
        <v>21.9</v>
      </c>
      <c r="M45" s="2">
        <v>11.7</v>
      </c>
      <c r="N45" s="2">
        <f t="shared" si="2"/>
        <v>347.09999999999997</v>
      </c>
      <c r="O45" s="2">
        <f t="shared" si="1"/>
        <v>552.9</v>
      </c>
      <c r="P45" s="2">
        <f t="shared" si="3"/>
        <v>900</v>
      </c>
    </row>
    <row r="46" spans="1:31" hidden="1">
      <c r="A46" s="2">
        <v>2002</v>
      </c>
      <c r="B46" s="2">
        <v>8.1999999999999993</v>
      </c>
      <c r="C46" s="2">
        <v>21.1</v>
      </c>
      <c r="D46" s="2">
        <v>48.7</v>
      </c>
      <c r="E46" s="2">
        <v>201</v>
      </c>
      <c r="F46" s="2">
        <v>190.9</v>
      </c>
      <c r="G46" s="2">
        <v>318.89999999999998</v>
      </c>
      <c r="H46" s="2">
        <v>134.4</v>
      </c>
      <c r="I46" s="2">
        <v>226.8</v>
      </c>
      <c r="J46" s="2">
        <v>43</v>
      </c>
      <c r="K46" s="2">
        <v>97.9</v>
      </c>
      <c r="L46" s="2">
        <v>12.7</v>
      </c>
      <c r="M46" s="2">
        <v>26.4</v>
      </c>
      <c r="N46" s="2">
        <f t="shared" si="2"/>
        <v>452.59999999999997</v>
      </c>
      <c r="O46" s="2">
        <f t="shared" si="1"/>
        <v>914</v>
      </c>
      <c r="P46" s="2">
        <f t="shared" si="3"/>
        <v>1366.6</v>
      </c>
    </row>
    <row r="47" spans="1:31" hidden="1">
      <c r="A47" s="2">
        <v>2003</v>
      </c>
      <c r="B47" s="2">
        <v>31</v>
      </c>
      <c r="C47" s="2">
        <v>5.0999999999999996</v>
      </c>
      <c r="D47" s="2">
        <v>25.8</v>
      </c>
      <c r="E47" s="2">
        <v>94.3</v>
      </c>
      <c r="F47" s="2">
        <v>139.6</v>
      </c>
      <c r="G47" s="2">
        <v>172</v>
      </c>
      <c r="H47" s="2">
        <v>161.30000000000001</v>
      </c>
      <c r="I47" s="2">
        <v>36.799999999999997</v>
      </c>
      <c r="J47" s="2">
        <v>42.6</v>
      </c>
      <c r="K47" s="2">
        <v>44.9</v>
      </c>
      <c r="L47" s="2">
        <v>20.9</v>
      </c>
      <c r="M47" s="2">
        <v>60.9</v>
      </c>
      <c r="N47" s="2">
        <f t="shared" si="2"/>
        <v>293.2</v>
      </c>
      <c r="O47" s="2">
        <f t="shared" si="1"/>
        <v>552.30000000000007</v>
      </c>
      <c r="P47" s="2">
        <f t="shared" si="3"/>
        <v>845.5</v>
      </c>
    </row>
    <row r="48" spans="1:31">
      <c r="A48" s="2">
        <v>2004</v>
      </c>
      <c r="B48" s="1">
        <v>26</v>
      </c>
      <c r="C48" s="1">
        <v>33.9</v>
      </c>
      <c r="D48" s="1">
        <v>29.9</v>
      </c>
      <c r="E48" s="1">
        <v>111.2</v>
      </c>
      <c r="F48" s="1">
        <v>242.7</v>
      </c>
      <c r="G48" s="1">
        <v>84.4</v>
      </c>
      <c r="H48" s="1">
        <v>250</v>
      </c>
      <c r="I48" s="1">
        <v>126.3</v>
      </c>
      <c r="J48" s="1">
        <v>38.4</v>
      </c>
      <c r="K48" s="13">
        <v>28.7</v>
      </c>
      <c r="L48" s="13">
        <v>41.6</v>
      </c>
      <c r="M48" s="13">
        <v>13.7</v>
      </c>
      <c r="N48" s="2">
        <f t="shared" si="2"/>
        <v>327.7</v>
      </c>
      <c r="O48" s="2">
        <f t="shared" si="1"/>
        <v>741.8</v>
      </c>
      <c r="P48" s="2">
        <f t="shared" si="3"/>
        <v>1069.5</v>
      </c>
      <c r="Q48" s="2" t="e">
        <f>(B48-#REF!)/#REF!*100</f>
        <v>#REF!</v>
      </c>
      <c r="R48" s="2" t="e">
        <f>(C48-#REF!)/#REF!*100</f>
        <v>#REF!</v>
      </c>
      <c r="S48" s="2" t="e">
        <f>(D48-#REF!)/#REF!*100</f>
        <v>#REF!</v>
      </c>
      <c r="T48" s="2" t="e">
        <f>(E48-#REF!)/#REF!*100</f>
        <v>#REF!</v>
      </c>
      <c r="U48" s="2" t="e">
        <f>(F48-#REF!)/#REF!*100</f>
        <v>#REF!</v>
      </c>
      <c r="V48" s="2" t="e">
        <f>(G48-#REF!)/#REF!*100</f>
        <v>#REF!</v>
      </c>
      <c r="W48" s="2" t="e">
        <f>(H48-#REF!)/#REF!*100</f>
        <v>#REF!</v>
      </c>
      <c r="X48" s="2" t="e">
        <f>(I48-#REF!)/#REF!*100</f>
        <v>#REF!</v>
      </c>
      <c r="Y48" s="2" t="e">
        <f>(J48-#REF!)/#REF!*100</f>
        <v>#REF!</v>
      </c>
      <c r="Z48" s="14" t="e">
        <f>(K48-#REF!)/#REF!*100</f>
        <v>#REF!</v>
      </c>
      <c r="AA48" s="14" t="e">
        <f>(L48-#REF!)/#REF!*100</f>
        <v>#REF!</v>
      </c>
      <c r="AB48" s="14" t="e">
        <f>(M48-#REF!)/#REF!*100</f>
        <v>#REF!</v>
      </c>
      <c r="AC48" s="2" t="e">
        <f>(N48-#REF!)/#REF!*100</f>
        <v>#REF!</v>
      </c>
      <c r="AD48" s="2" t="e">
        <f>(O48-#REF!)/#REF!*100</f>
        <v>#REF!</v>
      </c>
      <c r="AE48" s="2" t="e">
        <f>(P48-#REF!)/#REF!*100</f>
        <v>#REF!</v>
      </c>
    </row>
    <row r="49" spans="1:33" s="20" customFormat="1">
      <c r="A49" s="11">
        <v>2005</v>
      </c>
      <c r="B49" s="19">
        <v>27.8</v>
      </c>
      <c r="C49" s="19">
        <v>7.1</v>
      </c>
      <c r="D49" s="19">
        <v>37.1</v>
      </c>
      <c r="E49" s="19">
        <v>61.6</v>
      </c>
      <c r="F49" s="19">
        <v>223.1</v>
      </c>
      <c r="G49" s="19">
        <v>143.9</v>
      </c>
      <c r="H49" s="19">
        <v>92.6</v>
      </c>
      <c r="I49" s="19">
        <v>78.599999999999994</v>
      </c>
      <c r="J49" s="19">
        <v>45.4</v>
      </c>
      <c r="K49" s="19">
        <v>86.7</v>
      </c>
      <c r="L49" s="19">
        <v>29.5</v>
      </c>
      <c r="M49" s="19">
        <v>17</v>
      </c>
      <c r="N49" s="11">
        <f t="shared" si="2"/>
        <v>217.6</v>
      </c>
      <c r="O49" s="11">
        <f t="shared" si="1"/>
        <v>583.6</v>
      </c>
      <c r="P49" s="11">
        <f t="shared" si="3"/>
        <v>801.2</v>
      </c>
      <c r="Q49" s="11" t="e">
        <f>(B49-#REF!)/#REF!*100</f>
        <v>#REF!</v>
      </c>
      <c r="R49" s="11" t="e">
        <f>(C49-#REF!)/#REF!*100</f>
        <v>#REF!</v>
      </c>
      <c r="S49" s="11" t="e">
        <f>(D49-#REF!)/#REF!*100</f>
        <v>#REF!</v>
      </c>
      <c r="T49" s="11" t="e">
        <f>(E49-#REF!)/#REF!*100</f>
        <v>#REF!</v>
      </c>
      <c r="U49" s="11" t="e">
        <f>(F49-#REF!)/#REF!*100</f>
        <v>#REF!</v>
      </c>
      <c r="V49" s="11" t="e">
        <f>(G49-#REF!)/#REF!*100</f>
        <v>#REF!</v>
      </c>
      <c r="W49" s="11" t="e">
        <f>(H49-#REF!)/#REF!*100</f>
        <v>#REF!</v>
      </c>
      <c r="X49" s="11" t="e">
        <f>(I49-#REF!)/#REF!*100</f>
        <v>#REF!</v>
      </c>
      <c r="Y49" s="11" t="e">
        <f>(J49-#REF!)/#REF!*100</f>
        <v>#REF!</v>
      </c>
      <c r="Z49" s="11" t="e">
        <f>(K49-#REF!)/#REF!*100</f>
        <v>#REF!</v>
      </c>
      <c r="AA49" s="11" t="e">
        <f>(L49-#REF!)/#REF!*100</f>
        <v>#REF!</v>
      </c>
      <c r="AB49" s="11" t="e">
        <f>(M49-#REF!)/#REF!*100</f>
        <v>#REF!</v>
      </c>
      <c r="AC49" s="11" t="e">
        <f>(N49-#REF!)/#REF!*100</f>
        <v>#REF!</v>
      </c>
      <c r="AD49" s="11" t="e">
        <f>(O49-#REF!)/#REF!*100</f>
        <v>#REF!</v>
      </c>
      <c r="AE49" s="11" t="e">
        <f>(P49-#REF!)/#REF!*100</f>
        <v>#REF!</v>
      </c>
    </row>
    <row r="50" spans="1:33">
      <c r="A50" s="2">
        <v>2006</v>
      </c>
      <c r="N50" s="2">
        <f>SUM(B50:E50)</f>
        <v>0</v>
      </c>
      <c r="O50" s="2">
        <f>SUM(F50:J50)</f>
        <v>0</v>
      </c>
      <c r="P50" s="2">
        <f>SUM(K50:M50)</f>
        <v>0</v>
      </c>
      <c r="Q50" s="2">
        <f>SUM(B50:M50)</f>
        <v>0</v>
      </c>
      <c r="R50" s="2">
        <f t="shared" ref="R50:AG50" si="4">100*(B50-B4)/B4</f>
        <v>-100</v>
      </c>
      <c r="S50" s="2">
        <f t="shared" si="4"/>
        <v>-100</v>
      </c>
      <c r="T50" s="2">
        <f t="shared" si="4"/>
        <v>-100</v>
      </c>
      <c r="U50" s="2">
        <f t="shared" si="4"/>
        <v>-99.999999999999986</v>
      </c>
      <c r="V50" s="2">
        <f t="shared" si="4"/>
        <v>-100</v>
      </c>
      <c r="W50" s="2">
        <f t="shared" si="4"/>
        <v>-100</v>
      </c>
      <c r="X50" s="2">
        <f t="shared" si="4"/>
        <v>-100</v>
      </c>
      <c r="Y50" s="2">
        <f t="shared" si="4"/>
        <v>-100</v>
      </c>
      <c r="Z50" s="2">
        <f t="shared" si="4"/>
        <v>-99.999999999999986</v>
      </c>
      <c r="AA50" s="2">
        <f t="shared" si="4"/>
        <v>-99.999999999999986</v>
      </c>
      <c r="AB50" s="2">
        <f t="shared" si="4"/>
        <v>-99.999999999999986</v>
      </c>
      <c r="AC50" s="2">
        <f t="shared" si="4"/>
        <v>-100</v>
      </c>
      <c r="AD50" s="2">
        <f t="shared" si="4"/>
        <v>-100</v>
      </c>
      <c r="AE50" s="2">
        <f t="shared" si="4"/>
        <v>-100</v>
      </c>
      <c r="AF50">
        <f t="shared" si="4"/>
        <v>-100</v>
      </c>
      <c r="AG50" t="e">
        <f t="shared" si="4"/>
        <v>#REF!</v>
      </c>
    </row>
  </sheetData>
  <mergeCells count="6">
    <mergeCell ref="A1:A3"/>
    <mergeCell ref="B1:P1"/>
    <mergeCell ref="B2:M2"/>
    <mergeCell ref="Q1:AE1"/>
    <mergeCell ref="N2:P2"/>
    <mergeCell ref="Q2:AE2"/>
  </mergeCells>
  <phoneticPr fontId="2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I65"/>
  <sheetViews>
    <sheetView zoomScale="70" zoomScaleNormal="70" workbookViewId="0">
      <pane ySplit="3" topLeftCell="A19" activePane="bottomLeft" state="frozen"/>
      <selection pane="bottomLeft" activeCell="R60" sqref="R60"/>
    </sheetView>
  </sheetViews>
  <sheetFormatPr defaultRowHeight="14.25"/>
  <cols>
    <col min="1" max="1" width="8.25" style="2" bestFit="1" customWidth="1"/>
    <col min="2" max="5" width="7.125" style="2" customWidth="1"/>
    <col min="6" max="9" width="8.25" style="2" bestFit="1" customWidth="1"/>
    <col min="10" max="13" width="7.125" style="2" customWidth="1"/>
    <col min="14" max="14" width="8.125" style="2" bestFit="1" customWidth="1"/>
    <col min="15" max="15" width="8.25" style="2" bestFit="1" customWidth="1"/>
    <col min="16" max="16" width="9.875" style="2" bestFit="1" customWidth="1"/>
    <col min="17" max="17" width="9" style="2" bestFit="1" customWidth="1"/>
    <col min="18" max="31" width="7.125" style="2" customWidth="1"/>
    <col min="32" max="32" width="5.375" style="2" bestFit="1" customWidth="1"/>
    <col min="33" max="35" width="7.125" style="2" customWidth="1"/>
  </cols>
  <sheetData>
    <row r="1" spans="1:33" s="35" customFormat="1" ht="14.25" customHeight="1">
      <c r="A1" s="157" t="s">
        <v>0</v>
      </c>
      <c r="B1" s="157" t="s">
        <v>67</v>
      </c>
      <c r="C1" s="158"/>
      <c r="D1" s="158"/>
      <c r="E1" s="158"/>
      <c r="F1" s="158"/>
      <c r="G1" s="158"/>
      <c r="H1" s="158"/>
      <c r="I1" s="158"/>
      <c r="J1" s="158"/>
      <c r="K1" s="158"/>
      <c r="L1" s="158"/>
      <c r="M1" s="158"/>
      <c r="N1" s="158"/>
      <c r="O1" s="158"/>
      <c r="P1" s="158"/>
      <c r="Q1" s="158"/>
      <c r="R1" s="157" t="s">
        <v>92</v>
      </c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</row>
    <row r="2" spans="1:33" s="35" customFormat="1" ht="12.75">
      <c r="A2" s="158"/>
      <c r="B2" s="157" t="s">
        <v>93</v>
      </c>
      <c r="C2" s="158"/>
      <c r="D2" s="158"/>
      <c r="E2" s="158"/>
      <c r="F2" s="158"/>
      <c r="G2" s="158"/>
      <c r="H2" s="158"/>
      <c r="I2" s="158"/>
      <c r="J2" s="158"/>
      <c r="K2" s="158"/>
      <c r="L2" s="158"/>
      <c r="M2" s="158"/>
      <c r="N2" s="161" t="s">
        <v>94</v>
      </c>
      <c r="O2" s="162"/>
      <c r="P2" s="162"/>
      <c r="Q2" s="162"/>
      <c r="R2" s="157" t="s">
        <v>95</v>
      </c>
      <c r="S2" s="158"/>
      <c r="T2" s="158"/>
      <c r="U2" s="158"/>
      <c r="V2" s="158"/>
      <c r="W2" s="158"/>
      <c r="X2" s="158"/>
      <c r="Y2" s="158"/>
      <c r="Z2" s="158"/>
      <c r="AA2" s="158"/>
      <c r="AB2" s="158"/>
      <c r="AC2" s="158"/>
      <c r="AD2" s="158"/>
      <c r="AE2" s="158"/>
      <c r="AF2" s="158"/>
      <c r="AG2" s="158"/>
    </row>
    <row r="3" spans="1:33" s="35" customFormat="1">
      <c r="A3" s="158"/>
      <c r="B3" s="42" t="s">
        <v>96</v>
      </c>
      <c r="C3" s="42" t="s">
        <v>97</v>
      </c>
      <c r="D3" s="42" t="s">
        <v>69</v>
      </c>
      <c r="E3" s="42" t="s">
        <v>70</v>
      </c>
      <c r="F3" s="42" t="s">
        <v>71</v>
      </c>
      <c r="G3" s="42" t="s">
        <v>72</v>
      </c>
      <c r="H3" s="42" t="s">
        <v>73</v>
      </c>
      <c r="I3" s="42" t="s">
        <v>74</v>
      </c>
      <c r="J3" s="42" t="s">
        <v>75</v>
      </c>
      <c r="K3" s="42" t="s">
        <v>76</v>
      </c>
      <c r="L3" s="42" t="s">
        <v>77</v>
      </c>
      <c r="M3" s="42" t="s">
        <v>78</v>
      </c>
      <c r="N3" s="43" t="s">
        <v>98</v>
      </c>
      <c r="O3" s="43" t="s">
        <v>99</v>
      </c>
      <c r="P3" s="43" t="s">
        <v>100</v>
      </c>
      <c r="Q3" s="43" t="s">
        <v>101</v>
      </c>
      <c r="R3" s="44" t="s">
        <v>96</v>
      </c>
      <c r="S3" s="44" t="s">
        <v>97</v>
      </c>
      <c r="T3" s="44" t="s">
        <v>102</v>
      </c>
      <c r="U3" s="44" t="s">
        <v>103</v>
      </c>
      <c r="V3" s="42" t="s">
        <v>104</v>
      </c>
      <c r="W3" s="42" t="s">
        <v>105</v>
      </c>
      <c r="X3" s="42" t="s">
        <v>81</v>
      </c>
      <c r="Y3" s="42" t="s">
        <v>82</v>
      </c>
      <c r="Z3" s="42" t="s">
        <v>83</v>
      </c>
      <c r="AA3" s="42" t="s">
        <v>106</v>
      </c>
      <c r="AB3" s="42" t="s">
        <v>107</v>
      </c>
      <c r="AC3" s="42" t="s">
        <v>108</v>
      </c>
      <c r="AD3" s="43" t="s">
        <v>109</v>
      </c>
      <c r="AE3" s="43" t="s">
        <v>110</v>
      </c>
      <c r="AF3" s="43" t="s">
        <v>111</v>
      </c>
      <c r="AG3" s="43" t="s">
        <v>112</v>
      </c>
    </row>
    <row r="4" spans="1:33" s="35" customFormat="1" ht="12.75">
      <c r="A4" s="143" t="s">
        <v>261</v>
      </c>
      <c r="B4" s="143">
        <f t="shared" ref="B4:Q4" si="0">AVERAGE(B5:B59)</f>
        <v>12.49272727272727</v>
      </c>
      <c r="C4" s="143">
        <f t="shared" si="0"/>
        <v>11.292727272727273</v>
      </c>
      <c r="D4" s="143">
        <f t="shared" si="0"/>
        <v>24.210909090909094</v>
      </c>
      <c r="E4" s="143">
        <f t="shared" si="0"/>
        <v>75.912727272727281</v>
      </c>
      <c r="F4" s="143">
        <f t="shared" si="0"/>
        <v>155.33636363636364</v>
      </c>
      <c r="G4" s="143">
        <f t="shared" si="0"/>
        <v>212.36727272727273</v>
      </c>
      <c r="H4" s="143">
        <f t="shared" si="0"/>
        <v>176.1109090909091</v>
      </c>
      <c r="I4" s="143">
        <f t="shared" si="0"/>
        <v>136.86909090909089</v>
      </c>
      <c r="J4" s="143">
        <f t="shared" si="0"/>
        <v>97.201818181818169</v>
      </c>
      <c r="K4" s="143">
        <f t="shared" si="0"/>
        <v>77.572727272727278</v>
      </c>
      <c r="L4" s="143">
        <f t="shared" si="0"/>
        <v>31.947272727272733</v>
      </c>
      <c r="M4" s="143">
        <f t="shared" si="0"/>
        <v>13.994545454545454</v>
      </c>
      <c r="N4" s="142">
        <f t="shared" si="0"/>
        <v>123.90909090909092</v>
      </c>
      <c r="O4" s="142">
        <f t="shared" si="0"/>
        <v>777.88545454545465</v>
      </c>
      <c r="P4" s="142">
        <f t="shared" si="0"/>
        <v>123.51454545454544</v>
      </c>
      <c r="Q4" s="142">
        <f t="shared" si="0"/>
        <v>1025.3090909090911</v>
      </c>
      <c r="R4" s="146"/>
      <c r="S4" s="146"/>
      <c r="T4" s="146"/>
      <c r="U4" s="146"/>
      <c r="V4" s="143"/>
      <c r="W4" s="143"/>
      <c r="X4" s="143"/>
      <c r="Y4" s="143"/>
      <c r="Z4" s="143"/>
      <c r="AA4" s="143"/>
      <c r="AB4" s="143"/>
      <c r="AC4" s="143"/>
      <c r="AD4" s="142"/>
      <c r="AE4" s="142"/>
      <c r="AF4" s="142"/>
      <c r="AG4" s="142"/>
    </row>
    <row r="5" spans="1:33">
      <c r="A5" s="53">
        <v>1961</v>
      </c>
      <c r="B5" s="53">
        <v>3.2</v>
      </c>
      <c r="C5" s="53">
        <v>10.1</v>
      </c>
      <c r="D5" s="53">
        <v>37.6</v>
      </c>
      <c r="E5" s="53">
        <v>75.400000000000006</v>
      </c>
      <c r="F5" s="53">
        <v>123.7</v>
      </c>
      <c r="G5" s="53">
        <v>48.1</v>
      </c>
      <c r="H5" s="53">
        <v>239.9</v>
      </c>
      <c r="I5" s="53">
        <v>251.6</v>
      </c>
      <c r="J5" s="53">
        <v>114.8</v>
      </c>
      <c r="K5" s="53">
        <v>137.4</v>
      </c>
      <c r="L5" s="53">
        <v>57.2</v>
      </c>
      <c r="M5" s="53">
        <v>44.2</v>
      </c>
      <c r="N5" s="53">
        <f>SUM(B5:E5)</f>
        <v>126.30000000000001</v>
      </c>
      <c r="O5" s="53">
        <f>SUM(F5:J5)</f>
        <v>778.1</v>
      </c>
      <c r="P5" s="53">
        <f>SUM(K5:M5)</f>
        <v>238.8</v>
      </c>
      <c r="Q5" s="53">
        <f>SUM(B5:M5)</f>
        <v>1143.2</v>
      </c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</row>
    <row r="6" spans="1:33">
      <c r="A6" s="53">
        <v>1962</v>
      </c>
      <c r="B6" s="53">
        <v>16.3</v>
      </c>
      <c r="C6" s="53">
        <v>8.4</v>
      </c>
      <c r="D6" s="53">
        <v>6.2</v>
      </c>
      <c r="E6" s="53">
        <v>53.6</v>
      </c>
      <c r="F6" s="53">
        <v>94.9</v>
      </c>
      <c r="G6" s="53">
        <v>217.8</v>
      </c>
      <c r="H6" s="53">
        <v>93.1</v>
      </c>
      <c r="I6" s="53">
        <v>142.69999999999999</v>
      </c>
      <c r="J6" s="53">
        <v>93</v>
      </c>
      <c r="K6" s="53">
        <v>56.1</v>
      </c>
      <c r="L6" s="53">
        <v>10.6</v>
      </c>
      <c r="M6" s="53">
        <v>4</v>
      </c>
      <c r="N6" s="53">
        <f t="shared" ref="N6:N56" si="1">SUM(B6:E6)</f>
        <v>84.5</v>
      </c>
      <c r="O6" s="53">
        <f t="shared" ref="O6:O56" si="2">SUM(F6:J6)</f>
        <v>641.5</v>
      </c>
      <c r="P6" s="53">
        <f t="shared" ref="P6:P56" si="3">SUM(K6:M6)</f>
        <v>70.7</v>
      </c>
      <c r="Q6" s="53">
        <f t="shared" ref="Q6:Q56" si="4">SUM(B6:M6)</f>
        <v>796.7</v>
      </c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</row>
    <row r="7" spans="1:33">
      <c r="A7" s="53">
        <v>1963</v>
      </c>
      <c r="B7" s="53">
        <v>7.6</v>
      </c>
      <c r="C7" s="53">
        <v>4.7</v>
      </c>
      <c r="D7" s="53">
        <v>31.1</v>
      </c>
      <c r="E7" s="53">
        <v>56.4</v>
      </c>
      <c r="F7" s="53">
        <v>322.89999999999998</v>
      </c>
      <c r="G7" s="53">
        <v>164.9</v>
      </c>
      <c r="H7" s="53">
        <v>271.3</v>
      </c>
      <c r="I7" s="53">
        <v>203.6</v>
      </c>
      <c r="J7" s="53">
        <v>49</v>
      </c>
      <c r="K7" s="53">
        <v>67.5</v>
      </c>
      <c r="L7" s="53">
        <v>119.9</v>
      </c>
      <c r="M7" s="53">
        <v>18.899999999999999</v>
      </c>
      <c r="N7" s="53">
        <f t="shared" si="1"/>
        <v>99.800000000000011</v>
      </c>
      <c r="O7" s="53">
        <f t="shared" si="2"/>
        <v>1011.6999999999999</v>
      </c>
      <c r="P7" s="53">
        <f t="shared" si="3"/>
        <v>206.3</v>
      </c>
      <c r="Q7" s="53">
        <f t="shared" si="4"/>
        <v>1317.8000000000002</v>
      </c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</row>
    <row r="8" spans="1:33">
      <c r="A8" s="53">
        <v>1964</v>
      </c>
      <c r="B8" s="53">
        <v>5.0999999999999996</v>
      </c>
      <c r="C8" s="53">
        <v>10.7</v>
      </c>
      <c r="D8" s="53">
        <v>13.9</v>
      </c>
      <c r="E8" s="53">
        <v>212.1</v>
      </c>
      <c r="F8" s="53">
        <v>95.9</v>
      </c>
      <c r="G8" s="53">
        <v>410.1</v>
      </c>
      <c r="H8" s="53">
        <v>133.69999999999999</v>
      </c>
      <c r="I8" s="53">
        <v>206.5</v>
      </c>
      <c r="J8" s="53">
        <v>114.5</v>
      </c>
      <c r="K8" s="53">
        <v>63.6</v>
      </c>
      <c r="L8" s="53">
        <v>33.299999999999997</v>
      </c>
      <c r="M8" s="53">
        <v>26.1</v>
      </c>
      <c r="N8" s="53">
        <f t="shared" si="1"/>
        <v>241.79999999999998</v>
      </c>
      <c r="O8" s="53">
        <f t="shared" si="2"/>
        <v>960.7</v>
      </c>
      <c r="P8" s="53">
        <f t="shared" si="3"/>
        <v>123</v>
      </c>
      <c r="Q8" s="53">
        <f t="shared" si="4"/>
        <v>1325.4999999999998</v>
      </c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53"/>
      <c r="AG8" s="53"/>
    </row>
    <row r="9" spans="1:33">
      <c r="A9" s="53">
        <v>1965</v>
      </c>
      <c r="B9" s="53">
        <v>12.7</v>
      </c>
      <c r="C9" s="53">
        <v>5.6</v>
      </c>
      <c r="D9" s="53">
        <v>40.9</v>
      </c>
      <c r="E9" s="53">
        <v>96.8</v>
      </c>
      <c r="F9" s="53">
        <v>306</v>
      </c>
      <c r="G9" s="53">
        <v>184.4</v>
      </c>
      <c r="H9" s="53">
        <v>205.8</v>
      </c>
      <c r="I9" s="53">
        <v>140.1</v>
      </c>
      <c r="J9" s="53">
        <v>43.8</v>
      </c>
      <c r="K9" s="53">
        <v>131.6</v>
      </c>
      <c r="L9" s="53">
        <v>28.7</v>
      </c>
      <c r="M9" s="53">
        <v>10</v>
      </c>
      <c r="N9" s="53">
        <f t="shared" si="1"/>
        <v>156</v>
      </c>
      <c r="O9" s="53">
        <f t="shared" si="2"/>
        <v>880.1</v>
      </c>
      <c r="P9" s="53">
        <f t="shared" si="3"/>
        <v>170.29999999999998</v>
      </c>
      <c r="Q9" s="53">
        <f t="shared" si="4"/>
        <v>1206.4000000000001</v>
      </c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</row>
    <row r="10" spans="1:33">
      <c r="A10" s="53">
        <v>1966</v>
      </c>
      <c r="B10" s="53">
        <v>3.2</v>
      </c>
      <c r="C10" s="53">
        <v>14.6</v>
      </c>
      <c r="D10" s="53">
        <v>1.4</v>
      </c>
      <c r="E10" s="53">
        <v>67.099999999999994</v>
      </c>
      <c r="F10" s="53">
        <v>159.30000000000001</v>
      </c>
      <c r="G10" s="53">
        <v>138</v>
      </c>
      <c r="H10" s="53">
        <v>75.599999999999994</v>
      </c>
      <c r="I10" s="53">
        <v>139.5</v>
      </c>
      <c r="J10" s="53">
        <v>49</v>
      </c>
      <c r="K10" s="53">
        <v>66</v>
      </c>
      <c r="L10" s="53">
        <v>4.5999999999999996</v>
      </c>
      <c r="M10" s="53">
        <v>2.2999999999999998</v>
      </c>
      <c r="N10" s="53">
        <f t="shared" si="1"/>
        <v>86.3</v>
      </c>
      <c r="O10" s="53">
        <f t="shared" si="2"/>
        <v>561.4</v>
      </c>
      <c r="P10" s="53">
        <f t="shared" si="3"/>
        <v>72.899999999999991</v>
      </c>
      <c r="Q10" s="53">
        <f t="shared" si="4"/>
        <v>720.6</v>
      </c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</row>
    <row r="11" spans="1:33">
      <c r="A11" s="53">
        <v>1967</v>
      </c>
      <c r="B11" s="53">
        <v>2.2000000000000002</v>
      </c>
      <c r="C11" s="53">
        <v>22</v>
      </c>
      <c r="D11" s="53">
        <v>22.9</v>
      </c>
      <c r="E11" s="53">
        <v>77.099999999999994</v>
      </c>
      <c r="F11" s="53">
        <v>158.69999999999999</v>
      </c>
      <c r="G11" s="53">
        <v>206.5</v>
      </c>
      <c r="H11" s="53">
        <v>201.2</v>
      </c>
      <c r="I11" s="53">
        <v>193.7</v>
      </c>
      <c r="J11" s="53">
        <v>154.6</v>
      </c>
      <c r="K11" s="53">
        <v>54.9</v>
      </c>
      <c r="L11" s="53">
        <v>73.099999999999994</v>
      </c>
      <c r="M11" s="53">
        <v>17</v>
      </c>
      <c r="N11" s="53">
        <f t="shared" si="1"/>
        <v>124.19999999999999</v>
      </c>
      <c r="O11" s="53">
        <f t="shared" si="2"/>
        <v>914.69999999999993</v>
      </c>
      <c r="P11" s="53">
        <f t="shared" si="3"/>
        <v>145</v>
      </c>
      <c r="Q11" s="53">
        <f t="shared" si="4"/>
        <v>1183.8999999999999</v>
      </c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</row>
    <row r="12" spans="1:33">
      <c r="A12" s="53">
        <v>1968</v>
      </c>
      <c r="B12" s="53">
        <v>14</v>
      </c>
      <c r="C12" s="53">
        <v>10.8</v>
      </c>
      <c r="D12" s="53">
        <v>5.4</v>
      </c>
      <c r="E12" s="53">
        <v>72.599999999999994</v>
      </c>
      <c r="F12" s="53">
        <v>131</v>
      </c>
      <c r="G12" s="53">
        <v>233.4</v>
      </c>
      <c r="H12" s="53">
        <v>161.80000000000001</v>
      </c>
      <c r="I12" s="53">
        <v>124.4</v>
      </c>
      <c r="J12" s="53">
        <v>30.6</v>
      </c>
      <c r="K12" s="53">
        <v>90.3</v>
      </c>
      <c r="L12" s="53">
        <v>23.8</v>
      </c>
      <c r="M12" s="53">
        <v>5.4</v>
      </c>
      <c r="N12" s="53">
        <f t="shared" si="1"/>
        <v>102.8</v>
      </c>
      <c r="O12" s="53">
        <f t="shared" si="2"/>
        <v>681.2</v>
      </c>
      <c r="P12" s="53">
        <f t="shared" si="3"/>
        <v>119.5</v>
      </c>
      <c r="Q12" s="53">
        <f t="shared" si="4"/>
        <v>903.49999999999989</v>
      </c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53"/>
      <c r="AG12" s="53"/>
    </row>
    <row r="13" spans="1:33">
      <c r="A13" s="53">
        <v>1969</v>
      </c>
      <c r="B13" s="53">
        <v>7.9</v>
      </c>
      <c r="C13" s="53">
        <v>1.1000000000000001</v>
      </c>
      <c r="D13" s="53">
        <v>25.7</v>
      </c>
      <c r="E13" s="53">
        <v>56.5</v>
      </c>
      <c r="F13" s="53">
        <v>108.6</v>
      </c>
      <c r="G13" s="53">
        <v>382.9</v>
      </c>
      <c r="H13" s="53">
        <v>261.5</v>
      </c>
      <c r="I13" s="53">
        <v>130.5</v>
      </c>
      <c r="J13" s="53">
        <v>18.2</v>
      </c>
      <c r="K13" s="53">
        <v>104.5</v>
      </c>
      <c r="L13" s="53">
        <v>36.5</v>
      </c>
      <c r="M13" s="53">
        <v>4.5</v>
      </c>
      <c r="N13" s="53">
        <f t="shared" si="1"/>
        <v>91.2</v>
      </c>
      <c r="O13" s="53">
        <f t="shared" si="2"/>
        <v>901.7</v>
      </c>
      <c r="P13" s="53">
        <f t="shared" si="3"/>
        <v>145.5</v>
      </c>
      <c r="Q13" s="53">
        <f t="shared" si="4"/>
        <v>1138.4000000000001</v>
      </c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</row>
    <row r="14" spans="1:33">
      <c r="A14" s="53">
        <v>1970</v>
      </c>
      <c r="B14" s="53">
        <v>15</v>
      </c>
      <c r="C14" s="53">
        <v>6.7</v>
      </c>
      <c r="D14" s="53">
        <v>35.200000000000003</v>
      </c>
      <c r="E14" s="53">
        <v>98.4</v>
      </c>
      <c r="F14" s="53">
        <v>88.2</v>
      </c>
      <c r="G14" s="53">
        <v>85</v>
      </c>
      <c r="H14" s="53">
        <v>300</v>
      </c>
      <c r="I14" s="53">
        <v>51.4</v>
      </c>
      <c r="J14" s="53">
        <v>225</v>
      </c>
      <c r="K14" s="53">
        <v>58.8</v>
      </c>
      <c r="L14" s="53">
        <v>38.4</v>
      </c>
      <c r="M14" s="53">
        <v>43.1</v>
      </c>
      <c r="N14" s="53">
        <f t="shared" si="1"/>
        <v>155.30000000000001</v>
      </c>
      <c r="O14" s="53">
        <f t="shared" si="2"/>
        <v>749.6</v>
      </c>
      <c r="P14" s="53">
        <f t="shared" si="3"/>
        <v>140.29999999999998</v>
      </c>
      <c r="Q14" s="53">
        <f t="shared" si="4"/>
        <v>1045.1999999999998</v>
      </c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</row>
    <row r="15" spans="1:33">
      <c r="A15" s="53">
        <v>1971</v>
      </c>
      <c r="B15" s="53">
        <v>4.7</v>
      </c>
      <c r="C15" s="53">
        <v>15.2</v>
      </c>
      <c r="D15" s="53">
        <v>20.9</v>
      </c>
      <c r="E15" s="53">
        <v>114</v>
      </c>
      <c r="F15" s="53">
        <v>207.4</v>
      </c>
      <c r="G15" s="53">
        <v>336.4</v>
      </c>
      <c r="H15" s="53">
        <v>104.5</v>
      </c>
      <c r="I15" s="53">
        <v>92.1</v>
      </c>
      <c r="J15" s="53">
        <v>232.1</v>
      </c>
      <c r="K15" s="53">
        <v>90.2</v>
      </c>
      <c r="L15" s="53">
        <v>25.5</v>
      </c>
      <c r="M15" s="53">
        <v>38.299999999999997</v>
      </c>
      <c r="N15" s="53">
        <f t="shared" si="1"/>
        <v>154.80000000000001</v>
      </c>
      <c r="O15" s="53">
        <f t="shared" si="2"/>
        <v>972.5</v>
      </c>
      <c r="P15" s="53">
        <f t="shared" si="3"/>
        <v>154</v>
      </c>
      <c r="Q15" s="53">
        <f t="shared" si="4"/>
        <v>1281.3</v>
      </c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53"/>
      <c r="AG15" s="53"/>
    </row>
    <row r="16" spans="1:33">
      <c r="A16" s="53">
        <v>1972</v>
      </c>
      <c r="B16" s="53">
        <v>8</v>
      </c>
      <c r="C16" s="53">
        <v>6</v>
      </c>
      <c r="D16" s="53">
        <v>9.4</v>
      </c>
      <c r="E16" s="53">
        <v>80.099999999999994</v>
      </c>
      <c r="F16" s="53">
        <v>167.9</v>
      </c>
      <c r="G16" s="53">
        <v>187.1</v>
      </c>
      <c r="H16" s="53">
        <v>45.3</v>
      </c>
      <c r="I16" s="53">
        <v>49</v>
      </c>
      <c r="J16" s="53">
        <v>192.9</v>
      </c>
      <c r="K16" s="53">
        <v>39.9</v>
      </c>
      <c r="L16" s="53">
        <v>37.6</v>
      </c>
      <c r="M16" s="53">
        <v>12</v>
      </c>
      <c r="N16" s="53">
        <f t="shared" si="1"/>
        <v>103.5</v>
      </c>
      <c r="O16" s="53">
        <f t="shared" si="2"/>
        <v>642.20000000000005</v>
      </c>
      <c r="P16" s="53">
        <f t="shared" si="3"/>
        <v>89.5</v>
      </c>
      <c r="Q16" s="53">
        <f t="shared" si="4"/>
        <v>835.19999999999993</v>
      </c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</row>
    <row r="17" spans="1:33">
      <c r="A17" s="53">
        <v>1973</v>
      </c>
      <c r="B17" s="53">
        <v>8.4</v>
      </c>
      <c r="C17" s="53">
        <v>7.1</v>
      </c>
      <c r="D17" s="53">
        <v>31.1</v>
      </c>
      <c r="E17" s="53">
        <v>50.2</v>
      </c>
      <c r="F17" s="53">
        <v>156.1</v>
      </c>
      <c r="G17" s="53">
        <v>316.8</v>
      </c>
      <c r="H17" s="53">
        <v>176.4</v>
      </c>
      <c r="I17" s="53">
        <v>98.9</v>
      </c>
      <c r="J17" s="53">
        <v>71.7</v>
      </c>
      <c r="K17" s="53">
        <v>24.1</v>
      </c>
      <c r="L17" s="53">
        <v>39.200000000000003</v>
      </c>
      <c r="M17" s="53">
        <v>5</v>
      </c>
      <c r="N17" s="53">
        <f t="shared" si="1"/>
        <v>96.800000000000011</v>
      </c>
      <c r="O17" s="53">
        <f t="shared" si="2"/>
        <v>819.9</v>
      </c>
      <c r="P17" s="53">
        <f t="shared" si="3"/>
        <v>68.300000000000011</v>
      </c>
      <c r="Q17" s="53">
        <f t="shared" si="4"/>
        <v>985.00000000000011</v>
      </c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53"/>
      <c r="AG17" s="53"/>
    </row>
    <row r="18" spans="1:33">
      <c r="A18" s="53">
        <v>1974</v>
      </c>
      <c r="B18" s="53">
        <v>4.3</v>
      </c>
      <c r="C18" s="53">
        <v>0.2</v>
      </c>
      <c r="D18" s="53">
        <v>50.8</v>
      </c>
      <c r="E18" s="53">
        <v>168.6</v>
      </c>
      <c r="F18" s="53">
        <v>180</v>
      </c>
      <c r="G18" s="53">
        <v>180.5</v>
      </c>
      <c r="H18" s="53">
        <v>93.2</v>
      </c>
      <c r="I18" s="53">
        <v>252.7</v>
      </c>
      <c r="J18" s="53">
        <v>129.19999999999999</v>
      </c>
      <c r="K18" s="53">
        <v>49.7</v>
      </c>
      <c r="L18" s="54">
        <v>9.5</v>
      </c>
      <c r="M18" s="54">
        <v>9.5</v>
      </c>
      <c r="N18" s="53">
        <f t="shared" si="1"/>
        <v>223.89999999999998</v>
      </c>
      <c r="O18" s="53">
        <f t="shared" si="2"/>
        <v>835.59999999999991</v>
      </c>
      <c r="P18" s="53">
        <f t="shared" si="3"/>
        <v>68.7</v>
      </c>
      <c r="Q18" s="53">
        <f t="shared" si="4"/>
        <v>1128.2</v>
      </c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3"/>
      <c r="AG18" s="53"/>
    </row>
    <row r="19" spans="1:33">
      <c r="A19" s="53">
        <v>1975</v>
      </c>
      <c r="B19" s="53">
        <v>21.1</v>
      </c>
      <c r="C19" s="53">
        <v>8.6999999999999993</v>
      </c>
      <c r="D19" s="53">
        <v>21</v>
      </c>
      <c r="E19" s="53">
        <v>141.5</v>
      </c>
      <c r="F19" s="53">
        <v>134.9</v>
      </c>
      <c r="G19" s="53">
        <v>99.8</v>
      </c>
      <c r="H19" s="53">
        <v>62</v>
      </c>
      <c r="I19" s="53">
        <v>200.7</v>
      </c>
      <c r="J19" s="53">
        <v>104</v>
      </c>
      <c r="K19" s="53">
        <v>70.900000000000006</v>
      </c>
      <c r="L19" s="54">
        <v>64.599999999999994</v>
      </c>
      <c r="M19" s="54">
        <v>6.9</v>
      </c>
      <c r="N19" s="53">
        <f t="shared" si="1"/>
        <v>192.3</v>
      </c>
      <c r="O19" s="53">
        <f t="shared" si="2"/>
        <v>601.4</v>
      </c>
      <c r="P19" s="53">
        <f t="shared" si="3"/>
        <v>142.4</v>
      </c>
      <c r="Q19" s="53">
        <f t="shared" si="4"/>
        <v>936.1</v>
      </c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  <c r="AF19" s="53"/>
      <c r="AG19" s="53"/>
    </row>
    <row r="20" spans="1:33">
      <c r="A20" s="53">
        <v>1976</v>
      </c>
      <c r="B20" s="53">
        <v>22.6</v>
      </c>
      <c r="C20" s="53">
        <v>4.9000000000000004</v>
      </c>
      <c r="D20" s="53">
        <v>19.7</v>
      </c>
      <c r="E20" s="53">
        <v>139.9</v>
      </c>
      <c r="F20" s="53">
        <v>199.4</v>
      </c>
      <c r="G20" s="53">
        <v>302.8</v>
      </c>
      <c r="H20" s="53">
        <v>261.10000000000002</v>
      </c>
      <c r="I20" s="53">
        <v>79.900000000000006</v>
      </c>
      <c r="J20" s="53">
        <v>80.400000000000006</v>
      </c>
      <c r="K20" s="53">
        <v>125.5</v>
      </c>
      <c r="L20" s="54">
        <v>28.1</v>
      </c>
      <c r="M20" s="54">
        <v>17</v>
      </c>
      <c r="N20" s="53">
        <f t="shared" si="1"/>
        <v>187.10000000000002</v>
      </c>
      <c r="O20" s="53">
        <f t="shared" si="2"/>
        <v>923.6</v>
      </c>
      <c r="P20" s="53">
        <f t="shared" si="3"/>
        <v>170.6</v>
      </c>
      <c r="Q20" s="53">
        <f t="shared" si="4"/>
        <v>1281.3</v>
      </c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</row>
    <row r="21" spans="1:33">
      <c r="A21" s="53">
        <v>1977</v>
      </c>
      <c r="B21" s="53">
        <v>6.1</v>
      </c>
      <c r="C21" s="53">
        <v>20.399999999999999</v>
      </c>
      <c r="D21" s="53">
        <v>24.5</v>
      </c>
      <c r="E21" s="53">
        <v>127.3</v>
      </c>
      <c r="F21" s="53">
        <v>163</v>
      </c>
      <c r="G21" s="53">
        <v>332.8</v>
      </c>
      <c r="H21" s="53">
        <v>174</v>
      </c>
      <c r="I21" s="53">
        <v>100.7</v>
      </c>
      <c r="J21" s="53">
        <v>72.8</v>
      </c>
      <c r="K21" s="53">
        <v>141.69999999999999</v>
      </c>
      <c r="L21" s="54">
        <v>47</v>
      </c>
      <c r="M21" s="54">
        <v>0.1</v>
      </c>
      <c r="N21" s="53">
        <f t="shared" si="1"/>
        <v>178.3</v>
      </c>
      <c r="O21" s="53">
        <f t="shared" si="2"/>
        <v>843.3</v>
      </c>
      <c r="P21" s="53">
        <f t="shared" si="3"/>
        <v>188.79999999999998</v>
      </c>
      <c r="Q21" s="53">
        <f t="shared" si="4"/>
        <v>1210.3999999999999</v>
      </c>
      <c r="R21" s="53"/>
      <c r="S21" s="53"/>
      <c r="T21" s="53"/>
      <c r="U21" s="53"/>
      <c r="V21" s="53"/>
      <c r="W21" s="53"/>
      <c r="X21" s="53"/>
      <c r="Y21" s="53"/>
      <c r="Z21" s="53"/>
      <c r="AA21" s="53"/>
      <c r="AB21" s="53"/>
      <c r="AC21" s="53"/>
      <c r="AD21" s="53"/>
      <c r="AE21" s="53"/>
      <c r="AF21" s="53"/>
      <c r="AG21" s="53"/>
    </row>
    <row r="22" spans="1:33">
      <c r="A22" s="53">
        <v>1978</v>
      </c>
      <c r="B22" s="53">
        <v>3.5</v>
      </c>
      <c r="C22" s="53">
        <v>1</v>
      </c>
      <c r="D22" s="53">
        <v>10.4</v>
      </c>
      <c r="E22" s="53">
        <v>15.1</v>
      </c>
      <c r="F22" s="53">
        <v>201.5</v>
      </c>
      <c r="G22" s="53">
        <v>364.6</v>
      </c>
      <c r="H22" s="53">
        <v>164.9</v>
      </c>
      <c r="I22" s="53">
        <v>170.4</v>
      </c>
      <c r="J22" s="53">
        <v>84.3</v>
      </c>
      <c r="K22" s="53">
        <v>110.4</v>
      </c>
      <c r="L22" s="54">
        <v>65.2</v>
      </c>
      <c r="M22" s="54">
        <v>2.2999999999999998</v>
      </c>
      <c r="N22" s="53">
        <f t="shared" si="1"/>
        <v>30</v>
      </c>
      <c r="O22" s="53">
        <f t="shared" si="2"/>
        <v>985.69999999999993</v>
      </c>
      <c r="P22" s="53">
        <f t="shared" si="3"/>
        <v>177.90000000000003</v>
      </c>
      <c r="Q22" s="53">
        <f t="shared" si="4"/>
        <v>1193.5999999999999</v>
      </c>
      <c r="R22" s="53"/>
      <c r="S22" s="53"/>
      <c r="T22" s="53"/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3"/>
    </row>
    <row r="23" spans="1:33">
      <c r="A23" s="53">
        <v>1979</v>
      </c>
      <c r="B23" s="53">
        <v>1.7</v>
      </c>
      <c r="C23" s="53">
        <v>7.5</v>
      </c>
      <c r="D23" s="53">
        <v>22.8</v>
      </c>
      <c r="E23" s="53">
        <v>42.9</v>
      </c>
      <c r="F23" s="53">
        <v>139.9</v>
      </c>
      <c r="G23" s="53">
        <v>150.4</v>
      </c>
      <c r="H23" s="53">
        <v>274.5</v>
      </c>
      <c r="I23" s="53">
        <v>227.7</v>
      </c>
      <c r="J23" s="53">
        <v>180</v>
      </c>
      <c r="K23" s="53">
        <v>61.4</v>
      </c>
      <c r="L23" s="54">
        <v>4.9000000000000004</v>
      </c>
      <c r="M23" s="54">
        <v>34.200000000000003</v>
      </c>
      <c r="N23" s="53">
        <f t="shared" si="1"/>
        <v>74.900000000000006</v>
      </c>
      <c r="O23" s="53">
        <f t="shared" si="2"/>
        <v>972.5</v>
      </c>
      <c r="P23" s="53">
        <f t="shared" si="3"/>
        <v>100.5</v>
      </c>
      <c r="Q23" s="53">
        <f t="shared" si="4"/>
        <v>1147.9000000000003</v>
      </c>
      <c r="R23" s="53"/>
      <c r="S23" s="53"/>
      <c r="T23" s="53"/>
      <c r="U23" s="53"/>
      <c r="V23" s="53"/>
      <c r="W23" s="53"/>
      <c r="X23" s="53"/>
      <c r="Y23" s="53"/>
      <c r="Z23" s="53"/>
      <c r="AA23" s="53"/>
      <c r="AB23" s="53"/>
      <c r="AC23" s="53"/>
      <c r="AD23" s="53"/>
      <c r="AE23" s="53"/>
      <c r="AF23" s="53"/>
      <c r="AG23" s="53"/>
    </row>
    <row r="24" spans="1:33">
      <c r="A24" s="53">
        <v>1980</v>
      </c>
      <c r="B24" s="53">
        <v>10.7</v>
      </c>
      <c r="C24" s="53">
        <v>7.7</v>
      </c>
      <c r="D24" s="53">
        <v>11.3</v>
      </c>
      <c r="E24" s="53">
        <v>63.3</v>
      </c>
      <c r="F24" s="53">
        <v>261.8</v>
      </c>
      <c r="G24" s="53">
        <v>419.7</v>
      </c>
      <c r="H24" s="53">
        <v>186.9</v>
      </c>
      <c r="I24" s="53">
        <v>114.6</v>
      </c>
      <c r="J24" s="53">
        <v>43.9</v>
      </c>
      <c r="K24" s="53">
        <v>106.7</v>
      </c>
      <c r="L24" s="54">
        <v>34.6</v>
      </c>
      <c r="M24" s="54">
        <v>23.4</v>
      </c>
      <c r="N24" s="53">
        <f t="shared" si="1"/>
        <v>93</v>
      </c>
      <c r="O24" s="53">
        <f t="shared" si="2"/>
        <v>1026.9000000000001</v>
      </c>
      <c r="P24" s="53">
        <f t="shared" si="3"/>
        <v>164.70000000000002</v>
      </c>
      <c r="Q24" s="53">
        <f t="shared" si="4"/>
        <v>1284.6000000000001</v>
      </c>
      <c r="R24" s="53"/>
      <c r="S24" s="53"/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53"/>
      <c r="AF24" s="53"/>
      <c r="AG24" s="53"/>
    </row>
    <row r="25" spans="1:33">
      <c r="A25" s="53">
        <v>1981</v>
      </c>
      <c r="B25" s="53">
        <v>16.7</v>
      </c>
      <c r="C25" s="53">
        <v>4.2</v>
      </c>
      <c r="D25" s="53">
        <v>13.4</v>
      </c>
      <c r="E25" s="53">
        <v>79.3</v>
      </c>
      <c r="F25" s="53">
        <v>97.9</v>
      </c>
      <c r="G25" s="53">
        <v>77.7</v>
      </c>
      <c r="H25" s="53">
        <v>137.30000000000001</v>
      </c>
      <c r="I25" s="53">
        <v>30.2</v>
      </c>
      <c r="J25" s="53">
        <v>111.4</v>
      </c>
      <c r="K25" s="53">
        <v>68.900000000000006</v>
      </c>
      <c r="L25" s="54">
        <v>32.4</v>
      </c>
      <c r="M25" s="54">
        <v>4.5999999999999996</v>
      </c>
      <c r="N25" s="53">
        <f t="shared" si="1"/>
        <v>113.6</v>
      </c>
      <c r="O25" s="53">
        <f t="shared" si="2"/>
        <v>454.5</v>
      </c>
      <c r="P25" s="53">
        <f t="shared" si="3"/>
        <v>105.9</v>
      </c>
      <c r="Q25" s="53">
        <f t="shared" si="4"/>
        <v>674</v>
      </c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53"/>
      <c r="AG25" s="53"/>
    </row>
    <row r="26" spans="1:33">
      <c r="A26" s="53">
        <v>1982</v>
      </c>
      <c r="B26" s="53">
        <v>17.100000000000001</v>
      </c>
      <c r="C26" s="53">
        <v>43.6</v>
      </c>
      <c r="D26" s="53">
        <v>6.9</v>
      </c>
      <c r="E26" s="53">
        <v>93.7</v>
      </c>
      <c r="F26" s="53">
        <v>140.80000000000001</v>
      </c>
      <c r="G26" s="53">
        <v>130</v>
      </c>
      <c r="H26" s="53">
        <v>88.7</v>
      </c>
      <c r="I26" s="53">
        <v>119.2</v>
      </c>
      <c r="J26" s="53">
        <v>179.7</v>
      </c>
      <c r="K26" s="53">
        <v>55.8</v>
      </c>
      <c r="L26" s="54">
        <v>54.7</v>
      </c>
      <c r="M26" s="54">
        <v>11</v>
      </c>
      <c r="N26" s="53">
        <f t="shared" si="1"/>
        <v>161.30000000000001</v>
      </c>
      <c r="O26" s="53">
        <f t="shared" si="2"/>
        <v>658.4</v>
      </c>
      <c r="P26" s="53">
        <f t="shared" si="3"/>
        <v>121.5</v>
      </c>
      <c r="Q26" s="53">
        <f t="shared" si="4"/>
        <v>941.2</v>
      </c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53"/>
      <c r="AG26" s="53"/>
    </row>
    <row r="27" spans="1:33">
      <c r="A27" s="53">
        <v>1983</v>
      </c>
      <c r="B27" s="53">
        <v>33.299999999999997</v>
      </c>
      <c r="C27" s="53">
        <v>23.5</v>
      </c>
      <c r="D27" s="53">
        <v>39.4</v>
      </c>
      <c r="E27" s="53">
        <v>59.3</v>
      </c>
      <c r="F27" s="53">
        <v>97.3</v>
      </c>
      <c r="G27" s="53">
        <v>171.3</v>
      </c>
      <c r="H27" s="53">
        <v>190.4</v>
      </c>
      <c r="I27" s="53">
        <v>122.8</v>
      </c>
      <c r="J27" s="53">
        <v>78.3</v>
      </c>
      <c r="K27" s="53">
        <v>76.099999999999994</v>
      </c>
      <c r="L27" s="54">
        <v>53.1</v>
      </c>
      <c r="M27" s="54">
        <v>15.7</v>
      </c>
      <c r="N27" s="53">
        <f t="shared" si="1"/>
        <v>155.5</v>
      </c>
      <c r="O27" s="53">
        <f t="shared" si="2"/>
        <v>660.09999999999991</v>
      </c>
      <c r="P27" s="53">
        <f t="shared" si="3"/>
        <v>144.89999999999998</v>
      </c>
      <c r="Q27" s="53">
        <f t="shared" si="4"/>
        <v>960.5</v>
      </c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53"/>
      <c r="AG27" s="53"/>
    </row>
    <row r="28" spans="1:33">
      <c r="A28" s="53">
        <v>1984</v>
      </c>
      <c r="B28" s="53">
        <v>5.8</v>
      </c>
      <c r="C28" s="53">
        <v>4.8</v>
      </c>
      <c r="D28" s="53">
        <v>14</v>
      </c>
      <c r="E28" s="53">
        <v>115.9</v>
      </c>
      <c r="F28" s="53">
        <v>289.10000000000002</v>
      </c>
      <c r="G28" s="53">
        <v>62.3</v>
      </c>
      <c r="H28" s="53">
        <v>154.9</v>
      </c>
      <c r="I28" s="53">
        <v>212.9</v>
      </c>
      <c r="J28" s="53">
        <v>169.4</v>
      </c>
      <c r="K28" s="53">
        <v>42.9</v>
      </c>
      <c r="L28" s="54">
        <v>8.6999999999999993</v>
      </c>
      <c r="M28" s="54">
        <v>12.4</v>
      </c>
      <c r="N28" s="53">
        <f t="shared" si="1"/>
        <v>140.5</v>
      </c>
      <c r="O28" s="53">
        <f t="shared" si="2"/>
        <v>888.6</v>
      </c>
      <c r="P28" s="53">
        <f t="shared" si="3"/>
        <v>63.999999999999993</v>
      </c>
      <c r="Q28" s="53">
        <f t="shared" si="4"/>
        <v>1093.1000000000004</v>
      </c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3"/>
      <c r="AG28" s="53"/>
    </row>
    <row r="29" spans="1:33">
      <c r="A29" s="53">
        <v>1985</v>
      </c>
      <c r="B29" s="53">
        <v>5</v>
      </c>
      <c r="C29" s="53">
        <v>5.4</v>
      </c>
      <c r="D29" s="53">
        <v>24.3</v>
      </c>
      <c r="E29" s="53">
        <v>79.400000000000006</v>
      </c>
      <c r="F29" s="53">
        <v>159.30000000000001</v>
      </c>
      <c r="G29" s="53">
        <v>366.2</v>
      </c>
      <c r="H29" s="53">
        <v>159.9</v>
      </c>
      <c r="I29" s="53">
        <v>167.5</v>
      </c>
      <c r="J29" s="53">
        <v>46.8</v>
      </c>
      <c r="K29" s="53">
        <v>24.8</v>
      </c>
      <c r="L29" s="53">
        <v>33</v>
      </c>
      <c r="M29" s="53">
        <v>11.2</v>
      </c>
      <c r="N29" s="53">
        <f t="shared" si="1"/>
        <v>114.10000000000001</v>
      </c>
      <c r="O29" s="53">
        <f t="shared" si="2"/>
        <v>899.69999999999993</v>
      </c>
      <c r="P29" s="53">
        <f t="shared" si="3"/>
        <v>69</v>
      </c>
      <c r="Q29" s="53">
        <f t="shared" si="4"/>
        <v>1082.8</v>
      </c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53"/>
      <c r="AG29" s="53"/>
    </row>
    <row r="30" spans="1:33">
      <c r="A30" s="53">
        <v>1986</v>
      </c>
      <c r="B30" s="53">
        <v>3.5</v>
      </c>
      <c r="C30" s="53">
        <v>6.9</v>
      </c>
      <c r="D30" s="53">
        <v>10.1</v>
      </c>
      <c r="E30" s="53">
        <v>40.700000000000003</v>
      </c>
      <c r="F30" s="53">
        <v>79.5</v>
      </c>
      <c r="G30" s="53">
        <v>179</v>
      </c>
      <c r="H30" s="53">
        <v>214.7</v>
      </c>
      <c r="I30" s="53">
        <v>150.6</v>
      </c>
      <c r="J30" s="53">
        <v>85.1</v>
      </c>
      <c r="K30" s="53">
        <v>55.9</v>
      </c>
      <c r="L30" s="53">
        <v>46.2</v>
      </c>
      <c r="M30" s="53">
        <v>0.7</v>
      </c>
      <c r="N30" s="53">
        <f t="shared" si="1"/>
        <v>61.2</v>
      </c>
      <c r="O30" s="53">
        <f t="shared" si="2"/>
        <v>708.9</v>
      </c>
      <c r="P30" s="53">
        <f t="shared" si="3"/>
        <v>102.8</v>
      </c>
      <c r="Q30" s="53">
        <f t="shared" si="4"/>
        <v>872.90000000000009</v>
      </c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53"/>
      <c r="AG30" s="53"/>
    </row>
    <row r="31" spans="1:33">
      <c r="A31" s="53">
        <v>1987</v>
      </c>
      <c r="B31" s="53">
        <v>11.5</v>
      </c>
      <c r="C31" s="53">
        <v>16.5</v>
      </c>
      <c r="D31" s="53">
        <v>12</v>
      </c>
      <c r="E31" s="53">
        <v>72.2</v>
      </c>
      <c r="F31" s="53">
        <v>121.8</v>
      </c>
      <c r="G31" s="53">
        <v>152.69999999999999</v>
      </c>
      <c r="H31" s="53">
        <v>207.8</v>
      </c>
      <c r="I31" s="53">
        <v>149.1</v>
      </c>
      <c r="J31" s="53">
        <v>155.9</v>
      </c>
      <c r="K31" s="53">
        <v>122.4</v>
      </c>
      <c r="L31" s="53">
        <v>46.4</v>
      </c>
      <c r="M31" s="53">
        <v>3.9</v>
      </c>
      <c r="N31" s="53">
        <f t="shared" si="1"/>
        <v>112.2</v>
      </c>
      <c r="O31" s="53">
        <f t="shared" si="2"/>
        <v>787.3</v>
      </c>
      <c r="P31" s="53">
        <f t="shared" si="3"/>
        <v>172.70000000000002</v>
      </c>
      <c r="Q31" s="53">
        <f t="shared" si="4"/>
        <v>1072.2</v>
      </c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53"/>
      <c r="AG31" s="53"/>
    </row>
    <row r="32" spans="1:33">
      <c r="A32" s="53">
        <v>1988</v>
      </c>
      <c r="B32" s="53">
        <v>8.4</v>
      </c>
      <c r="C32" s="53">
        <v>7.8</v>
      </c>
      <c r="D32" s="53">
        <v>4.2</v>
      </c>
      <c r="E32" s="53">
        <v>119.1</v>
      </c>
      <c r="F32" s="53">
        <v>100.4</v>
      </c>
      <c r="G32" s="53">
        <v>211.6</v>
      </c>
      <c r="H32" s="53">
        <v>135.80000000000001</v>
      </c>
      <c r="I32" s="53">
        <v>244.1</v>
      </c>
      <c r="J32" s="53">
        <v>127.8</v>
      </c>
      <c r="K32" s="53">
        <v>42.6</v>
      </c>
      <c r="L32" s="53">
        <v>1.5</v>
      </c>
      <c r="M32" s="53">
        <v>6.8</v>
      </c>
      <c r="N32" s="53">
        <f t="shared" si="1"/>
        <v>139.5</v>
      </c>
      <c r="O32" s="53">
        <f t="shared" si="2"/>
        <v>819.69999999999993</v>
      </c>
      <c r="P32" s="53">
        <f t="shared" si="3"/>
        <v>50.9</v>
      </c>
      <c r="Q32" s="53">
        <f t="shared" si="4"/>
        <v>1010.0999999999999</v>
      </c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53"/>
      <c r="AG32" s="53"/>
    </row>
    <row r="33" spans="1:34">
      <c r="A33" s="53">
        <v>1989</v>
      </c>
      <c r="B33" s="53">
        <v>7.4</v>
      </c>
      <c r="C33" s="53">
        <v>18.5</v>
      </c>
      <c r="D33" s="53">
        <v>46.5</v>
      </c>
      <c r="E33" s="53">
        <v>39.6</v>
      </c>
      <c r="F33" s="53">
        <v>106.8</v>
      </c>
      <c r="G33" s="53">
        <v>460.6</v>
      </c>
      <c r="H33" s="53">
        <v>99.8</v>
      </c>
      <c r="I33" s="53">
        <v>91.2</v>
      </c>
      <c r="J33" s="53">
        <v>148.1</v>
      </c>
      <c r="K33" s="53">
        <v>66.5</v>
      </c>
      <c r="L33" s="53">
        <v>14.2</v>
      </c>
      <c r="M33" s="53">
        <v>21</v>
      </c>
      <c r="N33" s="53">
        <f t="shared" si="1"/>
        <v>112</v>
      </c>
      <c r="O33" s="53">
        <f t="shared" si="2"/>
        <v>906.5</v>
      </c>
      <c r="P33" s="53">
        <f t="shared" si="3"/>
        <v>101.7</v>
      </c>
      <c r="Q33" s="53">
        <f t="shared" si="4"/>
        <v>1120.2</v>
      </c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53"/>
      <c r="AG33" s="53"/>
    </row>
    <row r="34" spans="1:34">
      <c r="A34" s="53">
        <v>1990</v>
      </c>
      <c r="B34" s="53">
        <v>8.6999999999999993</v>
      </c>
      <c r="C34" s="53">
        <v>4.5999999999999996</v>
      </c>
      <c r="D34" s="53">
        <v>114.2</v>
      </c>
      <c r="E34" s="53">
        <v>23</v>
      </c>
      <c r="F34" s="53">
        <v>142.30000000000001</v>
      </c>
      <c r="G34" s="53">
        <v>199.6</v>
      </c>
      <c r="H34" s="53">
        <v>104.7</v>
      </c>
      <c r="I34" s="53">
        <v>35.200000000000003</v>
      </c>
      <c r="J34" s="53">
        <v>76.3</v>
      </c>
      <c r="K34" s="53">
        <v>68.099999999999994</v>
      </c>
      <c r="L34" s="53">
        <v>26.7</v>
      </c>
      <c r="M34" s="53">
        <v>6</v>
      </c>
      <c r="N34" s="53">
        <f t="shared" si="1"/>
        <v>150.5</v>
      </c>
      <c r="O34" s="53">
        <f t="shared" si="2"/>
        <v>558.09999999999991</v>
      </c>
      <c r="P34" s="53">
        <f t="shared" si="3"/>
        <v>100.8</v>
      </c>
      <c r="Q34" s="53">
        <f t="shared" si="4"/>
        <v>809.40000000000009</v>
      </c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"/>
    </row>
    <row r="35" spans="1:34">
      <c r="A35" s="53">
        <v>1991</v>
      </c>
      <c r="B35" s="53">
        <v>31.6</v>
      </c>
      <c r="C35" s="53">
        <v>3.9</v>
      </c>
      <c r="D35" s="53">
        <v>6.7</v>
      </c>
      <c r="E35" s="53">
        <v>27.3</v>
      </c>
      <c r="F35" s="53">
        <v>29.2</v>
      </c>
      <c r="G35" s="53">
        <v>231.2</v>
      </c>
      <c r="H35" s="53">
        <v>326.89999999999998</v>
      </c>
      <c r="I35" s="53">
        <v>189.9</v>
      </c>
      <c r="J35" s="53">
        <v>59.7</v>
      </c>
      <c r="K35" s="53">
        <v>63.5</v>
      </c>
      <c r="L35" s="53">
        <v>29.4</v>
      </c>
      <c r="M35" s="53">
        <v>10.7</v>
      </c>
      <c r="N35" s="53">
        <f t="shared" si="1"/>
        <v>69.5</v>
      </c>
      <c r="O35" s="53">
        <f t="shared" si="2"/>
        <v>836.9</v>
      </c>
      <c r="P35" s="53">
        <f t="shared" si="3"/>
        <v>103.60000000000001</v>
      </c>
      <c r="Q35" s="53">
        <f t="shared" si="4"/>
        <v>1010</v>
      </c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53"/>
      <c r="AG35" s="53"/>
    </row>
    <row r="36" spans="1:34">
      <c r="A36" s="53">
        <v>1992</v>
      </c>
      <c r="B36" s="53">
        <v>32.9</v>
      </c>
      <c r="C36" s="53">
        <v>26.3</v>
      </c>
      <c r="D36" s="53">
        <v>20.6</v>
      </c>
      <c r="E36" s="53">
        <v>167.3</v>
      </c>
      <c r="F36" s="53">
        <v>296.10000000000002</v>
      </c>
      <c r="G36" s="53">
        <v>279</v>
      </c>
      <c r="H36" s="53">
        <v>112</v>
      </c>
      <c r="I36" s="53">
        <v>56.4</v>
      </c>
      <c r="J36" s="53">
        <v>34.1</v>
      </c>
      <c r="K36" s="53">
        <v>131.6</v>
      </c>
      <c r="L36" s="53">
        <v>8</v>
      </c>
      <c r="M36" s="53">
        <v>14.2</v>
      </c>
      <c r="N36" s="53">
        <f t="shared" si="1"/>
        <v>247.10000000000002</v>
      </c>
      <c r="O36" s="53">
        <f t="shared" si="2"/>
        <v>777.6</v>
      </c>
      <c r="P36" s="53">
        <f t="shared" si="3"/>
        <v>153.79999999999998</v>
      </c>
      <c r="Q36" s="53">
        <f t="shared" si="4"/>
        <v>1178.5</v>
      </c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53"/>
      <c r="AG36" s="53"/>
    </row>
    <row r="37" spans="1:34">
      <c r="A37" s="53">
        <v>1993</v>
      </c>
      <c r="B37" s="53">
        <v>23.9</v>
      </c>
      <c r="C37" s="53">
        <v>31.9</v>
      </c>
      <c r="D37" s="53">
        <v>6.2</v>
      </c>
      <c r="E37" s="53">
        <v>62.6</v>
      </c>
      <c r="F37" s="53">
        <v>163.69999999999999</v>
      </c>
      <c r="G37" s="53">
        <v>117.3</v>
      </c>
      <c r="H37" s="53">
        <v>182.4</v>
      </c>
      <c r="I37" s="53">
        <v>230.4</v>
      </c>
      <c r="J37" s="53">
        <v>100.5</v>
      </c>
      <c r="K37" s="53">
        <v>29.8</v>
      </c>
      <c r="L37" s="53">
        <v>30.2</v>
      </c>
      <c r="M37" s="53">
        <v>4.2</v>
      </c>
      <c r="N37" s="53">
        <f t="shared" si="1"/>
        <v>124.6</v>
      </c>
      <c r="O37" s="53">
        <f t="shared" si="2"/>
        <v>794.3</v>
      </c>
      <c r="P37" s="53">
        <f t="shared" si="3"/>
        <v>64.2</v>
      </c>
      <c r="Q37" s="53">
        <f t="shared" si="4"/>
        <v>983.1</v>
      </c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53"/>
      <c r="AG37" s="53"/>
    </row>
    <row r="38" spans="1:34">
      <c r="A38" s="53">
        <v>1994</v>
      </c>
      <c r="B38" s="53">
        <v>8.3000000000000007</v>
      </c>
      <c r="C38" s="53">
        <v>1.9</v>
      </c>
      <c r="D38" s="53">
        <v>57.5</v>
      </c>
      <c r="E38" s="53">
        <v>32.4</v>
      </c>
      <c r="F38" s="53">
        <v>100.4</v>
      </c>
      <c r="G38" s="53">
        <v>235.5</v>
      </c>
      <c r="H38" s="53">
        <v>44.1</v>
      </c>
      <c r="I38" s="53">
        <v>119.9</v>
      </c>
      <c r="J38" s="53">
        <v>112.6</v>
      </c>
      <c r="K38" s="53">
        <v>104.8</v>
      </c>
      <c r="L38" s="53">
        <v>52</v>
      </c>
      <c r="M38" s="53">
        <v>21.2</v>
      </c>
      <c r="N38" s="53">
        <f t="shared" si="1"/>
        <v>100.1</v>
      </c>
      <c r="O38" s="53">
        <f t="shared" si="2"/>
        <v>612.5</v>
      </c>
      <c r="P38" s="53">
        <f t="shared" si="3"/>
        <v>178</v>
      </c>
      <c r="Q38" s="53">
        <f t="shared" si="4"/>
        <v>890.6</v>
      </c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3"/>
    </row>
    <row r="39" spans="1:34">
      <c r="A39" s="53">
        <v>1995</v>
      </c>
      <c r="B39" s="53">
        <v>16.3</v>
      </c>
      <c r="C39" s="53">
        <v>32.799999999999997</v>
      </c>
      <c r="D39" s="53">
        <v>23.5</v>
      </c>
      <c r="E39" s="53">
        <v>23.5</v>
      </c>
      <c r="F39" s="53">
        <v>181.9</v>
      </c>
      <c r="G39" s="53">
        <v>346.9</v>
      </c>
      <c r="H39" s="53">
        <v>103.5</v>
      </c>
      <c r="I39" s="53">
        <v>118.9</v>
      </c>
      <c r="J39" s="53">
        <v>86.1</v>
      </c>
      <c r="K39" s="53">
        <v>72.099999999999994</v>
      </c>
      <c r="L39" s="53">
        <v>32.200000000000003</v>
      </c>
      <c r="M39" s="53">
        <v>3.1</v>
      </c>
      <c r="N39" s="53">
        <f t="shared" si="1"/>
        <v>96.1</v>
      </c>
      <c r="O39" s="53">
        <f t="shared" si="2"/>
        <v>837.3</v>
      </c>
      <c r="P39" s="53">
        <f t="shared" si="3"/>
        <v>107.39999999999999</v>
      </c>
      <c r="Q39" s="53">
        <f>SUM(B39:M39)</f>
        <v>1040.8</v>
      </c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53"/>
      <c r="AG39" s="53"/>
    </row>
    <row r="40" spans="1:34">
      <c r="A40" s="53">
        <v>1996</v>
      </c>
      <c r="B40" s="53">
        <v>7.3</v>
      </c>
      <c r="C40" s="53">
        <v>2.6</v>
      </c>
      <c r="D40" s="53">
        <v>26.6</v>
      </c>
      <c r="E40" s="53">
        <v>44.8</v>
      </c>
      <c r="F40" s="53">
        <v>252.7</v>
      </c>
      <c r="G40" s="53">
        <v>233</v>
      </c>
      <c r="H40" s="53">
        <v>253.8</v>
      </c>
      <c r="I40" s="53">
        <v>34.6</v>
      </c>
      <c r="J40" s="53">
        <v>131.9</v>
      </c>
      <c r="K40" s="53">
        <v>49.1</v>
      </c>
      <c r="L40" s="53">
        <v>48.2</v>
      </c>
      <c r="M40" s="53">
        <v>15.4</v>
      </c>
      <c r="N40" s="53">
        <f t="shared" si="1"/>
        <v>81.3</v>
      </c>
      <c r="O40" s="53">
        <f t="shared" si="2"/>
        <v>906</v>
      </c>
      <c r="P40" s="53">
        <f t="shared" si="3"/>
        <v>112.70000000000002</v>
      </c>
      <c r="Q40" s="53">
        <f t="shared" si="4"/>
        <v>1100</v>
      </c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53"/>
      <c r="AG40" s="53"/>
    </row>
    <row r="41" spans="1:34">
      <c r="A41" s="53">
        <v>1997</v>
      </c>
      <c r="B41" s="53">
        <v>32</v>
      </c>
      <c r="C41" s="53">
        <v>19.5</v>
      </c>
      <c r="D41" s="53">
        <v>25.4</v>
      </c>
      <c r="E41" s="53">
        <v>89.6</v>
      </c>
      <c r="F41" s="53">
        <v>75.599999999999994</v>
      </c>
      <c r="G41" s="53">
        <v>137</v>
      </c>
      <c r="H41" s="53">
        <v>180.1</v>
      </c>
      <c r="I41" s="53">
        <v>84.6</v>
      </c>
      <c r="J41" s="53">
        <v>169.1</v>
      </c>
      <c r="K41" s="53">
        <v>106.6</v>
      </c>
      <c r="L41" s="53">
        <v>2.2000000000000002</v>
      </c>
      <c r="M41" s="53">
        <v>4.9000000000000004</v>
      </c>
      <c r="N41" s="53">
        <f t="shared" si="1"/>
        <v>166.5</v>
      </c>
      <c r="O41" s="53">
        <f t="shared" si="2"/>
        <v>646.4</v>
      </c>
      <c r="P41" s="53">
        <f t="shared" si="3"/>
        <v>113.7</v>
      </c>
      <c r="Q41" s="53">
        <f t="shared" si="4"/>
        <v>926.60000000000014</v>
      </c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G41" s="53"/>
    </row>
    <row r="42" spans="1:34">
      <c r="A42" s="53">
        <v>1998</v>
      </c>
      <c r="B42" s="53">
        <v>14.1</v>
      </c>
      <c r="C42" s="53">
        <v>4.3</v>
      </c>
      <c r="D42" s="53">
        <v>16</v>
      </c>
      <c r="E42" s="53">
        <v>50.6</v>
      </c>
      <c r="F42" s="53">
        <v>72.5</v>
      </c>
      <c r="G42" s="53">
        <v>121.8</v>
      </c>
      <c r="H42" s="53">
        <v>177</v>
      </c>
      <c r="I42" s="53">
        <v>194.6</v>
      </c>
      <c r="J42" s="53">
        <v>40.9</v>
      </c>
      <c r="K42" s="53">
        <v>67.7</v>
      </c>
      <c r="L42" s="53">
        <v>12.9</v>
      </c>
      <c r="M42" s="53">
        <v>18.2</v>
      </c>
      <c r="N42" s="53">
        <f t="shared" si="1"/>
        <v>85</v>
      </c>
      <c r="O42" s="53">
        <f t="shared" si="2"/>
        <v>606.79999999999995</v>
      </c>
      <c r="P42" s="53">
        <f t="shared" si="3"/>
        <v>98.800000000000011</v>
      </c>
      <c r="Q42" s="53">
        <f t="shared" si="4"/>
        <v>790.6</v>
      </c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53"/>
      <c r="AG42" s="53"/>
    </row>
    <row r="43" spans="1:34">
      <c r="A43" s="53">
        <v>1999</v>
      </c>
      <c r="B43" s="53">
        <v>15.5</v>
      </c>
      <c r="C43" s="53">
        <v>2.1</v>
      </c>
      <c r="D43" s="53">
        <v>9.9</v>
      </c>
      <c r="E43" s="53">
        <v>44.5</v>
      </c>
      <c r="F43" s="53">
        <v>114.2</v>
      </c>
      <c r="G43" s="53">
        <v>302.39999999999998</v>
      </c>
      <c r="H43" s="53">
        <v>182.5</v>
      </c>
      <c r="I43" s="53">
        <v>199.4</v>
      </c>
      <c r="J43" s="53">
        <v>77.900000000000006</v>
      </c>
      <c r="K43" s="53">
        <v>70.3</v>
      </c>
      <c r="L43" s="53">
        <v>39.5</v>
      </c>
      <c r="M43" s="53">
        <v>3.1</v>
      </c>
      <c r="N43" s="53">
        <f t="shared" si="1"/>
        <v>72</v>
      </c>
      <c r="O43" s="53">
        <f t="shared" si="2"/>
        <v>876.39999999999986</v>
      </c>
      <c r="P43" s="53">
        <f t="shared" si="3"/>
        <v>112.89999999999999</v>
      </c>
      <c r="Q43" s="53">
        <f t="shared" si="4"/>
        <v>1061.2999999999997</v>
      </c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53"/>
      <c r="AG43" s="53"/>
    </row>
    <row r="44" spans="1:34">
      <c r="A44" s="53">
        <v>2000</v>
      </c>
      <c r="B44" s="53">
        <v>13.5</v>
      </c>
      <c r="C44" s="53">
        <v>14.9</v>
      </c>
      <c r="D44" s="53">
        <v>21.6</v>
      </c>
      <c r="E44" s="53">
        <v>107.8</v>
      </c>
      <c r="F44" s="53">
        <v>273.5</v>
      </c>
      <c r="G44" s="53">
        <v>216</v>
      </c>
      <c r="H44" s="53">
        <v>208.9</v>
      </c>
      <c r="I44" s="53">
        <v>189.7</v>
      </c>
      <c r="J44" s="53">
        <v>108.8</v>
      </c>
      <c r="K44" s="53">
        <v>139.5</v>
      </c>
      <c r="L44" s="53">
        <v>30.7</v>
      </c>
      <c r="M44" s="53">
        <v>12.2</v>
      </c>
      <c r="N44" s="53">
        <f t="shared" si="1"/>
        <v>157.80000000000001</v>
      </c>
      <c r="O44" s="53">
        <f t="shared" si="2"/>
        <v>996.89999999999986</v>
      </c>
      <c r="P44" s="53">
        <f t="shared" si="3"/>
        <v>182.39999999999998</v>
      </c>
      <c r="Q44" s="53">
        <f t="shared" si="4"/>
        <v>1337.1</v>
      </c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53"/>
      <c r="AG44" s="53"/>
    </row>
    <row r="45" spans="1:34">
      <c r="A45" s="53">
        <v>2001</v>
      </c>
      <c r="B45" s="53">
        <v>5.9</v>
      </c>
      <c r="C45" s="53">
        <v>5.8</v>
      </c>
      <c r="D45" s="53">
        <v>15.8</v>
      </c>
      <c r="E45" s="53">
        <v>73.400000000000006</v>
      </c>
      <c r="F45" s="53">
        <v>167.8</v>
      </c>
      <c r="G45" s="53">
        <v>358.7</v>
      </c>
      <c r="H45" s="53">
        <v>198.3</v>
      </c>
      <c r="I45" s="53">
        <v>100</v>
      </c>
      <c r="J45" s="53">
        <v>70.099999999999994</v>
      </c>
      <c r="K45" s="53">
        <v>143.9</v>
      </c>
      <c r="L45" s="53">
        <v>14.8</v>
      </c>
      <c r="M45" s="53">
        <v>5</v>
      </c>
      <c r="N45" s="53">
        <f t="shared" si="1"/>
        <v>100.9</v>
      </c>
      <c r="O45" s="53">
        <f t="shared" si="2"/>
        <v>894.9</v>
      </c>
      <c r="P45" s="53">
        <f t="shared" si="3"/>
        <v>163.70000000000002</v>
      </c>
      <c r="Q45" s="53">
        <f t="shared" si="4"/>
        <v>1159.5</v>
      </c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53"/>
      <c r="AG45" s="53"/>
    </row>
    <row r="46" spans="1:34">
      <c r="A46" s="53">
        <v>2002</v>
      </c>
      <c r="B46" s="53">
        <v>3.8</v>
      </c>
      <c r="C46" s="53">
        <v>26.4</v>
      </c>
      <c r="D46" s="53">
        <v>56.9</v>
      </c>
      <c r="E46" s="53">
        <v>60.4</v>
      </c>
      <c r="F46" s="53">
        <v>188</v>
      </c>
      <c r="G46" s="53">
        <v>155.30000000000001</v>
      </c>
      <c r="H46" s="53">
        <v>140.30000000000001</v>
      </c>
      <c r="I46" s="53">
        <v>209.9</v>
      </c>
      <c r="J46" s="53">
        <v>34.4</v>
      </c>
      <c r="K46" s="53">
        <v>99.4</v>
      </c>
      <c r="L46" s="53">
        <v>10.8</v>
      </c>
      <c r="M46" s="53">
        <v>7</v>
      </c>
      <c r="N46" s="53">
        <f t="shared" si="1"/>
        <v>147.5</v>
      </c>
      <c r="O46" s="53">
        <f t="shared" si="2"/>
        <v>727.9</v>
      </c>
      <c r="P46" s="53">
        <f t="shared" si="3"/>
        <v>117.2</v>
      </c>
      <c r="Q46" s="53">
        <f t="shared" si="4"/>
        <v>992.59999999999991</v>
      </c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3"/>
      <c r="AG46" s="53"/>
    </row>
    <row r="47" spans="1:34">
      <c r="A47" s="53">
        <v>2003</v>
      </c>
      <c r="B47" s="53">
        <v>16</v>
      </c>
      <c r="C47" s="53">
        <v>3.8</v>
      </c>
      <c r="D47" s="53">
        <v>15.6</v>
      </c>
      <c r="E47" s="53">
        <v>113.5</v>
      </c>
      <c r="F47" s="53">
        <v>133.19999999999999</v>
      </c>
      <c r="G47" s="53">
        <v>148.6</v>
      </c>
      <c r="H47" s="53">
        <v>161.69999999999999</v>
      </c>
      <c r="I47" s="53">
        <v>14.6</v>
      </c>
      <c r="J47" s="53">
        <v>74.099999999999994</v>
      </c>
      <c r="K47" s="53">
        <v>44.3</v>
      </c>
      <c r="L47" s="53">
        <v>13.9</v>
      </c>
      <c r="M47" s="53">
        <v>50.5</v>
      </c>
      <c r="N47" s="53">
        <f t="shared" si="1"/>
        <v>148.9</v>
      </c>
      <c r="O47" s="53">
        <f t="shared" si="2"/>
        <v>532.19999999999993</v>
      </c>
      <c r="P47" s="53">
        <f t="shared" si="3"/>
        <v>108.69999999999999</v>
      </c>
      <c r="Q47" s="53">
        <f t="shared" si="4"/>
        <v>789.80000000000007</v>
      </c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53"/>
      <c r="AG47" s="53"/>
    </row>
    <row r="48" spans="1:34">
      <c r="A48" s="53">
        <v>2004</v>
      </c>
      <c r="B48" s="53">
        <v>38.799999999999997</v>
      </c>
      <c r="C48" s="53">
        <v>24.3</v>
      </c>
      <c r="D48" s="53">
        <v>7.3</v>
      </c>
      <c r="E48" s="53">
        <v>137.30000000000001</v>
      </c>
      <c r="F48" s="53">
        <v>173.4</v>
      </c>
      <c r="G48" s="53">
        <v>78.3</v>
      </c>
      <c r="H48" s="53">
        <v>314.5</v>
      </c>
      <c r="I48" s="53">
        <v>76.099999999999994</v>
      </c>
      <c r="J48" s="53">
        <v>111.7</v>
      </c>
      <c r="K48" s="53">
        <v>32</v>
      </c>
      <c r="L48" s="53">
        <v>16.2</v>
      </c>
      <c r="M48" s="53">
        <v>6.2</v>
      </c>
      <c r="N48" s="53">
        <f t="shared" si="1"/>
        <v>207.7</v>
      </c>
      <c r="O48" s="53">
        <f t="shared" si="2"/>
        <v>754.00000000000011</v>
      </c>
      <c r="P48" s="53">
        <f t="shared" si="3"/>
        <v>54.400000000000006</v>
      </c>
      <c r="Q48" s="53">
        <f t="shared" si="4"/>
        <v>1016.1000000000003</v>
      </c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53"/>
      <c r="AG48" s="53"/>
      <c r="AH48" s="22"/>
    </row>
    <row r="49" spans="1:35" s="20" customFormat="1">
      <c r="A49" s="53">
        <v>2005</v>
      </c>
      <c r="B49" s="53">
        <v>21.5</v>
      </c>
      <c r="C49" s="53">
        <v>1.3</v>
      </c>
      <c r="D49" s="53">
        <v>33.299999999999997</v>
      </c>
      <c r="E49" s="53">
        <v>15.3</v>
      </c>
      <c r="F49" s="53">
        <v>146.80000000000001</v>
      </c>
      <c r="G49" s="53">
        <v>178.1</v>
      </c>
      <c r="H49" s="66">
        <v>180.1</v>
      </c>
      <c r="I49" s="66">
        <v>114.4</v>
      </c>
      <c r="J49" s="66">
        <v>41.4</v>
      </c>
      <c r="K49" s="66">
        <v>98.6</v>
      </c>
      <c r="L49" s="66">
        <v>11.6</v>
      </c>
      <c r="M49" s="66">
        <v>14.7</v>
      </c>
      <c r="N49" s="53">
        <f t="shared" si="1"/>
        <v>71.399999999999991</v>
      </c>
      <c r="O49" s="53">
        <f t="shared" si="2"/>
        <v>660.8</v>
      </c>
      <c r="P49" s="53">
        <f t="shared" si="3"/>
        <v>124.89999999999999</v>
      </c>
      <c r="Q49" s="53">
        <f t="shared" si="4"/>
        <v>857.1</v>
      </c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23"/>
      <c r="AI49" s="11"/>
    </row>
    <row r="50" spans="1:35">
      <c r="A50" s="53">
        <v>2006</v>
      </c>
      <c r="B50" s="53">
        <v>2.6</v>
      </c>
      <c r="C50" s="53">
        <v>21.1</v>
      </c>
      <c r="D50" s="53">
        <v>39</v>
      </c>
      <c r="E50" s="53">
        <v>35.299999999999997</v>
      </c>
      <c r="F50" s="53">
        <v>112.1</v>
      </c>
      <c r="G50" s="53">
        <v>128.19999999999999</v>
      </c>
      <c r="H50" s="66">
        <v>111.6</v>
      </c>
      <c r="I50" s="66">
        <v>64.2</v>
      </c>
      <c r="J50" s="66">
        <v>122</v>
      </c>
      <c r="K50" s="53">
        <v>138.6</v>
      </c>
      <c r="L50" s="53">
        <v>20.100000000000001</v>
      </c>
      <c r="M50" s="53">
        <v>14.6</v>
      </c>
      <c r="N50" s="53">
        <f t="shared" si="1"/>
        <v>98</v>
      </c>
      <c r="O50" s="53">
        <f t="shared" si="2"/>
        <v>538.09999999999991</v>
      </c>
      <c r="P50" s="53">
        <f t="shared" si="3"/>
        <v>173.29999999999998</v>
      </c>
      <c r="Q50" s="53">
        <f t="shared" si="4"/>
        <v>809.40000000000009</v>
      </c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  <c r="AH50" s="22"/>
    </row>
    <row r="51" spans="1:35">
      <c r="A51" s="53">
        <v>2007</v>
      </c>
      <c r="B51" s="53">
        <v>18.399999999999999</v>
      </c>
      <c r="C51" s="53">
        <v>18.600000000000001</v>
      </c>
      <c r="D51" s="53">
        <v>8.1999999999999993</v>
      </c>
      <c r="E51" s="53">
        <v>121.9</v>
      </c>
      <c r="F51" s="53">
        <v>136.30000000000001</v>
      </c>
      <c r="G51" s="53">
        <v>263.60000000000002</v>
      </c>
      <c r="H51" s="53">
        <v>314.89999999999998</v>
      </c>
      <c r="I51" s="53">
        <v>104.7</v>
      </c>
      <c r="J51" s="53">
        <v>121.8</v>
      </c>
      <c r="K51" s="53">
        <v>34.6</v>
      </c>
      <c r="L51" s="53">
        <v>2.9</v>
      </c>
      <c r="M51" s="53">
        <v>18.600000000000001</v>
      </c>
      <c r="N51" s="53">
        <f t="shared" si="1"/>
        <v>167.10000000000002</v>
      </c>
      <c r="O51" s="53">
        <f t="shared" si="2"/>
        <v>941.3</v>
      </c>
      <c r="P51" s="53">
        <f t="shared" si="3"/>
        <v>56.1</v>
      </c>
      <c r="Q51" s="53">
        <f t="shared" si="4"/>
        <v>1164.5</v>
      </c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53"/>
      <c r="AG51" s="53"/>
      <c r="AH51" s="22"/>
    </row>
    <row r="52" spans="1:35">
      <c r="A52" s="53">
        <v>2008</v>
      </c>
      <c r="B52" s="53">
        <v>4.7</v>
      </c>
      <c r="C52" s="53">
        <v>9.1</v>
      </c>
      <c r="D52" s="53">
        <v>37.6</v>
      </c>
      <c r="E52" s="53">
        <v>53.1</v>
      </c>
      <c r="F52" s="53">
        <v>140.6</v>
      </c>
      <c r="G52" s="53">
        <v>131.80000000000001</v>
      </c>
      <c r="H52" s="53">
        <v>243.5</v>
      </c>
      <c r="I52" s="53">
        <v>244</v>
      </c>
      <c r="J52" s="53">
        <v>64.7</v>
      </c>
      <c r="K52" s="53">
        <v>95</v>
      </c>
      <c r="L52" s="53">
        <v>83.6</v>
      </c>
      <c r="M52" s="53">
        <v>20</v>
      </c>
      <c r="N52" s="53">
        <f t="shared" si="1"/>
        <v>104.5</v>
      </c>
      <c r="O52" s="53">
        <f t="shared" si="2"/>
        <v>824.6</v>
      </c>
      <c r="P52" s="53">
        <f t="shared" si="3"/>
        <v>198.6</v>
      </c>
      <c r="Q52" s="53">
        <f t="shared" si="4"/>
        <v>1127.6999999999998</v>
      </c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53"/>
      <c r="AG52" s="53"/>
    </row>
    <row r="53" spans="1:35">
      <c r="A53" s="53">
        <v>2009</v>
      </c>
      <c r="B53" s="53">
        <v>18.5</v>
      </c>
      <c r="C53" s="53">
        <v>19.399999999999999</v>
      </c>
      <c r="D53" s="53">
        <v>29.5</v>
      </c>
      <c r="E53" s="53">
        <v>122.9</v>
      </c>
      <c r="F53" s="53">
        <v>185.6</v>
      </c>
      <c r="G53" s="53">
        <v>202.4</v>
      </c>
      <c r="H53" s="53">
        <v>237.2</v>
      </c>
      <c r="I53" s="53">
        <v>74.099999999999994</v>
      </c>
      <c r="J53" s="53">
        <v>20.399999999999999</v>
      </c>
      <c r="K53" s="53">
        <v>64.5</v>
      </c>
      <c r="L53" s="53">
        <v>5.3</v>
      </c>
      <c r="M53" s="53">
        <v>8.6999999999999993</v>
      </c>
      <c r="N53" s="53">
        <f t="shared" si="1"/>
        <v>190.3</v>
      </c>
      <c r="O53" s="53">
        <f t="shared" si="2"/>
        <v>719.7</v>
      </c>
      <c r="P53" s="53">
        <f t="shared" si="3"/>
        <v>78.5</v>
      </c>
      <c r="Q53" s="53">
        <f t="shared" si="4"/>
        <v>988.5</v>
      </c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53"/>
      <c r="AG53" s="53"/>
    </row>
    <row r="54" spans="1:35">
      <c r="A54" s="53">
        <v>2010</v>
      </c>
      <c r="B54" s="53">
        <v>1.5</v>
      </c>
      <c r="C54" s="53">
        <v>1.2</v>
      </c>
      <c r="D54" s="53">
        <v>6.4</v>
      </c>
      <c r="E54" s="53">
        <v>39.700000000000003</v>
      </c>
      <c r="F54" s="53">
        <v>44.4</v>
      </c>
      <c r="G54" s="53">
        <v>220.6</v>
      </c>
      <c r="H54" s="53">
        <v>163.6</v>
      </c>
      <c r="I54" s="53">
        <v>56.8</v>
      </c>
      <c r="J54" s="53">
        <v>144.80000000000001</v>
      </c>
      <c r="K54" s="53">
        <v>76.099999999999994</v>
      </c>
      <c r="L54" s="53">
        <v>35.9</v>
      </c>
      <c r="M54" s="53">
        <v>29</v>
      </c>
      <c r="N54" s="53">
        <f t="shared" si="1"/>
        <v>48.800000000000004</v>
      </c>
      <c r="O54" s="53">
        <f t="shared" si="2"/>
        <v>630.20000000000005</v>
      </c>
      <c r="P54" s="53">
        <f t="shared" si="3"/>
        <v>141</v>
      </c>
      <c r="Q54" s="53">
        <f t="shared" si="4"/>
        <v>820</v>
      </c>
      <c r="R54" s="53"/>
      <c r="S54" s="5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53"/>
      <c r="AG54" s="53"/>
    </row>
    <row r="55" spans="1:35">
      <c r="A55" s="53">
        <v>2011</v>
      </c>
      <c r="B55" s="53">
        <v>12</v>
      </c>
      <c r="C55" s="53">
        <v>1.5</v>
      </c>
      <c r="D55" s="53">
        <v>9.9</v>
      </c>
      <c r="E55" s="53">
        <v>34.4</v>
      </c>
      <c r="F55" s="53">
        <v>35.9</v>
      </c>
      <c r="G55" s="53">
        <v>129.5</v>
      </c>
      <c r="H55" s="53">
        <v>58.2</v>
      </c>
      <c r="I55" s="53">
        <v>168</v>
      </c>
      <c r="J55" s="53">
        <v>82.9</v>
      </c>
      <c r="K55" s="53">
        <v>66.5</v>
      </c>
      <c r="L55" s="53">
        <v>58.3</v>
      </c>
      <c r="M55" s="53">
        <v>8.9</v>
      </c>
      <c r="N55" s="53">
        <f t="shared" si="1"/>
        <v>57.8</v>
      </c>
      <c r="O55" s="53">
        <f t="shared" si="2"/>
        <v>474.5</v>
      </c>
      <c r="P55" s="53">
        <f t="shared" si="3"/>
        <v>133.69999999999999</v>
      </c>
      <c r="Q55" s="53">
        <f t="shared" si="4"/>
        <v>665.99999999999989</v>
      </c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</row>
    <row r="56" spans="1:35">
      <c r="A56" s="53">
        <v>2012</v>
      </c>
      <c r="B56" s="53">
        <v>5.9</v>
      </c>
      <c r="C56" s="53">
        <v>6.9</v>
      </c>
      <c r="D56" s="53">
        <v>19.8</v>
      </c>
      <c r="E56" s="53">
        <v>21.2</v>
      </c>
      <c r="F56" s="53">
        <v>259.10000000000002</v>
      </c>
      <c r="G56" s="53">
        <v>152.9</v>
      </c>
      <c r="H56" s="53">
        <v>377.9</v>
      </c>
      <c r="I56" s="53">
        <v>41.6</v>
      </c>
      <c r="J56" s="53">
        <v>72</v>
      </c>
      <c r="K56" s="53">
        <v>62.1</v>
      </c>
      <c r="L56" s="53">
        <v>17.5</v>
      </c>
      <c r="M56" s="53">
        <v>2.2999999999999998</v>
      </c>
      <c r="N56" s="53">
        <f t="shared" si="1"/>
        <v>53.8</v>
      </c>
      <c r="O56" s="53">
        <f t="shared" si="2"/>
        <v>903.5</v>
      </c>
      <c r="P56" s="53">
        <f t="shared" si="3"/>
        <v>81.899999999999991</v>
      </c>
      <c r="Q56" s="53">
        <f t="shared" si="4"/>
        <v>1039.2</v>
      </c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</row>
    <row r="57" spans="1:35">
      <c r="A57" s="53">
        <v>2013</v>
      </c>
      <c r="B57" s="53">
        <v>1.4</v>
      </c>
      <c r="C57" s="53">
        <v>3.9</v>
      </c>
      <c r="D57" s="53">
        <v>31.2</v>
      </c>
      <c r="E57" s="53">
        <v>46.9</v>
      </c>
      <c r="F57" s="53">
        <v>143.9</v>
      </c>
      <c r="G57" s="53">
        <v>161.5</v>
      </c>
      <c r="H57" s="53">
        <v>29.4</v>
      </c>
      <c r="I57" s="53">
        <v>160.6</v>
      </c>
      <c r="J57" s="53">
        <v>52.9</v>
      </c>
      <c r="K57" s="53">
        <v>55.7</v>
      </c>
      <c r="L57" s="53">
        <v>23.1</v>
      </c>
      <c r="M57" s="53">
        <v>21.3</v>
      </c>
      <c r="N57" s="53">
        <f>SUM(B57:E57)</f>
        <v>83.4</v>
      </c>
      <c r="O57" s="53">
        <f>SUM(F57:J57)</f>
        <v>548.29999999999995</v>
      </c>
      <c r="P57" s="53">
        <f>SUM(K57:M57)</f>
        <v>100.10000000000001</v>
      </c>
      <c r="Q57" s="53">
        <f>SUM(B57:M57)</f>
        <v>731.8</v>
      </c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</row>
    <row r="58" spans="1:35">
      <c r="A58" s="53">
        <v>2014</v>
      </c>
      <c r="B58" s="53">
        <v>10.5</v>
      </c>
      <c r="C58" s="53">
        <v>22.4</v>
      </c>
      <c r="D58" s="53">
        <v>66.900000000000006</v>
      </c>
      <c r="E58" s="53">
        <v>38.9</v>
      </c>
      <c r="F58" s="53">
        <v>133.80000000000001</v>
      </c>
      <c r="G58" s="53">
        <v>119.1</v>
      </c>
      <c r="H58" s="53">
        <v>297.5</v>
      </c>
      <c r="I58" s="53">
        <v>159.4</v>
      </c>
      <c r="J58" s="53">
        <v>61.7</v>
      </c>
      <c r="K58" s="53">
        <v>60.5</v>
      </c>
      <c r="L58" s="53">
        <v>44.6</v>
      </c>
      <c r="M58" s="53">
        <v>12.7</v>
      </c>
      <c r="N58" s="53">
        <f t="shared" ref="N58:N59" si="5">SUM(B58:E58)</f>
        <v>138.70000000000002</v>
      </c>
      <c r="O58" s="53">
        <f t="shared" ref="O58:O59" si="6">SUM(F58:J58)</f>
        <v>771.5</v>
      </c>
      <c r="P58" s="53">
        <f t="shared" ref="P58:P59" si="7">SUM(K58:M58)</f>
        <v>117.8</v>
      </c>
      <c r="Q58" s="53">
        <f t="shared" ref="Q58" si="8">SUM(B58:M58)</f>
        <v>1028</v>
      </c>
    </row>
    <row r="59" spans="1:35">
      <c r="A59" s="53">
        <v>2015</v>
      </c>
      <c r="B59" s="53">
        <v>34.5</v>
      </c>
      <c r="C59" s="53">
        <v>6</v>
      </c>
      <c r="D59" s="53">
        <v>13</v>
      </c>
      <c r="E59" s="53">
        <v>79.5</v>
      </c>
      <c r="F59" s="53">
        <v>246.5</v>
      </c>
      <c r="G59" s="53">
        <v>258.5</v>
      </c>
      <c r="H59" s="53">
        <v>105.5</v>
      </c>
      <c r="I59" s="53">
        <v>227.5</v>
      </c>
      <c r="J59" s="53">
        <v>87</v>
      </c>
      <c r="K59" s="53">
        <v>84.5</v>
      </c>
      <c r="L59" s="53">
        <v>14</v>
      </c>
      <c r="M59" s="53">
        <v>25.5</v>
      </c>
      <c r="N59" s="53">
        <f t="shared" si="5"/>
        <v>133</v>
      </c>
      <c r="O59" s="53">
        <f t="shared" si="6"/>
        <v>925</v>
      </c>
      <c r="P59" s="53">
        <f t="shared" si="7"/>
        <v>124</v>
      </c>
      <c r="Q59" s="53">
        <f>SUM(B59:M59)</f>
        <v>1182</v>
      </c>
    </row>
    <row r="60" spans="1:35" s="70" customFormat="1">
      <c r="A60" s="67">
        <v>2016</v>
      </c>
      <c r="B60" s="67">
        <v>13.2</v>
      </c>
      <c r="C60" s="67">
        <v>5.5</v>
      </c>
      <c r="D60" s="67">
        <v>62.6</v>
      </c>
      <c r="E60" s="67">
        <v>128.30000000000001</v>
      </c>
      <c r="F60" s="67">
        <v>47.9</v>
      </c>
      <c r="G60" s="67">
        <v>370</v>
      </c>
      <c r="H60" s="67">
        <v>48.5</v>
      </c>
      <c r="I60" s="67">
        <v>117.5</v>
      </c>
      <c r="J60" s="67">
        <v>16.5</v>
      </c>
      <c r="K60" s="67">
        <v>76</v>
      </c>
      <c r="L60" s="67">
        <v>56</v>
      </c>
      <c r="M60" s="67">
        <v>10.5</v>
      </c>
      <c r="N60" s="68">
        <f>SUM(B60:E60)</f>
        <v>209.60000000000002</v>
      </c>
      <c r="O60" s="69">
        <f>SUM(F60:J60)</f>
        <v>600.4</v>
      </c>
      <c r="P60" s="69">
        <f>SUM(K60:M60)</f>
        <v>142.5</v>
      </c>
      <c r="Q60" s="69">
        <f>SUM(B60:M60)</f>
        <v>952.5</v>
      </c>
      <c r="R60" s="69">
        <f t="shared" ref="R60:AG60" si="9">100*(B60-B4)/B4</f>
        <v>5.6614757677194145</v>
      </c>
      <c r="S60" s="69">
        <f t="shared" si="9"/>
        <v>-51.296087586540004</v>
      </c>
      <c r="T60" s="69">
        <f t="shared" si="9"/>
        <v>158.56112946830879</v>
      </c>
      <c r="U60" s="69">
        <f t="shared" si="9"/>
        <v>69.009867790764517</v>
      </c>
      <c r="V60" s="69">
        <f t="shared" si="9"/>
        <v>-69.163691695440974</v>
      </c>
      <c r="W60" s="69">
        <f t="shared" si="9"/>
        <v>74.226468724850591</v>
      </c>
      <c r="X60" s="69">
        <f t="shared" si="9"/>
        <v>-72.460536232332927</v>
      </c>
      <c r="Y60" s="69">
        <f t="shared" si="9"/>
        <v>-14.151544940088725</v>
      </c>
      <c r="Z60" s="69">
        <f t="shared" si="9"/>
        <v>-83.025008884981574</v>
      </c>
      <c r="AA60" s="69">
        <f t="shared" si="9"/>
        <v>-2.0274229462088424</v>
      </c>
      <c r="AB60" s="69">
        <f t="shared" si="9"/>
        <v>75.288828182801169</v>
      </c>
      <c r="AC60" s="69">
        <f t="shared" si="9"/>
        <v>-24.970767831622709</v>
      </c>
      <c r="AD60" s="69">
        <f t="shared" si="9"/>
        <v>69.156272927366103</v>
      </c>
      <c r="AE60" s="69">
        <f t="shared" si="9"/>
        <v>-22.816399703625457</v>
      </c>
      <c r="AF60" s="69">
        <f t="shared" si="9"/>
        <v>15.371027335757303</v>
      </c>
      <c r="AG60" s="69">
        <f t="shared" si="9"/>
        <v>-7.1011845651865668</v>
      </c>
      <c r="AH60" s="69"/>
      <c r="AI60" s="69"/>
    </row>
    <row r="61" spans="1:35">
      <c r="A61" s="53"/>
      <c r="N61" s="53"/>
    </row>
    <row r="62" spans="1:35">
      <c r="A62" s="53"/>
      <c r="B62" s="53"/>
      <c r="C62" s="53"/>
      <c r="D62" s="53"/>
      <c r="E62" s="53"/>
      <c r="F62" s="53"/>
      <c r="G62" s="53"/>
      <c r="H62" s="53"/>
      <c r="I62" s="53"/>
      <c r="J62" s="53"/>
      <c r="K62" s="53"/>
      <c r="L62" s="53"/>
      <c r="M62" s="53"/>
      <c r="N62" s="53"/>
    </row>
    <row r="63" spans="1:35">
      <c r="A63" s="53"/>
      <c r="B63" s="53"/>
      <c r="C63" s="53"/>
      <c r="D63" s="53"/>
      <c r="E63" s="53"/>
      <c r="F63" s="53"/>
      <c r="G63" s="53"/>
      <c r="H63" s="53"/>
      <c r="I63" s="53"/>
      <c r="J63" s="53"/>
      <c r="K63" s="53"/>
      <c r="L63" s="53"/>
      <c r="M63" s="53"/>
      <c r="N63" s="53"/>
    </row>
    <row r="64" spans="1:35">
      <c r="A64" s="53"/>
      <c r="B64" s="53"/>
      <c r="C64" s="53"/>
      <c r="D64" s="53"/>
      <c r="E64" s="53"/>
      <c r="F64" s="53"/>
      <c r="G64" s="53"/>
      <c r="H64" s="53"/>
      <c r="I64" s="53"/>
      <c r="J64" s="53"/>
      <c r="K64" s="53"/>
      <c r="L64" s="53"/>
      <c r="M64" s="53"/>
      <c r="N64" s="53"/>
    </row>
    <row r="65" spans="1:14">
      <c r="A65" s="53"/>
      <c r="B65" s="53"/>
      <c r="C65" s="53"/>
      <c r="D65" s="53"/>
      <c r="E65" s="53"/>
      <c r="F65" s="53"/>
      <c r="G65" s="53"/>
      <c r="H65" s="53"/>
      <c r="I65" s="53"/>
      <c r="J65" s="53"/>
      <c r="K65" s="53"/>
      <c r="L65" s="53"/>
      <c r="M65" s="53"/>
      <c r="N65" s="53"/>
    </row>
  </sheetData>
  <mergeCells count="6">
    <mergeCell ref="A1:A3"/>
    <mergeCell ref="B1:Q1"/>
    <mergeCell ref="B2:M2"/>
    <mergeCell ref="R1:AG1"/>
    <mergeCell ref="N2:Q2"/>
    <mergeCell ref="R2:AG2"/>
  </mergeCells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AG60"/>
  <sheetViews>
    <sheetView zoomScale="70" zoomScaleNormal="70" workbookViewId="0">
      <pane ySplit="5" topLeftCell="A6" activePane="bottomLeft" state="frozen"/>
      <selection pane="bottomLeft" activeCell="X53" sqref="X53"/>
    </sheetView>
  </sheetViews>
  <sheetFormatPr defaultRowHeight="12"/>
  <cols>
    <col min="1" max="1" width="8.25" style="71" bestFit="1" customWidth="1"/>
    <col min="2" max="13" width="6.625" style="71" customWidth="1"/>
    <col min="14" max="15" width="7.125" style="71" bestFit="1" customWidth="1"/>
    <col min="16" max="16" width="8.875" style="71" bestFit="1" customWidth="1"/>
    <col min="17" max="17" width="8" style="71" bestFit="1" customWidth="1"/>
    <col min="18" max="34" width="6.625" style="71" customWidth="1"/>
    <col min="35" max="16384" width="9" style="71"/>
  </cols>
  <sheetData>
    <row r="1" spans="1:33" s="25" customFormat="1" ht="14.25" customHeight="1">
      <c r="A1" s="157" t="s">
        <v>0</v>
      </c>
      <c r="B1" s="157" t="s">
        <v>67</v>
      </c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3"/>
      <c r="R1" s="157" t="s">
        <v>92</v>
      </c>
      <c r="S1" s="158"/>
      <c r="T1" s="158"/>
      <c r="U1" s="158"/>
      <c r="V1" s="158"/>
      <c r="W1" s="158"/>
      <c r="X1" s="158"/>
      <c r="Y1" s="158"/>
      <c r="Z1" s="158"/>
      <c r="AA1" s="158"/>
      <c r="AB1" s="158"/>
      <c r="AC1" s="158"/>
      <c r="AD1" s="158"/>
      <c r="AE1" s="158"/>
      <c r="AF1" s="158"/>
      <c r="AG1" s="158"/>
    </row>
    <row r="2" spans="1:33" s="25" customFormat="1" ht="12.75">
      <c r="A2" s="158"/>
      <c r="B2" s="157" t="s">
        <v>54</v>
      </c>
      <c r="C2" s="158"/>
      <c r="D2" s="158"/>
      <c r="E2" s="158"/>
      <c r="F2" s="158"/>
      <c r="G2" s="158"/>
      <c r="H2" s="158"/>
      <c r="I2" s="158"/>
      <c r="J2" s="158"/>
      <c r="K2" s="158"/>
      <c r="L2" s="158"/>
      <c r="M2" s="158"/>
      <c r="N2" s="161" t="s">
        <v>32</v>
      </c>
      <c r="O2" s="162"/>
      <c r="P2" s="162"/>
      <c r="Q2" s="162"/>
      <c r="R2" s="157" t="s">
        <v>38</v>
      </c>
      <c r="S2" s="158"/>
      <c r="T2" s="158"/>
      <c r="U2" s="158"/>
      <c r="V2" s="158"/>
      <c r="W2" s="158"/>
      <c r="X2" s="158"/>
      <c r="Y2" s="158"/>
      <c r="Z2" s="158"/>
      <c r="AA2" s="158"/>
      <c r="AB2" s="158"/>
      <c r="AC2" s="158"/>
      <c r="AD2" s="158"/>
      <c r="AE2" s="158"/>
      <c r="AF2" s="158"/>
      <c r="AG2" s="158"/>
    </row>
    <row r="3" spans="1:33" s="25" customFormat="1" ht="14.25">
      <c r="A3" s="158"/>
      <c r="B3" s="42" t="s">
        <v>44</v>
      </c>
      <c r="C3" s="42" t="s">
        <v>20</v>
      </c>
      <c r="D3" s="42" t="s">
        <v>69</v>
      </c>
      <c r="E3" s="42" t="s">
        <v>70</v>
      </c>
      <c r="F3" s="42" t="s">
        <v>71</v>
      </c>
      <c r="G3" s="42" t="s">
        <v>72</v>
      </c>
      <c r="H3" s="42" t="s">
        <v>73</v>
      </c>
      <c r="I3" s="42" t="s">
        <v>74</v>
      </c>
      <c r="J3" s="42" t="s">
        <v>75</v>
      </c>
      <c r="K3" s="42" t="s">
        <v>76</v>
      </c>
      <c r="L3" s="42" t="s">
        <v>77</v>
      </c>
      <c r="M3" s="42" t="s">
        <v>78</v>
      </c>
      <c r="N3" s="43" t="s">
        <v>87</v>
      </c>
      <c r="O3" s="43" t="s">
        <v>57</v>
      </c>
      <c r="P3" s="43" t="s">
        <v>88</v>
      </c>
      <c r="Q3" s="43" t="s">
        <v>89</v>
      </c>
      <c r="R3" s="44" t="s">
        <v>44</v>
      </c>
      <c r="S3" s="44" t="s">
        <v>20</v>
      </c>
      <c r="T3" s="44" t="s">
        <v>46</v>
      </c>
      <c r="U3" s="44" t="s">
        <v>22</v>
      </c>
      <c r="V3" s="42" t="s">
        <v>113</v>
      </c>
      <c r="W3" s="42" t="s">
        <v>80</v>
      </c>
      <c r="X3" s="42" t="s">
        <v>81</v>
      </c>
      <c r="Y3" s="42" t="s">
        <v>82</v>
      </c>
      <c r="Z3" s="42" t="s">
        <v>83</v>
      </c>
      <c r="AA3" s="42" t="s">
        <v>62</v>
      </c>
      <c r="AB3" s="42" t="s">
        <v>63</v>
      </c>
      <c r="AC3" s="42" t="s">
        <v>64</v>
      </c>
      <c r="AD3" s="43" t="s">
        <v>90</v>
      </c>
      <c r="AE3" s="43" t="s">
        <v>4</v>
      </c>
      <c r="AF3" s="43" t="s">
        <v>91</v>
      </c>
      <c r="AG3" s="43" t="s">
        <v>66</v>
      </c>
    </row>
    <row r="4" spans="1:33" s="25" customFormat="1" ht="12.75">
      <c r="A4" s="143" t="s">
        <v>261</v>
      </c>
      <c r="B4" s="143">
        <f t="shared" ref="B4:Q4" si="0">AVERAGE(B5:B59)</f>
        <v>24.258181818181814</v>
      </c>
      <c r="C4" s="143">
        <f t="shared" si="0"/>
        <v>24.24727272727273</v>
      </c>
      <c r="D4" s="143">
        <f t="shared" si="0"/>
        <v>37.927272727272729</v>
      </c>
      <c r="E4" s="143">
        <f t="shared" si="0"/>
        <v>99.765454545454546</v>
      </c>
      <c r="F4" s="143">
        <f t="shared" si="0"/>
        <v>174.91481481481489</v>
      </c>
      <c r="G4" s="143">
        <f t="shared" si="0"/>
        <v>217.57454545454539</v>
      </c>
      <c r="H4" s="143">
        <f t="shared" si="0"/>
        <v>183.61636363636359</v>
      </c>
      <c r="I4" s="143">
        <f t="shared" si="0"/>
        <v>136.39454545454547</v>
      </c>
      <c r="J4" s="143">
        <f t="shared" si="0"/>
        <v>104.06000000000006</v>
      </c>
      <c r="K4" s="143">
        <f t="shared" si="0"/>
        <v>99.005454545454526</v>
      </c>
      <c r="L4" s="143">
        <f t="shared" si="0"/>
        <v>48.269090909090885</v>
      </c>
      <c r="M4" s="143">
        <f t="shared" si="0"/>
        <v>24.927272727272715</v>
      </c>
      <c r="N4" s="142">
        <f t="shared" si="0"/>
        <v>186.19818181818184</v>
      </c>
      <c r="O4" s="142">
        <f t="shared" si="0"/>
        <v>813.38000000000011</v>
      </c>
      <c r="P4" s="142">
        <f t="shared" si="0"/>
        <v>172.20181818181823</v>
      </c>
      <c r="Q4" s="142">
        <f t="shared" si="0"/>
        <v>1171.78</v>
      </c>
      <c r="R4" s="146"/>
      <c r="S4" s="146"/>
      <c r="T4" s="146"/>
      <c r="U4" s="146"/>
      <c r="V4" s="143"/>
      <c r="W4" s="143"/>
      <c r="X4" s="143"/>
      <c r="Y4" s="143"/>
      <c r="Z4" s="143"/>
      <c r="AA4" s="143"/>
      <c r="AB4" s="143"/>
      <c r="AC4" s="143"/>
      <c r="AD4" s="142"/>
      <c r="AE4" s="142"/>
      <c r="AF4" s="142"/>
      <c r="AG4" s="142"/>
    </row>
    <row r="5" spans="1:33" ht="12.75">
      <c r="A5" s="53">
        <v>1961</v>
      </c>
      <c r="B5" s="53">
        <v>13.6</v>
      </c>
      <c r="C5" s="53">
        <v>24</v>
      </c>
      <c r="D5" s="53">
        <v>56.7</v>
      </c>
      <c r="E5" s="53">
        <v>142.6</v>
      </c>
      <c r="F5" s="53">
        <v>174.5</v>
      </c>
      <c r="G5" s="53">
        <v>51.7</v>
      </c>
      <c r="H5" s="53">
        <v>230.9</v>
      </c>
      <c r="I5" s="53">
        <v>152.1</v>
      </c>
      <c r="J5" s="53">
        <v>103.5</v>
      </c>
      <c r="K5" s="53">
        <v>190.7</v>
      </c>
      <c r="L5" s="53">
        <v>95.4</v>
      </c>
      <c r="M5" s="53">
        <v>75.400000000000006</v>
      </c>
      <c r="N5" s="53">
        <f>SUM(B5:E5)</f>
        <v>236.9</v>
      </c>
      <c r="O5" s="53">
        <f>SUM(F5:J5)</f>
        <v>712.7</v>
      </c>
      <c r="P5" s="53">
        <f>SUM(K5:M5)</f>
        <v>361.5</v>
      </c>
      <c r="Q5" s="53">
        <f>SUM(B5:M5)</f>
        <v>1311.1000000000001</v>
      </c>
      <c r="R5" s="63"/>
      <c r="S5" s="63"/>
      <c r="T5" s="63"/>
      <c r="U5" s="63"/>
      <c r="V5" s="53"/>
      <c r="W5" s="53"/>
      <c r="X5" s="53"/>
      <c r="Y5" s="53"/>
      <c r="Z5" s="53"/>
      <c r="AA5" s="54"/>
      <c r="AB5" s="54"/>
      <c r="AC5" s="54"/>
      <c r="AD5" s="53"/>
      <c r="AE5" s="53"/>
      <c r="AF5" s="53"/>
      <c r="AG5" s="53"/>
    </row>
    <row r="6" spans="1:33" ht="12.75">
      <c r="A6" s="53">
        <v>1962</v>
      </c>
      <c r="B6" s="53">
        <v>22.9</v>
      </c>
      <c r="C6" s="53">
        <v>6.5</v>
      </c>
      <c r="D6" s="53">
        <v>13.6</v>
      </c>
      <c r="E6" s="53">
        <v>133</v>
      </c>
      <c r="F6" s="53">
        <v>103</v>
      </c>
      <c r="G6" s="53">
        <v>203.7</v>
      </c>
      <c r="H6" s="53">
        <v>126.8</v>
      </c>
      <c r="I6" s="53">
        <v>200</v>
      </c>
      <c r="J6" s="53">
        <v>81.8</v>
      </c>
      <c r="K6" s="53">
        <v>79.8</v>
      </c>
      <c r="L6" s="53">
        <v>32</v>
      </c>
      <c r="M6" s="53">
        <v>17.7</v>
      </c>
      <c r="N6" s="53">
        <f t="shared" ref="N6:N59" si="1">SUM(B6:E6)</f>
        <v>176</v>
      </c>
      <c r="O6" s="53">
        <f t="shared" ref="O6:O59" si="2">SUM(F6:J6)</f>
        <v>715.3</v>
      </c>
      <c r="P6" s="53">
        <f t="shared" ref="P6:P59" si="3">SUM(K6:M6)</f>
        <v>129.5</v>
      </c>
      <c r="Q6" s="53">
        <f t="shared" ref="Q6:Q59" si="4">SUM(B6:M6)</f>
        <v>1020.8</v>
      </c>
      <c r="R6" s="63"/>
      <c r="S6" s="63"/>
      <c r="T6" s="63"/>
      <c r="U6" s="63"/>
      <c r="V6" s="53"/>
      <c r="W6" s="53"/>
      <c r="X6" s="53"/>
      <c r="Y6" s="53"/>
      <c r="Z6" s="53"/>
      <c r="AA6" s="54"/>
      <c r="AB6" s="54"/>
      <c r="AC6" s="54"/>
      <c r="AD6" s="53"/>
      <c r="AE6" s="53"/>
      <c r="AF6" s="53"/>
      <c r="AG6" s="53"/>
    </row>
    <row r="7" spans="1:33" ht="12.75">
      <c r="A7" s="53">
        <v>1963</v>
      </c>
      <c r="B7" s="53">
        <v>10.8</v>
      </c>
      <c r="C7" s="53">
        <v>16.100000000000001</v>
      </c>
      <c r="D7" s="53">
        <v>34</v>
      </c>
      <c r="E7" s="53">
        <v>30.8</v>
      </c>
      <c r="F7" s="53">
        <v>336.8</v>
      </c>
      <c r="G7" s="53">
        <v>208.5</v>
      </c>
      <c r="H7" s="53">
        <v>281.5</v>
      </c>
      <c r="I7" s="53">
        <v>103.1</v>
      </c>
      <c r="J7" s="53">
        <v>58.7</v>
      </c>
      <c r="K7" s="53">
        <v>122</v>
      </c>
      <c r="L7" s="53">
        <v>138.80000000000001</v>
      </c>
      <c r="M7" s="53">
        <v>47</v>
      </c>
      <c r="N7" s="53">
        <f t="shared" si="1"/>
        <v>91.7</v>
      </c>
      <c r="O7" s="53">
        <f t="shared" si="2"/>
        <v>988.6</v>
      </c>
      <c r="P7" s="53">
        <f t="shared" si="3"/>
        <v>307.8</v>
      </c>
      <c r="Q7" s="53">
        <f t="shared" si="4"/>
        <v>1388.1</v>
      </c>
      <c r="R7" s="63"/>
      <c r="S7" s="63"/>
      <c r="T7" s="63"/>
      <c r="U7" s="63"/>
      <c r="V7" s="53"/>
      <c r="W7" s="53"/>
      <c r="X7" s="53"/>
      <c r="Y7" s="53"/>
      <c r="Z7" s="53"/>
      <c r="AA7" s="54"/>
      <c r="AB7" s="54"/>
      <c r="AC7" s="54"/>
      <c r="AD7" s="53"/>
      <c r="AE7" s="53"/>
      <c r="AF7" s="53"/>
      <c r="AG7" s="53"/>
    </row>
    <row r="8" spans="1:33" ht="12.75">
      <c r="A8" s="53">
        <v>1964</v>
      </c>
      <c r="B8" s="53">
        <v>17.100000000000001</v>
      </c>
      <c r="C8" s="53">
        <v>23.1</v>
      </c>
      <c r="D8" s="53">
        <v>20.100000000000001</v>
      </c>
      <c r="E8" s="53">
        <v>219.5</v>
      </c>
      <c r="F8" s="53">
        <v>89.8</v>
      </c>
      <c r="G8" s="53">
        <v>278.60000000000002</v>
      </c>
      <c r="H8" s="53">
        <v>131.9</v>
      </c>
      <c r="I8" s="53">
        <v>217.3</v>
      </c>
      <c r="J8" s="53">
        <v>59.8</v>
      </c>
      <c r="K8" s="53">
        <v>109.4</v>
      </c>
      <c r="L8" s="53">
        <v>60</v>
      </c>
      <c r="M8" s="53">
        <v>52.7</v>
      </c>
      <c r="N8" s="53">
        <f t="shared" si="1"/>
        <v>279.8</v>
      </c>
      <c r="O8" s="53">
        <f t="shared" si="2"/>
        <v>777.40000000000009</v>
      </c>
      <c r="P8" s="53">
        <f t="shared" si="3"/>
        <v>222.10000000000002</v>
      </c>
      <c r="Q8" s="53">
        <f t="shared" si="4"/>
        <v>1279.3000000000002</v>
      </c>
      <c r="R8" s="63"/>
      <c r="S8" s="63"/>
      <c r="T8" s="63"/>
      <c r="U8" s="63"/>
      <c r="V8" s="53"/>
      <c r="W8" s="53"/>
      <c r="X8" s="53"/>
      <c r="Y8" s="53"/>
      <c r="Z8" s="53"/>
      <c r="AA8" s="54"/>
      <c r="AB8" s="54"/>
      <c r="AC8" s="54"/>
      <c r="AD8" s="53"/>
      <c r="AE8" s="53"/>
      <c r="AF8" s="53"/>
      <c r="AG8" s="53"/>
    </row>
    <row r="9" spans="1:33" ht="12.75">
      <c r="A9" s="53">
        <v>1965</v>
      </c>
      <c r="B9" s="53">
        <v>33.299999999999997</v>
      </c>
      <c r="C9" s="53">
        <v>26.3</v>
      </c>
      <c r="D9" s="53">
        <v>75.400000000000006</v>
      </c>
      <c r="E9" s="53">
        <v>178</v>
      </c>
      <c r="F9" s="53">
        <v>231.9</v>
      </c>
      <c r="G9" s="53">
        <v>152.1</v>
      </c>
      <c r="H9" s="53">
        <v>103.1</v>
      </c>
      <c r="I9" s="53">
        <v>143.30000000000001</v>
      </c>
      <c r="J9" s="53">
        <v>78.3</v>
      </c>
      <c r="K9" s="53">
        <v>190.3</v>
      </c>
      <c r="L9" s="53">
        <v>52.9</v>
      </c>
      <c r="M9" s="53">
        <v>37.9</v>
      </c>
      <c r="N9" s="53">
        <f t="shared" si="1"/>
        <v>313</v>
      </c>
      <c r="O9" s="53">
        <f t="shared" si="2"/>
        <v>708.7</v>
      </c>
      <c r="P9" s="53">
        <f t="shared" si="3"/>
        <v>281.10000000000002</v>
      </c>
      <c r="Q9" s="53">
        <f t="shared" si="4"/>
        <v>1302.8000000000002</v>
      </c>
      <c r="R9" s="63"/>
      <c r="S9" s="63"/>
      <c r="T9" s="63"/>
      <c r="U9" s="63"/>
      <c r="V9" s="53"/>
      <c r="W9" s="53"/>
      <c r="X9" s="53"/>
      <c r="Y9" s="53"/>
      <c r="Z9" s="53"/>
      <c r="AA9" s="54"/>
      <c r="AB9" s="54"/>
      <c r="AC9" s="54"/>
      <c r="AD9" s="53"/>
      <c r="AE9" s="53"/>
      <c r="AF9" s="53"/>
      <c r="AG9" s="53"/>
    </row>
    <row r="10" spans="1:33" ht="12.75">
      <c r="A10" s="53">
        <v>1966</v>
      </c>
      <c r="B10" s="53">
        <v>23.6</v>
      </c>
      <c r="C10" s="53">
        <v>32.9</v>
      </c>
      <c r="D10" s="53">
        <v>12</v>
      </c>
      <c r="E10" s="53">
        <v>91.5</v>
      </c>
      <c r="F10" s="53">
        <v>225.9</v>
      </c>
      <c r="G10" s="53">
        <v>143.80000000000001</v>
      </c>
      <c r="H10" s="53">
        <v>76</v>
      </c>
      <c r="I10" s="53">
        <v>109.9</v>
      </c>
      <c r="J10" s="53">
        <v>48.5</v>
      </c>
      <c r="K10" s="53">
        <v>81.5</v>
      </c>
      <c r="L10" s="53">
        <v>23.4</v>
      </c>
      <c r="M10" s="53">
        <v>18.100000000000001</v>
      </c>
      <c r="N10" s="53">
        <f t="shared" si="1"/>
        <v>160</v>
      </c>
      <c r="O10" s="53">
        <f t="shared" si="2"/>
        <v>604.1</v>
      </c>
      <c r="P10" s="53">
        <f t="shared" si="3"/>
        <v>123</v>
      </c>
      <c r="Q10" s="53">
        <f t="shared" si="4"/>
        <v>887.1</v>
      </c>
      <c r="R10" s="63"/>
      <c r="S10" s="63"/>
      <c r="T10" s="63"/>
      <c r="U10" s="63"/>
      <c r="V10" s="53"/>
      <c r="W10" s="53"/>
      <c r="X10" s="53"/>
      <c r="Y10" s="53"/>
      <c r="Z10" s="53"/>
      <c r="AA10" s="54"/>
      <c r="AB10" s="54"/>
      <c r="AC10" s="54"/>
      <c r="AD10" s="53"/>
      <c r="AE10" s="53"/>
      <c r="AF10" s="53"/>
      <c r="AG10" s="53"/>
    </row>
    <row r="11" spans="1:33" ht="12.75">
      <c r="A11" s="53">
        <v>1967</v>
      </c>
      <c r="B11" s="53">
        <v>11</v>
      </c>
      <c r="C11" s="53">
        <v>42.2</v>
      </c>
      <c r="D11" s="53">
        <v>27.5</v>
      </c>
      <c r="E11" s="53">
        <v>105</v>
      </c>
      <c r="F11" s="53">
        <v>131.1</v>
      </c>
      <c r="G11" s="53">
        <v>236.4</v>
      </c>
      <c r="H11" s="53">
        <v>209.2</v>
      </c>
      <c r="I11" s="53">
        <v>209.2</v>
      </c>
      <c r="J11" s="53">
        <v>192.1</v>
      </c>
      <c r="K11" s="53">
        <v>59.1</v>
      </c>
      <c r="L11" s="53">
        <v>77.3</v>
      </c>
      <c r="M11" s="53">
        <v>27.6</v>
      </c>
      <c r="N11" s="53">
        <f t="shared" si="1"/>
        <v>185.7</v>
      </c>
      <c r="O11" s="53">
        <f t="shared" si="2"/>
        <v>978.00000000000011</v>
      </c>
      <c r="P11" s="53">
        <f t="shared" si="3"/>
        <v>164</v>
      </c>
      <c r="Q11" s="53">
        <f t="shared" si="4"/>
        <v>1327.6999999999996</v>
      </c>
      <c r="R11" s="63"/>
      <c r="S11" s="63"/>
      <c r="T11" s="63"/>
      <c r="U11" s="63"/>
      <c r="V11" s="53"/>
      <c r="W11" s="53"/>
      <c r="X11" s="53"/>
      <c r="Y11" s="53"/>
      <c r="Z11" s="53"/>
      <c r="AA11" s="54"/>
      <c r="AB11" s="54"/>
      <c r="AC11" s="54"/>
      <c r="AD11" s="53"/>
      <c r="AE11" s="53"/>
      <c r="AF11" s="53"/>
      <c r="AG11" s="53"/>
    </row>
    <row r="12" spans="1:33" ht="12.75">
      <c r="A12" s="53">
        <v>1968</v>
      </c>
      <c r="B12" s="53">
        <v>22.3</v>
      </c>
      <c r="C12" s="53">
        <v>24.4</v>
      </c>
      <c r="D12" s="53">
        <v>38.700000000000003</v>
      </c>
      <c r="E12" s="53">
        <v>121.7</v>
      </c>
      <c r="F12" s="53">
        <v>200.4</v>
      </c>
      <c r="G12" s="53">
        <v>180.7</v>
      </c>
      <c r="H12" s="53">
        <v>166.3</v>
      </c>
      <c r="I12" s="53">
        <v>244.4</v>
      </c>
      <c r="J12" s="53">
        <v>52.6</v>
      </c>
      <c r="K12" s="53">
        <v>91.1</v>
      </c>
      <c r="L12" s="53">
        <v>28.7</v>
      </c>
      <c r="M12" s="53">
        <v>17.899999999999999</v>
      </c>
      <c r="N12" s="53">
        <f t="shared" si="1"/>
        <v>207.10000000000002</v>
      </c>
      <c r="O12" s="53">
        <f t="shared" si="2"/>
        <v>844.40000000000009</v>
      </c>
      <c r="P12" s="53">
        <f t="shared" si="3"/>
        <v>137.69999999999999</v>
      </c>
      <c r="Q12" s="53">
        <f t="shared" si="4"/>
        <v>1189.2</v>
      </c>
      <c r="R12" s="63"/>
      <c r="S12" s="63"/>
      <c r="T12" s="63"/>
      <c r="U12" s="63"/>
      <c r="V12" s="53"/>
      <c r="W12" s="53"/>
      <c r="X12" s="53"/>
      <c r="Y12" s="53"/>
      <c r="Z12" s="53"/>
      <c r="AA12" s="54"/>
      <c r="AB12" s="54"/>
      <c r="AC12" s="54"/>
      <c r="AD12" s="53"/>
      <c r="AE12" s="53"/>
      <c r="AF12" s="53"/>
      <c r="AG12" s="53"/>
    </row>
    <row r="13" spans="1:33" ht="12.75">
      <c r="A13" s="53">
        <v>1969</v>
      </c>
      <c r="B13" s="53">
        <v>12.1</v>
      </c>
      <c r="C13" s="53">
        <v>6.5</v>
      </c>
      <c r="D13" s="53">
        <v>34.200000000000003</v>
      </c>
      <c r="E13" s="53">
        <v>62.6</v>
      </c>
      <c r="F13" s="53">
        <v>135.30000000000001</v>
      </c>
      <c r="G13" s="53">
        <v>399.2</v>
      </c>
      <c r="H13" s="53">
        <v>273.60000000000002</v>
      </c>
      <c r="I13" s="53">
        <v>176.8</v>
      </c>
      <c r="J13" s="53">
        <v>28</v>
      </c>
      <c r="K13" s="53">
        <v>101.8</v>
      </c>
      <c r="L13" s="53">
        <v>82.2</v>
      </c>
      <c r="M13" s="53">
        <v>11</v>
      </c>
      <c r="N13" s="53">
        <f t="shared" si="1"/>
        <v>115.4</v>
      </c>
      <c r="O13" s="53">
        <f t="shared" si="2"/>
        <v>1012.9000000000001</v>
      </c>
      <c r="P13" s="53">
        <f t="shared" si="3"/>
        <v>195</v>
      </c>
      <c r="Q13" s="53">
        <f t="shared" si="4"/>
        <v>1323.3</v>
      </c>
      <c r="R13" s="63"/>
      <c r="S13" s="63"/>
      <c r="T13" s="63"/>
      <c r="U13" s="63"/>
      <c r="V13" s="53"/>
      <c r="W13" s="53"/>
      <c r="X13" s="53"/>
      <c r="Y13" s="53"/>
      <c r="Z13" s="53"/>
      <c r="AA13" s="54"/>
      <c r="AB13" s="54"/>
      <c r="AC13" s="54"/>
      <c r="AD13" s="53"/>
      <c r="AE13" s="53"/>
      <c r="AF13" s="53"/>
      <c r="AG13" s="53"/>
    </row>
    <row r="14" spans="1:33" ht="12.75">
      <c r="A14" s="53">
        <v>1970</v>
      </c>
      <c r="B14" s="53">
        <v>36.1</v>
      </c>
      <c r="C14" s="53">
        <v>17.100000000000001</v>
      </c>
      <c r="D14" s="53">
        <v>75.2</v>
      </c>
      <c r="E14" s="53">
        <v>100.5</v>
      </c>
      <c r="F14" s="53">
        <v>157.1</v>
      </c>
      <c r="G14" s="53">
        <v>169.6</v>
      </c>
      <c r="H14" s="53">
        <v>262</v>
      </c>
      <c r="I14" s="53">
        <v>93.7</v>
      </c>
      <c r="J14" s="53">
        <v>197.4</v>
      </c>
      <c r="K14" s="53">
        <v>73.5</v>
      </c>
      <c r="L14" s="53">
        <v>53.8</v>
      </c>
      <c r="M14" s="53">
        <v>71.599999999999994</v>
      </c>
      <c r="N14" s="53">
        <f t="shared" si="1"/>
        <v>228.9</v>
      </c>
      <c r="O14" s="53">
        <f t="shared" si="2"/>
        <v>879.80000000000007</v>
      </c>
      <c r="P14" s="53">
        <f t="shared" si="3"/>
        <v>198.89999999999998</v>
      </c>
      <c r="Q14" s="53">
        <f t="shared" si="4"/>
        <v>1307.5999999999999</v>
      </c>
      <c r="R14" s="63"/>
      <c r="S14" s="63"/>
      <c r="T14" s="63"/>
      <c r="U14" s="63"/>
      <c r="V14" s="53"/>
      <c r="W14" s="53"/>
      <c r="X14" s="53"/>
      <c r="Y14" s="53"/>
      <c r="Z14" s="53"/>
      <c r="AA14" s="54"/>
      <c r="AB14" s="54"/>
      <c r="AC14" s="54"/>
      <c r="AD14" s="53"/>
      <c r="AE14" s="53"/>
      <c r="AF14" s="53"/>
      <c r="AG14" s="53"/>
    </row>
    <row r="15" spans="1:33" ht="12.75">
      <c r="A15" s="53">
        <v>1971</v>
      </c>
      <c r="B15" s="53">
        <v>14.4</v>
      </c>
      <c r="C15" s="53">
        <v>38.5</v>
      </c>
      <c r="D15" s="53">
        <v>46.5</v>
      </c>
      <c r="E15" s="53">
        <v>123.4</v>
      </c>
      <c r="F15" s="53">
        <v>330.8</v>
      </c>
      <c r="G15" s="53">
        <v>392.2</v>
      </c>
      <c r="H15" s="53">
        <v>130.5</v>
      </c>
      <c r="I15" s="53">
        <v>148.1</v>
      </c>
      <c r="J15" s="53">
        <v>167.5</v>
      </c>
      <c r="K15" s="53">
        <v>126</v>
      </c>
      <c r="L15" s="53">
        <v>39.299999999999997</v>
      </c>
      <c r="M15" s="53">
        <v>43</v>
      </c>
      <c r="N15" s="53">
        <f t="shared" si="1"/>
        <v>222.8</v>
      </c>
      <c r="O15" s="53">
        <f t="shared" si="2"/>
        <v>1169.0999999999999</v>
      </c>
      <c r="P15" s="53">
        <f t="shared" si="3"/>
        <v>208.3</v>
      </c>
      <c r="Q15" s="53">
        <f t="shared" si="4"/>
        <v>1600.1999999999998</v>
      </c>
      <c r="R15" s="63"/>
      <c r="S15" s="63"/>
      <c r="T15" s="63"/>
      <c r="U15" s="63"/>
      <c r="V15" s="53"/>
      <c r="W15" s="53"/>
      <c r="X15" s="53"/>
      <c r="Y15" s="53"/>
      <c r="Z15" s="53"/>
      <c r="AA15" s="54"/>
      <c r="AB15" s="54"/>
      <c r="AC15" s="54"/>
      <c r="AD15" s="53"/>
      <c r="AE15" s="53"/>
      <c r="AF15" s="53"/>
      <c r="AG15" s="53"/>
    </row>
    <row r="16" spans="1:33" ht="12.75">
      <c r="A16" s="53">
        <v>1972</v>
      </c>
      <c r="B16" s="53">
        <v>17.2</v>
      </c>
      <c r="C16" s="53">
        <v>25.8</v>
      </c>
      <c r="D16" s="53">
        <v>21.6</v>
      </c>
      <c r="E16" s="53">
        <v>105.3</v>
      </c>
      <c r="F16" s="53">
        <v>267.39999999999998</v>
      </c>
      <c r="G16" s="53">
        <v>429.6</v>
      </c>
      <c r="H16" s="53">
        <v>35.5</v>
      </c>
      <c r="I16" s="53">
        <v>54.1</v>
      </c>
      <c r="J16" s="53">
        <v>314.7</v>
      </c>
      <c r="K16" s="53">
        <v>110.3</v>
      </c>
      <c r="L16" s="53">
        <v>78.400000000000006</v>
      </c>
      <c r="M16" s="53">
        <v>23.6</v>
      </c>
      <c r="N16" s="53">
        <f t="shared" si="1"/>
        <v>169.89999999999998</v>
      </c>
      <c r="O16" s="53">
        <f t="shared" si="2"/>
        <v>1101.3</v>
      </c>
      <c r="P16" s="53">
        <f t="shared" si="3"/>
        <v>212.29999999999998</v>
      </c>
      <c r="Q16" s="53">
        <f t="shared" si="4"/>
        <v>1483.5</v>
      </c>
      <c r="R16" s="63"/>
      <c r="S16" s="63"/>
      <c r="T16" s="63"/>
      <c r="U16" s="63"/>
      <c r="V16" s="53"/>
      <c r="W16" s="53"/>
      <c r="X16" s="53"/>
      <c r="Y16" s="53"/>
      <c r="Z16" s="53"/>
      <c r="AA16" s="54"/>
      <c r="AB16" s="54"/>
      <c r="AC16" s="54"/>
      <c r="AD16" s="53"/>
      <c r="AE16" s="53"/>
      <c r="AF16" s="53"/>
      <c r="AG16" s="53"/>
    </row>
    <row r="17" spans="1:33" ht="12.75">
      <c r="A17" s="53">
        <v>1973</v>
      </c>
      <c r="B17" s="53">
        <v>30.1</v>
      </c>
      <c r="C17" s="53">
        <v>17.3</v>
      </c>
      <c r="D17" s="53">
        <v>68</v>
      </c>
      <c r="E17" s="53">
        <v>101.4</v>
      </c>
      <c r="F17" s="53">
        <v>165</v>
      </c>
      <c r="G17" s="53">
        <v>398.1</v>
      </c>
      <c r="H17" s="53">
        <v>179.9</v>
      </c>
      <c r="I17" s="53">
        <v>141.80000000000001</v>
      </c>
      <c r="J17" s="53">
        <v>103.9</v>
      </c>
      <c r="K17" s="53">
        <v>53.4</v>
      </c>
      <c r="L17" s="53">
        <v>57</v>
      </c>
      <c r="M17" s="53">
        <v>12.1</v>
      </c>
      <c r="N17" s="53">
        <f t="shared" si="1"/>
        <v>216.8</v>
      </c>
      <c r="O17" s="53">
        <f t="shared" si="2"/>
        <v>988.69999999999993</v>
      </c>
      <c r="P17" s="53">
        <f t="shared" si="3"/>
        <v>122.5</v>
      </c>
      <c r="Q17" s="53">
        <f t="shared" si="4"/>
        <v>1328.0000000000002</v>
      </c>
      <c r="R17" s="63"/>
      <c r="S17" s="63"/>
      <c r="T17" s="63"/>
      <c r="U17" s="63"/>
      <c r="V17" s="53"/>
      <c r="W17" s="53"/>
      <c r="X17" s="53"/>
      <c r="Y17" s="53"/>
      <c r="Z17" s="53"/>
      <c r="AA17" s="54"/>
      <c r="AB17" s="54"/>
      <c r="AC17" s="54"/>
      <c r="AD17" s="53"/>
      <c r="AE17" s="53"/>
      <c r="AF17" s="53"/>
      <c r="AG17" s="53"/>
    </row>
    <row r="18" spans="1:33" ht="12.75">
      <c r="A18" s="53">
        <v>1974</v>
      </c>
      <c r="B18" s="53">
        <v>26.1</v>
      </c>
      <c r="C18" s="53">
        <v>6.8</v>
      </c>
      <c r="D18" s="53">
        <v>67.8</v>
      </c>
      <c r="E18" s="53">
        <v>246.6</v>
      </c>
      <c r="F18" s="53">
        <v>207.2</v>
      </c>
      <c r="G18" s="53">
        <v>273.60000000000002</v>
      </c>
      <c r="H18" s="53">
        <v>205.5</v>
      </c>
      <c r="I18" s="53">
        <v>266.7</v>
      </c>
      <c r="J18" s="53">
        <v>142.19999999999999</v>
      </c>
      <c r="K18" s="53">
        <v>55.8</v>
      </c>
      <c r="L18" s="53">
        <v>24.4</v>
      </c>
      <c r="M18" s="53">
        <v>27.5</v>
      </c>
      <c r="N18" s="53">
        <f t="shared" si="1"/>
        <v>347.29999999999995</v>
      </c>
      <c r="O18" s="53">
        <f t="shared" si="2"/>
        <v>1095.2</v>
      </c>
      <c r="P18" s="53">
        <f t="shared" si="3"/>
        <v>107.69999999999999</v>
      </c>
      <c r="Q18" s="53">
        <f t="shared" si="4"/>
        <v>1550.2</v>
      </c>
      <c r="R18" s="63"/>
      <c r="S18" s="63"/>
      <c r="T18" s="63"/>
      <c r="U18" s="63"/>
      <c r="V18" s="53"/>
      <c r="W18" s="53"/>
      <c r="X18" s="53"/>
      <c r="Y18" s="53"/>
      <c r="Z18" s="53"/>
      <c r="AA18" s="54"/>
      <c r="AB18" s="54"/>
      <c r="AC18" s="54"/>
      <c r="AD18" s="53"/>
      <c r="AE18" s="53"/>
      <c r="AF18" s="53"/>
      <c r="AG18" s="53"/>
    </row>
    <row r="19" spans="1:33" ht="12.75">
      <c r="A19" s="53">
        <v>1975</v>
      </c>
      <c r="B19" s="53">
        <v>37.9</v>
      </c>
      <c r="C19" s="53">
        <v>16</v>
      </c>
      <c r="D19" s="53">
        <v>41.1</v>
      </c>
      <c r="E19" s="53">
        <v>183.4</v>
      </c>
      <c r="F19" s="53">
        <v>242.1</v>
      </c>
      <c r="G19" s="53">
        <v>199.2</v>
      </c>
      <c r="H19" s="53">
        <v>18.399999999999999</v>
      </c>
      <c r="I19" s="53">
        <v>241.6</v>
      </c>
      <c r="J19" s="53">
        <v>141.6</v>
      </c>
      <c r="K19" s="53">
        <v>82.4</v>
      </c>
      <c r="L19" s="53">
        <v>94.9</v>
      </c>
      <c r="M19" s="53">
        <v>13.2</v>
      </c>
      <c r="N19" s="53">
        <f t="shared" si="1"/>
        <v>278.39999999999998</v>
      </c>
      <c r="O19" s="53">
        <f t="shared" si="2"/>
        <v>842.9</v>
      </c>
      <c r="P19" s="53">
        <f t="shared" si="3"/>
        <v>190.5</v>
      </c>
      <c r="Q19" s="53">
        <f t="shared" si="4"/>
        <v>1311.8000000000002</v>
      </c>
      <c r="R19" s="63"/>
      <c r="S19" s="63"/>
      <c r="T19" s="63"/>
      <c r="U19" s="63"/>
      <c r="V19" s="53"/>
      <c r="W19" s="53"/>
      <c r="X19" s="53"/>
      <c r="Y19" s="53"/>
      <c r="Z19" s="53"/>
      <c r="AA19" s="54"/>
      <c r="AB19" s="54"/>
      <c r="AC19" s="54"/>
      <c r="AD19" s="53"/>
      <c r="AE19" s="53"/>
      <c r="AF19" s="53"/>
      <c r="AG19" s="53"/>
    </row>
    <row r="20" spans="1:33" ht="12.75">
      <c r="A20" s="53">
        <v>1976</v>
      </c>
      <c r="B20" s="53">
        <v>33.700000000000003</v>
      </c>
      <c r="C20" s="53">
        <v>15.4</v>
      </c>
      <c r="D20" s="53">
        <v>31.7</v>
      </c>
      <c r="E20" s="53">
        <v>169.4</v>
      </c>
      <c r="F20" s="140" t="s">
        <v>262</v>
      </c>
      <c r="G20" s="53">
        <v>336.1</v>
      </c>
      <c r="H20" s="53">
        <v>215.5</v>
      </c>
      <c r="I20" s="53">
        <v>73.7</v>
      </c>
      <c r="J20" s="53">
        <v>98.9</v>
      </c>
      <c r="K20" s="53">
        <v>115.8</v>
      </c>
      <c r="L20" s="53">
        <v>57.7</v>
      </c>
      <c r="M20" s="53">
        <v>24.1</v>
      </c>
      <c r="N20" s="53">
        <f t="shared" si="1"/>
        <v>250.2</v>
      </c>
      <c r="O20" s="53">
        <f t="shared" si="2"/>
        <v>724.2</v>
      </c>
      <c r="P20" s="53">
        <f t="shared" si="3"/>
        <v>197.6</v>
      </c>
      <c r="Q20" s="53">
        <f t="shared" si="4"/>
        <v>1172</v>
      </c>
      <c r="R20" s="63"/>
      <c r="S20" s="63"/>
      <c r="T20" s="63"/>
      <c r="U20" s="63"/>
      <c r="V20" s="53"/>
      <c r="W20" s="53"/>
      <c r="X20" s="53"/>
      <c r="Y20" s="53"/>
      <c r="Z20" s="53"/>
      <c r="AA20" s="54"/>
      <c r="AB20" s="54"/>
      <c r="AC20" s="54"/>
      <c r="AD20" s="53"/>
      <c r="AE20" s="53"/>
      <c r="AF20" s="53"/>
      <c r="AG20" s="53"/>
    </row>
    <row r="21" spans="1:33" ht="12.75">
      <c r="A21" s="53">
        <v>1977</v>
      </c>
      <c r="B21" s="53">
        <v>22</v>
      </c>
      <c r="C21" s="53">
        <v>26.6</v>
      </c>
      <c r="D21" s="53">
        <v>38.9</v>
      </c>
      <c r="E21" s="53">
        <v>191.2</v>
      </c>
      <c r="F21" s="53">
        <v>218.5</v>
      </c>
      <c r="G21" s="53">
        <v>336.5</v>
      </c>
      <c r="H21" s="53">
        <v>229.3</v>
      </c>
      <c r="I21" s="53">
        <v>142</v>
      </c>
      <c r="J21" s="53">
        <v>77</v>
      </c>
      <c r="K21" s="53">
        <v>144.9</v>
      </c>
      <c r="L21" s="53">
        <v>48.6</v>
      </c>
      <c r="M21" s="53">
        <v>4.4000000000000004</v>
      </c>
      <c r="N21" s="53">
        <f t="shared" si="1"/>
        <v>278.7</v>
      </c>
      <c r="O21" s="53">
        <f t="shared" si="2"/>
        <v>1003.3</v>
      </c>
      <c r="P21" s="53">
        <f t="shared" si="3"/>
        <v>197.9</v>
      </c>
      <c r="Q21" s="53">
        <f t="shared" si="4"/>
        <v>1479.9</v>
      </c>
      <c r="R21" s="63"/>
      <c r="S21" s="63"/>
      <c r="T21" s="63"/>
      <c r="U21" s="63"/>
      <c r="V21" s="53"/>
      <c r="W21" s="53"/>
      <c r="X21" s="53"/>
      <c r="Y21" s="53"/>
      <c r="Z21" s="53"/>
      <c r="AA21" s="54"/>
      <c r="AB21" s="54"/>
      <c r="AC21" s="54"/>
      <c r="AD21" s="53"/>
      <c r="AE21" s="53"/>
      <c r="AF21" s="53"/>
      <c r="AG21" s="53"/>
    </row>
    <row r="22" spans="1:33" ht="12.75">
      <c r="A22" s="53">
        <v>1978</v>
      </c>
      <c r="B22" s="53">
        <v>12.3</v>
      </c>
      <c r="C22" s="53">
        <v>5.6</v>
      </c>
      <c r="D22" s="53">
        <v>20</v>
      </c>
      <c r="E22" s="53">
        <v>51.9</v>
      </c>
      <c r="F22" s="53">
        <v>256.10000000000002</v>
      </c>
      <c r="G22" s="53">
        <v>334.1</v>
      </c>
      <c r="H22" s="53">
        <v>215.3</v>
      </c>
      <c r="I22" s="53">
        <v>99.5</v>
      </c>
      <c r="J22" s="53">
        <v>90.7</v>
      </c>
      <c r="K22" s="53">
        <v>115.1</v>
      </c>
      <c r="L22" s="53">
        <v>106.2</v>
      </c>
      <c r="M22" s="53">
        <v>13.3</v>
      </c>
      <c r="N22" s="53">
        <f t="shared" si="1"/>
        <v>89.8</v>
      </c>
      <c r="O22" s="53">
        <f t="shared" si="2"/>
        <v>995.7</v>
      </c>
      <c r="P22" s="53">
        <f t="shared" si="3"/>
        <v>234.60000000000002</v>
      </c>
      <c r="Q22" s="53">
        <f t="shared" si="4"/>
        <v>1320.1</v>
      </c>
      <c r="R22" s="63"/>
      <c r="S22" s="63"/>
      <c r="T22" s="63"/>
      <c r="U22" s="63"/>
      <c r="V22" s="53"/>
      <c r="W22" s="53"/>
      <c r="X22" s="53"/>
      <c r="Y22" s="53"/>
      <c r="Z22" s="53"/>
      <c r="AA22" s="54"/>
      <c r="AB22" s="54"/>
      <c r="AC22" s="54"/>
      <c r="AD22" s="53"/>
      <c r="AE22" s="53"/>
      <c r="AF22" s="53"/>
      <c r="AG22" s="53"/>
    </row>
    <row r="23" spans="1:33" ht="12.75">
      <c r="A23" s="53">
        <v>1979</v>
      </c>
      <c r="B23" s="53">
        <v>10.3</v>
      </c>
      <c r="C23" s="53">
        <v>17.399999999999999</v>
      </c>
      <c r="D23" s="53">
        <v>37.6</v>
      </c>
      <c r="E23" s="53">
        <v>59.4</v>
      </c>
      <c r="F23" s="53">
        <v>127.3</v>
      </c>
      <c r="G23" s="53">
        <v>255.2</v>
      </c>
      <c r="H23" s="53">
        <v>410.7</v>
      </c>
      <c r="I23" s="53">
        <v>107.8</v>
      </c>
      <c r="J23" s="53">
        <v>162.1</v>
      </c>
      <c r="K23" s="53">
        <v>88</v>
      </c>
      <c r="L23" s="53">
        <v>16.899999999999999</v>
      </c>
      <c r="M23" s="53">
        <v>40.799999999999997</v>
      </c>
      <c r="N23" s="53">
        <f t="shared" si="1"/>
        <v>124.69999999999999</v>
      </c>
      <c r="O23" s="53">
        <f t="shared" si="2"/>
        <v>1063.0999999999999</v>
      </c>
      <c r="P23" s="53">
        <f t="shared" si="3"/>
        <v>145.69999999999999</v>
      </c>
      <c r="Q23" s="53">
        <f t="shared" si="4"/>
        <v>1333.5</v>
      </c>
      <c r="R23" s="63"/>
      <c r="S23" s="63"/>
      <c r="T23" s="63"/>
      <c r="U23" s="63"/>
      <c r="V23" s="53"/>
      <c r="W23" s="53"/>
      <c r="X23" s="53"/>
      <c r="Y23" s="53"/>
      <c r="Z23" s="53"/>
      <c r="AA23" s="54"/>
      <c r="AB23" s="54"/>
      <c r="AC23" s="54"/>
      <c r="AD23" s="53"/>
      <c r="AE23" s="53"/>
      <c r="AF23" s="53"/>
      <c r="AG23" s="53"/>
    </row>
    <row r="24" spans="1:33" ht="12.75">
      <c r="A24" s="53">
        <v>1980</v>
      </c>
      <c r="B24" s="53">
        <v>18.399999999999999</v>
      </c>
      <c r="C24" s="53">
        <v>29.1</v>
      </c>
      <c r="D24" s="53">
        <v>26.8</v>
      </c>
      <c r="E24" s="53">
        <v>70.2</v>
      </c>
      <c r="F24" s="53">
        <v>354</v>
      </c>
      <c r="G24" s="53">
        <v>286.8</v>
      </c>
      <c r="H24" s="53">
        <v>192.3</v>
      </c>
      <c r="I24" s="53">
        <v>141.19999999999999</v>
      </c>
      <c r="J24" s="53">
        <v>71.2</v>
      </c>
      <c r="K24" s="53">
        <v>154.9</v>
      </c>
      <c r="L24" s="53">
        <v>63.7</v>
      </c>
      <c r="M24" s="53">
        <v>27.4</v>
      </c>
      <c r="N24" s="53">
        <f t="shared" si="1"/>
        <v>144.5</v>
      </c>
      <c r="O24" s="53">
        <f t="shared" si="2"/>
        <v>1045.5</v>
      </c>
      <c r="P24" s="53">
        <f t="shared" si="3"/>
        <v>246.00000000000003</v>
      </c>
      <c r="Q24" s="53">
        <f t="shared" si="4"/>
        <v>1436.0000000000002</v>
      </c>
      <c r="R24" s="63"/>
      <c r="S24" s="63"/>
      <c r="T24" s="63"/>
      <c r="U24" s="63"/>
      <c r="V24" s="53"/>
      <c r="W24" s="53"/>
      <c r="X24" s="53"/>
      <c r="Y24" s="53"/>
      <c r="Z24" s="53"/>
      <c r="AA24" s="54"/>
      <c r="AB24" s="54"/>
      <c r="AC24" s="54"/>
      <c r="AD24" s="53"/>
      <c r="AE24" s="53"/>
      <c r="AF24" s="53"/>
      <c r="AG24" s="53"/>
    </row>
    <row r="25" spans="1:33" ht="12.75">
      <c r="A25" s="53">
        <v>1981</v>
      </c>
      <c r="B25" s="53">
        <v>43.7</v>
      </c>
      <c r="C25" s="53">
        <v>25</v>
      </c>
      <c r="D25" s="53">
        <v>17</v>
      </c>
      <c r="E25" s="53">
        <v>104.6</v>
      </c>
      <c r="F25" s="53">
        <v>116.5</v>
      </c>
      <c r="G25" s="53">
        <v>74.2</v>
      </c>
      <c r="H25" s="53">
        <v>114.3</v>
      </c>
      <c r="I25" s="53">
        <v>52.8</v>
      </c>
      <c r="J25" s="53">
        <v>182.9</v>
      </c>
      <c r="K25" s="53">
        <v>73.2</v>
      </c>
      <c r="L25" s="53">
        <v>77.5</v>
      </c>
      <c r="M25" s="53">
        <v>10.199999999999999</v>
      </c>
      <c r="N25" s="53">
        <f t="shared" si="1"/>
        <v>190.3</v>
      </c>
      <c r="O25" s="53">
        <f t="shared" si="2"/>
        <v>540.70000000000005</v>
      </c>
      <c r="P25" s="53">
        <f t="shared" si="3"/>
        <v>160.89999999999998</v>
      </c>
      <c r="Q25" s="53">
        <f t="shared" si="4"/>
        <v>891.90000000000009</v>
      </c>
      <c r="R25" s="63"/>
      <c r="S25" s="63"/>
      <c r="T25" s="63"/>
      <c r="U25" s="63"/>
      <c r="V25" s="53"/>
      <c r="W25" s="53"/>
      <c r="X25" s="53"/>
      <c r="Y25" s="53"/>
      <c r="Z25" s="53"/>
      <c r="AA25" s="54"/>
      <c r="AB25" s="54"/>
      <c r="AC25" s="54"/>
      <c r="AD25" s="53"/>
      <c r="AE25" s="53"/>
      <c r="AF25" s="53"/>
      <c r="AG25" s="53"/>
    </row>
    <row r="26" spans="1:33" ht="12.75">
      <c r="A26" s="53">
        <v>1982</v>
      </c>
      <c r="B26" s="53">
        <v>34.299999999999997</v>
      </c>
      <c r="C26" s="53">
        <v>78.7</v>
      </c>
      <c r="D26" s="53">
        <v>29.1</v>
      </c>
      <c r="E26" s="53">
        <v>158.6</v>
      </c>
      <c r="F26" s="53">
        <v>106.6</v>
      </c>
      <c r="G26" s="53">
        <v>171.7</v>
      </c>
      <c r="H26" s="53">
        <v>97.9</v>
      </c>
      <c r="I26" s="53">
        <v>166.8</v>
      </c>
      <c r="J26" s="53">
        <v>187</v>
      </c>
      <c r="K26" s="53">
        <v>81.3</v>
      </c>
      <c r="L26" s="53">
        <v>96.1</v>
      </c>
      <c r="M26" s="53">
        <v>28.3</v>
      </c>
      <c r="N26" s="53">
        <f t="shared" si="1"/>
        <v>300.7</v>
      </c>
      <c r="O26" s="53">
        <f t="shared" si="2"/>
        <v>730</v>
      </c>
      <c r="P26" s="53">
        <f t="shared" si="3"/>
        <v>205.7</v>
      </c>
      <c r="Q26" s="53">
        <f t="shared" si="4"/>
        <v>1236.3999999999999</v>
      </c>
      <c r="R26" s="63"/>
      <c r="S26" s="63"/>
      <c r="T26" s="63"/>
      <c r="U26" s="63"/>
      <c r="V26" s="53"/>
      <c r="W26" s="53"/>
      <c r="X26" s="53"/>
      <c r="Y26" s="53"/>
      <c r="Z26" s="53"/>
      <c r="AA26" s="54"/>
      <c r="AB26" s="54"/>
      <c r="AC26" s="54"/>
      <c r="AD26" s="53"/>
      <c r="AE26" s="53"/>
      <c r="AF26" s="53"/>
      <c r="AG26" s="53"/>
    </row>
    <row r="27" spans="1:33" ht="12.75">
      <c r="A27" s="53">
        <v>1983</v>
      </c>
      <c r="B27" s="53">
        <v>34.299999999999997</v>
      </c>
      <c r="C27" s="53">
        <v>38.6</v>
      </c>
      <c r="D27" s="53">
        <v>51.3</v>
      </c>
      <c r="E27" s="53">
        <v>66.099999999999994</v>
      </c>
      <c r="F27" s="53">
        <v>166.1</v>
      </c>
      <c r="G27" s="53">
        <v>158.4</v>
      </c>
      <c r="H27" s="53">
        <v>106.4</v>
      </c>
      <c r="I27" s="53">
        <v>171.3</v>
      </c>
      <c r="J27" s="53">
        <v>83.9</v>
      </c>
      <c r="K27" s="53">
        <v>99.6</v>
      </c>
      <c r="L27" s="54">
        <v>57.7</v>
      </c>
      <c r="M27" s="54">
        <v>22.1</v>
      </c>
      <c r="N27" s="53">
        <f t="shared" si="1"/>
        <v>190.3</v>
      </c>
      <c r="O27" s="53">
        <f t="shared" si="2"/>
        <v>686.1</v>
      </c>
      <c r="P27" s="53">
        <f t="shared" si="3"/>
        <v>179.4</v>
      </c>
      <c r="Q27" s="53">
        <f t="shared" si="4"/>
        <v>1055.8</v>
      </c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53"/>
      <c r="AG27" s="53"/>
    </row>
    <row r="28" spans="1:33" ht="12.75">
      <c r="A28" s="53">
        <v>1984</v>
      </c>
      <c r="B28" s="53">
        <v>15.8</v>
      </c>
      <c r="C28" s="53">
        <v>30.4</v>
      </c>
      <c r="D28" s="53">
        <v>31.6</v>
      </c>
      <c r="E28" s="53">
        <v>170.8</v>
      </c>
      <c r="F28" s="53">
        <v>322.8</v>
      </c>
      <c r="G28" s="53">
        <v>65</v>
      </c>
      <c r="H28" s="53">
        <v>164.2</v>
      </c>
      <c r="I28" s="53">
        <v>238.7</v>
      </c>
      <c r="J28" s="53">
        <v>307.3</v>
      </c>
      <c r="K28" s="53">
        <v>61.8</v>
      </c>
      <c r="L28" s="54">
        <v>18.600000000000001</v>
      </c>
      <c r="M28" s="54">
        <v>28.6</v>
      </c>
      <c r="N28" s="53">
        <f t="shared" si="1"/>
        <v>248.60000000000002</v>
      </c>
      <c r="O28" s="53">
        <f t="shared" si="2"/>
        <v>1098</v>
      </c>
      <c r="P28" s="53">
        <f t="shared" si="3"/>
        <v>109</v>
      </c>
      <c r="Q28" s="53">
        <f t="shared" si="4"/>
        <v>1455.6</v>
      </c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3"/>
      <c r="AG28" s="53"/>
    </row>
    <row r="29" spans="1:33">
      <c r="A29" s="53">
        <v>1985</v>
      </c>
      <c r="B29" s="53">
        <v>14.9</v>
      </c>
      <c r="C29" s="53">
        <v>10.9</v>
      </c>
      <c r="D29" s="53">
        <v>38.4</v>
      </c>
      <c r="E29" s="53">
        <v>112.4</v>
      </c>
      <c r="F29" s="53">
        <v>147.6</v>
      </c>
      <c r="G29" s="53">
        <v>189.9</v>
      </c>
      <c r="H29" s="53">
        <v>165</v>
      </c>
      <c r="I29" s="53">
        <v>118.8</v>
      </c>
      <c r="J29" s="53">
        <v>41.1</v>
      </c>
      <c r="K29" s="53">
        <v>49.2</v>
      </c>
      <c r="L29" s="53">
        <v>45.3</v>
      </c>
      <c r="M29" s="53">
        <v>21.9</v>
      </c>
      <c r="N29" s="53">
        <f t="shared" si="1"/>
        <v>176.60000000000002</v>
      </c>
      <c r="O29" s="53">
        <f t="shared" si="2"/>
        <v>662.4</v>
      </c>
      <c r="P29" s="53">
        <f t="shared" si="3"/>
        <v>116.4</v>
      </c>
      <c r="Q29" s="53">
        <f t="shared" si="4"/>
        <v>955.4</v>
      </c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53"/>
      <c r="AG29" s="53"/>
    </row>
    <row r="30" spans="1:33">
      <c r="A30" s="53">
        <v>1986</v>
      </c>
      <c r="B30" s="53">
        <v>18.2</v>
      </c>
      <c r="C30" s="53">
        <v>19.8</v>
      </c>
      <c r="D30" s="53">
        <v>23</v>
      </c>
      <c r="E30" s="53">
        <v>68</v>
      </c>
      <c r="F30" s="53">
        <v>95.9</v>
      </c>
      <c r="G30" s="53">
        <v>217.8</v>
      </c>
      <c r="H30" s="53">
        <v>224.4</v>
      </c>
      <c r="I30" s="53">
        <v>131.6</v>
      </c>
      <c r="J30" s="53">
        <v>69.900000000000006</v>
      </c>
      <c r="K30" s="53">
        <v>60.2</v>
      </c>
      <c r="L30" s="53">
        <v>60.3</v>
      </c>
      <c r="M30" s="53">
        <v>5.3</v>
      </c>
      <c r="N30" s="53">
        <f t="shared" si="1"/>
        <v>129</v>
      </c>
      <c r="O30" s="53">
        <f t="shared" si="2"/>
        <v>739.6</v>
      </c>
      <c r="P30" s="53">
        <f t="shared" si="3"/>
        <v>125.8</v>
      </c>
      <c r="Q30" s="53">
        <f t="shared" si="4"/>
        <v>994.4</v>
      </c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53"/>
      <c r="AG30" s="53"/>
    </row>
    <row r="31" spans="1:33">
      <c r="A31" s="53">
        <v>1987</v>
      </c>
      <c r="B31" s="53">
        <v>43.5</v>
      </c>
      <c r="C31" s="53">
        <v>27.9</v>
      </c>
      <c r="D31" s="53">
        <v>17.600000000000001</v>
      </c>
      <c r="E31" s="53">
        <v>58.7</v>
      </c>
      <c r="F31" s="53">
        <v>114.1</v>
      </c>
      <c r="G31" s="53">
        <v>152</v>
      </c>
      <c r="H31" s="53">
        <v>172.6</v>
      </c>
      <c r="I31" s="53">
        <v>200.1</v>
      </c>
      <c r="J31" s="53">
        <v>101.1</v>
      </c>
      <c r="K31" s="53">
        <v>169.3</v>
      </c>
      <c r="L31" s="53">
        <v>60.7</v>
      </c>
      <c r="M31" s="53">
        <v>5.5</v>
      </c>
      <c r="N31" s="53">
        <f t="shared" si="1"/>
        <v>147.69999999999999</v>
      </c>
      <c r="O31" s="53">
        <f t="shared" si="2"/>
        <v>739.90000000000009</v>
      </c>
      <c r="P31" s="53">
        <f t="shared" si="3"/>
        <v>235.5</v>
      </c>
      <c r="Q31" s="53">
        <f t="shared" si="4"/>
        <v>1123.1000000000001</v>
      </c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53"/>
      <c r="AG31" s="53"/>
    </row>
    <row r="32" spans="1:33">
      <c r="A32" s="53">
        <v>1988</v>
      </c>
      <c r="B32" s="53">
        <v>22.1</v>
      </c>
      <c r="C32" s="53">
        <v>25.3</v>
      </c>
      <c r="D32" s="53">
        <v>10.9</v>
      </c>
      <c r="E32" s="53">
        <v>168.5</v>
      </c>
      <c r="F32" s="53">
        <v>97.1</v>
      </c>
      <c r="G32" s="53">
        <v>194.7</v>
      </c>
      <c r="H32" s="53">
        <v>118.3</v>
      </c>
      <c r="I32" s="53">
        <v>238.6</v>
      </c>
      <c r="J32" s="53">
        <v>202.4</v>
      </c>
      <c r="K32" s="53">
        <v>44.3</v>
      </c>
      <c r="L32" s="53">
        <v>1.5</v>
      </c>
      <c r="M32" s="53">
        <v>13.8</v>
      </c>
      <c r="N32" s="53">
        <f t="shared" si="1"/>
        <v>226.8</v>
      </c>
      <c r="O32" s="53">
        <f t="shared" si="2"/>
        <v>851.09999999999991</v>
      </c>
      <c r="P32" s="53">
        <f t="shared" si="3"/>
        <v>59.599999999999994</v>
      </c>
      <c r="Q32" s="53">
        <f t="shared" si="4"/>
        <v>1137.4999999999998</v>
      </c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53"/>
      <c r="AG32" s="53"/>
    </row>
    <row r="33" spans="1:33">
      <c r="A33" s="53">
        <v>1989</v>
      </c>
      <c r="B33" s="53">
        <v>13.9</v>
      </c>
      <c r="C33" s="53">
        <v>36.6</v>
      </c>
      <c r="D33" s="53">
        <v>58.7</v>
      </c>
      <c r="E33" s="53">
        <v>40</v>
      </c>
      <c r="F33" s="53">
        <v>92.7</v>
      </c>
      <c r="G33" s="53">
        <v>317</v>
      </c>
      <c r="H33" s="53">
        <v>95.7</v>
      </c>
      <c r="I33" s="53">
        <v>59.8</v>
      </c>
      <c r="J33" s="53">
        <v>95.6</v>
      </c>
      <c r="K33" s="53">
        <v>84.4</v>
      </c>
      <c r="L33" s="53">
        <v>26.2</v>
      </c>
      <c r="M33" s="53">
        <v>18.399999999999999</v>
      </c>
      <c r="N33" s="53">
        <f t="shared" si="1"/>
        <v>149.19999999999999</v>
      </c>
      <c r="O33" s="53">
        <f t="shared" si="2"/>
        <v>660.8</v>
      </c>
      <c r="P33" s="53">
        <f t="shared" si="3"/>
        <v>129</v>
      </c>
      <c r="Q33" s="53">
        <f t="shared" si="4"/>
        <v>939</v>
      </c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53"/>
      <c r="AG33" s="53"/>
    </row>
    <row r="34" spans="1:33">
      <c r="A34" s="53">
        <v>1990</v>
      </c>
      <c r="B34" s="53">
        <v>18.7</v>
      </c>
      <c r="C34" s="53">
        <v>14.8</v>
      </c>
      <c r="D34" s="53">
        <v>78</v>
      </c>
      <c r="E34" s="53">
        <v>47.9</v>
      </c>
      <c r="F34" s="53">
        <v>136.19999999999999</v>
      </c>
      <c r="G34" s="53">
        <v>228.4</v>
      </c>
      <c r="H34" s="53">
        <v>82</v>
      </c>
      <c r="I34" s="53">
        <v>29</v>
      </c>
      <c r="J34" s="53">
        <v>144.9</v>
      </c>
      <c r="K34" s="53">
        <v>122.2</v>
      </c>
      <c r="L34" s="53">
        <v>51.6</v>
      </c>
      <c r="M34" s="53">
        <v>12.4</v>
      </c>
      <c r="N34" s="53">
        <f t="shared" si="1"/>
        <v>159.4</v>
      </c>
      <c r="O34" s="53">
        <f t="shared" si="2"/>
        <v>620.5</v>
      </c>
      <c r="P34" s="53">
        <f t="shared" si="3"/>
        <v>186.20000000000002</v>
      </c>
      <c r="Q34" s="53">
        <f t="shared" si="4"/>
        <v>966.1</v>
      </c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53"/>
      <c r="AG34" s="53"/>
    </row>
    <row r="35" spans="1:33">
      <c r="A35" s="53">
        <v>1991</v>
      </c>
      <c r="B35" s="53">
        <v>60.8</v>
      </c>
      <c r="C35" s="53">
        <v>34.299999999999997</v>
      </c>
      <c r="D35" s="53">
        <v>28.5</v>
      </c>
      <c r="E35" s="53">
        <v>45.2</v>
      </c>
      <c r="F35" s="53">
        <v>72.900000000000006</v>
      </c>
      <c r="G35" s="53">
        <v>175.4</v>
      </c>
      <c r="H35" s="53">
        <v>360.4</v>
      </c>
      <c r="I35" s="53">
        <v>133.5</v>
      </c>
      <c r="J35" s="53">
        <v>83.1</v>
      </c>
      <c r="K35" s="53">
        <v>66.3</v>
      </c>
      <c r="L35" s="53">
        <v>49.4</v>
      </c>
      <c r="M35" s="53">
        <v>17</v>
      </c>
      <c r="N35" s="53">
        <f t="shared" si="1"/>
        <v>168.8</v>
      </c>
      <c r="O35" s="53">
        <f t="shared" si="2"/>
        <v>825.30000000000007</v>
      </c>
      <c r="P35" s="53">
        <f t="shared" si="3"/>
        <v>132.69999999999999</v>
      </c>
      <c r="Q35" s="53">
        <f t="shared" si="4"/>
        <v>1126.8000000000002</v>
      </c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53"/>
      <c r="AG35" s="53"/>
    </row>
    <row r="36" spans="1:33">
      <c r="A36" s="53">
        <v>1992</v>
      </c>
      <c r="B36" s="53">
        <v>34.299999999999997</v>
      </c>
      <c r="C36" s="53">
        <v>37</v>
      </c>
      <c r="D36" s="53">
        <v>35.1</v>
      </c>
      <c r="E36" s="53">
        <v>120</v>
      </c>
      <c r="F36" s="53">
        <v>301.89999999999998</v>
      </c>
      <c r="G36" s="53">
        <v>205.8</v>
      </c>
      <c r="H36" s="53">
        <v>97.3</v>
      </c>
      <c r="I36" s="53">
        <v>30.3</v>
      </c>
      <c r="J36" s="53">
        <v>38.9</v>
      </c>
      <c r="K36" s="53">
        <v>168.9</v>
      </c>
      <c r="L36" s="53">
        <v>13.8</v>
      </c>
      <c r="M36" s="53">
        <v>23.1</v>
      </c>
      <c r="N36" s="53">
        <f t="shared" si="1"/>
        <v>226.4</v>
      </c>
      <c r="O36" s="53">
        <f t="shared" si="2"/>
        <v>674.19999999999993</v>
      </c>
      <c r="P36" s="53">
        <f t="shared" si="3"/>
        <v>205.8</v>
      </c>
      <c r="Q36" s="53">
        <f t="shared" si="4"/>
        <v>1106.3999999999996</v>
      </c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53"/>
      <c r="AG36" s="53"/>
    </row>
    <row r="37" spans="1:33">
      <c r="A37" s="53">
        <v>1993</v>
      </c>
      <c r="B37" s="53">
        <v>35.5</v>
      </c>
      <c r="C37" s="53">
        <v>40.4</v>
      </c>
      <c r="D37" s="53">
        <v>13.9</v>
      </c>
      <c r="E37" s="53">
        <v>44</v>
      </c>
      <c r="F37" s="53">
        <v>202.3</v>
      </c>
      <c r="G37" s="53">
        <v>113.5</v>
      </c>
      <c r="H37" s="53">
        <v>204.3</v>
      </c>
      <c r="I37" s="53">
        <v>123.7</v>
      </c>
      <c r="J37" s="53">
        <v>129.80000000000001</v>
      </c>
      <c r="K37" s="53">
        <v>40.6</v>
      </c>
      <c r="L37" s="53">
        <v>63.5</v>
      </c>
      <c r="M37" s="53">
        <v>7.5</v>
      </c>
      <c r="N37" s="53">
        <f t="shared" si="1"/>
        <v>133.80000000000001</v>
      </c>
      <c r="O37" s="53">
        <f t="shared" si="2"/>
        <v>773.60000000000014</v>
      </c>
      <c r="P37" s="53">
        <f t="shared" si="3"/>
        <v>111.6</v>
      </c>
      <c r="Q37" s="53">
        <f t="shared" si="4"/>
        <v>1019.0000000000001</v>
      </c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53"/>
      <c r="AG37" s="53"/>
    </row>
    <row r="38" spans="1:33">
      <c r="A38" s="53">
        <v>1994</v>
      </c>
      <c r="B38" s="53">
        <v>20.6</v>
      </c>
      <c r="C38" s="53">
        <v>9.4</v>
      </c>
      <c r="D38" s="53">
        <v>73.5</v>
      </c>
      <c r="E38" s="53">
        <v>42.5</v>
      </c>
      <c r="F38" s="53">
        <v>112.8</v>
      </c>
      <c r="G38" s="53">
        <v>183.7</v>
      </c>
      <c r="H38" s="53">
        <v>38.299999999999997</v>
      </c>
      <c r="I38" s="53">
        <v>88.6</v>
      </c>
      <c r="J38" s="53">
        <v>130.9</v>
      </c>
      <c r="K38" s="53">
        <v>153.19999999999999</v>
      </c>
      <c r="L38" s="53">
        <v>107</v>
      </c>
      <c r="M38" s="53">
        <v>39.9</v>
      </c>
      <c r="N38" s="53">
        <f t="shared" si="1"/>
        <v>146</v>
      </c>
      <c r="O38" s="53">
        <f t="shared" si="2"/>
        <v>554.29999999999995</v>
      </c>
      <c r="P38" s="53">
        <f t="shared" si="3"/>
        <v>300.09999999999997</v>
      </c>
      <c r="Q38" s="53">
        <f t="shared" si="4"/>
        <v>1000.4</v>
      </c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3"/>
    </row>
    <row r="39" spans="1:33">
      <c r="A39" s="53">
        <v>1995</v>
      </c>
      <c r="B39" s="53">
        <v>21.9</v>
      </c>
      <c r="C39" s="53">
        <v>43.5</v>
      </c>
      <c r="D39" s="53">
        <v>36.799999999999997</v>
      </c>
      <c r="E39" s="53">
        <v>44.6</v>
      </c>
      <c r="F39" s="53">
        <v>218.9</v>
      </c>
      <c r="G39" s="53">
        <v>317.7</v>
      </c>
      <c r="H39" s="53">
        <v>96.3</v>
      </c>
      <c r="I39" s="53">
        <v>104.3</v>
      </c>
      <c r="J39" s="53">
        <v>81</v>
      </c>
      <c r="K39" s="53">
        <v>65.400000000000006</v>
      </c>
      <c r="L39" s="53">
        <v>42.8</v>
      </c>
      <c r="M39" s="53">
        <v>7.9</v>
      </c>
      <c r="N39" s="53">
        <f t="shared" si="1"/>
        <v>146.80000000000001</v>
      </c>
      <c r="O39" s="53">
        <f t="shared" si="2"/>
        <v>818.19999999999993</v>
      </c>
      <c r="P39" s="53">
        <f t="shared" si="3"/>
        <v>116.10000000000001</v>
      </c>
      <c r="Q39" s="53">
        <f t="shared" si="4"/>
        <v>1081.1000000000001</v>
      </c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53"/>
      <c r="AG39" s="53"/>
    </row>
    <row r="40" spans="1:33">
      <c r="A40" s="53">
        <v>1996</v>
      </c>
      <c r="B40" s="53">
        <v>19.7</v>
      </c>
      <c r="C40" s="53">
        <v>5.5</v>
      </c>
      <c r="D40" s="53">
        <v>49.4</v>
      </c>
      <c r="E40" s="53">
        <v>36.799999999999997</v>
      </c>
      <c r="F40" s="53">
        <v>219.1</v>
      </c>
      <c r="G40" s="53">
        <v>362.8</v>
      </c>
      <c r="H40" s="53">
        <v>466.9</v>
      </c>
      <c r="I40" s="53">
        <v>44.8</v>
      </c>
      <c r="J40" s="53">
        <v>46.6</v>
      </c>
      <c r="K40" s="53">
        <v>73.8</v>
      </c>
      <c r="L40" s="53">
        <v>65.099999999999994</v>
      </c>
      <c r="M40" s="53">
        <v>16.7</v>
      </c>
      <c r="N40" s="53">
        <f t="shared" si="1"/>
        <v>111.39999999999999</v>
      </c>
      <c r="O40" s="53">
        <f t="shared" si="2"/>
        <v>1140.1999999999998</v>
      </c>
      <c r="P40" s="53">
        <f t="shared" si="3"/>
        <v>155.59999999999997</v>
      </c>
      <c r="Q40" s="53">
        <f t="shared" si="4"/>
        <v>1407.1999999999996</v>
      </c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53"/>
      <c r="AG40" s="53"/>
    </row>
    <row r="41" spans="1:33">
      <c r="A41" s="53">
        <v>1997</v>
      </c>
      <c r="B41" s="53">
        <v>46.2</v>
      </c>
      <c r="C41" s="53">
        <v>48.1</v>
      </c>
      <c r="D41" s="53">
        <v>30.2</v>
      </c>
      <c r="E41" s="53">
        <v>140.6</v>
      </c>
      <c r="F41" s="53">
        <v>116.3</v>
      </c>
      <c r="G41" s="53">
        <v>168.4</v>
      </c>
      <c r="H41" s="53">
        <v>420.1</v>
      </c>
      <c r="I41" s="53">
        <v>44.2</v>
      </c>
      <c r="J41" s="53">
        <v>201.6</v>
      </c>
      <c r="K41" s="53">
        <v>136.1</v>
      </c>
      <c r="L41" s="53">
        <v>9.6999999999999993</v>
      </c>
      <c r="M41" s="53">
        <v>25</v>
      </c>
      <c r="N41" s="53">
        <f t="shared" si="1"/>
        <v>265.10000000000002</v>
      </c>
      <c r="O41" s="53">
        <f t="shared" si="2"/>
        <v>950.6</v>
      </c>
      <c r="P41" s="53">
        <f t="shared" si="3"/>
        <v>170.79999999999998</v>
      </c>
      <c r="Q41" s="53">
        <f t="shared" si="4"/>
        <v>1386.5</v>
      </c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53"/>
      <c r="AG41" s="53"/>
    </row>
    <row r="42" spans="1:33">
      <c r="A42" s="53">
        <v>1998</v>
      </c>
      <c r="B42" s="53">
        <v>18.899999999999999</v>
      </c>
      <c r="C42" s="53">
        <v>16.399999999999999</v>
      </c>
      <c r="D42" s="53">
        <v>45.3</v>
      </c>
      <c r="E42" s="53">
        <v>63.4</v>
      </c>
      <c r="F42" s="53">
        <v>111.3</v>
      </c>
      <c r="G42" s="53">
        <v>224.8</v>
      </c>
      <c r="H42" s="53">
        <v>128.9</v>
      </c>
      <c r="I42" s="53">
        <v>120.4</v>
      </c>
      <c r="J42" s="53">
        <v>43.8</v>
      </c>
      <c r="K42" s="53">
        <v>98.7</v>
      </c>
      <c r="L42" s="53">
        <v>14.4</v>
      </c>
      <c r="M42" s="53">
        <v>21</v>
      </c>
      <c r="N42" s="53">
        <f t="shared" si="1"/>
        <v>144</v>
      </c>
      <c r="O42" s="53">
        <f t="shared" si="2"/>
        <v>629.19999999999993</v>
      </c>
      <c r="P42" s="53">
        <f t="shared" si="3"/>
        <v>134.10000000000002</v>
      </c>
      <c r="Q42" s="53">
        <f t="shared" si="4"/>
        <v>907.3</v>
      </c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53"/>
      <c r="AG42" s="53"/>
    </row>
    <row r="43" spans="1:33">
      <c r="A43" s="53">
        <v>1999</v>
      </c>
      <c r="B43" s="53">
        <v>27.1</v>
      </c>
      <c r="C43" s="53">
        <v>11.8</v>
      </c>
      <c r="D43" s="53">
        <v>20.8</v>
      </c>
      <c r="E43" s="53">
        <v>55.8</v>
      </c>
      <c r="F43" s="53">
        <v>124.2</v>
      </c>
      <c r="G43" s="53">
        <v>228.5</v>
      </c>
      <c r="H43" s="53">
        <v>309.7</v>
      </c>
      <c r="I43" s="53">
        <v>213.8</v>
      </c>
      <c r="J43" s="53">
        <v>72.2</v>
      </c>
      <c r="K43" s="53">
        <v>102.4</v>
      </c>
      <c r="L43" s="53">
        <v>44</v>
      </c>
      <c r="M43" s="53">
        <v>4.3</v>
      </c>
      <c r="N43" s="53">
        <f t="shared" si="1"/>
        <v>115.5</v>
      </c>
      <c r="O43" s="53">
        <f t="shared" si="2"/>
        <v>948.40000000000009</v>
      </c>
      <c r="P43" s="53">
        <f t="shared" si="3"/>
        <v>150.70000000000002</v>
      </c>
      <c r="Q43" s="53">
        <f t="shared" si="4"/>
        <v>1214.6000000000001</v>
      </c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53"/>
      <c r="AG43" s="53"/>
    </row>
    <row r="44" spans="1:33">
      <c r="A44" s="53">
        <v>2000</v>
      </c>
      <c r="B44" s="53">
        <v>36.700000000000003</v>
      </c>
      <c r="C44" s="53">
        <v>25.7</v>
      </c>
      <c r="D44" s="53">
        <v>40.200000000000003</v>
      </c>
      <c r="E44" s="53">
        <v>120.2</v>
      </c>
      <c r="F44" s="53">
        <v>244.6</v>
      </c>
      <c r="G44" s="53">
        <v>235.6</v>
      </c>
      <c r="H44" s="53">
        <v>140.4</v>
      </c>
      <c r="I44" s="53">
        <v>301.3</v>
      </c>
      <c r="J44" s="53">
        <v>106.5</v>
      </c>
      <c r="K44" s="53">
        <v>90.8</v>
      </c>
      <c r="L44" s="53">
        <v>34.200000000000003</v>
      </c>
      <c r="M44" s="53">
        <v>16.8</v>
      </c>
      <c r="N44" s="53">
        <f t="shared" si="1"/>
        <v>222.8</v>
      </c>
      <c r="O44" s="53">
        <f t="shared" si="2"/>
        <v>1028.4000000000001</v>
      </c>
      <c r="P44" s="53">
        <f t="shared" si="3"/>
        <v>141.80000000000001</v>
      </c>
      <c r="Q44" s="53">
        <f t="shared" si="4"/>
        <v>1393</v>
      </c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53"/>
      <c r="AG44" s="53"/>
    </row>
    <row r="45" spans="1:33">
      <c r="A45" s="53">
        <v>2001</v>
      </c>
      <c r="B45" s="53">
        <v>20.3</v>
      </c>
      <c r="C45" s="53">
        <v>12.2</v>
      </c>
      <c r="D45" s="53">
        <v>32.4</v>
      </c>
      <c r="E45" s="53">
        <v>60.9</v>
      </c>
      <c r="F45" s="53">
        <v>125</v>
      </c>
      <c r="G45" s="53">
        <v>248.4</v>
      </c>
      <c r="H45" s="53">
        <v>160.9</v>
      </c>
      <c r="I45" s="53">
        <v>89</v>
      </c>
      <c r="J45" s="53">
        <v>58.6</v>
      </c>
      <c r="K45" s="53">
        <v>161</v>
      </c>
      <c r="L45" s="53">
        <v>13.3</v>
      </c>
      <c r="M45" s="53">
        <v>22.5</v>
      </c>
      <c r="N45" s="53">
        <f t="shared" si="1"/>
        <v>125.80000000000001</v>
      </c>
      <c r="O45" s="53">
        <f t="shared" si="2"/>
        <v>681.9</v>
      </c>
      <c r="P45" s="53">
        <f t="shared" si="3"/>
        <v>196.8</v>
      </c>
      <c r="Q45" s="53">
        <f t="shared" si="4"/>
        <v>1004.5</v>
      </c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53"/>
      <c r="AG45" s="53"/>
    </row>
    <row r="46" spans="1:33">
      <c r="A46" s="53">
        <v>2002</v>
      </c>
      <c r="B46" s="53">
        <v>7.1</v>
      </c>
      <c r="C46" s="53">
        <v>32.9</v>
      </c>
      <c r="D46" s="53">
        <v>53.8</v>
      </c>
      <c r="E46" s="53">
        <v>125.9</v>
      </c>
      <c r="F46" s="53">
        <v>230.8</v>
      </c>
      <c r="G46" s="53">
        <v>320.2</v>
      </c>
      <c r="H46" s="53">
        <v>119</v>
      </c>
      <c r="I46" s="53">
        <v>215.3</v>
      </c>
      <c r="J46" s="53">
        <v>23.8</v>
      </c>
      <c r="K46" s="53">
        <v>87.7</v>
      </c>
      <c r="L46" s="53">
        <v>17.7</v>
      </c>
      <c r="M46" s="53">
        <v>20.6</v>
      </c>
      <c r="N46" s="53">
        <f t="shared" si="1"/>
        <v>219.7</v>
      </c>
      <c r="O46" s="53">
        <f t="shared" si="2"/>
        <v>909.09999999999991</v>
      </c>
      <c r="P46" s="53">
        <f t="shared" si="3"/>
        <v>126</v>
      </c>
      <c r="Q46" s="53">
        <f t="shared" si="4"/>
        <v>1254.8</v>
      </c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3"/>
      <c r="AG46" s="53"/>
    </row>
    <row r="47" spans="1:33">
      <c r="A47" s="53">
        <v>2003</v>
      </c>
      <c r="B47" s="53">
        <v>22.7</v>
      </c>
      <c r="C47" s="53">
        <v>3.8</v>
      </c>
      <c r="D47" s="53">
        <v>26.4</v>
      </c>
      <c r="E47" s="53">
        <v>164.6</v>
      </c>
      <c r="F47" s="53">
        <v>165</v>
      </c>
      <c r="G47" s="53">
        <v>151.6</v>
      </c>
      <c r="H47" s="53">
        <v>156.19999999999999</v>
      </c>
      <c r="I47" s="53">
        <v>32.1</v>
      </c>
      <c r="J47" s="53">
        <v>97.7</v>
      </c>
      <c r="K47" s="53">
        <v>61.1</v>
      </c>
      <c r="L47" s="53">
        <v>17.3</v>
      </c>
      <c r="M47" s="53">
        <v>62.8</v>
      </c>
      <c r="N47" s="53">
        <f t="shared" si="1"/>
        <v>217.5</v>
      </c>
      <c r="O47" s="53">
        <f t="shared" si="2"/>
        <v>602.6</v>
      </c>
      <c r="P47" s="53">
        <f t="shared" si="3"/>
        <v>141.19999999999999</v>
      </c>
      <c r="Q47" s="53">
        <f t="shared" si="4"/>
        <v>961.3</v>
      </c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53"/>
      <c r="AG47" s="53"/>
    </row>
    <row r="48" spans="1:33">
      <c r="A48" s="53">
        <v>2004</v>
      </c>
      <c r="B48" s="53">
        <v>43.6</v>
      </c>
      <c r="C48" s="53">
        <v>45.7</v>
      </c>
      <c r="D48" s="53">
        <v>18.100000000000001</v>
      </c>
      <c r="E48" s="53">
        <v>127.4</v>
      </c>
      <c r="F48" s="53">
        <v>191.9</v>
      </c>
      <c r="G48" s="53">
        <v>92.2</v>
      </c>
      <c r="H48" s="53">
        <v>253.8</v>
      </c>
      <c r="I48" s="53">
        <v>88.2</v>
      </c>
      <c r="J48" s="53">
        <v>54.7</v>
      </c>
      <c r="K48" s="53">
        <v>54.1</v>
      </c>
      <c r="L48" s="53">
        <v>27.5</v>
      </c>
      <c r="M48" s="53">
        <v>24.6</v>
      </c>
      <c r="N48" s="53">
        <f t="shared" si="1"/>
        <v>234.8</v>
      </c>
      <c r="O48" s="53">
        <f t="shared" si="2"/>
        <v>680.80000000000018</v>
      </c>
      <c r="P48" s="53">
        <f t="shared" si="3"/>
        <v>106.19999999999999</v>
      </c>
      <c r="Q48" s="53">
        <f t="shared" si="4"/>
        <v>1021.8000000000002</v>
      </c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53"/>
      <c r="AG48" s="53"/>
    </row>
    <row r="49" spans="1:33">
      <c r="A49" s="53">
        <v>2005</v>
      </c>
      <c r="B49" s="53">
        <v>34.9</v>
      </c>
      <c r="C49" s="53">
        <v>11.7</v>
      </c>
      <c r="D49" s="53">
        <v>47.2</v>
      </c>
      <c r="E49" s="53">
        <v>26.8</v>
      </c>
      <c r="F49" s="53">
        <v>180.8</v>
      </c>
      <c r="G49" s="53">
        <v>124.7</v>
      </c>
      <c r="H49" s="53">
        <v>200</v>
      </c>
      <c r="I49" s="53">
        <v>137.9</v>
      </c>
      <c r="J49" s="53">
        <v>66.8</v>
      </c>
      <c r="K49" s="53">
        <v>71.7</v>
      </c>
      <c r="L49" s="53">
        <v>27.6</v>
      </c>
      <c r="M49" s="53">
        <v>25</v>
      </c>
      <c r="N49" s="53">
        <f t="shared" si="1"/>
        <v>120.6</v>
      </c>
      <c r="O49" s="53">
        <f t="shared" si="2"/>
        <v>710.19999999999993</v>
      </c>
      <c r="P49" s="53">
        <f t="shared" si="3"/>
        <v>124.30000000000001</v>
      </c>
      <c r="Q49" s="53">
        <f t="shared" si="4"/>
        <v>955.09999999999991</v>
      </c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</row>
    <row r="50" spans="1:33">
      <c r="A50" s="53">
        <v>2006</v>
      </c>
      <c r="B50" s="53">
        <v>10</v>
      </c>
      <c r="C50" s="53">
        <v>40.299999999999997</v>
      </c>
      <c r="D50" s="53">
        <v>38.4</v>
      </c>
      <c r="E50" s="53">
        <v>67.599999999999994</v>
      </c>
      <c r="F50" s="53">
        <v>125.7</v>
      </c>
      <c r="G50" s="53">
        <v>110.1</v>
      </c>
      <c r="H50" s="53">
        <v>118</v>
      </c>
      <c r="I50" s="53">
        <v>82.1</v>
      </c>
      <c r="J50" s="53">
        <v>91.7</v>
      </c>
      <c r="K50" s="53">
        <v>195</v>
      </c>
      <c r="L50" s="53">
        <v>25.7</v>
      </c>
      <c r="M50" s="53">
        <v>26.8</v>
      </c>
      <c r="N50" s="53">
        <f t="shared" si="1"/>
        <v>156.29999999999998</v>
      </c>
      <c r="O50" s="53">
        <f t="shared" si="2"/>
        <v>527.6</v>
      </c>
      <c r="P50" s="53">
        <f t="shared" si="3"/>
        <v>247.5</v>
      </c>
      <c r="Q50" s="53">
        <f t="shared" si="4"/>
        <v>931.40000000000009</v>
      </c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53"/>
      <c r="AG50" s="53"/>
    </row>
    <row r="51" spans="1:33">
      <c r="A51" s="53">
        <v>2007</v>
      </c>
      <c r="B51" s="53">
        <v>31.1</v>
      </c>
      <c r="C51" s="53">
        <v>15.2</v>
      </c>
      <c r="D51" s="53">
        <v>22</v>
      </c>
      <c r="E51" s="53">
        <v>122.4</v>
      </c>
      <c r="F51" s="53">
        <v>97.6</v>
      </c>
      <c r="G51" s="53">
        <v>160</v>
      </c>
      <c r="H51" s="53">
        <v>437.3</v>
      </c>
      <c r="I51" s="53">
        <v>139.5</v>
      </c>
      <c r="J51" s="53">
        <v>98.4</v>
      </c>
      <c r="K51" s="53">
        <v>36.200000000000003</v>
      </c>
      <c r="L51" s="53">
        <v>4.4000000000000004</v>
      </c>
      <c r="M51" s="53">
        <v>28.4</v>
      </c>
      <c r="N51" s="53">
        <f t="shared" si="1"/>
        <v>190.7</v>
      </c>
      <c r="O51" s="53">
        <f t="shared" si="2"/>
        <v>932.80000000000007</v>
      </c>
      <c r="P51" s="53">
        <f t="shared" si="3"/>
        <v>69</v>
      </c>
      <c r="Q51" s="53">
        <f t="shared" si="4"/>
        <v>1192.5000000000002</v>
      </c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53"/>
      <c r="AG51" s="53"/>
    </row>
    <row r="52" spans="1:33">
      <c r="A52" s="53">
        <v>2008</v>
      </c>
      <c r="B52" s="53">
        <v>8.6999999999999993</v>
      </c>
      <c r="C52" s="53">
        <v>23</v>
      </c>
      <c r="D52" s="53">
        <v>51.5</v>
      </c>
      <c r="E52" s="53">
        <v>48.1</v>
      </c>
      <c r="F52" s="53">
        <v>196.7</v>
      </c>
      <c r="G52" s="53">
        <v>119.5</v>
      </c>
      <c r="H52" s="53">
        <v>238</v>
      </c>
      <c r="I52" s="53">
        <v>201.4</v>
      </c>
      <c r="J52" s="53">
        <v>65.3</v>
      </c>
      <c r="K52" s="53">
        <v>124.7</v>
      </c>
      <c r="L52" s="53">
        <v>90.7</v>
      </c>
      <c r="M52" s="53">
        <v>20</v>
      </c>
      <c r="N52" s="53">
        <f t="shared" si="1"/>
        <v>131.30000000000001</v>
      </c>
      <c r="O52" s="53">
        <f t="shared" si="2"/>
        <v>820.9</v>
      </c>
      <c r="P52" s="53">
        <f t="shared" si="3"/>
        <v>235.4</v>
      </c>
      <c r="Q52" s="53">
        <f t="shared" si="4"/>
        <v>1187.5999999999999</v>
      </c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53"/>
      <c r="AG52" s="53"/>
    </row>
    <row r="53" spans="1:33">
      <c r="A53" s="53">
        <v>2009</v>
      </c>
      <c r="B53" s="53">
        <v>26.4</v>
      </c>
      <c r="C53" s="53">
        <v>36.5</v>
      </c>
      <c r="D53" s="53">
        <v>34.9</v>
      </c>
      <c r="E53" s="53">
        <v>198.2</v>
      </c>
      <c r="F53" s="53">
        <v>91.2</v>
      </c>
      <c r="G53" s="53">
        <v>114.3</v>
      </c>
      <c r="H53" s="53">
        <v>175.8</v>
      </c>
      <c r="I53" s="53">
        <v>74.7</v>
      </c>
      <c r="J53" s="53">
        <v>55.3</v>
      </c>
      <c r="K53" s="53">
        <v>52.7</v>
      </c>
      <c r="L53" s="53">
        <v>12.5</v>
      </c>
      <c r="M53" s="53">
        <v>16.5</v>
      </c>
      <c r="N53" s="53">
        <f t="shared" si="1"/>
        <v>296</v>
      </c>
      <c r="O53" s="53">
        <f t="shared" si="2"/>
        <v>511.3</v>
      </c>
      <c r="P53" s="53">
        <f t="shared" si="3"/>
        <v>81.7</v>
      </c>
      <c r="Q53" s="53">
        <f t="shared" si="4"/>
        <v>889</v>
      </c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53"/>
      <c r="AG53" s="53"/>
    </row>
    <row r="54" spans="1:33">
      <c r="A54" s="53">
        <v>2010</v>
      </c>
      <c r="B54" s="53">
        <v>6.6</v>
      </c>
      <c r="C54" s="53">
        <v>4.7</v>
      </c>
      <c r="D54" s="53">
        <v>30.8</v>
      </c>
      <c r="E54" s="53">
        <v>84.1</v>
      </c>
      <c r="F54" s="53">
        <v>89.8</v>
      </c>
      <c r="G54" s="53">
        <v>182.3</v>
      </c>
      <c r="H54" s="53">
        <v>168.1</v>
      </c>
      <c r="I54" s="53">
        <v>79</v>
      </c>
      <c r="J54" s="53">
        <v>132.1</v>
      </c>
      <c r="K54" s="53">
        <v>108.9</v>
      </c>
      <c r="L54" s="53">
        <v>37.200000000000003</v>
      </c>
      <c r="M54" s="53">
        <v>44.6</v>
      </c>
      <c r="N54" s="53">
        <f t="shared" si="1"/>
        <v>126.19999999999999</v>
      </c>
      <c r="O54" s="53">
        <f t="shared" si="2"/>
        <v>651.30000000000007</v>
      </c>
      <c r="P54" s="53">
        <f t="shared" si="3"/>
        <v>190.70000000000002</v>
      </c>
      <c r="Q54" s="53">
        <f t="shared" si="4"/>
        <v>968.2</v>
      </c>
      <c r="R54" s="53"/>
      <c r="S54" s="5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53"/>
      <c r="AG54" s="53"/>
    </row>
    <row r="55" spans="1:33" ht="12.75">
      <c r="A55" s="53">
        <v>2011</v>
      </c>
      <c r="B55" s="53">
        <v>18.100000000000001</v>
      </c>
      <c r="C55" s="53">
        <v>5.9</v>
      </c>
      <c r="D55" s="53">
        <v>30.2</v>
      </c>
      <c r="E55" s="53">
        <v>33.9</v>
      </c>
      <c r="F55" s="53">
        <v>30.5</v>
      </c>
      <c r="G55" s="53">
        <v>267.60000000000002</v>
      </c>
      <c r="H55" s="53">
        <v>27.4</v>
      </c>
      <c r="I55" s="53">
        <v>91.5</v>
      </c>
      <c r="J55" s="53">
        <v>89.8</v>
      </c>
      <c r="K55" s="53">
        <v>104</v>
      </c>
      <c r="L55" s="53">
        <v>60.7</v>
      </c>
      <c r="M55" s="53">
        <v>21.6</v>
      </c>
      <c r="N55" s="53">
        <f t="shared" si="1"/>
        <v>88.1</v>
      </c>
      <c r="O55" s="53">
        <f t="shared" si="2"/>
        <v>506.8</v>
      </c>
      <c r="P55" s="53">
        <f t="shared" si="3"/>
        <v>186.29999999999998</v>
      </c>
      <c r="Q55" s="53">
        <f t="shared" si="4"/>
        <v>781.2</v>
      </c>
      <c r="R55" s="72"/>
      <c r="S55" s="72"/>
      <c r="T55" s="72"/>
      <c r="U55" s="72"/>
      <c r="V55" s="72"/>
      <c r="W55" s="72"/>
      <c r="X55" s="72"/>
      <c r="Y55" s="72"/>
      <c r="Z55" s="72"/>
      <c r="AA55" s="72"/>
      <c r="AB55" s="72"/>
      <c r="AC55" s="72"/>
      <c r="AD55" s="72"/>
      <c r="AE55" s="72"/>
      <c r="AF55" s="72"/>
      <c r="AG55" s="72"/>
    </row>
    <row r="56" spans="1:33" ht="12.75">
      <c r="A56" s="53">
        <v>2012</v>
      </c>
      <c r="B56" s="53">
        <v>22.3</v>
      </c>
      <c r="C56" s="53">
        <v>25.1</v>
      </c>
      <c r="D56" s="53">
        <v>36</v>
      </c>
      <c r="E56" s="53">
        <v>29.3</v>
      </c>
      <c r="F56" s="53">
        <v>211.9</v>
      </c>
      <c r="G56" s="53">
        <v>195.4</v>
      </c>
      <c r="H56" s="53">
        <v>357.5</v>
      </c>
      <c r="I56" s="53">
        <v>68.2</v>
      </c>
      <c r="J56" s="53">
        <v>66.599999999999994</v>
      </c>
      <c r="K56" s="53">
        <v>94.9</v>
      </c>
      <c r="L56" s="53">
        <v>44.7</v>
      </c>
      <c r="M56" s="53">
        <v>16.3</v>
      </c>
      <c r="N56" s="53">
        <f t="shared" si="1"/>
        <v>112.7</v>
      </c>
      <c r="O56" s="53">
        <f t="shared" si="2"/>
        <v>899.6</v>
      </c>
      <c r="P56" s="53">
        <f t="shared" si="3"/>
        <v>155.90000000000003</v>
      </c>
      <c r="Q56" s="53">
        <f t="shared" si="4"/>
        <v>1168.2</v>
      </c>
      <c r="R56" s="72"/>
      <c r="S56" s="72"/>
      <c r="T56" s="72"/>
      <c r="U56" s="72"/>
      <c r="V56" s="72"/>
      <c r="W56" s="72"/>
      <c r="X56" s="72"/>
      <c r="Y56" s="72"/>
      <c r="Z56" s="72"/>
      <c r="AA56" s="72"/>
      <c r="AB56" s="72"/>
      <c r="AC56" s="72"/>
      <c r="AD56" s="72"/>
      <c r="AE56" s="72"/>
      <c r="AF56" s="72"/>
      <c r="AG56" s="72"/>
    </row>
    <row r="57" spans="1:33" ht="12.75">
      <c r="A57" s="53">
        <v>2013</v>
      </c>
      <c r="B57" s="53">
        <v>7.8</v>
      </c>
      <c r="C57" s="53">
        <v>20.399999999999999</v>
      </c>
      <c r="D57" s="53">
        <v>55.6</v>
      </c>
      <c r="E57" s="53">
        <v>69.2</v>
      </c>
      <c r="F57" s="53">
        <v>243.7</v>
      </c>
      <c r="G57" s="53">
        <v>166</v>
      </c>
      <c r="H57" s="53">
        <v>6.3</v>
      </c>
      <c r="I57" s="53">
        <v>167</v>
      </c>
      <c r="J57" s="53">
        <v>65.900000000000006</v>
      </c>
      <c r="K57" s="53">
        <v>79.099999999999994</v>
      </c>
      <c r="L57" s="53">
        <v>35.700000000000003</v>
      </c>
      <c r="M57" s="53">
        <v>31.7</v>
      </c>
      <c r="N57" s="53">
        <f t="shared" si="1"/>
        <v>153</v>
      </c>
      <c r="O57" s="53">
        <f t="shared" si="2"/>
        <v>648.9</v>
      </c>
      <c r="P57" s="53">
        <f t="shared" si="3"/>
        <v>146.5</v>
      </c>
      <c r="Q57" s="53">
        <f t="shared" si="4"/>
        <v>948.40000000000009</v>
      </c>
      <c r="R57" s="72"/>
      <c r="S57" s="72"/>
      <c r="T57" s="72"/>
      <c r="U57" s="72"/>
      <c r="V57" s="72"/>
      <c r="W57" s="72"/>
      <c r="X57" s="72"/>
      <c r="Y57" s="72"/>
      <c r="Z57" s="72"/>
      <c r="AA57" s="72"/>
      <c r="AB57" s="72"/>
      <c r="AC57" s="72"/>
      <c r="AD57" s="72"/>
      <c r="AE57" s="72"/>
      <c r="AF57" s="72"/>
      <c r="AG57" s="72"/>
    </row>
    <row r="58" spans="1:33">
      <c r="A58" s="53">
        <v>2014</v>
      </c>
      <c r="B58" s="73">
        <v>20.3</v>
      </c>
      <c r="C58" s="73">
        <v>39.5</v>
      </c>
      <c r="D58" s="73">
        <v>64</v>
      </c>
      <c r="E58" s="73">
        <v>53.1</v>
      </c>
      <c r="F58" s="73">
        <v>149.69999999999999</v>
      </c>
      <c r="G58" s="73">
        <v>160.80000000000001</v>
      </c>
      <c r="H58" s="73">
        <v>297</v>
      </c>
      <c r="I58" s="73">
        <v>136.1</v>
      </c>
      <c r="J58" s="73">
        <v>73.599999999999994</v>
      </c>
      <c r="K58" s="73">
        <v>73.7</v>
      </c>
      <c r="L58" s="73">
        <v>42.3</v>
      </c>
      <c r="M58" s="73">
        <v>16.600000000000001</v>
      </c>
      <c r="N58" s="53">
        <f t="shared" si="1"/>
        <v>176.9</v>
      </c>
      <c r="O58" s="53">
        <f t="shared" si="2"/>
        <v>817.2</v>
      </c>
      <c r="P58" s="53">
        <f t="shared" si="3"/>
        <v>132.6</v>
      </c>
      <c r="Q58" s="53">
        <f t="shared" si="4"/>
        <v>1126.7</v>
      </c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53"/>
      <c r="AG58" s="53"/>
    </row>
    <row r="59" spans="1:33">
      <c r="A59" s="53">
        <v>2015</v>
      </c>
      <c r="B59" s="53">
        <v>48</v>
      </c>
      <c r="C59" s="53">
        <v>19</v>
      </c>
      <c r="D59" s="53">
        <v>28</v>
      </c>
      <c r="E59" s="53">
        <v>79.5</v>
      </c>
      <c r="F59" s="53">
        <v>241</v>
      </c>
      <c r="G59" s="53">
        <v>302.5</v>
      </c>
      <c r="H59" s="53">
        <v>86</v>
      </c>
      <c r="I59" s="53">
        <v>221</v>
      </c>
      <c r="J59" s="53">
        <v>62</v>
      </c>
      <c r="K59" s="53">
        <v>153</v>
      </c>
      <c r="L59" s="53">
        <v>26.5</v>
      </c>
      <c r="M59" s="53">
        <v>41</v>
      </c>
      <c r="N59" s="53">
        <f t="shared" si="1"/>
        <v>174.5</v>
      </c>
      <c r="O59" s="53">
        <f t="shared" si="2"/>
        <v>912.5</v>
      </c>
      <c r="P59" s="53">
        <f t="shared" si="3"/>
        <v>220.5</v>
      </c>
      <c r="Q59" s="53">
        <f t="shared" si="4"/>
        <v>1307.5</v>
      </c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53"/>
      <c r="AG59" s="53"/>
    </row>
    <row r="60" spans="1:33" s="74" customFormat="1">
      <c r="A60" s="67">
        <v>2016</v>
      </c>
      <c r="B60" s="74">
        <v>28.5</v>
      </c>
      <c r="C60" s="74">
        <v>10</v>
      </c>
      <c r="D60" s="74">
        <v>83.9</v>
      </c>
      <c r="E60" s="74">
        <v>129.5</v>
      </c>
      <c r="F60" s="74">
        <v>105</v>
      </c>
      <c r="G60" s="74">
        <v>268</v>
      </c>
      <c r="H60" s="74">
        <v>81.5</v>
      </c>
      <c r="I60" s="74">
        <v>134.5</v>
      </c>
      <c r="J60" s="74">
        <v>14.6</v>
      </c>
      <c r="K60" s="74">
        <v>126</v>
      </c>
      <c r="L60" s="74">
        <v>54.5</v>
      </c>
      <c r="M60" s="74">
        <v>19</v>
      </c>
      <c r="N60" s="74">
        <f>SUM(B60:E60)</f>
        <v>251.9</v>
      </c>
      <c r="O60" s="74">
        <f>SUM(F60:J60)</f>
        <v>603.6</v>
      </c>
      <c r="P60" s="74">
        <f>SUM(K60:M60)</f>
        <v>199.5</v>
      </c>
      <c r="Q60" s="74">
        <f>SUM(B60:M60)</f>
        <v>1055</v>
      </c>
      <c r="R60" s="74">
        <f t="shared" ref="R60:AG60" si="5">100*(B60-B4)/B4</f>
        <v>17.48613401289164</v>
      </c>
      <c r="S60" s="74">
        <f t="shared" si="5"/>
        <v>-58.758248350329936</v>
      </c>
      <c r="T60" s="74">
        <f t="shared" si="5"/>
        <v>121.21284755512944</v>
      </c>
      <c r="U60" s="74">
        <f t="shared" si="5"/>
        <v>29.804450438300741</v>
      </c>
      <c r="V60" s="74">
        <f t="shared" si="5"/>
        <v>-39.970779427022705</v>
      </c>
      <c r="W60" s="74">
        <f t="shared" si="5"/>
        <v>23.176173683418888</v>
      </c>
      <c r="X60" s="74">
        <f t="shared" si="5"/>
        <v>-55.613977759954039</v>
      </c>
      <c r="Y60" s="74">
        <f t="shared" si="5"/>
        <v>-1.3890184891424688</v>
      </c>
      <c r="Z60" s="74">
        <f t="shared" si="5"/>
        <v>-85.969632904093814</v>
      </c>
      <c r="AA60" s="74">
        <f t="shared" si="5"/>
        <v>27.265715387581974</v>
      </c>
      <c r="AB60" s="74">
        <f t="shared" si="5"/>
        <v>12.908693686906792</v>
      </c>
      <c r="AC60" s="74">
        <f t="shared" si="5"/>
        <v>-23.778264040846061</v>
      </c>
      <c r="AD60" s="74">
        <f t="shared" si="5"/>
        <v>35.285961194816849</v>
      </c>
      <c r="AE60" s="74">
        <f t="shared" si="5"/>
        <v>-25.791143131131825</v>
      </c>
      <c r="AF60" s="74">
        <f t="shared" si="5"/>
        <v>15.85243530318545</v>
      </c>
      <c r="AG60" s="74">
        <f t="shared" si="5"/>
        <v>-9.9660345798699392</v>
      </c>
    </row>
  </sheetData>
  <mergeCells count="6">
    <mergeCell ref="A1:A3"/>
    <mergeCell ref="B1:Q1"/>
    <mergeCell ref="B2:M2"/>
    <mergeCell ref="R1:AG1"/>
    <mergeCell ref="N2:Q2"/>
    <mergeCell ref="R2:AG2"/>
  </mergeCells>
  <phoneticPr fontId="2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AH15"/>
  <sheetViews>
    <sheetView zoomScaleNormal="100" workbookViewId="0">
      <selection activeCell="A4" sqref="A4:XFD5"/>
    </sheetView>
  </sheetViews>
  <sheetFormatPr defaultRowHeight="12"/>
  <cols>
    <col min="1" max="1" width="8.375" style="62" bestFit="1" customWidth="1"/>
    <col min="2" max="2" width="6.25" style="64" bestFit="1" customWidth="1"/>
    <col min="3" max="5" width="7.25" style="62" bestFit="1" customWidth="1"/>
    <col min="6" max="6" width="8.375" style="62" bestFit="1" customWidth="1"/>
    <col min="7" max="7" width="7.25" style="62" bestFit="1" customWidth="1"/>
    <col min="8" max="8" width="8.375" style="62" bestFit="1" customWidth="1"/>
    <col min="9" max="12" width="7.25" style="62" bestFit="1" customWidth="1"/>
    <col min="13" max="13" width="6.125" style="62" bestFit="1" customWidth="1"/>
    <col min="14" max="15" width="8.25" style="62" bestFit="1" customWidth="1"/>
    <col min="16" max="16" width="10" style="62" bestFit="1" customWidth="1"/>
    <col min="17" max="17" width="9.125" style="62" bestFit="1" customWidth="1"/>
    <col min="18" max="18" width="7" style="62" bestFit="1" customWidth="1"/>
    <col min="19" max="19" width="5.875" style="62" bestFit="1" customWidth="1"/>
    <col min="20" max="20" width="6.125" style="62" bestFit="1" customWidth="1"/>
    <col min="21" max="21" width="5.875" style="62" bestFit="1" customWidth="1"/>
    <col min="22" max="22" width="6.125" style="62" bestFit="1" customWidth="1"/>
    <col min="23" max="25" width="5.875" style="62" bestFit="1" customWidth="1"/>
    <col min="26" max="26" width="5.25" style="62" bestFit="1" customWidth="1"/>
    <col min="27" max="30" width="5.875" style="62" bestFit="1" customWidth="1"/>
    <col min="31" max="31" width="5.5" style="62" bestFit="1" customWidth="1"/>
    <col min="32" max="32" width="5.875" style="62" bestFit="1" customWidth="1"/>
    <col min="33" max="33" width="5.5" style="62" bestFit="1" customWidth="1"/>
    <col min="34" max="34" width="6.625" style="62" customWidth="1"/>
    <col min="35" max="16384" width="9" style="77"/>
  </cols>
  <sheetData>
    <row r="1" spans="1:33" s="41" customFormat="1" ht="14.25" customHeight="1">
      <c r="A1" s="174" t="s">
        <v>0</v>
      </c>
      <c r="B1" s="174" t="s">
        <v>67</v>
      </c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4" t="s">
        <v>92</v>
      </c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</row>
    <row r="2" spans="1:33" s="41" customFormat="1" ht="12.75">
      <c r="A2" s="175"/>
      <c r="B2" s="174" t="s">
        <v>54</v>
      </c>
      <c r="C2" s="175"/>
      <c r="D2" s="175"/>
      <c r="E2" s="175"/>
      <c r="F2" s="175"/>
      <c r="G2" s="175"/>
      <c r="H2" s="175"/>
      <c r="I2" s="175"/>
      <c r="J2" s="175"/>
      <c r="K2" s="175"/>
      <c r="L2" s="175"/>
      <c r="M2" s="175"/>
      <c r="N2" s="174" t="s">
        <v>32</v>
      </c>
      <c r="O2" s="175"/>
      <c r="P2" s="175"/>
      <c r="Q2" s="175"/>
      <c r="R2" s="174" t="s">
        <v>38</v>
      </c>
      <c r="S2" s="175"/>
      <c r="T2" s="175"/>
      <c r="U2" s="175"/>
      <c r="V2" s="175"/>
      <c r="W2" s="175"/>
      <c r="X2" s="175"/>
      <c r="Y2" s="175"/>
      <c r="Z2" s="175"/>
      <c r="AA2" s="175"/>
      <c r="AB2" s="175"/>
      <c r="AC2" s="175"/>
      <c r="AD2" s="175"/>
      <c r="AE2" s="175"/>
      <c r="AF2" s="175"/>
      <c r="AG2" s="175"/>
    </row>
    <row r="3" spans="1:33" s="41" customFormat="1" ht="12.75">
      <c r="A3" s="175"/>
      <c r="B3" s="63" t="s">
        <v>44</v>
      </c>
      <c r="C3" s="63" t="s">
        <v>20</v>
      </c>
      <c r="D3" s="63" t="s">
        <v>69</v>
      </c>
      <c r="E3" s="63" t="s">
        <v>70</v>
      </c>
      <c r="F3" s="63" t="s">
        <v>71</v>
      </c>
      <c r="G3" s="63" t="s">
        <v>72</v>
      </c>
      <c r="H3" s="63" t="s">
        <v>73</v>
      </c>
      <c r="I3" s="63" t="s">
        <v>74</v>
      </c>
      <c r="J3" s="63" t="s">
        <v>75</v>
      </c>
      <c r="K3" s="63" t="s">
        <v>76</v>
      </c>
      <c r="L3" s="63" t="s">
        <v>77</v>
      </c>
      <c r="M3" s="63" t="s">
        <v>78</v>
      </c>
      <c r="N3" s="76" t="s">
        <v>87</v>
      </c>
      <c r="O3" s="76" t="s">
        <v>57</v>
      </c>
      <c r="P3" s="76" t="s">
        <v>88</v>
      </c>
      <c r="Q3" s="76" t="s">
        <v>89</v>
      </c>
      <c r="R3" s="63" t="s">
        <v>44</v>
      </c>
      <c r="S3" s="63" t="s">
        <v>20</v>
      </c>
      <c r="T3" s="63" t="s">
        <v>46</v>
      </c>
      <c r="U3" s="63" t="s">
        <v>22</v>
      </c>
      <c r="V3" s="63" t="s">
        <v>113</v>
      </c>
      <c r="W3" s="63" t="s">
        <v>80</v>
      </c>
      <c r="X3" s="63" t="s">
        <v>81</v>
      </c>
      <c r="Y3" s="63" t="s">
        <v>82</v>
      </c>
      <c r="Z3" s="63" t="s">
        <v>83</v>
      </c>
      <c r="AA3" s="63" t="s">
        <v>62</v>
      </c>
      <c r="AB3" s="63" t="s">
        <v>63</v>
      </c>
      <c r="AC3" s="63" t="s">
        <v>64</v>
      </c>
      <c r="AD3" s="76" t="s">
        <v>90</v>
      </c>
      <c r="AE3" s="76" t="s">
        <v>4</v>
      </c>
      <c r="AF3" s="76" t="s">
        <v>91</v>
      </c>
      <c r="AG3" s="76" t="s">
        <v>66</v>
      </c>
    </row>
    <row r="4" spans="1:33" s="41" customFormat="1" ht="12.75">
      <c r="A4" s="149" t="s">
        <v>261</v>
      </c>
      <c r="B4" s="149">
        <f t="shared" ref="B4:Q4" si="0">AVERAGE(B5:B14)</f>
        <v>16.690000000000005</v>
      </c>
      <c r="C4" s="149">
        <f t="shared" si="0"/>
        <v>24.809999999999995</v>
      </c>
      <c r="D4" s="149">
        <f t="shared" si="0"/>
        <v>44.970000000000006</v>
      </c>
      <c r="E4" s="149">
        <f t="shared" si="0"/>
        <v>86.69</v>
      </c>
      <c r="F4" s="149">
        <f t="shared" si="0"/>
        <v>140.15</v>
      </c>
      <c r="G4" s="149">
        <f t="shared" si="0"/>
        <v>149.71</v>
      </c>
      <c r="H4" s="149">
        <f t="shared" si="0"/>
        <v>148.26</v>
      </c>
      <c r="I4" s="149">
        <f t="shared" si="0"/>
        <v>117.72</v>
      </c>
      <c r="J4" s="149">
        <f t="shared" si="0"/>
        <v>81.3</v>
      </c>
      <c r="K4" s="149">
        <f t="shared" si="0"/>
        <v>98.86999999999999</v>
      </c>
      <c r="L4" s="149">
        <f t="shared" si="0"/>
        <v>40</v>
      </c>
      <c r="M4" s="149">
        <f t="shared" si="0"/>
        <v>22.27</v>
      </c>
      <c r="N4" s="148">
        <f t="shared" si="0"/>
        <v>173.16</v>
      </c>
      <c r="O4" s="148">
        <f t="shared" si="0"/>
        <v>637.1400000000001</v>
      </c>
      <c r="P4" s="148">
        <f t="shared" si="0"/>
        <v>161.13999999999999</v>
      </c>
      <c r="Q4" s="148">
        <f t="shared" si="0"/>
        <v>971.43999999999994</v>
      </c>
      <c r="R4" s="149"/>
      <c r="S4" s="149"/>
      <c r="T4" s="149"/>
      <c r="U4" s="149"/>
      <c r="V4" s="149"/>
      <c r="W4" s="149"/>
      <c r="X4" s="149"/>
      <c r="Y4" s="149"/>
      <c r="Z4" s="149"/>
      <c r="AA4" s="149"/>
      <c r="AB4" s="149"/>
      <c r="AC4" s="149"/>
      <c r="AD4" s="148"/>
      <c r="AE4" s="148"/>
      <c r="AF4" s="148"/>
      <c r="AG4" s="148"/>
    </row>
    <row r="5" spans="1:33">
      <c r="A5" s="75">
        <v>2006</v>
      </c>
      <c r="B5" s="76">
        <v>8.1999999999999993</v>
      </c>
      <c r="C5" s="76">
        <v>35.9</v>
      </c>
      <c r="D5" s="76">
        <v>42.4</v>
      </c>
      <c r="E5" s="76">
        <v>78.8</v>
      </c>
      <c r="F5" s="76">
        <v>116.3</v>
      </c>
      <c r="G5" s="76">
        <v>80.900000000000006</v>
      </c>
      <c r="H5" s="76">
        <v>123.8</v>
      </c>
      <c r="I5" s="76">
        <v>97.7</v>
      </c>
      <c r="J5" s="76">
        <v>58.3</v>
      </c>
      <c r="K5" s="75">
        <v>241.8</v>
      </c>
      <c r="L5" s="75">
        <v>35.6</v>
      </c>
      <c r="M5" s="75">
        <v>26.6</v>
      </c>
      <c r="N5" s="75">
        <f>SUM(B5:E5)</f>
        <v>165.3</v>
      </c>
      <c r="O5" s="75">
        <f>SUM(F5:J5)</f>
        <v>477</v>
      </c>
      <c r="P5" s="75">
        <f>SUM(K5:M5)</f>
        <v>304.00000000000006</v>
      </c>
      <c r="Q5" s="75">
        <f>SUM(B5:M5)</f>
        <v>946.3</v>
      </c>
      <c r="R5" s="75"/>
      <c r="S5" s="75"/>
      <c r="T5" s="75"/>
      <c r="U5" s="75"/>
      <c r="V5" s="75"/>
      <c r="W5" s="75"/>
      <c r="X5" s="75"/>
      <c r="Y5" s="75"/>
      <c r="Z5" s="75"/>
      <c r="AA5" s="75"/>
      <c r="AB5" s="75"/>
      <c r="AC5" s="75"/>
      <c r="AD5" s="75"/>
      <c r="AE5" s="75"/>
      <c r="AF5" s="75"/>
      <c r="AG5" s="75"/>
    </row>
    <row r="6" spans="1:33">
      <c r="A6" s="75">
        <v>2007</v>
      </c>
      <c r="B6" s="75">
        <v>21.8</v>
      </c>
      <c r="C6" s="75">
        <v>40.799999999999997</v>
      </c>
      <c r="D6" s="75">
        <v>19.8</v>
      </c>
      <c r="E6" s="75">
        <v>140.69999999999999</v>
      </c>
      <c r="F6" s="75">
        <v>75</v>
      </c>
      <c r="G6" s="75">
        <v>162</v>
      </c>
      <c r="H6" s="75">
        <v>215.9</v>
      </c>
      <c r="I6" s="75">
        <v>120</v>
      </c>
      <c r="J6" s="75">
        <v>97.5</v>
      </c>
      <c r="K6" s="75">
        <v>38.700000000000003</v>
      </c>
      <c r="L6" s="75">
        <v>3.5</v>
      </c>
      <c r="M6" s="75">
        <v>24</v>
      </c>
      <c r="N6" s="75">
        <f t="shared" ref="N6:N12" si="1">SUM(B6:E6)</f>
        <v>223.09999999999997</v>
      </c>
      <c r="O6" s="75">
        <f t="shared" ref="O6:O14" si="2">SUM(F6:J6)</f>
        <v>670.4</v>
      </c>
      <c r="P6" s="75">
        <f t="shared" ref="P6:P14" si="3">SUM(K6:M6)</f>
        <v>66.2</v>
      </c>
      <c r="Q6" s="75">
        <f t="shared" ref="Q6:Q13" si="4">SUM(B6:M6)</f>
        <v>959.7</v>
      </c>
      <c r="R6" s="75"/>
      <c r="S6" s="75"/>
      <c r="T6" s="75"/>
      <c r="U6" s="75"/>
      <c r="V6" s="75"/>
      <c r="W6" s="75"/>
      <c r="X6" s="75"/>
      <c r="Y6" s="75"/>
      <c r="Z6" s="75"/>
      <c r="AA6" s="75"/>
      <c r="AB6" s="75"/>
      <c r="AC6" s="75"/>
      <c r="AD6" s="75"/>
      <c r="AE6" s="75"/>
      <c r="AF6" s="75"/>
      <c r="AG6" s="75"/>
    </row>
    <row r="7" spans="1:33">
      <c r="A7" s="75">
        <v>2008</v>
      </c>
      <c r="B7" s="75">
        <v>13.7</v>
      </c>
      <c r="C7" s="75">
        <v>19.899999999999999</v>
      </c>
      <c r="D7" s="75">
        <v>60.2</v>
      </c>
      <c r="E7" s="75">
        <v>53</v>
      </c>
      <c r="F7" s="75">
        <v>163.69999999999999</v>
      </c>
      <c r="G7" s="75">
        <v>65.400000000000006</v>
      </c>
      <c r="H7" s="75">
        <v>226.7</v>
      </c>
      <c r="I7" s="75">
        <v>274.2</v>
      </c>
      <c r="J7" s="75">
        <v>72.599999999999994</v>
      </c>
      <c r="K7" s="75">
        <v>121.5</v>
      </c>
      <c r="L7" s="75">
        <v>112.1</v>
      </c>
      <c r="M7" s="75">
        <v>15.9</v>
      </c>
      <c r="N7" s="75">
        <f t="shared" si="1"/>
        <v>146.80000000000001</v>
      </c>
      <c r="O7" s="75">
        <f t="shared" si="2"/>
        <v>802.6</v>
      </c>
      <c r="P7" s="75">
        <f t="shared" si="3"/>
        <v>249.5</v>
      </c>
      <c r="Q7" s="75">
        <f t="shared" si="4"/>
        <v>1198.9000000000001</v>
      </c>
      <c r="R7" s="75"/>
      <c r="S7" s="75"/>
      <c r="T7" s="75"/>
      <c r="U7" s="75"/>
      <c r="V7" s="75"/>
      <c r="W7" s="75"/>
      <c r="X7" s="75"/>
      <c r="Y7" s="75"/>
      <c r="Z7" s="75"/>
      <c r="AA7" s="75"/>
      <c r="AB7" s="75"/>
      <c r="AC7" s="75"/>
      <c r="AD7" s="75"/>
      <c r="AE7" s="75"/>
      <c r="AF7" s="75"/>
      <c r="AG7" s="75"/>
    </row>
    <row r="8" spans="1:33">
      <c r="A8" s="75">
        <v>2009</v>
      </c>
      <c r="B8" s="75">
        <v>20.6</v>
      </c>
      <c r="C8" s="75">
        <v>50.5</v>
      </c>
      <c r="D8" s="75">
        <v>35.799999999999997</v>
      </c>
      <c r="E8" s="75">
        <v>200.3</v>
      </c>
      <c r="F8" s="75">
        <v>116.7</v>
      </c>
      <c r="G8" s="75">
        <v>115.4</v>
      </c>
      <c r="H8" s="75">
        <v>119.6</v>
      </c>
      <c r="I8" s="75">
        <v>57.7</v>
      </c>
      <c r="J8" s="75">
        <v>60.1</v>
      </c>
      <c r="K8" s="75">
        <v>51</v>
      </c>
      <c r="L8" s="75">
        <v>17.3</v>
      </c>
      <c r="M8" s="75">
        <v>15.1</v>
      </c>
      <c r="N8" s="75">
        <f t="shared" si="1"/>
        <v>307.2</v>
      </c>
      <c r="O8" s="75">
        <f t="shared" si="2"/>
        <v>469.50000000000006</v>
      </c>
      <c r="P8" s="75">
        <f t="shared" si="3"/>
        <v>83.399999999999991</v>
      </c>
      <c r="Q8" s="75">
        <f t="shared" si="4"/>
        <v>860.1</v>
      </c>
      <c r="R8" s="75"/>
      <c r="S8" s="75"/>
      <c r="T8" s="75"/>
      <c r="U8" s="75"/>
      <c r="V8" s="75"/>
      <c r="W8" s="75"/>
      <c r="X8" s="75"/>
      <c r="Y8" s="75"/>
      <c r="Z8" s="75"/>
      <c r="AA8" s="75"/>
      <c r="AB8" s="75"/>
      <c r="AC8" s="75"/>
      <c r="AD8" s="75"/>
      <c r="AE8" s="75"/>
      <c r="AF8" s="75"/>
      <c r="AG8" s="75"/>
    </row>
    <row r="9" spans="1:33">
      <c r="A9" s="75">
        <v>2010</v>
      </c>
      <c r="B9" s="75">
        <v>5</v>
      </c>
      <c r="C9" s="75">
        <v>5.2</v>
      </c>
      <c r="D9" s="75">
        <v>27.6</v>
      </c>
      <c r="E9" s="75">
        <v>77.2</v>
      </c>
      <c r="F9" s="75">
        <v>103</v>
      </c>
      <c r="G9" s="75">
        <v>139.6</v>
      </c>
      <c r="H9" s="75">
        <v>121.9</v>
      </c>
      <c r="I9" s="75">
        <v>52.4</v>
      </c>
      <c r="J9" s="75">
        <v>113.4</v>
      </c>
      <c r="K9" s="75">
        <v>101.2</v>
      </c>
      <c r="L9" s="75">
        <v>27.6</v>
      </c>
      <c r="M9" s="75">
        <v>39.200000000000003</v>
      </c>
      <c r="N9" s="75">
        <f t="shared" si="1"/>
        <v>115</v>
      </c>
      <c r="O9" s="75">
        <f t="shared" si="2"/>
        <v>530.29999999999995</v>
      </c>
      <c r="P9" s="75">
        <f t="shared" si="3"/>
        <v>168</v>
      </c>
      <c r="Q9" s="75">
        <f t="shared" si="4"/>
        <v>813.30000000000007</v>
      </c>
      <c r="R9" s="75"/>
      <c r="S9" s="75"/>
      <c r="T9" s="75"/>
      <c r="U9" s="75"/>
      <c r="V9" s="75"/>
      <c r="W9" s="75"/>
      <c r="X9" s="75"/>
      <c r="Y9" s="75"/>
      <c r="Z9" s="75"/>
      <c r="AA9" s="75"/>
      <c r="AB9" s="75"/>
      <c r="AC9" s="75"/>
      <c r="AD9" s="75"/>
      <c r="AE9" s="75"/>
      <c r="AF9" s="75"/>
      <c r="AG9" s="75"/>
    </row>
    <row r="10" spans="1:33">
      <c r="A10" s="75">
        <v>2011</v>
      </c>
      <c r="B10" s="75">
        <v>15</v>
      </c>
      <c r="C10" s="75">
        <v>6.2</v>
      </c>
      <c r="D10" s="75">
        <v>30.3</v>
      </c>
      <c r="E10" s="75">
        <v>33.5</v>
      </c>
      <c r="F10" s="75">
        <v>32.200000000000003</v>
      </c>
      <c r="G10" s="75">
        <v>181</v>
      </c>
      <c r="H10" s="75">
        <v>21.9</v>
      </c>
      <c r="I10" s="75">
        <v>57.1</v>
      </c>
      <c r="J10" s="75">
        <v>67.8</v>
      </c>
      <c r="K10" s="75">
        <v>130</v>
      </c>
      <c r="L10" s="75">
        <v>42.7</v>
      </c>
      <c r="M10" s="75">
        <v>8</v>
      </c>
      <c r="N10" s="75">
        <f t="shared" si="1"/>
        <v>85</v>
      </c>
      <c r="O10" s="75">
        <f t="shared" si="2"/>
        <v>360</v>
      </c>
      <c r="P10" s="75">
        <f t="shared" si="3"/>
        <v>180.7</v>
      </c>
      <c r="Q10" s="75">
        <f t="shared" si="4"/>
        <v>625.70000000000005</v>
      </c>
      <c r="R10" s="75"/>
      <c r="S10" s="75"/>
      <c r="T10" s="75"/>
      <c r="U10" s="75"/>
      <c r="V10" s="75"/>
      <c r="W10" s="75"/>
      <c r="X10" s="75"/>
      <c r="Y10" s="75"/>
      <c r="Z10" s="75"/>
      <c r="AA10" s="75"/>
      <c r="AB10" s="75"/>
      <c r="AC10" s="75"/>
      <c r="AD10" s="75"/>
      <c r="AE10" s="75"/>
      <c r="AF10" s="75"/>
      <c r="AG10" s="75"/>
    </row>
    <row r="11" spans="1:33" ht="12.75">
      <c r="A11" s="75">
        <v>2012</v>
      </c>
      <c r="B11" s="75">
        <v>15.9</v>
      </c>
      <c r="C11" s="75">
        <v>18.100000000000001</v>
      </c>
      <c r="D11" s="75">
        <v>33.5</v>
      </c>
      <c r="E11" s="75">
        <v>50.6</v>
      </c>
      <c r="F11" s="75">
        <v>175.2</v>
      </c>
      <c r="G11" s="75">
        <v>147.6</v>
      </c>
      <c r="H11" s="75">
        <v>219.5</v>
      </c>
      <c r="I11" s="75">
        <v>105.2</v>
      </c>
      <c r="J11" s="75">
        <v>98.7</v>
      </c>
      <c r="K11" s="75">
        <v>74.8</v>
      </c>
      <c r="L11" s="75">
        <v>39.700000000000003</v>
      </c>
      <c r="M11" s="75">
        <v>11.6</v>
      </c>
      <c r="N11" s="75">
        <f t="shared" si="1"/>
        <v>118.1</v>
      </c>
      <c r="O11" s="75">
        <f t="shared" si="2"/>
        <v>746.2</v>
      </c>
      <c r="P11" s="75">
        <f t="shared" si="3"/>
        <v>126.1</v>
      </c>
      <c r="Q11" s="75">
        <f t="shared" si="4"/>
        <v>990.40000000000009</v>
      </c>
      <c r="R11" s="78"/>
      <c r="S11" s="78"/>
      <c r="T11" s="78"/>
      <c r="U11" s="78"/>
      <c r="V11" s="78"/>
      <c r="W11" s="78"/>
      <c r="X11" s="78"/>
      <c r="Y11" s="78"/>
      <c r="Z11" s="78"/>
      <c r="AA11" s="78"/>
      <c r="AB11" s="78"/>
      <c r="AC11" s="78"/>
      <c r="AD11" s="78"/>
      <c r="AE11" s="78"/>
      <c r="AF11" s="78"/>
      <c r="AG11" s="78"/>
    </row>
    <row r="12" spans="1:33" ht="12.75">
      <c r="A12" s="75">
        <v>2013</v>
      </c>
      <c r="B12" s="75">
        <v>9.6999999999999993</v>
      </c>
      <c r="C12" s="75">
        <v>15</v>
      </c>
      <c r="D12" s="75">
        <v>97.5</v>
      </c>
      <c r="E12" s="75">
        <v>90.5</v>
      </c>
      <c r="F12" s="75">
        <v>248.6</v>
      </c>
      <c r="G12" s="75">
        <v>75.3</v>
      </c>
      <c r="H12" s="75">
        <v>53.9</v>
      </c>
      <c r="I12" s="75">
        <v>129.6</v>
      </c>
      <c r="J12" s="75">
        <v>85.2</v>
      </c>
      <c r="K12" s="75">
        <v>69.900000000000006</v>
      </c>
      <c r="L12" s="75">
        <v>30.2</v>
      </c>
      <c r="M12" s="75">
        <v>28.1</v>
      </c>
      <c r="N12" s="75">
        <f t="shared" si="1"/>
        <v>212.7</v>
      </c>
      <c r="O12" s="75">
        <f t="shared" si="2"/>
        <v>592.6</v>
      </c>
      <c r="P12" s="75">
        <f t="shared" si="3"/>
        <v>128.20000000000002</v>
      </c>
      <c r="Q12" s="75">
        <f t="shared" si="4"/>
        <v>933.5</v>
      </c>
      <c r="R12" s="78"/>
      <c r="S12" s="78"/>
      <c r="T12" s="78"/>
      <c r="U12" s="78"/>
      <c r="V12" s="78"/>
      <c r="W12" s="78"/>
      <c r="X12" s="78"/>
      <c r="Y12" s="78"/>
      <c r="Z12" s="78"/>
      <c r="AA12" s="78"/>
      <c r="AB12" s="78"/>
      <c r="AC12" s="78"/>
      <c r="AD12" s="78"/>
      <c r="AE12" s="78"/>
      <c r="AF12" s="78"/>
      <c r="AG12" s="78"/>
    </row>
    <row r="13" spans="1:33">
      <c r="A13" s="75">
        <v>2014</v>
      </c>
      <c r="B13" s="79">
        <v>15.5</v>
      </c>
      <c r="C13" s="79">
        <v>46</v>
      </c>
      <c r="D13" s="79">
        <v>72.099999999999994</v>
      </c>
      <c r="E13" s="79">
        <v>51.8</v>
      </c>
      <c r="F13" s="79">
        <v>170.8</v>
      </c>
      <c r="G13" s="79">
        <v>151.4</v>
      </c>
      <c r="H13" s="79">
        <v>288.39999999999998</v>
      </c>
      <c r="I13" s="79">
        <v>111.3</v>
      </c>
      <c r="J13" s="79">
        <v>76.900000000000006</v>
      </c>
      <c r="K13" s="79">
        <v>50.8</v>
      </c>
      <c r="L13" s="79">
        <v>67.8</v>
      </c>
      <c r="M13" s="79">
        <v>9.1999999999999993</v>
      </c>
      <c r="N13" s="75">
        <f>SUM(B13:E13)</f>
        <v>185.39999999999998</v>
      </c>
      <c r="O13" s="75">
        <f t="shared" si="2"/>
        <v>798.8</v>
      </c>
      <c r="P13" s="75">
        <f>SUM(K13:M13)</f>
        <v>127.8</v>
      </c>
      <c r="Q13" s="75">
        <f t="shared" si="4"/>
        <v>1112</v>
      </c>
      <c r="R13" s="75"/>
      <c r="S13" s="75"/>
      <c r="T13" s="75"/>
      <c r="U13" s="75"/>
      <c r="V13" s="75"/>
      <c r="W13" s="75"/>
      <c r="X13" s="75"/>
      <c r="Y13" s="75"/>
      <c r="Z13" s="75"/>
      <c r="AA13" s="75"/>
      <c r="AB13" s="75"/>
      <c r="AC13" s="75"/>
      <c r="AD13" s="75"/>
      <c r="AE13" s="75"/>
      <c r="AF13" s="75"/>
      <c r="AG13" s="75"/>
    </row>
    <row r="14" spans="1:33">
      <c r="A14" s="75">
        <v>2015</v>
      </c>
      <c r="B14" s="76">
        <v>41.5</v>
      </c>
      <c r="C14" s="76">
        <v>10.5</v>
      </c>
      <c r="D14" s="76">
        <v>30.5</v>
      </c>
      <c r="E14" s="76">
        <v>90.5</v>
      </c>
      <c r="F14" s="76">
        <v>200</v>
      </c>
      <c r="G14" s="76">
        <v>378.5</v>
      </c>
      <c r="H14" s="76">
        <v>91</v>
      </c>
      <c r="I14" s="76">
        <v>172</v>
      </c>
      <c r="J14" s="76">
        <v>82.5</v>
      </c>
      <c r="K14" s="76">
        <v>109</v>
      </c>
      <c r="L14" s="76">
        <v>23.5</v>
      </c>
      <c r="M14" s="76">
        <v>45</v>
      </c>
      <c r="N14" s="75">
        <f>SUM(B14:E14)</f>
        <v>173</v>
      </c>
      <c r="O14" s="75">
        <f t="shared" si="2"/>
        <v>924</v>
      </c>
      <c r="P14" s="75">
        <f t="shared" si="3"/>
        <v>177.5</v>
      </c>
      <c r="Q14" s="75">
        <f>SUM(B14:M14)</f>
        <v>1274.5</v>
      </c>
      <c r="R14" s="75"/>
      <c r="S14" s="75"/>
      <c r="T14" s="75"/>
      <c r="U14" s="75"/>
      <c r="V14" s="75"/>
      <c r="W14" s="75"/>
      <c r="X14" s="75"/>
      <c r="Y14" s="75"/>
      <c r="Z14" s="75"/>
      <c r="AA14" s="75"/>
      <c r="AB14" s="75"/>
      <c r="AC14" s="75"/>
      <c r="AD14" s="75"/>
      <c r="AE14" s="75"/>
      <c r="AF14" s="75"/>
      <c r="AG14" s="75"/>
    </row>
    <row r="15" spans="1:33">
      <c r="A15" s="81">
        <v>2016</v>
      </c>
      <c r="B15" s="80">
        <v>16</v>
      </c>
      <c r="C15" s="80">
        <v>10</v>
      </c>
      <c r="D15" s="80">
        <v>68.5</v>
      </c>
      <c r="E15" s="80">
        <v>105</v>
      </c>
      <c r="F15" s="80">
        <v>115</v>
      </c>
      <c r="G15" s="80">
        <v>145.5</v>
      </c>
      <c r="H15" s="80">
        <v>81.5</v>
      </c>
      <c r="I15" s="80">
        <v>128</v>
      </c>
      <c r="J15" s="80">
        <v>6</v>
      </c>
      <c r="K15" s="80">
        <v>137.5</v>
      </c>
      <c r="L15" s="80">
        <v>45</v>
      </c>
      <c r="M15" s="80">
        <v>19.5</v>
      </c>
      <c r="N15" s="81">
        <f>SUM(B15:E15)</f>
        <v>199.5</v>
      </c>
      <c r="O15" s="81">
        <f>SUM(F15:J15)</f>
        <v>476</v>
      </c>
      <c r="P15" s="81">
        <f>SUM(K15:M15)</f>
        <v>202</v>
      </c>
      <c r="Q15" s="81">
        <f>SUM(B15:M15)</f>
        <v>877.5</v>
      </c>
      <c r="R15" s="81">
        <f t="shared" ref="R15:AG15" si="5">100*(B15-B4)/B4</f>
        <v>-4.1342121030557495</v>
      </c>
      <c r="S15" s="81">
        <f t="shared" si="5"/>
        <v>-59.693671906489314</v>
      </c>
      <c r="T15" s="81">
        <f t="shared" si="5"/>
        <v>52.323771403157643</v>
      </c>
      <c r="U15" s="81">
        <f t="shared" si="5"/>
        <v>21.121236590148808</v>
      </c>
      <c r="V15" s="81">
        <f t="shared" si="5"/>
        <v>-17.945058865501252</v>
      </c>
      <c r="W15" s="81">
        <f t="shared" si="5"/>
        <v>-2.8121033999064911</v>
      </c>
      <c r="X15" s="81">
        <f t="shared" si="5"/>
        <v>-45.029003102657491</v>
      </c>
      <c r="Y15" s="81">
        <f t="shared" si="5"/>
        <v>8.7325857968059797</v>
      </c>
      <c r="Z15" s="81">
        <f t="shared" si="5"/>
        <v>-92.619926199261997</v>
      </c>
      <c r="AA15" s="81">
        <f t="shared" si="5"/>
        <v>39.071508040861751</v>
      </c>
      <c r="AB15" s="81">
        <f t="shared" si="5"/>
        <v>12.5</v>
      </c>
      <c r="AC15" s="81">
        <f t="shared" si="5"/>
        <v>-12.438257745846428</v>
      </c>
      <c r="AD15" s="81">
        <f t="shared" si="5"/>
        <v>15.211365211365214</v>
      </c>
      <c r="AE15" s="81">
        <f t="shared" si="5"/>
        <v>-25.29114480333994</v>
      </c>
      <c r="AF15" s="81">
        <f t="shared" si="5"/>
        <v>25.356832567953344</v>
      </c>
      <c r="AG15" s="81">
        <f t="shared" si="5"/>
        <v>-9.6701803508193969</v>
      </c>
    </row>
  </sheetData>
  <mergeCells count="6">
    <mergeCell ref="A1:A3"/>
    <mergeCell ref="B1:Q1"/>
    <mergeCell ref="B2:M2"/>
    <mergeCell ref="R1:AG1"/>
    <mergeCell ref="N2:Q2"/>
    <mergeCell ref="R2:AG2"/>
  </mergeCells>
  <phoneticPr fontId="2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AG36"/>
  <sheetViews>
    <sheetView zoomScaleNormal="100" workbookViewId="0">
      <pane ySplit="5" topLeftCell="A6" activePane="bottomLeft" state="frozen"/>
      <selection pane="bottomLeft" activeCell="B4" sqref="B4"/>
    </sheetView>
  </sheetViews>
  <sheetFormatPr defaultRowHeight="12"/>
  <cols>
    <col min="1" max="34" width="6.625" style="102" customWidth="1"/>
    <col min="35" max="16384" width="9" style="102"/>
  </cols>
  <sheetData>
    <row r="1" spans="1:33" s="118" customFormat="1" ht="14.25" customHeight="1">
      <c r="A1" s="176" t="s">
        <v>53</v>
      </c>
      <c r="B1" s="176" t="s">
        <v>171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2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93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32</v>
      </c>
      <c r="O2" s="176"/>
      <c r="P2" s="176"/>
      <c r="Q2" s="176"/>
      <c r="R2" s="176" t="s">
        <v>38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 ht="24">
      <c r="A3" s="176"/>
      <c r="B3" s="137" t="s">
        <v>149</v>
      </c>
      <c r="C3" s="137" t="s">
        <v>150</v>
      </c>
      <c r="D3" s="137" t="s">
        <v>9</v>
      </c>
      <c r="E3" s="137" t="s">
        <v>10</v>
      </c>
      <c r="F3" s="137" t="s">
        <v>11</v>
      </c>
      <c r="G3" s="137" t="s">
        <v>12</v>
      </c>
      <c r="H3" s="137" t="s">
        <v>13</v>
      </c>
      <c r="I3" s="137" t="s">
        <v>14</v>
      </c>
      <c r="J3" s="137" t="s">
        <v>15</v>
      </c>
      <c r="K3" s="137" t="s">
        <v>16</v>
      </c>
      <c r="L3" s="137" t="s">
        <v>17</v>
      </c>
      <c r="M3" s="137" t="s">
        <v>18</v>
      </c>
      <c r="N3" s="137" t="s">
        <v>145</v>
      </c>
      <c r="O3" s="137" t="s">
        <v>146</v>
      </c>
      <c r="P3" s="137" t="s">
        <v>147</v>
      </c>
      <c r="Q3" s="137" t="s">
        <v>148</v>
      </c>
      <c r="R3" s="137" t="s">
        <v>149</v>
      </c>
      <c r="S3" s="137" t="s">
        <v>150</v>
      </c>
      <c r="T3" s="137" t="s">
        <v>151</v>
      </c>
      <c r="U3" s="137" t="s">
        <v>152</v>
      </c>
      <c r="V3" s="137" t="s">
        <v>153</v>
      </c>
      <c r="W3" s="137" t="s">
        <v>154</v>
      </c>
      <c r="X3" s="137" t="s">
        <v>25</v>
      </c>
      <c r="Y3" s="137" t="s">
        <v>26</v>
      </c>
      <c r="Z3" s="137" t="s">
        <v>27</v>
      </c>
      <c r="AA3" s="137" t="s">
        <v>155</v>
      </c>
      <c r="AB3" s="137" t="s">
        <v>156</v>
      </c>
      <c r="AC3" s="137" t="s">
        <v>157</v>
      </c>
      <c r="AD3" s="137" t="s">
        <v>132</v>
      </c>
      <c r="AE3" s="137" t="s">
        <v>42</v>
      </c>
      <c r="AF3" s="137" t="s">
        <v>134</v>
      </c>
      <c r="AG3" s="137" t="s">
        <v>66</v>
      </c>
    </row>
    <row r="4" spans="1:33" s="118" customFormat="1">
      <c r="A4" s="150" t="s">
        <v>261</v>
      </c>
      <c r="B4" s="150">
        <f t="shared" ref="B4:Q4" si="0">AVERAGE(B5:B35)</f>
        <v>22.3483870967742</v>
      </c>
      <c r="C4" s="150">
        <f t="shared" si="0"/>
        <v>21.777419354838706</v>
      </c>
      <c r="D4" s="150">
        <f t="shared" si="0"/>
        <v>38.6225806451613</v>
      </c>
      <c r="E4" s="150">
        <f t="shared" si="0"/>
        <v>76.506666666666661</v>
      </c>
      <c r="F4" s="150">
        <f t="shared" si="0"/>
        <v>162.69677419354841</v>
      </c>
      <c r="G4" s="150">
        <f t="shared" si="0"/>
        <v>218.48064516129031</v>
      </c>
      <c r="H4" s="150">
        <f t="shared" si="0"/>
        <v>194.13548387096773</v>
      </c>
      <c r="I4" s="150">
        <f t="shared" si="0"/>
        <v>126.84516129032259</v>
      </c>
      <c r="J4" s="150">
        <f t="shared" si="0"/>
        <v>81.858064516129048</v>
      </c>
      <c r="K4" s="150">
        <f t="shared" si="0"/>
        <v>93.216666666666669</v>
      </c>
      <c r="L4" s="150">
        <f t="shared" si="0"/>
        <v>36.49666666666667</v>
      </c>
      <c r="M4" s="150">
        <f t="shared" si="0"/>
        <v>20.856666666666669</v>
      </c>
      <c r="N4" s="150">
        <f t="shared" si="0"/>
        <v>156.78709677419357</v>
      </c>
      <c r="O4" s="150">
        <f t="shared" si="0"/>
        <v>784.01612903225805</v>
      </c>
      <c r="P4" s="150">
        <f t="shared" si="0"/>
        <v>145.71290322580646</v>
      </c>
      <c r="Q4" s="150">
        <f t="shared" si="0"/>
        <v>1086.516129032258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1985</v>
      </c>
      <c r="B5" s="102">
        <v>7.7</v>
      </c>
      <c r="C5" s="102">
        <v>10.7</v>
      </c>
      <c r="D5" s="102">
        <v>24.7</v>
      </c>
      <c r="E5" s="102">
        <v>92.7</v>
      </c>
      <c r="F5" s="102">
        <v>170.7</v>
      </c>
      <c r="G5" s="102">
        <v>296.39999999999998</v>
      </c>
      <c r="H5" s="102">
        <v>179.6</v>
      </c>
      <c r="I5" s="102">
        <v>139.30000000000001</v>
      </c>
      <c r="J5" s="102">
        <v>43.2</v>
      </c>
      <c r="K5" s="102">
        <v>61.2</v>
      </c>
      <c r="L5" s="102">
        <v>50.8</v>
      </c>
      <c r="M5" s="102">
        <v>15.8</v>
      </c>
      <c r="N5" s="102">
        <f>SUM(B5:E5)</f>
        <v>135.80000000000001</v>
      </c>
      <c r="O5" s="102">
        <f>SUM(F5:J5)</f>
        <v>829.2</v>
      </c>
      <c r="P5" s="102">
        <f>SUM(K5:M5)</f>
        <v>127.8</v>
      </c>
      <c r="Q5" s="102">
        <f>SUM(B5:M5)</f>
        <v>1092.8</v>
      </c>
    </row>
    <row r="6" spans="1:33">
      <c r="A6" s="102">
        <v>1986</v>
      </c>
      <c r="B6" s="102">
        <v>16.8</v>
      </c>
      <c r="C6" s="102">
        <v>18.3</v>
      </c>
      <c r="D6" s="102">
        <v>16.7</v>
      </c>
      <c r="E6" s="102">
        <v>73.3</v>
      </c>
      <c r="F6" s="102">
        <v>71.2</v>
      </c>
      <c r="G6" s="102">
        <v>199.3</v>
      </c>
      <c r="H6" s="102">
        <v>188.5</v>
      </c>
      <c r="I6" s="102">
        <v>127.2</v>
      </c>
      <c r="J6" s="102">
        <v>47.4</v>
      </c>
      <c r="K6" s="102">
        <v>74.7</v>
      </c>
      <c r="L6" s="102">
        <v>36.6</v>
      </c>
      <c r="M6" s="102">
        <v>6.6</v>
      </c>
      <c r="N6" s="102">
        <f t="shared" ref="N6:N33" si="1">SUM(B6:E6)</f>
        <v>125.1</v>
      </c>
      <c r="O6" s="102">
        <f t="shared" ref="O6:O33" si="2">SUM(F6:J6)</f>
        <v>633.6</v>
      </c>
      <c r="P6" s="102">
        <f t="shared" ref="P6:P33" si="3">SUM(K6:M6)</f>
        <v>117.9</v>
      </c>
      <c r="Q6" s="102">
        <f t="shared" ref="Q6:Q33" si="4">SUM(B6:M6)</f>
        <v>876.60000000000014</v>
      </c>
    </row>
    <row r="7" spans="1:33">
      <c r="A7" s="102">
        <v>1987</v>
      </c>
      <c r="B7" s="102">
        <v>21.1</v>
      </c>
      <c r="C7" s="102">
        <v>21.3</v>
      </c>
      <c r="D7" s="102">
        <v>27.3</v>
      </c>
      <c r="E7" s="102">
        <v>30</v>
      </c>
      <c r="F7" s="102">
        <v>106.4</v>
      </c>
      <c r="G7" s="102">
        <v>105.7</v>
      </c>
      <c r="H7" s="102">
        <v>243.6</v>
      </c>
      <c r="I7" s="102">
        <v>150.1</v>
      </c>
      <c r="J7" s="102">
        <v>91.8</v>
      </c>
      <c r="K7" s="102">
        <v>221.8</v>
      </c>
      <c r="L7" s="102">
        <v>45.4</v>
      </c>
      <c r="M7" s="102">
        <v>4.8</v>
      </c>
      <c r="N7" s="102">
        <f t="shared" si="1"/>
        <v>99.7</v>
      </c>
      <c r="O7" s="102">
        <f t="shared" si="2"/>
        <v>697.6</v>
      </c>
      <c r="P7" s="102">
        <f t="shared" si="3"/>
        <v>272</v>
      </c>
      <c r="Q7" s="102">
        <f t="shared" si="4"/>
        <v>1069.3</v>
      </c>
    </row>
    <row r="8" spans="1:33">
      <c r="A8" s="102">
        <v>1988</v>
      </c>
      <c r="B8" s="102">
        <v>16.3</v>
      </c>
      <c r="C8" s="102">
        <v>26.8</v>
      </c>
      <c r="D8" s="102">
        <v>5.9</v>
      </c>
      <c r="E8" s="102">
        <v>103.1</v>
      </c>
      <c r="F8" s="102">
        <v>96.2</v>
      </c>
      <c r="G8" s="102">
        <v>277.39999999999998</v>
      </c>
      <c r="H8" s="102">
        <v>64.400000000000006</v>
      </c>
      <c r="I8" s="102">
        <v>251.4</v>
      </c>
      <c r="J8" s="102">
        <v>168.2</v>
      </c>
      <c r="K8" s="102">
        <v>51.2</v>
      </c>
      <c r="L8" s="102">
        <v>1</v>
      </c>
      <c r="M8" s="102">
        <v>12.1</v>
      </c>
      <c r="N8" s="102">
        <f t="shared" si="1"/>
        <v>152.1</v>
      </c>
      <c r="O8" s="102">
        <f t="shared" si="2"/>
        <v>857.59999999999991</v>
      </c>
      <c r="P8" s="102">
        <f t="shared" si="3"/>
        <v>64.3</v>
      </c>
      <c r="Q8" s="102">
        <f t="shared" si="4"/>
        <v>1074</v>
      </c>
    </row>
    <row r="9" spans="1:33">
      <c r="A9" s="102">
        <v>1989</v>
      </c>
      <c r="B9" s="102">
        <v>9.5</v>
      </c>
      <c r="C9" s="102">
        <v>22.1</v>
      </c>
      <c r="D9" s="102">
        <v>46.6</v>
      </c>
      <c r="E9" s="102">
        <v>47.3</v>
      </c>
      <c r="F9" s="102">
        <v>94.1</v>
      </c>
      <c r="G9" s="102">
        <v>249.9</v>
      </c>
      <c r="H9" s="102">
        <v>52.2</v>
      </c>
      <c r="I9" s="102">
        <v>157.5</v>
      </c>
      <c r="J9" s="102">
        <v>116.5</v>
      </c>
      <c r="K9" s="102">
        <v>99.4</v>
      </c>
      <c r="L9" s="102">
        <v>30.7</v>
      </c>
      <c r="M9" s="102">
        <v>26.9</v>
      </c>
      <c r="N9" s="102">
        <f t="shared" si="1"/>
        <v>125.5</v>
      </c>
      <c r="O9" s="102">
        <f t="shared" si="2"/>
        <v>670.2</v>
      </c>
      <c r="P9" s="102">
        <f t="shared" si="3"/>
        <v>157</v>
      </c>
      <c r="Q9" s="102">
        <f t="shared" si="4"/>
        <v>952.7</v>
      </c>
    </row>
    <row r="10" spans="1:33">
      <c r="A10" s="102">
        <v>1990</v>
      </c>
      <c r="B10" s="102">
        <v>21.2</v>
      </c>
      <c r="C10" s="102">
        <v>20.8</v>
      </c>
      <c r="D10" s="102">
        <v>65</v>
      </c>
      <c r="E10" s="102">
        <v>58.4</v>
      </c>
      <c r="F10" s="102">
        <v>170.1</v>
      </c>
      <c r="G10" s="102">
        <v>230.7</v>
      </c>
      <c r="H10" s="102">
        <v>65.8</v>
      </c>
      <c r="I10" s="102">
        <v>40.700000000000003</v>
      </c>
      <c r="J10" s="102">
        <v>82.8</v>
      </c>
      <c r="K10" s="102">
        <v>77.7</v>
      </c>
      <c r="L10" s="102">
        <v>35.1</v>
      </c>
      <c r="M10" s="102">
        <v>17.8</v>
      </c>
      <c r="N10" s="102">
        <f t="shared" si="1"/>
        <v>165.4</v>
      </c>
      <c r="O10" s="102">
        <f t="shared" si="2"/>
        <v>590.09999999999991</v>
      </c>
      <c r="P10" s="102">
        <f t="shared" si="3"/>
        <v>130.60000000000002</v>
      </c>
      <c r="Q10" s="102">
        <f t="shared" si="4"/>
        <v>886.1</v>
      </c>
    </row>
    <row r="11" spans="1:33">
      <c r="A11" s="102">
        <v>1991</v>
      </c>
      <c r="B11" s="102">
        <v>62.8</v>
      </c>
      <c r="C11" s="102">
        <v>13.1</v>
      </c>
      <c r="D11" s="102">
        <v>85.8</v>
      </c>
      <c r="E11" s="102">
        <v>45.7</v>
      </c>
      <c r="F11" s="102">
        <v>53.8</v>
      </c>
      <c r="G11" s="102">
        <v>199.3</v>
      </c>
      <c r="H11" s="102">
        <v>533.9</v>
      </c>
      <c r="I11" s="102">
        <v>120.5</v>
      </c>
      <c r="J11" s="102">
        <v>117.2</v>
      </c>
      <c r="K11" s="102">
        <v>43</v>
      </c>
      <c r="L11" s="102">
        <v>54.2</v>
      </c>
      <c r="M11" s="102">
        <v>16.600000000000001</v>
      </c>
      <c r="N11" s="102">
        <f t="shared" si="1"/>
        <v>207.39999999999998</v>
      </c>
      <c r="O11" s="102">
        <f t="shared" si="2"/>
        <v>1024.7</v>
      </c>
      <c r="P11" s="102">
        <f t="shared" si="3"/>
        <v>113.80000000000001</v>
      </c>
      <c r="Q11" s="102">
        <f t="shared" si="4"/>
        <v>1345.9</v>
      </c>
    </row>
    <row r="12" spans="1:33">
      <c r="A12" s="102">
        <v>1992</v>
      </c>
      <c r="B12" s="102">
        <v>28.4</v>
      </c>
      <c r="C12" s="102">
        <v>28.8</v>
      </c>
      <c r="D12" s="102">
        <v>46</v>
      </c>
      <c r="E12" s="102">
        <v>131.5</v>
      </c>
      <c r="F12" s="102">
        <v>173.4</v>
      </c>
      <c r="G12" s="102">
        <v>366.6</v>
      </c>
      <c r="H12" s="102">
        <v>115.6</v>
      </c>
      <c r="I12" s="102">
        <v>29.5</v>
      </c>
      <c r="J12" s="102">
        <v>37.5</v>
      </c>
      <c r="K12" s="102">
        <v>122.5</v>
      </c>
      <c r="L12" s="102">
        <v>16</v>
      </c>
      <c r="M12" s="102">
        <v>16.399999999999999</v>
      </c>
      <c r="N12" s="102">
        <f t="shared" si="1"/>
        <v>234.7</v>
      </c>
      <c r="O12" s="102">
        <f t="shared" si="2"/>
        <v>722.6</v>
      </c>
      <c r="P12" s="102">
        <f t="shared" si="3"/>
        <v>154.9</v>
      </c>
      <c r="Q12" s="102">
        <f t="shared" si="4"/>
        <v>1112.2000000000003</v>
      </c>
    </row>
    <row r="13" spans="1:33">
      <c r="A13" s="102">
        <v>1993</v>
      </c>
      <c r="B13" s="102">
        <v>26.4</v>
      </c>
      <c r="C13" s="102">
        <v>49</v>
      </c>
      <c r="D13" s="102">
        <v>9.5</v>
      </c>
      <c r="E13" s="102">
        <v>58.7</v>
      </c>
      <c r="F13" s="102">
        <v>175.1</v>
      </c>
      <c r="G13" s="102">
        <v>227.3</v>
      </c>
      <c r="H13" s="102">
        <v>225.4</v>
      </c>
      <c r="I13" s="102">
        <v>128.6</v>
      </c>
      <c r="J13" s="102">
        <v>149.69999999999999</v>
      </c>
      <c r="K13" s="102">
        <v>40.200000000000003</v>
      </c>
      <c r="L13" s="102">
        <v>63.4</v>
      </c>
      <c r="M13" s="102">
        <v>14.4</v>
      </c>
      <c r="N13" s="102">
        <f t="shared" si="1"/>
        <v>143.60000000000002</v>
      </c>
      <c r="O13" s="102">
        <f t="shared" si="2"/>
        <v>906.09999999999991</v>
      </c>
      <c r="P13" s="102">
        <f t="shared" si="3"/>
        <v>118</v>
      </c>
      <c r="Q13" s="102">
        <f t="shared" si="4"/>
        <v>1167.7000000000003</v>
      </c>
    </row>
    <row r="14" spans="1:33">
      <c r="A14" s="102">
        <v>1994</v>
      </c>
      <c r="B14" s="102">
        <v>18.8</v>
      </c>
      <c r="C14" s="102">
        <v>9.5</v>
      </c>
      <c r="D14" s="102">
        <v>55.2</v>
      </c>
      <c r="E14" s="102">
        <v>31.8</v>
      </c>
      <c r="F14" s="102">
        <v>196.8</v>
      </c>
      <c r="G14" s="102">
        <v>201.6</v>
      </c>
      <c r="H14" s="102">
        <v>103.6</v>
      </c>
      <c r="I14" s="102">
        <v>106.6</v>
      </c>
      <c r="J14" s="102">
        <v>102.6</v>
      </c>
      <c r="K14" s="102">
        <v>143.30000000000001</v>
      </c>
      <c r="L14" s="102">
        <v>90.8</v>
      </c>
      <c r="M14" s="102">
        <v>41.1</v>
      </c>
      <c r="N14" s="102">
        <f t="shared" si="1"/>
        <v>115.3</v>
      </c>
      <c r="O14" s="102">
        <f t="shared" si="2"/>
        <v>711.2</v>
      </c>
      <c r="P14" s="102">
        <f t="shared" si="3"/>
        <v>275.20000000000005</v>
      </c>
      <c r="Q14" s="102">
        <f t="shared" si="4"/>
        <v>1101.7</v>
      </c>
    </row>
    <row r="15" spans="1:33">
      <c r="A15" s="102">
        <v>1995</v>
      </c>
      <c r="B15" s="102">
        <v>19.7</v>
      </c>
      <c r="C15" s="102">
        <v>37.6</v>
      </c>
      <c r="D15" s="102">
        <v>29.4</v>
      </c>
      <c r="E15" s="102">
        <v>55.3</v>
      </c>
      <c r="F15" s="102">
        <v>187.4</v>
      </c>
      <c r="G15" s="102">
        <v>282.10000000000002</v>
      </c>
      <c r="H15" s="102">
        <v>203.6</v>
      </c>
      <c r="I15" s="102">
        <v>90.9</v>
      </c>
      <c r="J15" s="102">
        <v>93</v>
      </c>
      <c r="K15" s="102">
        <v>58</v>
      </c>
      <c r="L15" s="102">
        <v>51</v>
      </c>
      <c r="M15" s="102">
        <v>7</v>
      </c>
      <c r="N15" s="102">
        <f t="shared" si="1"/>
        <v>142</v>
      </c>
      <c r="O15" s="102">
        <f t="shared" si="2"/>
        <v>857</v>
      </c>
      <c r="P15" s="102">
        <f t="shared" si="3"/>
        <v>116</v>
      </c>
      <c r="Q15" s="102">
        <f t="shared" si="4"/>
        <v>1115</v>
      </c>
    </row>
    <row r="16" spans="1:33">
      <c r="A16" s="102">
        <v>1996</v>
      </c>
      <c r="B16" s="102">
        <v>21.3</v>
      </c>
      <c r="C16" s="102">
        <v>7.7</v>
      </c>
      <c r="D16" s="102">
        <v>46.2</v>
      </c>
      <c r="E16" s="102">
        <v>29.5</v>
      </c>
      <c r="F16" s="102">
        <v>188.7</v>
      </c>
      <c r="G16" s="102">
        <v>277.60000000000002</v>
      </c>
      <c r="H16" s="102">
        <v>492.5</v>
      </c>
      <c r="I16" s="102">
        <v>138.4</v>
      </c>
      <c r="J16" s="102">
        <v>16.2</v>
      </c>
      <c r="K16" s="102">
        <v>47.3</v>
      </c>
      <c r="L16" s="102">
        <v>62.8</v>
      </c>
      <c r="M16" s="102">
        <v>15.2</v>
      </c>
      <c r="N16" s="102">
        <f t="shared" si="1"/>
        <v>104.7</v>
      </c>
      <c r="O16" s="102">
        <f t="shared" si="2"/>
        <v>1113.4000000000001</v>
      </c>
      <c r="P16" s="102">
        <f t="shared" si="3"/>
        <v>125.3</v>
      </c>
      <c r="Q16" s="102">
        <f t="shared" si="4"/>
        <v>1343.4</v>
      </c>
    </row>
    <row r="17" spans="1:33">
      <c r="A17" s="102">
        <v>1997</v>
      </c>
      <c r="B17" s="102">
        <v>52.8</v>
      </c>
      <c r="C17" s="102">
        <v>51.4</v>
      </c>
      <c r="D17" s="102">
        <v>46.2</v>
      </c>
      <c r="E17" s="102">
        <v>193.6</v>
      </c>
      <c r="F17" s="102">
        <v>91</v>
      </c>
      <c r="G17" s="102">
        <v>163.5</v>
      </c>
      <c r="H17" s="102">
        <v>157.9</v>
      </c>
      <c r="I17" s="102">
        <v>37.5</v>
      </c>
      <c r="J17" s="102">
        <v>153.9</v>
      </c>
      <c r="K17" s="102">
        <v>168.6</v>
      </c>
      <c r="L17" s="102">
        <v>9.8000000000000007</v>
      </c>
      <c r="M17" s="102">
        <v>23</v>
      </c>
      <c r="N17" s="102">
        <f t="shared" si="1"/>
        <v>344</v>
      </c>
      <c r="O17" s="102">
        <f t="shared" si="2"/>
        <v>603.79999999999995</v>
      </c>
      <c r="P17" s="102">
        <f t="shared" si="3"/>
        <v>201.4</v>
      </c>
      <c r="Q17" s="102">
        <f t="shared" si="4"/>
        <v>1149.1999999999998</v>
      </c>
    </row>
    <row r="18" spans="1:33">
      <c r="A18" s="102">
        <v>1998</v>
      </c>
      <c r="B18" s="102">
        <v>24.3</v>
      </c>
      <c r="C18" s="102">
        <v>17.2</v>
      </c>
      <c r="D18" s="102">
        <v>30.8</v>
      </c>
      <c r="E18" s="102">
        <v>46.3</v>
      </c>
      <c r="F18" s="102">
        <v>143.9</v>
      </c>
      <c r="G18" s="102">
        <v>189.2</v>
      </c>
      <c r="H18" s="102">
        <v>198.4</v>
      </c>
      <c r="I18" s="102">
        <v>104.1</v>
      </c>
      <c r="J18" s="102">
        <v>58.1</v>
      </c>
      <c r="K18" s="102">
        <v>96.1</v>
      </c>
      <c r="L18" s="102">
        <v>26.2</v>
      </c>
      <c r="M18" s="102">
        <v>22.3</v>
      </c>
      <c r="N18" s="102">
        <f t="shared" si="1"/>
        <v>118.6</v>
      </c>
      <c r="O18" s="102">
        <f t="shared" si="2"/>
        <v>693.7</v>
      </c>
      <c r="P18" s="102">
        <f t="shared" si="3"/>
        <v>144.6</v>
      </c>
      <c r="Q18" s="102">
        <f t="shared" si="4"/>
        <v>956.90000000000009</v>
      </c>
    </row>
    <row r="19" spans="1:33">
      <c r="A19" s="102">
        <v>1999</v>
      </c>
      <c r="B19" s="102">
        <v>22.8</v>
      </c>
      <c r="C19" s="102">
        <v>7.3</v>
      </c>
      <c r="D19" s="102">
        <v>29.2</v>
      </c>
      <c r="E19" s="102">
        <v>74.400000000000006</v>
      </c>
      <c r="F19" s="102">
        <v>139.30000000000001</v>
      </c>
      <c r="G19" s="102">
        <v>243.1</v>
      </c>
      <c r="H19" s="102">
        <v>397.6</v>
      </c>
      <c r="I19" s="102">
        <v>175.7</v>
      </c>
      <c r="J19" s="102">
        <v>37.799999999999997</v>
      </c>
      <c r="K19" s="102">
        <v>95.3</v>
      </c>
      <c r="L19" s="102">
        <v>42.7</v>
      </c>
      <c r="M19" s="102">
        <v>5.3</v>
      </c>
      <c r="N19" s="102">
        <f t="shared" si="1"/>
        <v>133.69999999999999</v>
      </c>
      <c r="O19" s="102">
        <f t="shared" si="2"/>
        <v>993.5</v>
      </c>
      <c r="P19" s="102">
        <f t="shared" si="3"/>
        <v>143.30000000000001</v>
      </c>
      <c r="Q19" s="102">
        <f t="shared" si="4"/>
        <v>1270.5</v>
      </c>
    </row>
    <row r="20" spans="1:33">
      <c r="A20" s="102">
        <v>2000</v>
      </c>
      <c r="B20" s="102">
        <v>34.799999999999997</v>
      </c>
      <c r="C20" s="102">
        <v>20.6</v>
      </c>
      <c r="D20" s="102">
        <v>52.1</v>
      </c>
      <c r="E20" s="102">
        <v>118.9</v>
      </c>
      <c r="F20" s="102">
        <v>172.8</v>
      </c>
      <c r="G20" s="102">
        <v>324</v>
      </c>
      <c r="H20" s="102">
        <v>109.4</v>
      </c>
      <c r="I20" s="102">
        <v>277.5</v>
      </c>
      <c r="J20" s="102">
        <v>107</v>
      </c>
      <c r="K20" s="102">
        <v>92.7</v>
      </c>
      <c r="L20" s="102">
        <v>40.700000000000003</v>
      </c>
      <c r="M20" s="102">
        <v>26</v>
      </c>
      <c r="N20" s="102">
        <f t="shared" si="1"/>
        <v>226.4</v>
      </c>
      <c r="O20" s="102">
        <f t="shared" si="2"/>
        <v>990.7</v>
      </c>
      <c r="P20" s="102">
        <f t="shared" si="3"/>
        <v>159.4</v>
      </c>
      <c r="Q20" s="102">
        <f t="shared" si="4"/>
        <v>1376.5</v>
      </c>
    </row>
    <row r="21" spans="1:33">
      <c r="A21" s="102">
        <v>2001</v>
      </c>
      <c r="B21" s="102">
        <v>20.399999999999999</v>
      </c>
      <c r="C21" s="102">
        <v>11.2</v>
      </c>
      <c r="D21" s="102">
        <v>35.799999999999997</v>
      </c>
      <c r="E21" s="102">
        <v>95.1</v>
      </c>
      <c r="F21" s="102">
        <v>142.5</v>
      </c>
      <c r="G21" s="102">
        <v>186.4</v>
      </c>
      <c r="H21" s="102">
        <v>210.8</v>
      </c>
      <c r="I21" s="102">
        <v>41</v>
      </c>
      <c r="J21" s="102">
        <v>5.0999999999999996</v>
      </c>
      <c r="K21" s="102">
        <v>147.80000000000001</v>
      </c>
      <c r="L21" s="102">
        <v>20</v>
      </c>
      <c r="M21" s="102">
        <v>19.3</v>
      </c>
      <c r="N21" s="102">
        <f t="shared" si="1"/>
        <v>162.5</v>
      </c>
      <c r="O21" s="102">
        <f t="shared" si="2"/>
        <v>585.80000000000007</v>
      </c>
      <c r="P21" s="102">
        <f t="shared" si="3"/>
        <v>187.10000000000002</v>
      </c>
      <c r="Q21" s="102">
        <f t="shared" si="4"/>
        <v>935.40000000000009</v>
      </c>
    </row>
    <row r="22" spans="1:33">
      <c r="A22" s="102">
        <v>2002</v>
      </c>
      <c r="B22" s="102">
        <v>3.3</v>
      </c>
      <c r="C22" s="102">
        <v>3.2</v>
      </c>
      <c r="D22" s="102">
        <v>29.7</v>
      </c>
      <c r="E22" s="102">
        <v>109.2</v>
      </c>
      <c r="F22" s="102">
        <v>239.1</v>
      </c>
      <c r="G22" s="102">
        <v>292.2</v>
      </c>
      <c r="H22" s="102">
        <v>118.2</v>
      </c>
      <c r="I22" s="102">
        <v>191.8</v>
      </c>
      <c r="J22" s="102">
        <v>28.7</v>
      </c>
      <c r="K22" s="102">
        <v>72.400000000000006</v>
      </c>
      <c r="L22" s="102">
        <v>16.7</v>
      </c>
      <c r="M22" s="102">
        <v>18.3</v>
      </c>
      <c r="N22" s="102">
        <f t="shared" si="1"/>
        <v>145.4</v>
      </c>
      <c r="O22" s="102">
        <f t="shared" si="2"/>
        <v>870</v>
      </c>
      <c r="P22" s="102">
        <f t="shared" si="3"/>
        <v>107.4</v>
      </c>
      <c r="Q22" s="102">
        <f t="shared" si="4"/>
        <v>1122.8000000000002</v>
      </c>
    </row>
    <row r="23" spans="1:33">
      <c r="A23" s="102">
        <v>2003</v>
      </c>
      <c r="B23" s="102">
        <v>19.3</v>
      </c>
      <c r="C23" s="102">
        <v>4.5</v>
      </c>
      <c r="D23" s="102">
        <v>28.1</v>
      </c>
      <c r="E23" s="102">
        <v>128.9</v>
      </c>
      <c r="F23" s="102">
        <v>270.7</v>
      </c>
      <c r="G23" s="102">
        <v>166</v>
      </c>
      <c r="H23" s="102">
        <v>128.9</v>
      </c>
      <c r="I23" s="102">
        <v>18.100000000000001</v>
      </c>
      <c r="J23" s="102">
        <v>36.200000000000003</v>
      </c>
      <c r="K23" s="102">
        <v>51.5</v>
      </c>
      <c r="L23" s="102">
        <v>19.2</v>
      </c>
      <c r="M23" s="102">
        <v>50.3</v>
      </c>
      <c r="N23" s="102">
        <f t="shared" si="1"/>
        <v>180.8</v>
      </c>
      <c r="O23" s="102">
        <f t="shared" si="2"/>
        <v>619.90000000000009</v>
      </c>
      <c r="P23" s="102">
        <f t="shared" si="3"/>
        <v>121</v>
      </c>
      <c r="Q23" s="102">
        <f t="shared" si="4"/>
        <v>921.7</v>
      </c>
    </row>
    <row r="24" spans="1:33">
      <c r="A24" s="102">
        <v>2004</v>
      </c>
      <c r="B24" s="102">
        <v>31.5</v>
      </c>
      <c r="C24" s="102">
        <v>65.8</v>
      </c>
      <c r="D24" s="102">
        <v>18.600000000000001</v>
      </c>
      <c r="E24" s="103"/>
      <c r="F24" s="102">
        <v>244.2</v>
      </c>
      <c r="G24" s="102">
        <v>58</v>
      </c>
      <c r="H24" s="102">
        <v>253.2</v>
      </c>
      <c r="I24" s="102">
        <v>142.80000000000001</v>
      </c>
      <c r="J24" s="102">
        <v>60.9</v>
      </c>
      <c r="K24" s="103"/>
      <c r="L24" s="103"/>
      <c r="M24" s="103"/>
      <c r="N24" s="102">
        <f t="shared" si="1"/>
        <v>115.9</v>
      </c>
      <c r="O24" s="102">
        <f t="shared" si="2"/>
        <v>759.1</v>
      </c>
      <c r="P24" s="102">
        <f t="shared" si="3"/>
        <v>0</v>
      </c>
      <c r="Q24" s="102">
        <f t="shared" si="4"/>
        <v>874.99999999999989</v>
      </c>
    </row>
    <row r="25" spans="1:33">
      <c r="A25" s="102">
        <v>2005</v>
      </c>
      <c r="B25" s="103">
        <v>34.6</v>
      </c>
      <c r="C25" s="103">
        <v>14.5</v>
      </c>
      <c r="D25" s="103">
        <v>64.5</v>
      </c>
      <c r="E25" s="103">
        <v>45</v>
      </c>
      <c r="F25" s="103">
        <v>249.1</v>
      </c>
      <c r="G25" s="103">
        <v>135.80000000000001</v>
      </c>
      <c r="H25" s="103">
        <v>190.5</v>
      </c>
      <c r="I25" s="103">
        <v>135.9</v>
      </c>
      <c r="J25" s="103">
        <v>64</v>
      </c>
      <c r="K25" s="103">
        <v>57.5</v>
      </c>
      <c r="L25" s="103">
        <v>21.2</v>
      </c>
      <c r="M25" s="103">
        <v>24</v>
      </c>
      <c r="N25" s="102">
        <f t="shared" si="1"/>
        <v>158.6</v>
      </c>
      <c r="O25" s="102">
        <f t="shared" si="2"/>
        <v>775.3</v>
      </c>
      <c r="P25" s="102">
        <f t="shared" si="3"/>
        <v>102.7</v>
      </c>
      <c r="Q25" s="102">
        <f t="shared" si="4"/>
        <v>1036.5999999999999</v>
      </c>
    </row>
    <row r="26" spans="1:33">
      <c r="A26" s="103">
        <v>2006</v>
      </c>
      <c r="B26" s="103">
        <v>12.7</v>
      </c>
      <c r="C26" s="103">
        <v>46.2</v>
      </c>
      <c r="D26" s="103">
        <v>38.1</v>
      </c>
      <c r="E26" s="103">
        <v>82.3</v>
      </c>
      <c r="F26" s="103">
        <v>175.1</v>
      </c>
      <c r="G26" s="103">
        <v>209.7</v>
      </c>
      <c r="H26" s="103">
        <v>115.7</v>
      </c>
      <c r="I26" s="103">
        <v>98.1</v>
      </c>
      <c r="J26" s="103">
        <v>59.4</v>
      </c>
      <c r="K26" s="103">
        <v>212.5</v>
      </c>
      <c r="L26" s="103">
        <v>23.2</v>
      </c>
      <c r="M26" s="103">
        <v>19.8</v>
      </c>
      <c r="N26" s="102">
        <f t="shared" si="1"/>
        <v>179.3</v>
      </c>
      <c r="O26" s="102">
        <f t="shared" si="2"/>
        <v>657.99999999999989</v>
      </c>
      <c r="P26" s="102">
        <f t="shared" si="3"/>
        <v>255.5</v>
      </c>
      <c r="Q26" s="102">
        <f t="shared" si="4"/>
        <v>1092.8</v>
      </c>
    </row>
    <row r="27" spans="1:33">
      <c r="A27" s="103">
        <v>2007</v>
      </c>
      <c r="B27" s="103">
        <v>34.200000000000003</v>
      </c>
      <c r="C27" s="103">
        <v>9</v>
      </c>
      <c r="D27" s="103">
        <v>23.7</v>
      </c>
      <c r="E27" s="103">
        <v>97.5</v>
      </c>
      <c r="F27" s="103">
        <v>82.3</v>
      </c>
      <c r="G27" s="103">
        <v>215.2</v>
      </c>
      <c r="H27" s="103">
        <v>322.5</v>
      </c>
      <c r="I27" s="103">
        <v>72</v>
      </c>
      <c r="J27" s="103">
        <v>101.4</v>
      </c>
      <c r="K27" s="103">
        <v>19.399999999999999</v>
      </c>
      <c r="L27" s="103">
        <v>2.4</v>
      </c>
      <c r="M27" s="103">
        <v>19.7</v>
      </c>
      <c r="N27" s="102">
        <f t="shared" si="1"/>
        <v>164.4</v>
      </c>
      <c r="O27" s="102">
        <f t="shared" si="2"/>
        <v>793.4</v>
      </c>
      <c r="P27" s="102">
        <f t="shared" si="3"/>
        <v>41.5</v>
      </c>
      <c r="Q27" s="102">
        <f t="shared" si="4"/>
        <v>999.3</v>
      </c>
    </row>
    <row r="28" spans="1:33">
      <c r="A28" s="103">
        <v>2008</v>
      </c>
      <c r="B28" s="103">
        <v>14.7</v>
      </c>
      <c r="C28" s="103">
        <v>14.4</v>
      </c>
      <c r="D28" s="103">
        <v>60.9</v>
      </c>
      <c r="E28" s="103">
        <v>83.2</v>
      </c>
      <c r="F28" s="103">
        <v>172.1</v>
      </c>
      <c r="G28" s="103">
        <v>73.5</v>
      </c>
      <c r="H28" s="103">
        <v>297.3</v>
      </c>
      <c r="I28" s="103">
        <v>323.2</v>
      </c>
      <c r="J28" s="103">
        <v>98.8</v>
      </c>
      <c r="K28" s="103">
        <v>115.8</v>
      </c>
      <c r="L28" s="103">
        <v>97.3</v>
      </c>
      <c r="M28" s="103">
        <v>18.600000000000001</v>
      </c>
      <c r="N28" s="102">
        <f t="shared" si="1"/>
        <v>173.2</v>
      </c>
      <c r="O28" s="102">
        <f t="shared" si="2"/>
        <v>964.89999999999986</v>
      </c>
      <c r="P28" s="102">
        <f t="shared" si="3"/>
        <v>231.7</v>
      </c>
      <c r="Q28" s="102">
        <f t="shared" si="4"/>
        <v>1369.7999999999997</v>
      </c>
    </row>
    <row r="29" spans="1:33">
      <c r="A29" s="103">
        <v>2009</v>
      </c>
      <c r="B29" s="103">
        <v>15.5</v>
      </c>
      <c r="C29" s="103">
        <v>45</v>
      </c>
      <c r="D29" s="103">
        <v>25.5</v>
      </c>
      <c r="E29" s="103">
        <v>173</v>
      </c>
      <c r="F29" s="103">
        <v>95</v>
      </c>
      <c r="G29" s="103">
        <v>102.5</v>
      </c>
      <c r="H29" s="103">
        <v>156</v>
      </c>
      <c r="I29" s="103">
        <v>90.5</v>
      </c>
      <c r="J29" s="103">
        <v>42</v>
      </c>
      <c r="K29" s="103">
        <v>64</v>
      </c>
      <c r="L29" s="103">
        <v>10</v>
      </c>
      <c r="M29" s="103">
        <v>16.5</v>
      </c>
      <c r="N29" s="102">
        <f t="shared" si="1"/>
        <v>259</v>
      </c>
      <c r="O29" s="102">
        <f t="shared" si="2"/>
        <v>486</v>
      </c>
      <c r="P29" s="102">
        <f t="shared" si="3"/>
        <v>90.5</v>
      </c>
      <c r="Q29" s="102">
        <f t="shared" si="4"/>
        <v>835.5</v>
      </c>
    </row>
    <row r="30" spans="1:33">
      <c r="A30" s="103">
        <v>2010</v>
      </c>
      <c r="B30" s="103">
        <v>5.5</v>
      </c>
      <c r="C30" s="103">
        <v>7</v>
      </c>
      <c r="D30" s="103">
        <v>23.5</v>
      </c>
      <c r="E30" s="103">
        <v>73</v>
      </c>
      <c r="F30" s="103">
        <v>88.5</v>
      </c>
      <c r="G30" s="103">
        <v>209</v>
      </c>
      <c r="H30" s="103">
        <v>125.5</v>
      </c>
      <c r="I30" s="103">
        <v>150.5</v>
      </c>
      <c r="J30" s="103">
        <v>152</v>
      </c>
      <c r="K30" s="103">
        <v>99.5</v>
      </c>
      <c r="L30" s="103">
        <v>36</v>
      </c>
      <c r="M30" s="103">
        <v>42</v>
      </c>
      <c r="N30" s="102">
        <f t="shared" si="1"/>
        <v>109</v>
      </c>
      <c r="O30" s="102">
        <f t="shared" si="2"/>
        <v>725.5</v>
      </c>
      <c r="P30" s="102">
        <f t="shared" si="3"/>
        <v>177.5</v>
      </c>
      <c r="Q30" s="102">
        <f t="shared" si="4"/>
        <v>1012</v>
      </c>
    </row>
    <row r="31" spans="1:33">
      <c r="A31" s="103">
        <v>2011</v>
      </c>
      <c r="B31" s="103">
        <v>19</v>
      </c>
      <c r="C31" s="103">
        <v>6</v>
      </c>
      <c r="D31" s="103">
        <v>22.5</v>
      </c>
      <c r="E31" s="103">
        <v>25</v>
      </c>
      <c r="F31" s="103">
        <v>35.5</v>
      </c>
      <c r="G31" s="103">
        <v>182.5</v>
      </c>
      <c r="H31" s="103">
        <v>40</v>
      </c>
      <c r="I31" s="103">
        <v>43.5</v>
      </c>
      <c r="J31" s="103">
        <v>85</v>
      </c>
      <c r="K31" s="103">
        <v>98.5</v>
      </c>
      <c r="L31" s="103">
        <v>54.5</v>
      </c>
      <c r="M31" s="103">
        <v>18</v>
      </c>
      <c r="N31" s="102">
        <f t="shared" si="1"/>
        <v>72.5</v>
      </c>
      <c r="O31" s="102">
        <f t="shared" si="2"/>
        <v>386.5</v>
      </c>
      <c r="P31" s="102">
        <f t="shared" si="3"/>
        <v>171</v>
      </c>
      <c r="Q31" s="102">
        <f t="shared" si="4"/>
        <v>630</v>
      </c>
    </row>
    <row r="32" spans="1:33">
      <c r="A32" s="103">
        <v>2012</v>
      </c>
      <c r="B32" s="103">
        <v>12.5</v>
      </c>
      <c r="C32" s="103">
        <v>20</v>
      </c>
      <c r="D32" s="103">
        <v>35.5</v>
      </c>
      <c r="E32" s="103">
        <v>37.5</v>
      </c>
      <c r="F32" s="103">
        <v>213.5</v>
      </c>
      <c r="G32" s="103">
        <v>200</v>
      </c>
      <c r="H32" s="103">
        <v>303.5</v>
      </c>
      <c r="I32" s="103">
        <v>103.5</v>
      </c>
      <c r="J32" s="103">
        <v>124</v>
      </c>
      <c r="K32" s="103">
        <v>72.5</v>
      </c>
      <c r="L32" s="103">
        <v>32</v>
      </c>
      <c r="M32" s="103">
        <v>17.5</v>
      </c>
      <c r="N32" s="102">
        <f t="shared" si="1"/>
        <v>105.5</v>
      </c>
      <c r="O32" s="102">
        <f t="shared" si="2"/>
        <v>944.5</v>
      </c>
      <c r="P32" s="102">
        <f t="shared" si="3"/>
        <v>122</v>
      </c>
      <c r="Q32" s="102">
        <f t="shared" si="4"/>
        <v>1172</v>
      </c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</row>
    <row r="33" spans="1:33">
      <c r="A33" s="102">
        <v>2013</v>
      </c>
      <c r="B33" s="102">
        <v>9.8000000000000007</v>
      </c>
      <c r="C33" s="102">
        <v>15.5</v>
      </c>
      <c r="D33" s="102">
        <v>46.3</v>
      </c>
      <c r="E33" s="102">
        <v>53.7</v>
      </c>
      <c r="F33" s="102">
        <v>233.1</v>
      </c>
      <c r="G33" s="102">
        <v>240.9</v>
      </c>
      <c r="H33" s="102">
        <v>27.7</v>
      </c>
      <c r="I33" s="102">
        <v>122.9</v>
      </c>
      <c r="J33" s="102">
        <v>81.2</v>
      </c>
      <c r="K33" s="102">
        <v>74.599999999999994</v>
      </c>
      <c r="L33" s="102">
        <v>33</v>
      </c>
      <c r="M33" s="102">
        <v>32.1</v>
      </c>
      <c r="N33" s="102">
        <f t="shared" si="1"/>
        <v>125.3</v>
      </c>
      <c r="O33" s="102">
        <f t="shared" si="2"/>
        <v>705.80000000000007</v>
      </c>
      <c r="P33" s="102">
        <f t="shared" si="3"/>
        <v>139.69999999999999</v>
      </c>
      <c r="Q33" s="102">
        <f t="shared" si="4"/>
        <v>970.80000000000007</v>
      </c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</row>
    <row r="34" spans="1:33">
      <c r="A34" s="103">
        <v>2014</v>
      </c>
      <c r="B34" s="103">
        <v>17.100000000000001</v>
      </c>
      <c r="C34" s="139">
        <v>39.1</v>
      </c>
      <c r="D34" s="139">
        <v>97</v>
      </c>
      <c r="E34" s="139">
        <v>35.799999999999997</v>
      </c>
      <c r="F34" s="139">
        <v>239.5</v>
      </c>
      <c r="G34" s="139">
        <v>278.5</v>
      </c>
      <c r="H34" s="139">
        <v>314.39999999999998</v>
      </c>
      <c r="I34" s="139">
        <v>145.9</v>
      </c>
      <c r="J34" s="139">
        <v>101</v>
      </c>
      <c r="K34" s="139">
        <v>69</v>
      </c>
      <c r="L34" s="139">
        <v>46.2</v>
      </c>
      <c r="M34" s="139">
        <v>12.8</v>
      </c>
      <c r="N34" s="102">
        <f t="shared" ref="N34:N35" si="5">SUM(B34:E34)</f>
        <v>189</v>
      </c>
      <c r="O34" s="102">
        <f t="shared" ref="O34:O35" si="6">SUM(F34:J34)</f>
        <v>1079.3</v>
      </c>
      <c r="P34" s="102">
        <f t="shared" ref="P34:P35" si="7">SUM(K34:M34)</f>
        <v>128</v>
      </c>
      <c r="Q34" s="102">
        <f t="shared" ref="Q34:Q35" si="8">SUM(B34:M34)</f>
        <v>1396.3</v>
      </c>
    </row>
    <row r="35" spans="1:33">
      <c r="A35" s="103">
        <v>2015</v>
      </c>
      <c r="B35" s="103">
        <v>38</v>
      </c>
      <c r="C35" s="103">
        <v>11.5</v>
      </c>
      <c r="D35" s="103">
        <v>31</v>
      </c>
      <c r="E35" s="103">
        <v>65.5</v>
      </c>
      <c r="F35" s="103">
        <v>332.5</v>
      </c>
      <c r="G35" s="103">
        <v>389</v>
      </c>
      <c r="H35" s="103">
        <v>82</v>
      </c>
      <c r="I35" s="103">
        <v>177</v>
      </c>
      <c r="J35" s="103">
        <v>75</v>
      </c>
      <c r="K35" s="103">
        <v>148.5</v>
      </c>
      <c r="L35" s="103">
        <v>26</v>
      </c>
      <c r="M35" s="103">
        <v>45.5</v>
      </c>
      <c r="N35" s="102">
        <f t="shared" si="5"/>
        <v>146</v>
      </c>
      <c r="O35" s="102">
        <f t="shared" si="6"/>
        <v>1055.5</v>
      </c>
      <c r="P35" s="102">
        <f t="shared" si="7"/>
        <v>220</v>
      </c>
      <c r="Q35" s="102">
        <f t="shared" si="8"/>
        <v>1421.5</v>
      </c>
    </row>
    <row r="36" spans="1:33">
      <c r="A36" s="102">
        <v>2016</v>
      </c>
      <c r="B36" s="103">
        <v>22</v>
      </c>
      <c r="C36" s="103">
        <v>10</v>
      </c>
      <c r="D36" s="103">
        <v>74</v>
      </c>
      <c r="E36" s="103">
        <v>181</v>
      </c>
      <c r="F36" s="103">
        <v>142.69999999999999</v>
      </c>
      <c r="G36" s="103">
        <v>214.5</v>
      </c>
      <c r="H36" s="103">
        <v>76</v>
      </c>
      <c r="I36" s="103">
        <v>199.5</v>
      </c>
      <c r="J36" s="103">
        <v>39</v>
      </c>
      <c r="K36" s="103">
        <v>99.5</v>
      </c>
      <c r="L36" s="103">
        <v>49.5</v>
      </c>
      <c r="M36" s="103">
        <v>29</v>
      </c>
      <c r="N36" s="103">
        <f>SUM(B36:E36)</f>
        <v>287</v>
      </c>
      <c r="O36" s="102">
        <f>SUM(F36:J36)</f>
        <v>671.7</v>
      </c>
      <c r="P36" s="102">
        <f>SUM(K36:M36)</f>
        <v>178</v>
      </c>
      <c r="Q36" s="102">
        <f>SUM(B36:M36)</f>
        <v>1136.7</v>
      </c>
      <c r="R36" s="81">
        <f t="shared" ref="R36:AG36" si="9">100*(B36-B4)/B4</f>
        <v>-1.5588914549653863</v>
      </c>
      <c r="S36" s="81">
        <f t="shared" si="9"/>
        <v>-54.080876907124861</v>
      </c>
      <c r="T36" s="81">
        <f t="shared" si="9"/>
        <v>91.597761630334873</v>
      </c>
      <c r="U36" s="81">
        <f t="shared" si="9"/>
        <v>136.5806901359359</v>
      </c>
      <c r="V36" s="81">
        <f t="shared" si="9"/>
        <v>-12.290824014592769</v>
      </c>
      <c r="W36" s="81">
        <f t="shared" si="9"/>
        <v>-1.8219669565474121</v>
      </c>
      <c r="X36" s="81">
        <f t="shared" si="9"/>
        <v>-60.852082017879098</v>
      </c>
      <c r="Y36" s="81">
        <f t="shared" si="9"/>
        <v>57.278368343420972</v>
      </c>
      <c r="Z36" s="81">
        <f t="shared" si="9"/>
        <v>-52.356557377049192</v>
      </c>
      <c r="AA36" s="81">
        <f t="shared" si="9"/>
        <v>6.7405685678526712</v>
      </c>
      <c r="AB36" s="81">
        <f t="shared" si="9"/>
        <v>35.628824550187218</v>
      </c>
      <c r="AC36" s="81">
        <f t="shared" si="9"/>
        <v>39.044270417132793</v>
      </c>
      <c r="AD36" s="81">
        <f t="shared" si="9"/>
        <v>83.050777713768383</v>
      </c>
      <c r="AE36" s="81">
        <f t="shared" si="9"/>
        <v>-14.325742146516069</v>
      </c>
      <c r="AF36" s="81">
        <f t="shared" si="9"/>
        <v>22.158021739611694</v>
      </c>
      <c r="AG36" s="81">
        <f t="shared" si="9"/>
        <v>4.6187874829285729</v>
      </c>
    </row>
  </sheetData>
  <mergeCells count="6">
    <mergeCell ref="A1:A3"/>
    <mergeCell ref="B1:Q1"/>
    <mergeCell ref="B2:M2"/>
    <mergeCell ref="R1:AG1"/>
    <mergeCell ref="N2:Q2"/>
    <mergeCell ref="R2:AG2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AG59"/>
  <sheetViews>
    <sheetView zoomScale="70" zoomScaleNormal="70" workbookViewId="0">
      <pane ySplit="5" topLeftCell="A6" activePane="bottomLeft" state="frozen"/>
      <selection pane="bottomLeft" activeCell="Y65" sqref="Y65"/>
    </sheetView>
  </sheetViews>
  <sheetFormatPr defaultRowHeight="12"/>
  <cols>
    <col min="1" max="42" width="6.625" style="83" customWidth="1"/>
    <col min="43" max="16384" width="9" style="83"/>
  </cols>
  <sheetData>
    <row r="1" spans="1:33" s="95" customFormat="1" ht="14.25" customHeight="1">
      <c r="A1" s="177" t="s">
        <v>0</v>
      </c>
      <c r="B1" s="177" t="s">
        <v>114</v>
      </c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7" t="s">
        <v>115</v>
      </c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</row>
    <row r="2" spans="1:33" s="95" customFormat="1" ht="12.75">
      <c r="A2" s="178"/>
      <c r="B2" s="177" t="s">
        <v>116</v>
      </c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7" t="s">
        <v>117</v>
      </c>
      <c r="O2" s="178"/>
      <c r="P2" s="178"/>
      <c r="Q2" s="178"/>
      <c r="R2" s="177" t="s">
        <v>118</v>
      </c>
      <c r="S2" s="178"/>
      <c r="T2" s="178"/>
      <c r="U2" s="178"/>
      <c r="V2" s="178"/>
      <c r="W2" s="178"/>
      <c r="X2" s="178"/>
      <c r="Y2" s="178"/>
      <c r="Z2" s="178"/>
      <c r="AA2" s="178"/>
      <c r="AB2" s="178"/>
      <c r="AC2" s="178"/>
      <c r="AD2" s="178"/>
      <c r="AE2" s="178"/>
      <c r="AF2" s="178"/>
      <c r="AG2" s="178"/>
    </row>
    <row r="3" spans="1:33" s="95" customFormat="1" ht="24.75">
      <c r="A3" s="178"/>
      <c r="B3" s="85" t="s">
        <v>119</v>
      </c>
      <c r="C3" s="85" t="s">
        <v>120</v>
      </c>
      <c r="D3" s="85" t="s">
        <v>69</v>
      </c>
      <c r="E3" s="85" t="s">
        <v>70</v>
      </c>
      <c r="F3" s="85" t="s">
        <v>71</v>
      </c>
      <c r="G3" s="85" t="s">
        <v>72</v>
      </c>
      <c r="H3" s="85" t="s">
        <v>73</v>
      </c>
      <c r="I3" s="85" t="s">
        <v>74</v>
      </c>
      <c r="J3" s="85" t="s">
        <v>75</v>
      </c>
      <c r="K3" s="85" t="s">
        <v>76</v>
      </c>
      <c r="L3" s="85" t="s">
        <v>77</v>
      </c>
      <c r="M3" s="85" t="s">
        <v>78</v>
      </c>
      <c r="N3" s="96" t="s">
        <v>121</v>
      </c>
      <c r="O3" s="96" t="s">
        <v>122</v>
      </c>
      <c r="P3" s="96" t="s">
        <v>123</v>
      </c>
      <c r="Q3" s="96" t="s">
        <v>124</v>
      </c>
      <c r="R3" s="85" t="s">
        <v>119</v>
      </c>
      <c r="S3" s="85" t="s">
        <v>120</v>
      </c>
      <c r="T3" s="85" t="s">
        <v>125</v>
      </c>
      <c r="U3" s="85" t="s">
        <v>126</v>
      </c>
      <c r="V3" s="85" t="s">
        <v>127</v>
      </c>
      <c r="W3" s="85" t="s">
        <v>128</v>
      </c>
      <c r="X3" s="85" t="s">
        <v>81</v>
      </c>
      <c r="Y3" s="85" t="s">
        <v>82</v>
      </c>
      <c r="Z3" s="85" t="s">
        <v>83</v>
      </c>
      <c r="AA3" s="85" t="s">
        <v>129</v>
      </c>
      <c r="AB3" s="85" t="s">
        <v>130</v>
      </c>
      <c r="AC3" s="85" t="s">
        <v>131</v>
      </c>
      <c r="AD3" s="96" t="s">
        <v>132</v>
      </c>
      <c r="AE3" s="96" t="s">
        <v>133</v>
      </c>
      <c r="AF3" s="96" t="s">
        <v>134</v>
      </c>
      <c r="AG3" s="96" t="s">
        <v>135</v>
      </c>
    </row>
    <row r="4" spans="1:33" s="95" customFormat="1" ht="12.75">
      <c r="A4" s="152" t="s">
        <v>261</v>
      </c>
      <c r="B4" s="152">
        <f t="shared" ref="B4:Q4" si="0">AVERAGE(B5:B58)</f>
        <v>16.585185185185185</v>
      </c>
      <c r="C4" s="152">
        <f t="shared" si="0"/>
        <v>14.233333333333329</v>
      </c>
      <c r="D4" s="152">
        <f t="shared" si="0"/>
        <v>30.612962962962975</v>
      </c>
      <c r="E4" s="152">
        <f t="shared" si="0"/>
        <v>54.29444444444443</v>
      </c>
      <c r="F4" s="152">
        <f t="shared" si="0"/>
        <v>114.99444444444447</v>
      </c>
      <c r="G4" s="152">
        <f t="shared" si="0"/>
        <v>161.91296296296298</v>
      </c>
      <c r="H4" s="152">
        <f t="shared" si="0"/>
        <v>124.27777777777777</v>
      </c>
      <c r="I4" s="152">
        <f t="shared" si="0"/>
        <v>106.37407407407402</v>
      </c>
      <c r="J4" s="152">
        <f t="shared" si="0"/>
        <v>80.118518518518542</v>
      </c>
      <c r="K4" s="152">
        <f t="shared" si="0"/>
        <v>65.505555555555574</v>
      </c>
      <c r="L4" s="152">
        <f t="shared" si="0"/>
        <v>31.272222222222219</v>
      </c>
      <c r="M4" s="152">
        <f t="shared" si="0"/>
        <v>18.161111111111111</v>
      </c>
      <c r="N4" s="151">
        <f t="shared" si="0"/>
        <v>115.72592592592589</v>
      </c>
      <c r="O4" s="151">
        <f t="shared" si="0"/>
        <v>587.67777777777781</v>
      </c>
      <c r="P4" s="151">
        <f t="shared" si="0"/>
        <v>114.9388888888889</v>
      </c>
      <c r="Q4" s="151">
        <f t="shared" si="0"/>
        <v>818.3425925925925</v>
      </c>
      <c r="R4" s="152"/>
      <c r="S4" s="152"/>
      <c r="T4" s="152"/>
      <c r="U4" s="152"/>
      <c r="V4" s="152"/>
      <c r="W4" s="152"/>
      <c r="X4" s="152"/>
      <c r="Y4" s="152"/>
      <c r="Z4" s="152"/>
      <c r="AA4" s="152"/>
      <c r="AB4" s="152"/>
      <c r="AC4" s="152"/>
      <c r="AD4" s="151"/>
      <c r="AE4" s="151"/>
      <c r="AF4" s="151"/>
      <c r="AG4" s="151"/>
    </row>
    <row r="5" spans="1:33">
      <c r="A5" s="87">
        <v>1962</v>
      </c>
      <c r="B5" s="87">
        <v>14.1</v>
      </c>
      <c r="C5" s="87">
        <v>4.5</v>
      </c>
      <c r="D5" s="87">
        <v>39.1</v>
      </c>
      <c r="E5" s="87">
        <v>27</v>
      </c>
      <c r="F5" s="87">
        <v>58.8</v>
      </c>
      <c r="G5" s="87">
        <v>266.7</v>
      </c>
      <c r="H5" s="87">
        <v>98.8</v>
      </c>
      <c r="I5" s="87">
        <v>51.2</v>
      </c>
      <c r="J5" s="87">
        <v>55.3</v>
      </c>
      <c r="K5" s="87">
        <v>73.900000000000006</v>
      </c>
      <c r="L5" s="87">
        <v>33.6</v>
      </c>
      <c r="M5" s="87">
        <v>5.4</v>
      </c>
      <c r="N5" s="87">
        <f>SUM(B5:E5)</f>
        <v>84.7</v>
      </c>
      <c r="O5" s="87">
        <f>SUM(F5:J5)</f>
        <v>530.79999999999995</v>
      </c>
      <c r="P5" s="87">
        <f>SUM(K5:M5)</f>
        <v>112.9</v>
      </c>
      <c r="Q5" s="87">
        <f>SUM(B5:M5)</f>
        <v>728.4</v>
      </c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87"/>
    </row>
    <row r="6" spans="1:33">
      <c r="A6" s="87">
        <v>1963</v>
      </c>
      <c r="B6" s="87">
        <v>13.3</v>
      </c>
      <c r="C6" s="87">
        <v>9.6999999999999993</v>
      </c>
      <c r="D6" s="87">
        <v>25.2</v>
      </c>
      <c r="E6" s="87">
        <v>29.7</v>
      </c>
      <c r="F6" s="87">
        <v>126.1</v>
      </c>
      <c r="G6" s="87">
        <v>145.9</v>
      </c>
      <c r="H6" s="87">
        <v>35.700000000000003</v>
      </c>
      <c r="I6" s="87">
        <v>73</v>
      </c>
      <c r="J6" s="87">
        <v>84.7</v>
      </c>
      <c r="K6" s="87">
        <v>128.9</v>
      </c>
      <c r="L6" s="87">
        <v>55.6</v>
      </c>
      <c r="M6" s="87">
        <v>17.8</v>
      </c>
      <c r="N6" s="87">
        <f t="shared" ref="N6:N55" si="1">SUM(B6:E6)</f>
        <v>77.900000000000006</v>
      </c>
      <c r="O6" s="87">
        <f t="shared" ref="O6:O55" si="2">SUM(F6:J6)</f>
        <v>465.4</v>
      </c>
      <c r="P6" s="87">
        <f t="shared" ref="P6:P55" si="3">SUM(K6:M6)</f>
        <v>202.3</v>
      </c>
      <c r="Q6" s="87">
        <f t="shared" ref="Q6:Q55" si="4">SUM(B6:M6)</f>
        <v>745.59999999999991</v>
      </c>
      <c r="R6" s="87"/>
      <c r="S6" s="87"/>
      <c r="T6" s="87"/>
      <c r="U6" s="87"/>
      <c r="V6" s="87"/>
      <c r="W6" s="87"/>
      <c r="X6" s="87"/>
      <c r="Y6" s="87"/>
      <c r="Z6" s="87"/>
      <c r="AA6" s="87"/>
      <c r="AB6" s="87"/>
      <c r="AC6" s="87"/>
      <c r="AD6" s="87"/>
      <c r="AE6" s="87"/>
      <c r="AF6" s="87"/>
      <c r="AG6" s="87"/>
    </row>
    <row r="7" spans="1:33">
      <c r="A7" s="87">
        <v>1964</v>
      </c>
      <c r="B7" s="87">
        <v>8.8000000000000007</v>
      </c>
      <c r="C7" s="87">
        <v>7.9</v>
      </c>
      <c r="D7" s="87">
        <v>17.5</v>
      </c>
      <c r="E7" s="87">
        <v>19.2</v>
      </c>
      <c r="F7" s="87">
        <v>57.1</v>
      </c>
      <c r="G7" s="87">
        <v>218.5</v>
      </c>
      <c r="H7" s="87">
        <v>113.3</v>
      </c>
      <c r="I7" s="87">
        <v>79.5</v>
      </c>
      <c r="J7" s="87">
        <v>67.3</v>
      </c>
      <c r="K7" s="87">
        <v>52.1</v>
      </c>
      <c r="L7" s="87">
        <v>34.200000000000003</v>
      </c>
      <c r="M7" s="87">
        <v>29.7</v>
      </c>
      <c r="N7" s="87">
        <f t="shared" si="1"/>
        <v>53.400000000000006</v>
      </c>
      <c r="O7" s="87">
        <f t="shared" si="2"/>
        <v>535.70000000000005</v>
      </c>
      <c r="P7" s="87">
        <f t="shared" si="3"/>
        <v>116.00000000000001</v>
      </c>
      <c r="Q7" s="87">
        <f t="shared" si="4"/>
        <v>705.1</v>
      </c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7"/>
      <c r="AF7" s="87"/>
      <c r="AG7" s="87"/>
    </row>
    <row r="8" spans="1:33">
      <c r="A8" s="87">
        <v>1965</v>
      </c>
      <c r="B8" s="87">
        <v>6.1</v>
      </c>
      <c r="C8" s="87">
        <v>4.9000000000000004</v>
      </c>
      <c r="D8" s="87">
        <v>27</v>
      </c>
      <c r="E8" s="87">
        <v>32.6</v>
      </c>
      <c r="F8" s="87">
        <v>58.3</v>
      </c>
      <c r="G8" s="87">
        <v>289.10000000000002</v>
      </c>
      <c r="H8" s="87">
        <v>56.9</v>
      </c>
      <c r="I8" s="87">
        <v>65.5</v>
      </c>
      <c r="J8" s="87">
        <v>47.3</v>
      </c>
      <c r="K8" s="87">
        <v>84.4</v>
      </c>
      <c r="L8" s="87">
        <v>17.7</v>
      </c>
      <c r="M8" s="87">
        <v>19.7</v>
      </c>
      <c r="N8" s="87">
        <f t="shared" si="1"/>
        <v>70.599999999999994</v>
      </c>
      <c r="O8" s="87">
        <f t="shared" si="2"/>
        <v>517.1</v>
      </c>
      <c r="P8" s="87">
        <f t="shared" si="3"/>
        <v>121.80000000000001</v>
      </c>
      <c r="Q8" s="87">
        <f t="shared" si="4"/>
        <v>709.5</v>
      </c>
      <c r="R8" s="87"/>
      <c r="S8" s="87"/>
      <c r="T8" s="87"/>
      <c r="U8" s="87"/>
      <c r="V8" s="87"/>
      <c r="W8" s="87"/>
      <c r="X8" s="87"/>
      <c r="Y8" s="87"/>
      <c r="Z8" s="87"/>
      <c r="AA8" s="87"/>
      <c r="AB8" s="87"/>
      <c r="AC8" s="87"/>
      <c r="AD8" s="87"/>
      <c r="AE8" s="87"/>
      <c r="AF8" s="87"/>
      <c r="AG8" s="87"/>
    </row>
    <row r="9" spans="1:33">
      <c r="A9" s="87">
        <v>1966</v>
      </c>
      <c r="B9" s="87">
        <v>10.7</v>
      </c>
      <c r="C9" s="87">
        <v>11.1</v>
      </c>
      <c r="D9" s="87">
        <v>55.1</v>
      </c>
      <c r="E9" s="87">
        <v>39</v>
      </c>
      <c r="F9" s="87">
        <v>68.8</v>
      </c>
      <c r="G9" s="87">
        <v>240.4</v>
      </c>
      <c r="H9" s="87">
        <v>87.1</v>
      </c>
      <c r="I9" s="87">
        <v>76.599999999999994</v>
      </c>
      <c r="J9" s="87">
        <v>55.6</v>
      </c>
      <c r="K9" s="87">
        <v>78.5</v>
      </c>
      <c r="L9" s="87">
        <v>15.5</v>
      </c>
      <c r="M9" s="87">
        <v>3.6</v>
      </c>
      <c r="N9" s="87">
        <f t="shared" si="1"/>
        <v>115.9</v>
      </c>
      <c r="O9" s="87">
        <f t="shared" si="2"/>
        <v>528.5</v>
      </c>
      <c r="P9" s="87">
        <f t="shared" si="3"/>
        <v>97.6</v>
      </c>
      <c r="Q9" s="87">
        <f t="shared" si="4"/>
        <v>742.00000000000011</v>
      </c>
      <c r="R9" s="87"/>
      <c r="S9" s="87"/>
      <c r="T9" s="87"/>
      <c r="U9" s="87"/>
      <c r="V9" s="87"/>
      <c r="W9" s="87"/>
      <c r="X9" s="87"/>
      <c r="Y9" s="87"/>
      <c r="Z9" s="87"/>
      <c r="AA9" s="87"/>
      <c r="AB9" s="87"/>
      <c r="AC9" s="87"/>
      <c r="AD9" s="87"/>
      <c r="AE9" s="87"/>
      <c r="AF9" s="87"/>
      <c r="AG9" s="87"/>
    </row>
    <row r="10" spans="1:33">
      <c r="A10" s="87">
        <v>1967</v>
      </c>
      <c r="B10" s="87">
        <v>9</v>
      </c>
      <c r="C10" s="87">
        <v>5.5</v>
      </c>
      <c r="D10" s="87">
        <v>20.399999999999999</v>
      </c>
      <c r="E10" s="87">
        <v>34.5</v>
      </c>
      <c r="F10" s="87">
        <v>40.700000000000003</v>
      </c>
      <c r="G10" s="87">
        <v>143.9</v>
      </c>
      <c r="H10" s="87">
        <v>54.5</v>
      </c>
      <c r="I10" s="87">
        <v>71.5</v>
      </c>
      <c r="J10" s="87">
        <v>76.900000000000006</v>
      </c>
      <c r="K10" s="87">
        <v>37</v>
      </c>
      <c r="L10" s="87">
        <v>43.8</v>
      </c>
      <c r="M10" s="87">
        <v>26.2</v>
      </c>
      <c r="N10" s="87">
        <f t="shared" si="1"/>
        <v>69.400000000000006</v>
      </c>
      <c r="O10" s="87">
        <f t="shared" si="2"/>
        <v>387.5</v>
      </c>
      <c r="P10" s="87">
        <f t="shared" si="3"/>
        <v>107</v>
      </c>
      <c r="Q10" s="87">
        <f t="shared" si="4"/>
        <v>563.9</v>
      </c>
      <c r="R10" s="87"/>
      <c r="S10" s="87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87"/>
    </row>
    <row r="11" spans="1:33">
      <c r="A11" s="87">
        <v>1968</v>
      </c>
      <c r="B11" s="87">
        <v>11.3</v>
      </c>
      <c r="C11" s="87">
        <v>10.6</v>
      </c>
      <c r="D11" s="87">
        <v>45.3</v>
      </c>
      <c r="E11" s="87">
        <v>40.799999999999997</v>
      </c>
      <c r="F11" s="87">
        <v>62.3</v>
      </c>
      <c r="G11" s="87">
        <v>170.5</v>
      </c>
      <c r="H11" s="87">
        <v>61.5</v>
      </c>
      <c r="I11" s="87">
        <v>172.1</v>
      </c>
      <c r="J11" s="87">
        <v>57.2</v>
      </c>
      <c r="K11" s="87">
        <v>61.1</v>
      </c>
      <c r="L11" s="87">
        <v>21.7</v>
      </c>
      <c r="M11" s="87">
        <v>19.399999999999999</v>
      </c>
      <c r="N11" s="87">
        <f t="shared" si="1"/>
        <v>107.99999999999999</v>
      </c>
      <c r="O11" s="87">
        <f t="shared" si="2"/>
        <v>523.6</v>
      </c>
      <c r="P11" s="87">
        <f t="shared" si="3"/>
        <v>102.19999999999999</v>
      </c>
      <c r="Q11" s="87">
        <f t="shared" si="4"/>
        <v>733.80000000000007</v>
      </c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87"/>
    </row>
    <row r="12" spans="1:33">
      <c r="A12" s="87">
        <v>1969</v>
      </c>
      <c r="B12" s="87">
        <v>8.1</v>
      </c>
      <c r="C12" s="87">
        <v>17.3</v>
      </c>
      <c r="D12" s="87">
        <v>39.5</v>
      </c>
      <c r="E12" s="87">
        <v>36.5</v>
      </c>
      <c r="F12" s="87">
        <v>54.2</v>
      </c>
      <c r="G12" s="87">
        <v>227.4</v>
      </c>
      <c r="H12" s="87">
        <v>105.2</v>
      </c>
      <c r="I12" s="87">
        <v>62.8</v>
      </c>
      <c r="J12" s="87">
        <v>62.8</v>
      </c>
      <c r="K12" s="87">
        <v>132.69999999999999</v>
      </c>
      <c r="L12" s="87">
        <v>62.1</v>
      </c>
      <c r="M12" s="87">
        <v>27</v>
      </c>
      <c r="N12" s="87">
        <f t="shared" si="1"/>
        <v>101.4</v>
      </c>
      <c r="O12" s="87">
        <f t="shared" si="2"/>
        <v>512.4</v>
      </c>
      <c r="P12" s="87">
        <f t="shared" si="3"/>
        <v>221.79999999999998</v>
      </c>
      <c r="Q12" s="87">
        <f t="shared" si="4"/>
        <v>835.6</v>
      </c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</row>
    <row r="13" spans="1:33">
      <c r="A13" s="87">
        <v>1970</v>
      </c>
      <c r="B13" s="87">
        <v>16.7</v>
      </c>
      <c r="C13" s="87">
        <v>3.9</v>
      </c>
      <c r="D13" s="87">
        <v>33.299999999999997</v>
      </c>
      <c r="E13" s="87">
        <v>25.5</v>
      </c>
      <c r="F13" s="87">
        <v>83.5</v>
      </c>
      <c r="G13" s="87">
        <v>222.8</v>
      </c>
      <c r="H13" s="87">
        <v>38.9</v>
      </c>
      <c r="I13" s="87">
        <v>56.4</v>
      </c>
      <c r="J13" s="87">
        <v>61.9</v>
      </c>
      <c r="K13" s="87">
        <v>65.599999999999994</v>
      </c>
      <c r="L13" s="87">
        <v>55.2</v>
      </c>
      <c r="M13" s="87">
        <v>34.5</v>
      </c>
      <c r="N13" s="87">
        <f t="shared" si="1"/>
        <v>79.399999999999991</v>
      </c>
      <c r="O13" s="87">
        <f t="shared" si="2"/>
        <v>463.49999999999994</v>
      </c>
      <c r="P13" s="87">
        <f t="shared" si="3"/>
        <v>155.30000000000001</v>
      </c>
      <c r="Q13" s="87">
        <f t="shared" si="4"/>
        <v>698.2</v>
      </c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87"/>
    </row>
    <row r="14" spans="1:33" s="84" customFormat="1">
      <c r="A14" s="88">
        <v>1971</v>
      </c>
      <c r="B14" s="89">
        <v>24.1</v>
      </c>
      <c r="C14" s="89">
        <v>7.5</v>
      </c>
      <c r="D14" s="89">
        <v>31.2</v>
      </c>
      <c r="E14" s="89">
        <v>38.799999999999997</v>
      </c>
      <c r="F14" s="89">
        <v>143.30000000000001</v>
      </c>
      <c r="G14" s="89">
        <v>195.8</v>
      </c>
      <c r="H14" s="89">
        <v>29.8</v>
      </c>
      <c r="I14" s="89">
        <v>18.7</v>
      </c>
      <c r="J14" s="89">
        <v>86.5</v>
      </c>
      <c r="K14" s="89">
        <v>41.2</v>
      </c>
      <c r="L14" s="89">
        <v>19.2</v>
      </c>
      <c r="M14" s="89">
        <v>34.4</v>
      </c>
      <c r="N14" s="89">
        <f t="shared" si="1"/>
        <v>101.6</v>
      </c>
      <c r="O14" s="89">
        <f t="shared" si="2"/>
        <v>474.1</v>
      </c>
      <c r="P14" s="89">
        <f t="shared" si="3"/>
        <v>94.800000000000011</v>
      </c>
      <c r="Q14" s="89">
        <f t="shared" si="4"/>
        <v>670.50000000000011</v>
      </c>
      <c r="R14" s="89"/>
      <c r="S14" s="89"/>
      <c r="T14" s="89"/>
      <c r="U14" s="89"/>
      <c r="V14" s="89"/>
      <c r="W14" s="89"/>
      <c r="X14" s="89"/>
      <c r="Y14" s="89"/>
      <c r="Z14" s="89"/>
      <c r="AA14" s="89"/>
      <c r="AB14" s="89"/>
      <c r="AC14" s="89"/>
      <c r="AD14" s="89"/>
      <c r="AE14" s="89"/>
      <c r="AF14" s="89"/>
      <c r="AG14" s="89"/>
    </row>
    <row r="15" spans="1:33">
      <c r="A15" s="87">
        <v>1972</v>
      </c>
      <c r="B15" s="87">
        <v>6</v>
      </c>
      <c r="C15" s="87">
        <v>10.8</v>
      </c>
      <c r="D15" s="87">
        <v>26.1</v>
      </c>
      <c r="E15" s="87">
        <v>80.599999999999994</v>
      </c>
      <c r="F15" s="87">
        <v>283.39999999999998</v>
      </c>
      <c r="G15" s="87">
        <v>87.1</v>
      </c>
      <c r="H15" s="87">
        <v>100.9</v>
      </c>
      <c r="I15" s="87">
        <v>70.7</v>
      </c>
      <c r="J15" s="87">
        <v>201.2</v>
      </c>
      <c r="K15" s="87">
        <v>83.9</v>
      </c>
      <c r="L15" s="87">
        <v>51.6</v>
      </c>
      <c r="M15" s="87">
        <v>27.9</v>
      </c>
      <c r="N15" s="87">
        <f t="shared" si="1"/>
        <v>123.5</v>
      </c>
      <c r="O15" s="87">
        <f t="shared" si="2"/>
        <v>743.3</v>
      </c>
      <c r="P15" s="87">
        <f t="shared" si="3"/>
        <v>163.4</v>
      </c>
      <c r="Q15" s="87">
        <f t="shared" si="4"/>
        <v>1030.2</v>
      </c>
      <c r="R15" s="87"/>
      <c r="S15" s="87"/>
      <c r="T15" s="87"/>
      <c r="U15" s="87"/>
      <c r="V15" s="87"/>
      <c r="W15" s="87"/>
      <c r="X15" s="87"/>
      <c r="Y15" s="87"/>
      <c r="Z15" s="87"/>
      <c r="AA15" s="87"/>
      <c r="AB15" s="87"/>
      <c r="AC15" s="87"/>
      <c r="AD15" s="87"/>
      <c r="AE15" s="87"/>
      <c r="AF15" s="87"/>
      <c r="AG15" s="87"/>
    </row>
    <row r="16" spans="1:33">
      <c r="A16" s="87">
        <v>1973</v>
      </c>
      <c r="B16" s="87">
        <v>14</v>
      </c>
      <c r="C16" s="87">
        <v>7.8</v>
      </c>
      <c r="D16" s="87">
        <v>38.200000000000003</v>
      </c>
      <c r="E16" s="87">
        <v>58.7</v>
      </c>
      <c r="F16" s="87">
        <v>115.5</v>
      </c>
      <c r="G16" s="87">
        <v>299.8</v>
      </c>
      <c r="H16" s="87">
        <v>127.8</v>
      </c>
      <c r="I16" s="87">
        <v>26</v>
      </c>
      <c r="J16" s="87">
        <v>120.7</v>
      </c>
      <c r="K16" s="87">
        <v>10.7</v>
      </c>
      <c r="L16" s="87">
        <v>52.9</v>
      </c>
      <c r="M16" s="87">
        <v>16.2</v>
      </c>
      <c r="N16" s="87">
        <f t="shared" si="1"/>
        <v>118.7</v>
      </c>
      <c r="O16" s="87">
        <f t="shared" si="2"/>
        <v>689.80000000000007</v>
      </c>
      <c r="P16" s="87">
        <f t="shared" si="3"/>
        <v>79.8</v>
      </c>
      <c r="Q16" s="87">
        <f t="shared" si="4"/>
        <v>888.30000000000007</v>
      </c>
      <c r="R16" s="87"/>
      <c r="S16" s="87"/>
      <c r="T16" s="87"/>
      <c r="U16" s="87"/>
      <c r="V16" s="87"/>
      <c r="W16" s="87"/>
      <c r="X16" s="87"/>
      <c r="Y16" s="87"/>
      <c r="Z16" s="87"/>
      <c r="AA16" s="87"/>
      <c r="AB16" s="87"/>
      <c r="AC16" s="87"/>
      <c r="AD16" s="87"/>
      <c r="AE16" s="87"/>
      <c r="AF16" s="87"/>
      <c r="AG16" s="87"/>
    </row>
    <row r="17" spans="1:33" ht="12.75">
      <c r="A17" s="87">
        <v>1974</v>
      </c>
      <c r="B17" s="87">
        <v>6.2</v>
      </c>
      <c r="C17" s="87">
        <v>4.5999999999999996</v>
      </c>
      <c r="D17" s="87">
        <v>33.799999999999997</v>
      </c>
      <c r="E17" s="87">
        <v>112</v>
      </c>
      <c r="F17" s="87">
        <v>68.400000000000006</v>
      </c>
      <c r="G17" s="87">
        <v>155.69999999999999</v>
      </c>
      <c r="H17" s="87">
        <v>116.3</v>
      </c>
      <c r="I17" s="87">
        <v>297.10000000000002</v>
      </c>
      <c r="J17" s="87">
        <v>139.30000000000001</v>
      </c>
      <c r="K17" s="87">
        <v>26</v>
      </c>
      <c r="L17" s="86">
        <v>16.899999999999999</v>
      </c>
      <c r="M17" s="86">
        <v>20.6</v>
      </c>
      <c r="N17" s="87">
        <f t="shared" si="1"/>
        <v>156.6</v>
      </c>
      <c r="O17" s="87">
        <f t="shared" si="2"/>
        <v>776.8</v>
      </c>
      <c r="P17" s="87">
        <f t="shared" si="3"/>
        <v>63.5</v>
      </c>
      <c r="Q17" s="87">
        <f t="shared" si="4"/>
        <v>996.90000000000009</v>
      </c>
      <c r="R17" s="87"/>
      <c r="S17" s="87"/>
      <c r="T17" s="87"/>
      <c r="U17" s="87"/>
      <c r="V17" s="87"/>
      <c r="W17" s="87"/>
      <c r="X17" s="87"/>
      <c r="Y17" s="87"/>
      <c r="Z17" s="87"/>
      <c r="AA17" s="87"/>
      <c r="AB17" s="87"/>
      <c r="AC17" s="87"/>
      <c r="AD17" s="87"/>
      <c r="AE17" s="87"/>
      <c r="AF17" s="87"/>
      <c r="AG17" s="87"/>
    </row>
    <row r="18" spans="1:33" ht="12.75">
      <c r="A18" s="87">
        <v>1975</v>
      </c>
      <c r="B18" s="87">
        <v>19.899999999999999</v>
      </c>
      <c r="C18" s="87">
        <v>12</v>
      </c>
      <c r="D18" s="87">
        <v>14</v>
      </c>
      <c r="E18" s="87">
        <v>93.9</v>
      </c>
      <c r="F18" s="87">
        <v>109.8</v>
      </c>
      <c r="G18" s="87">
        <v>149</v>
      </c>
      <c r="H18" s="87">
        <v>76.2</v>
      </c>
      <c r="I18" s="87">
        <v>206.2</v>
      </c>
      <c r="J18" s="87">
        <v>149.19999999999999</v>
      </c>
      <c r="K18" s="87">
        <v>46.2</v>
      </c>
      <c r="L18" s="86">
        <v>74.5</v>
      </c>
      <c r="M18" s="86">
        <v>18.3</v>
      </c>
      <c r="N18" s="87">
        <f t="shared" si="1"/>
        <v>139.80000000000001</v>
      </c>
      <c r="O18" s="87">
        <f t="shared" si="2"/>
        <v>690.40000000000009</v>
      </c>
      <c r="P18" s="87">
        <f t="shared" si="3"/>
        <v>139</v>
      </c>
      <c r="Q18" s="87">
        <f t="shared" si="4"/>
        <v>969.2</v>
      </c>
      <c r="R18" s="87"/>
      <c r="S18" s="87"/>
      <c r="T18" s="87"/>
      <c r="U18" s="87"/>
      <c r="V18" s="87"/>
      <c r="W18" s="87"/>
      <c r="X18" s="87"/>
      <c r="Y18" s="87"/>
      <c r="Z18" s="87"/>
      <c r="AA18" s="87"/>
      <c r="AB18" s="87"/>
      <c r="AC18" s="87"/>
      <c r="AD18" s="87"/>
      <c r="AE18" s="87"/>
      <c r="AF18" s="87"/>
      <c r="AG18" s="87"/>
    </row>
    <row r="19" spans="1:33" ht="12.75">
      <c r="A19" s="87">
        <v>1976</v>
      </c>
      <c r="B19" s="87">
        <v>26.5</v>
      </c>
      <c r="C19" s="87">
        <v>18</v>
      </c>
      <c r="D19" s="87">
        <v>25.9</v>
      </c>
      <c r="E19" s="87">
        <v>35.299999999999997</v>
      </c>
      <c r="F19" s="87">
        <v>137.5</v>
      </c>
      <c r="G19" s="87">
        <v>152</v>
      </c>
      <c r="H19" s="87">
        <v>125.4</v>
      </c>
      <c r="I19" s="87">
        <v>37.4</v>
      </c>
      <c r="J19" s="87">
        <v>64.2</v>
      </c>
      <c r="K19" s="87">
        <v>60.6</v>
      </c>
      <c r="L19" s="86">
        <v>15.7</v>
      </c>
      <c r="M19" s="86">
        <v>22.2</v>
      </c>
      <c r="N19" s="87">
        <f t="shared" si="1"/>
        <v>105.7</v>
      </c>
      <c r="O19" s="87">
        <f t="shared" si="2"/>
        <v>516.5</v>
      </c>
      <c r="P19" s="87">
        <f t="shared" si="3"/>
        <v>98.5</v>
      </c>
      <c r="Q19" s="87">
        <f t="shared" si="4"/>
        <v>720.70000000000016</v>
      </c>
      <c r="R19" s="87"/>
      <c r="S19" s="87"/>
      <c r="T19" s="87"/>
      <c r="U19" s="87"/>
      <c r="V19" s="87"/>
      <c r="W19" s="87"/>
      <c r="X19" s="87"/>
      <c r="Y19" s="87"/>
      <c r="Z19" s="87"/>
      <c r="AA19" s="87"/>
      <c r="AB19" s="87"/>
      <c r="AC19" s="87"/>
      <c r="AD19" s="87"/>
      <c r="AE19" s="87"/>
      <c r="AF19" s="87"/>
      <c r="AG19" s="87"/>
    </row>
    <row r="20" spans="1:33" ht="12.75">
      <c r="A20" s="87">
        <v>1977</v>
      </c>
      <c r="B20" s="87">
        <v>14.2</v>
      </c>
      <c r="C20" s="87">
        <v>19.7</v>
      </c>
      <c r="D20" s="87">
        <v>44</v>
      </c>
      <c r="E20" s="87">
        <v>68.5</v>
      </c>
      <c r="F20" s="87">
        <v>175.6</v>
      </c>
      <c r="G20" s="87">
        <v>276.8</v>
      </c>
      <c r="H20" s="87">
        <v>226.1</v>
      </c>
      <c r="I20" s="87">
        <v>111.8</v>
      </c>
      <c r="J20" s="87">
        <v>111.4</v>
      </c>
      <c r="K20" s="87">
        <v>58.9</v>
      </c>
      <c r="L20" s="86">
        <v>39.200000000000003</v>
      </c>
      <c r="M20" s="86">
        <v>3.9</v>
      </c>
      <c r="N20" s="87">
        <f t="shared" si="1"/>
        <v>146.4</v>
      </c>
      <c r="O20" s="87">
        <f t="shared" si="2"/>
        <v>901.69999999999993</v>
      </c>
      <c r="P20" s="87">
        <f t="shared" si="3"/>
        <v>102</v>
      </c>
      <c r="Q20" s="87">
        <f t="shared" si="4"/>
        <v>1150.1000000000001</v>
      </c>
      <c r="R20" s="87"/>
      <c r="S20" s="87"/>
      <c r="T20" s="87"/>
      <c r="U20" s="87"/>
      <c r="V20" s="87"/>
      <c r="W20" s="87"/>
      <c r="X20" s="87"/>
      <c r="Y20" s="87"/>
      <c r="Z20" s="87"/>
      <c r="AA20" s="87"/>
      <c r="AB20" s="87"/>
      <c r="AC20" s="87"/>
      <c r="AD20" s="87"/>
      <c r="AE20" s="87"/>
      <c r="AF20" s="87"/>
      <c r="AG20" s="87"/>
    </row>
    <row r="21" spans="1:33" ht="12.75">
      <c r="A21" s="87">
        <v>1978</v>
      </c>
      <c r="B21" s="87">
        <v>25.3</v>
      </c>
      <c r="C21" s="87">
        <v>6.5</v>
      </c>
      <c r="D21" s="87">
        <v>17.899999999999999</v>
      </c>
      <c r="E21" s="87">
        <v>28.6</v>
      </c>
      <c r="F21" s="87">
        <v>193.9</v>
      </c>
      <c r="G21" s="87">
        <v>148</v>
      </c>
      <c r="H21" s="87">
        <v>133.69999999999999</v>
      </c>
      <c r="I21" s="87">
        <v>76.5</v>
      </c>
      <c r="J21" s="87">
        <v>8.6999999999999993</v>
      </c>
      <c r="K21" s="87">
        <v>51</v>
      </c>
      <c r="L21" s="86">
        <v>56.2</v>
      </c>
      <c r="M21" s="86">
        <v>2.2999999999999998</v>
      </c>
      <c r="N21" s="87">
        <f t="shared" si="1"/>
        <v>78.300000000000011</v>
      </c>
      <c r="O21" s="87">
        <f t="shared" si="2"/>
        <v>560.79999999999995</v>
      </c>
      <c r="P21" s="87">
        <f t="shared" si="3"/>
        <v>109.5</v>
      </c>
      <c r="Q21" s="87">
        <f t="shared" si="4"/>
        <v>748.60000000000014</v>
      </c>
      <c r="R21" s="87"/>
      <c r="S21" s="87"/>
      <c r="T21" s="87"/>
      <c r="U21" s="87"/>
      <c r="V21" s="87"/>
      <c r="W21" s="87"/>
      <c r="X21" s="87"/>
      <c r="Y21" s="87"/>
      <c r="Z21" s="87"/>
      <c r="AA21" s="87"/>
      <c r="AB21" s="87"/>
      <c r="AC21" s="87"/>
      <c r="AD21" s="87"/>
      <c r="AE21" s="87"/>
      <c r="AF21" s="87"/>
      <c r="AG21" s="87"/>
    </row>
    <row r="22" spans="1:33" ht="12.75">
      <c r="A22" s="87">
        <v>1979</v>
      </c>
      <c r="B22" s="87">
        <v>14.4</v>
      </c>
      <c r="C22" s="87">
        <v>7.1</v>
      </c>
      <c r="D22" s="87">
        <v>20.8</v>
      </c>
      <c r="E22" s="87">
        <v>20.9</v>
      </c>
      <c r="F22" s="87">
        <v>39.299999999999997</v>
      </c>
      <c r="G22" s="87">
        <v>169.7</v>
      </c>
      <c r="H22" s="87">
        <v>94.4</v>
      </c>
      <c r="I22" s="87">
        <v>282.89999999999998</v>
      </c>
      <c r="J22" s="87">
        <v>139.4</v>
      </c>
      <c r="K22" s="87">
        <v>31.6</v>
      </c>
      <c r="L22" s="86">
        <v>10.8</v>
      </c>
      <c r="M22" s="86">
        <v>35.299999999999997</v>
      </c>
      <c r="N22" s="87">
        <f t="shared" si="1"/>
        <v>63.199999999999996</v>
      </c>
      <c r="O22" s="87">
        <f t="shared" si="2"/>
        <v>725.69999999999993</v>
      </c>
      <c r="P22" s="87">
        <f t="shared" si="3"/>
        <v>77.7</v>
      </c>
      <c r="Q22" s="87">
        <f t="shared" si="4"/>
        <v>866.59999999999991</v>
      </c>
      <c r="R22" s="87"/>
      <c r="S22" s="87"/>
      <c r="T22" s="87"/>
      <c r="U22" s="87"/>
      <c r="V22" s="87"/>
      <c r="W22" s="87"/>
      <c r="X22" s="87"/>
      <c r="Y22" s="87"/>
      <c r="Z22" s="87"/>
      <c r="AA22" s="87"/>
      <c r="AB22" s="87"/>
      <c r="AC22" s="87"/>
      <c r="AD22" s="87"/>
      <c r="AE22" s="87"/>
      <c r="AF22" s="87"/>
      <c r="AG22" s="87"/>
    </row>
    <row r="23" spans="1:33" ht="12.75">
      <c r="A23" s="87">
        <v>1980</v>
      </c>
      <c r="B23" s="87">
        <v>19.100000000000001</v>
      </c>
      <c r="C23" s="87">
        <v>7.3</v>
      </c>
      <c r="D23" s="87">
        <v>17.100000000000001</v>
      </c>
      <c r="E23" s="87">
        <v>78.5</v>
      </c>
      <c r="F23" s="87">
        <v>102.7</v>
      </c>
      <c r="G23" s="87">
        <v>116.9</v>
      </c>
      <c r="H23" s="87">
        <v>200.6</v>
      </c>
      <c r="I23" s="87">
        <v>124.1</v>
      </c>
      <c r="J23" s="87">
        <v>82.2</v>
      </c>
      <c r="K23" s="87">
        <v>101.6</v>
      </c>
      <c r="L23" s="86">
        <v>10.9</v>
      </c>
      <c r="M23" s="86">
        <v>23.5</v>
      </c>
      <c r="N23" s="87">
        <f t="shared" si="1"/>
        <v>122</v>
      </c>
      <c r="O23" s="87">
        <f t="shared" si="2"/>
        <v>626.50000000000011</v>
      </c>
      <c r="P23" s="87">
        <f t="shared" si="3"/>
        <v>136</v>
      </c>
      <c r="Q23" s="87">
        <f t="shared" si="4"/>
        <v>884.50000000000011</v>
      </c>
      <c r="R23" s="87"/>
      <c r="S23" s="87"/>
      <c r="T23" s="87"/>
      <c r="U23" s="87"/>
      <c r="V23" s="87"/>
      <c r="W23" s="87"/>
      <c r="X23" s="87"/>
      <c r="Y23" s="87"/>
      <c r="Z23" s="87"/>
      <c r="AA23" s="87"/>
      <c r="AB23" s="87"/>
      <c r="AC23" s="87"/>
      <c r="AD23" s="87"/>
      <c r="AE23" s="87"/>
      <c r="AF23" s="87"/>
      <c r="AG23" s="87"/>
    </row>
    <row r="24" spans="1:33" ht="12.75">
      <c r="A24" s="87">
        <v>1981</v>
      </c>
      <c r="B24" s="87">
        <v>18.100000000000001</v>
      </c>
      <c r="C24" s="87">
        <v>9.8000000000000007</v>
      </c>
      <c r="D24" s="87">
        <v>12.6</v>
      </c>
      <c r="E24" s="87">
        <v>38.700000000000003</v>
      </c>
      <c r="F24" s="87">
        <v>115.5</v>
      </c>
      <c r="G24" s="87">
        <v>111.8</v>
      </c>
      <c r="H24" s="87">
        <v>118</v>
      </c>
      <c r="I24" s="87">
        <v>67.2</v>
      </c>
      <c r="J24" s="87">
        <v>43.6</v>
      </c>
      <c r="K24" s="87">
        <v>48.2</v>
      </c>
      <c r="L24" s="86">
        <v>22.9</v>
      </c>
      <c r="M24" s="86">
        <v>8.9</v>
      </c>
      <c r="N24" s="87">
        <f t="shared" si="1"/>
        <v>79.2</v>
      </c>
      <c r="O24" s="87">
        <f t="shared" si="2"/>
        <v>456.1</v>
      </c>
      <c r="P24" s="87">
        <f t="shared" si="3"/>
        <v>80</v>
      </c>
      <c r="Q24" s="87">
        <f t="shared" si="4"/>
        <v>615.29999999999995</v>
      </c>
      <c r="R24" s="87"/>
      <c r="S24" s="87"/>
      <c r="T24" s="87"/>
      <c r="U24" s="87"/>
      <c r="V24" s="87"/>
      <c r="W24" s="87"/>
      <c r="X24" s="87"/>
      <c r="Y24" s="87"/>
      <c r="Z24" s="87"/>
      <c r="AA24" s="87"/>
      <c r="AB24" s="87"/>
      <c r="AC24" s="87"/>
      <c r="AD24" s="87"/>
      <c r="AE24" s="87"/>
      <c r="AF24" s="87"/>
      <c r="AG24" s="87"/>
    </row>
    <row r="25" spans="1:33" ht="12.75">
      <c r="A25" s="87">
        <v>1982</v>
      </c>
      <c r="B25" s="87">
        <v>12.9</v>
      </c>
      <c r="C25" s="87">
        <v>18.399999999999999</v>
      </c>
      <c r="D25" s="87">
        <v>7.6</v>
      </c>
      <c r="E25" s="87">
        <v>46.1</v>
      </c>
      <c r="F25" s="87">
        <v>237.7</v>
      </c>
      <c r="G25" s="87">
        <v>125.2</v>
      </c>
      <c r="H25" s="87">
        <v>73.7</v>
      </c>
      <c r="I25" s="87">
        <v>116</v>
      </c>
      <c r="J25" s="87">
        <v>127.4</v>
      </c>
      <c r="K25" s="87">
        <v>31</v>
      </c>
      <c r="L25" s="86">
        <v>47.7</v>
      </c>
      <c r="M25" s="86">
        <v>19.3</v>
      </c>
      <c r="N25" s="87">
        <f t="shared" si="1"/>
        <v>85</v>
      </c>
      <c r="O25" s="87">
        <f t="shared" si="2"/>
        <v>679.99999999999989</v>
      </c>
      <c r="P25" s="87">
        <f t="shared" si="3"/>
        <v>98</v>
      </c>
      <c r="Q25" s="87">
        <f t="shared" si="4"/>
        <v>863</v>
      </c>
      <c r="R25" s="87"/>
      <c r="S25" s="87"/>
      <c r="T25" s="87"/>
      <c r="U25" s="87"/>
      <c r="V25" s="87"/>
      <c r="W25" s="87"/>
      <c r="X25" s="87"/>
      <c r="Y25" s="87"/>
      <c r="Z25" s="87"/>
      <c r="AA25" s="87"/>
      <c r="AB25" s="87"/>
      <c r="AC25" s="87"/>
      <c r="AD25" s="87"/>
      <c r="AE25" s="87"/>
      <c r="AF25" s="87"/>
      <c r="AG25" s="87"/>
    </row>
    <row r="26" spans="1:33" ht="12.75">
      <c r="A26" s="87">
        <v>1983</v>
      </c>
      <c r="B26" s="87">
        <v>24.7</v>
      </c>
      <c r="C26" s="87">
        <v>22.4</v>
      </c>
      <c r="D26" s="87">
        <v>32</v>
      </c>
      <c r="E26" s="87">
        <v>66</v>
      </c>
      <c r="F26" s="87">
        <v>90.6</v>
      </c>
      <c r="G26" s="87">
        <v>131.5</v>
      </c>
      <c r="H26" s="87">
        <v>117.1</v>
      </c>
      <c r="I26" s="87">
        <v>153.69999999999999</v>
      </c>
      <c r="J26" s="87">
        <v>27.9</v>
      </c>
      <c r="K26" s="87">
        <v>30.8</v>
      </c>
      <c r="L26" s="86">
        <v>37.700000000000003</v>
      </c>
      <c r="M26" s="86">
        <v>26.2</v>
      </c>
      <c r="N26" s="87">
        <f t="shared" si="1"/>
        <v>145.1</v>
      </c>
      <c r="O26" s="87">
        <f t="shared" si="2"/>
        <v>520.79999999999995</v>
      </c>
      <c r="P26" s="87">
        <f t="shared" si="3"/>
        <v>94.7</v>
      </c>
      <c r="Q26" s="87">
        <f t="shared" si="4"/>
        <v>760.6</v>
      </c>
      <c r="R26" s="87"/>
      <c r="S26" s="87"/>
      <c r="T26" s="87"/>
      <c r="U26" s="87"/>
      <c r="V26" s="87"/>
      <c r="W26" s="87"/>
      <c r="X26" s="87"/>
      <c r="Y26" s="87"/>
      <c r="Z26" s="87"/>
      <c r="AA26" s="87"/>
      <c r="AB26" s="87"/>
      <c r="AC26" s="87"/>
      <c r="AD26" s="87"/>
      <c r="AE26" s="87"/>
      <c r="AF26" s="87"/>
      <c r="AG26" s="87"/>
    </row>
    <row r="27" spans="1:33" ht="12.75">
      <c r="A27" s="87">
        <v>1984</v>
      </c>
      <c r="B27" s="87">
        <v>7.6</v>
      </c>
      <c r="C27" s="87">
        <v>17.399999999999999</v>
      </c>
      <c r="D27" s="87">
        <v>12.1</v>
      </c>
      <c r="E27" s="87">
        <v>15.3</v>
      </c>
      <c r="F27" s="87">
        <v>169.6</v>
      </c>
      <c r="G27" s="87">
        <v>49.8</v>
      </c>
      <c r="H27" s="87">
        <v>189.7</v>
      </c>
      <c r="I27" s="87">
        <v>235.1</v>
      </c>
      <c r="J27" s="87">
        <v>143.1</v>
      </c>
      <c r="K27" s="87">
        <v>22.8</v>
      </c>
      <c r="L27" s="86">
        <v>12.8</v>
      </c>
      <c r="M27" s="86">
        <v>23</v>
      </c>
      <c r="N27" s="87">
        <f t="shared" si="1"/>
        <v>52.400000000000006</v>
      </c>
      <c r="O27" s="87">
        <f t="shared" si="2"/>
        <v>787.3</v>
      </c>
      <c r="P27" s="87">
        <f t="shared" si="3"/>
        <v>58.6</v>
      </c>
      <c r="Q27" s="87">
        <f t="shared" si="4"/>
        <v>898.3</v>
      </c>
      <c r="R27" s="87"/>
      <c r="S27" s="87"/>
      <c r="T27" s="87"/>
      <c r="U27" s="87"/>
      <c r="V27" s="87"/>
      <c r="W27" s="87"/>
      <c r="X27" s="87"/>
      <c r="Y27" s="87"/>
      <c r="Z27" s="87"/>
      <c r="AA27" s="87"/>
      <c r="AB27" s="87"/>
      <c r="AC27" s="87"/>
      <c r="AD27" s="87"/>
      <c r="AE27" s="87"/>
      <c r="AF27" s="87"/>
      <c r="AG27" s="87"/>
    </row>
    <row r="28" spans="1:33">
      <c r="A28" s="87">
        <v>1985</v>
      </c>
      <c r="B28" s="87">
        <v>13.1</v>
      </c>
      <c r="C28" s="87">
        <v>13.7</v>
      </c>
      <c r="D28" s="87">
        <v>31.1</v>
      </c>
      <c r="E28" s="87">
        <v>73.2</v>
      </c>
      <c r="F28" s="87">
        <v>292.8</v>
      </c>
      <c r="G28" s="87">
        <v>216</v>
      </c>
      <c r="H28" s="87">
        <v>84.1</v>
      </c>
      <c r="I28" s="87">
        <v>87.4</v>
      </c>
      <c r="J28" s="87">
        <v>81.400000000000006</v>
      </c>
      <c r="K28" s="87">
        <v>57.5</v>
      </c>
      <c r="L28" s="87">
        <v>24.1</v>
      </c>
      <c r="M28" s="87">
        <v>14</v>
      </c>
      <c r="N28" s="87">
        <f t="shared" si="1"/>
        <v>131.1</v>
      </c>
      <c r="O28" s="87">
        <f t="shared" si="2"/>
        <v>761.69999999999993</v>
      </c>
      <c r="P28" s="87">
        <f t="shared" si="3"/>
        <v>95.6</v>
      </c>
      <c r="Q28" s="87">
        <f t="shared" si="4"/>
        <v>988.4</v>
      </c>
      <c r="R28" s="87"/>
      <c r="S28" s="87"/>
      <c r="T28" s="87"/>
      <c r="U28" s="87"/>
      <c r="V28" s="87"/>
      <c r="W28" s="87"/>
      <c r="X28" s="87"/>
      <c r="Y28" s="87"/>
      <c r="Z28" s="87"/>
      <c r="AA28" s="87"/>
      <c r="AB28" s="87"/>
      <c r="AC28" s="87"/>
      <c r="AD28" s="87"/>
      <c r="AE28" s="87"/>
      <c r="AF28" s="87"/>
      <c r="AG28" s="87"/>
    </row>
    <row r="29" spans="1:33">
      <c r="A29" s="87">
        <v>1986</v>
      </c>
      <c r="B29" s="87">
        <v>11.6</v>
      </c>
      <c r="C29" s="87">
        <v>11.1</v>
      </c>
      <c r="D29" s="87">
        <v>19.600000000000001</v>
      </c>
      <c r="E29" s="87">
        <v>26.5</v>
      </c>
      <c r="F29" s="87">
        <v>45</v>
      </c>
      <c r="G29" s="87">
        <v>75.2</v>
      </c>
      <c r="H29" s="87">
        <v>201.5</v>
      </c>
      <c r="I29" s="87">
        <v>99.1</v>
      </c>
      <c r="J29" s="87">
        <v>72.3</v>
      </c>
      <c r="K29" s="87">
        <v>29.9</v>
      </c>
      <c r="L29" s="87">
        <v>33.6</v>
      </c>
      <c r="M29" s="87">
        <v>3.6</v>
      </c>
      <c r="N29" s="87">
        <f t="shared" si="1"/>
        <v>68.8</v>
      </c>
      <c r="O29" s="87">
        <f t="shared" si="2"/>
        <v>493.09999999999997</v>
      </c>
      <c r="P29" s="87">
        <f t="shared" si="3"/>
        <v>67.099999999999994</v>
      </c>
      <c r="Q29" s="87">
        <f t="shared" si="4"/>
        <v>629</v>
      </c>
      <c r="R29" s="87"/>
      <c r="S29" s="87"/>
      <c r="T29" s="87"/>
      <c r="U29" s="87"/>
      <c r="V29" s="87"/>
      <c r="W29" s="87"/>
      <c r="X29" s="87"/>
      <c r="Y29" s="87"/>
      <c r="Z29" s="87"/>
      <c r="AA29" s="87"/>
      <c r="AB29" s="87"/>
      <c r="AC29" s="87"/>
      <c r="AD29" s="87"/>
      <c r="AE29" s="87"/>
      <c r="AF29" s="87"/>
      <c r="AG29" s="87"/>
    </row>
    <row r="30" spans="1:33">
      <c r="A30" s="87">
        <v>1987</v>
      </c>
      <c r="B30" s="87">
        <v>33</v>
      </c>
      <c r="C30" s="87">
        <v>10.6</v>
      </c>
      <c r="D30" s="87">
        <v>20</v>
      </c>
      <c r="E30" s="87">
        <v>33.700000000000003</v>
      </c>
      <c r="F30" s="87">
        <v>203.4</v>
      </c>
      <c r="G30" s="87">
        <v>118.1</v>
      </c>
      <c r="H30" s="87">
        <v>289.2</v>
      </c>
      <c r="I30" s="87">
        <v>142.6</v>
      </c>
      <c r="J30" s="87">
        <v>94.4</v>
      </c>
      <c r="K30" s="87">
        <v>84.6</v>
      </c>
      <c r="L30" s="87">
        <v>28.6</v>
      </c>
      <c r="M30" s="87">
        <v>7.7</v>
      </c>
      <c r="N30" s="87">
        <f t="shared" si="1"/>
        <v>97.300000000000011</v>
      </c>
      <c r="O30" s="87">
        <f t="shared" si="2"/>
        <v>847.7</v>
      </c>
      <c r="P30" s="87">
        <f t="shared" si="3"/>
        <v>120.89999999999999</v>
      </c>
      <c r="Q30" s="87">
        <f t="shared" si="4"/>
        <v>1065.8999999999999</v>
      </c>
      <c r="R30" s="87"/>
      <c r="S30" s="87"/>
      <c r="T30" s="87"/>
      <c r="U30" s="87"/>
      <c r="V30" s="87"/>
      <c r="W30" s="87"/>
      <c r="X30" s="87"/>
      <c r="Y30" s="87"/>
      <c r="Z30" s="87"/>
      <c r="AA30" s="87"/>
      <c r="AB30" s="87"/>
      <c r="AC30" s="87"/>
      <c r="AD30" s="87"/>
      <c r="AE30" s="87"/>
      <c r="AF30" s="87"/>
      <c r="AG30" s="87"/>
    </row>
    <row r="31" spans="1:33">
      <c r="A31" s="87">
        <v>1988</v>
      </c>
      <c r="B31" s="87">
        <v>18.2</v>
      </c>
      <c r="C31" s="87">
        <v>15.6</v>
      </c>
      <c r="D31" s="87">
        <v>11.6</v>
      </c>
      <c r="E31" s="87">
        <v>68.2</v>
      </c>
      <c r="F31" s="87">
        <v>62.5</v>
      </c>
      <c r="G31" s="87">
        <v>117.3</v>
      </c>
      <c r="H31" s="87">
        <v>128.5</v>
      </c>
      <c r="I31" s="87">
        <v>155.30000000000001</v>
      </c>
      <c r="J31" s="87">
        <v>215.6</v>
      </c>
      <c r="K31" s="87">
        <v>48.8</v>
      </c>
      <c r="L31" s="87">
        <v>3.5</v>
      </c>
      <c r="M31" s="87">
        <v>11.2</v>
      </c>
      <c r="N31" s="87">
        <f t="shared" si="1"/>
        <v>113.6</v>
      </c>
      <c r="O31" s="87">
        <f t="shared" si="2"/>
        <v>679.2</v>
      </c>
      <c r="P31" s="87">
        <f t="shared" si="3"/>
        <v>63.5</v>
      </c>
      <c r="Q31" s="87">
        <f t="shared" si="4"/>
        <v>856.30000000000007</v>
      </c>
      <c r="R31" s="87"/>
      <c r="S31" s="87"/>
      <c r="T31" s="87"/>
      <c r="U31" s="87"/>
      <c r="V31" s="87"/>
      <c r="W31" s="87"/>
      <c r="X31" s="87"/>
      <c r="Y31" s="87"/>
      <c r="Z31" s="87"/>
      <c r="AA31" s="87"/>
      <c r="AB31" s="87"/>
      <c r="AC31" s="87"/>
      <c r="AD31" s="87"/>
      <c r="AE31" s="87"/>
      <c r="AF31" s="87"/>
      <c r="AG31" s="87"/>
    </row>
    <row r="32" spans="1:33">
      <c r="A32" s="87">
        <v>1989</v>
      </c>
      <c r="B32" s="87">
        <v>21.4</v>
      </c>
      <c r="C32" s="87">
        <v>13.4</v>
      </c>
      <c r="D32" s="87">
        <v>47.4</v>
      </c>
      <c r="E32" s="87">
        <v>88.4</v>
      </c>
      <c r="F32" s="87">
        <v>133.19999999999999</v>
      </c>
      <c r="G32" s="87">
        <v>141.1</v>
      </c>
      <c r="H32" s="87">
        <v>139.5</v>
      </c>
      <c r="I32" s="87">
        <v>62.7</v>
      </c>
      <c r="J32" s="87">
        <v>69.7</v>
      </c>
      <c r="K32" s="87">
        <v>70.3</v>
      </c>
      <c r="L32" s="87">
        <v>33.5</v>
      </c>
      <c r="M32" s="87">
        <v>25.9</v>
      </c>
      <c r="N32" s="87">
        <f t="shared" si="1"/>
        <v>170.6</v>
      </c>
      <c r="O32" s="87">
        <f t="shared" si="2"/>
        <v>546.19999999999993</v>
      </c>
      <c r="P32" s="87">
        <f t="shared" si="3"/>
        <v>129.69999999999999</v>
      </c>
      <c r="Q32" s="87">
        <f t="shared" si="4"/>
        <v>846.5</v>
      </c>
      <c r="R32" s="87"/>
      <c r="S32" s="87"/>
      <c r="T32" s="87"/>
      <c r="U32" s="87"/>
      <c r="V32" s="87"/>
      <c r="W32" s="87"/>
      <c r="X32" s="87"/>
      <c r="Y32" s="87"/>
      <c r="Z32" s="87"/>
      <c r="AA32" s="87"/>
      <c r="AB32" s="87"/>
      <c r="AC32" s="87"/>
      <c r="AD32" s="87"/>
      <c r="AE32" s="87"/>
      <c r="AF32" s="87"/>
      <c r="AG32" s="87"/>
    </row>
    <row r="33" spans="1:33">
      <c r="A33" s="87">
        <v>1990</v>
      </c>
      <c r="B33" s="87">
        <v>11.2</v>
      </c>
      <c r="C33" s="87">
        <v>11.9</v>
      </c>
      <c r="D33" s="87">
        <v>44.9</v>
      </c>
      <c r="E33" s="87">
        <v>66.5</v>
      </c>
      <c r="F33" s="87">
        <v>128.19999999999999</v>
      </c>
      <c r="G33" s="87">
        <v>133.9</v>
      </c>
      <c r="H33" s="87">
        <v>177.6</v>
      </c>
      <c r="I33" s="87">
        <v>4</v>
      </c>
      <c r="J33" s="87">
        <v>64.400000000000006</v>
      </c>
      <c r="K33" s="87">
        <v>101.3</v>
      </c>
      <c r="L33" s="87">
        <v>18.899999999999999</v>
      </c>
      <c r="M33" s="87">
        <v>6.6</v>
      </c>
      <c r="N33" s="87">
        <f t="shared" si="1"/>
        <v>134.5</v>
      </c>
      <c r="O33" s="87">
        <f t="shared" si="2"/>
        <v>508.1</v>
      </c>
      <c r="P33" s="87">
        <f t="shared" si="3"/>
        <v>126.79999999999998</v>
      </c>
      <c r="Q33" s="87">
        <f t="shared" si="4"/>
        <v>769.4</v>
      </c>
      <c r="R33" s="87"/>
      <c r="S33" s="87"/>
      <c r="T33" s="87"/>
      <c r="U33" s="87"/>
      <c r="V33" s="87"/>
      <c r="W33" s="87"/>
      <c r="X33" s="87"/>
      <c r="Y33" s="87"/>
      <c r="Z33" s="87"/>
      <c r="AA33" s="87"/>
      <c r="AB33" s="87"/>
      <c r="AC33" s="87"/>
      <c r="AD33" s="87"/>
      <c r="AE33" s="87"/>
      <c r="AF33" s="87"/>
      <c r="AG33" s="87"/>
    </row>
    <row r="34" spans="1:33">
      <c r="A34" s="87">
        <v>1991</v>
      </c>
      <c r="B34" s="87">
        <v>23.8</v>
      </c>
      <c r="C34" s="87">
        <v>11.9</v>
      </c>
      <c r="D34" s="87">
        <v>21.7</v>
      </c>
      <c r="E34" s="87">
        <v>37.700000000000003</v>
      </c>
      <c r="F34" s="87">
        <v>44.5</v>
      </c>
      <c r="G34" s="87">
        <v>62.2</v>
      </c>
      <c r="H34" s="87">
        <v>236.7</v>
      </c>
      <c r="I34" s="87">
        <v>136.1</v>
      </c>
      <c r="J34" s="87">
        <v>45.9</v>
      </c>
      <c r="K34" s="87">
        <v>95</v>
      </c>
      <c r="L34" s="87">
        <v>20.6</v>
      </c>
      <c r="M34" s="87">
        <v>17.3</v>
      </c>
      <c r="N34" s="87">
        <f t="shared" si="1"/>
        <v>95.100000000000009</v>
      </c>
      <c r="O34" s="87">
        <f t="shared" si="2"/>
        <v>525.4</v>
      </c>
      <c r="P34" s="87">
        <f t="shared" si="3"/>
        <v>132.9</v>
      </c>
      <c r="Q34" s="87">
        <f t="shared" si="4"/>
        <v>753.4</v>
      </c>
      <c r="R34" s="87"/>
      <c r="S34" s="87"/>
      <c r="T34" s="87"/>
      <c r="U34" s="87"/>
      <c r="V34" s="87"/>
      <c r="W34" s="87"/>
      <c r="X34" s="87"/>
      <c r="Y34" s="87"/>
      <c r="Z34" s="87"/>
      <c r="AA34" s="87"/>
      <c r="AB34" s="87"/>
      <c r="AC34" s="87"/>
      <c r="AD34" s="87"/>
      <c r="AE34" s="87"/>
      <c r="AF34" s="87"/>
      <c r="AG34" s="87"/>
    </row>
    <row r="35" spans="1:33">
      <c r="A35" s="87">
        <v>1992</v>
      </c>
      <c r="B35" s="87">
        <v>21.4</v>
      </c>
      <c r="C35" s="87">
        <v>31.7</v>
      </c>
      <c r="D35" s="87">
        <v>35.299999999999997</v>
      </c>
      <c r="E35" s="87">
        <v>110.7</v>
      </c>
      <c r="F35" s="87">
        <v>230.8</v>
      </c>
      <c r="G35" s="87">
        <v>257.39999999999998</v>
      </c>
      <c r="H35" s="87">
        <v>25.6</v>
      </c>
      <c r="I35" s="87">
        <v>38.799999999999997</v>
      </c>
      <c r="J35" s="87">
        <v>14.5</v>
      </c>
      <c r="K35" s="87">
        <v>111.8</v>
      </c>
      <c r="L35" s="87">
        <v>1.6</v>
      </c>
      <c r="M35" s="87">
        <v>15.5</v>
      </c>
      <c r="N35" s="87">
        <f t="shared" si="1"/>
        <v>199.1</v>
      </c>
      <c r="O35" s="87">
        <f t="shared" si="2"/>
        <v>567.09999999999991</v>
      </c>
      <c r="P35" s="87">
        <f t="shared" si="3"/>
        <v>128.89999999999998</v>
      </c>
      <c r="Q35" s="87">
        <f t="shared" si="4"/>
        <v>895.09999999999991</v>
      </c>
      <c r="R35" s="87"/>
      <c r="S35" s="87"/>
      <c r="T35" s="87"/>
      <c r="U35" s="87"/>
      <c r="V35" s="87"/>
      <c r="W35" s="87"/>
      <c r="X35" s="87"/>
      <c r="Y35" s="87"/>
      <c r="Z35" s="87"/>
      <c r="AA35" s="87"/>
      <c r="AB35" s="87"/>
      <c r="AC35" s="87"/>
      <c r="AD35" s="87"/>
      <c r="AE35" s="87"/>
      <c r="AF35" s="87"/>
      <c r="AG35" s="87"/>
    </row>
    <row r="36" spans="1:33">
      <c r="A36" s="87">
        <v>1993</v>
      </c>
      <c r="B36" s="87">
        <v>20.7</v>
      </c>
      <c r="C36" s="87">
        <v>30.9</v>
      </c>
      <c r="D36" s="87">
        <v>11.2</v>
      </c>
      <c r="E36" s="87">
        <v>37.6</v>
      </c>
      <c r="F36" s="87">
        <v>73.900000000000006</v>
      </c>
      <c r="G36" s="87">
        <v>107.9</v>
      </c>
      <c r="H36" s="87">
        <v>161.5</v>
      </c>
      <c r="I36" s="87">
        <v>170.3</v>
      </c>
      <c r="J36" s="87">
        <v>71.2</v>
      </c>
      <c r="K36" s="87">
        <v>70.599999999999994</v>
      </c>
      <c r="L36" s="87">
        <v>11.8</v>
      </c>
      <c r="M36" s="87">
        <v>4.4000000000000004</v>
      </c>
      <c r="N36" s="87">
        <f t="shared" si="1"/>
        <v>100.4</v>
      </c>
      <c r="O36" s="87">
        <f t="shared" si="2"/>
        <v>584.80000000000007</v>
      </c>
      <c r="P36" s="87">
        <f t="shared" si="3"/>
        <v>86.8</v>
      </c>
      <c r="Q36" s="87">
        <f t="shared" si="4"/>
        <v>772</v>
      </c>
      <c r="R36" s="87"/>
      <c r="S36" s="87"/>
      <c r="T36" s="87"/>
      <c r="U36" s="87"/>
      <c r="V36" s="87"/>
      <c r="W36" s="87"/>
      <c r="X36" s="87"/>
      <c r="Y36" s="87"/>
      <c r="Z36" s="87"/>
      <c r="AA36" s="87"/>
      <c r="AB36" s="87"/>
      <c r="AC36" s="87"/>
      <c r="AD36" s="87"/>
      <c r="AE36" s="87"/>
      <c r="AF36" s="87"/>
      <c r="AG36" s="87"/>
    </row>
    <row r="37" spans="1:33">
      <c r="A37" s="87">
        <v>1994</v>
      </c>
      <c r="B37" s="87">
        <v>7.5</v>
      </c>
      <c r="C37" s="87">
        <v>3.4</v>
      </c>
      <c r="D37" s="87">
        <v>78.7</v>
      </c>
      <c r="E37" s="87">
        <v>24.2</v>
      </c>
      <c r="F37" s="87">
        <v>172</v>
      </c>
      <c r="G37" s="87">
        <v>174</v>
      </c>
      <c r="H37" s="87">
        <v>90</v>
      </c>
      <c r="I37" s="87">
        <v>104.5</v>
      </c>
      <c r="J37" s="87">
        <v>59.3</v>
      </c>
      <c r="K37" s="87">
        <v>140.19999999999999</v>
      </c>
      <c r="L37" s="87">
        <v>55.3</v>
      </c>
      <c r="M37" s="87">
        <v>29</v>
      </c>
      <c r="N37" s="87">
        <f t="shared" si="1"/>
        <v>113.80000000000001</v>
      </c>
      <c r="O37" s="87">
        <f t="shared" si="2"/>
        <v>599.79999999999995</v>
      </c>
      <c r="P37" s="87">
        <f t="shared" si="3"/>
        <v>224.5</v>
      </c>
      <c r="Q37" s="87">
        <f t="shared" si="4"/>
        <v>938.09999999999991</v>
      </c>
      <c r="R37" s="87"/>
      <c r="S37" s="87"/>
      <c r="T37" s="87"/>
      <c r="U37" s="87"/>
      <c r="V37" s="87"/>
      <c r="W37" s="87"/>
      <c r="X37" s="87"/>
      <c r="Y37" s="87"/>
      <c r="Z37" s="87"/>
      <c r="AA37" s="87"/>
      <c r="AB37" s="87"/>
      <c r="AC37" s="87"/>
      <c r="AD37" s="87"/>
      <c r="AE37" s="87"/>
      <c r="AF37" s="87"/>
      <c r="AG37" s="87"/>
    </row>
    <row r="38" spans="1:33">
      <c r="A38" s="87">
        <v>1995</v>
      </c>
      <c r="B38" s="87">
        <v>28.7</v>
      </c>
      <c r="C38" s="87">
        <v>19.7</v>
      </c>
      <c r="D38" s="87">
        <v>29.1</v>
      </c>
      <c r="E38" s="87">
        <v>31.4</v>
      </c>
      <c r="F38" s="87">
        <v>105.5</v>
      </c>
      <c r="G38" s="87">
        <v>190</v>
      </c>
      <c r="H38" s="87">
        <v>101.4</v>
      </c>
      <c r="I38" s="87">
        <v>288.5</v>
      </c>
      <c r="J38" s="87">
        <v>72.900000000000006</v>
      </c>
      <c r="K38" s="87">
        <v>49.5</v>
      </c>
      <c r="L38" s="87">
        <v>31.3</v>
      </c>
      <c r="M38" s="87">
        <v>26</v>
      </c>
      <c r="N38" s="87">
        <f t="shared" si="1"/>
        <v>108.9</v>
      </c>
      <c r="O38" s="87">
        <f t="shared" si="2"/>
        <v>758.3</v>
      </c>
      <c r="P38" s="87">
        <f t="shared" si="3"/>
        <v>106.8</v>
      </c>
      <c r="Q38" s="87">
        <f t="shared" si="4"/>
        <v>973.99999999999989</v>
      </c>
      <c r="R38" s="87"/>
      <c r="S38" s="87"/>
      <c r="T38" s="87"/>
      <c r="U38" s="87"/>
      <c r="V38" s="87"/>
      <c r="W38" s="87"/>
      <c r="X38" s="87"/>
      <c r="Y38" s="87"/>
      <c r="Z38" s="87"/>
      <c r="AA38" s="87"/>
      <c r="AB38" s="87"/>
      <c r="AC38" s="87"/>
      <c r="AD38" s="87"/>
      <c r="AE38" s="87"/>
      <c r="AF38" s="87"/>
      <c r="AG38" s="87"/>
    </row>
    <row r="39" spans="1:33">
      <c r="A39" s="87">
        <v>1996</v>
      </c>
      <c r="B39" s="87">
        <v>20.5</v>
      </c>
      <c r="C39" s="87">
        <v>8.5</v>
      </c>
      <c r="D39" s="87">
        <v>50</v>
      </c>
      <c r="E39" s="87">
        <v>55.9</v>
      </c>
      <c r="F39" s="87">
        <v>123.7</v>
      </c>
      <c r="G39" s="87">
        <v>152.6</v>
      </c>
      <c r="H39" s="87">
        <v>213.2</v>
      </c>
      <c r="I39" s="87">
        <v>34.6</v>
      </c>
      <c r="J39" s="87">
        <v>71.5</v>
      </c>
      <c r="K39" s="87">
        <v>28.4</v>
      </c>
      <c r="L39" s="87">
        <v>85.6</v>
      </c>
      <c r="M39" s="87">
        <v>13.4</v>
      </c>
      <c r="N39" s="87">
        <f t="shared" si="1"/>
        <v>134.9</v>
      </c>
      <c r="O39" s="87">
        <f t="shared" si="2"/>
        <v>595.6</v>
      </c>
      <c r="P39" s="87">
        <f t="shared" si="3"/>
        <v>127.4</v>
      </c>
      <c r="Q39" s="87">
        <f t="shared" si="4"/>
        <v>857.90000000000009</v>
      </c>
      <c r="R39" s="87"/>
      <c r="S39" s="87"/>
      <c r="T39" s="87"/>
      <c r="U39" s="87"/>
      <c r="V39" s="87"/>
      <c r="W39" s="87"/>
      <c r="X39" s="87"/>
      <c r="Y39" s="87"/>
      <c r="Z39" s="87"/>
      <c r="AA39" s="87"/>
      <c r="AB39" s="87"/>
      <c r="AC39" s="87"/>
      <c r="AD39" s="87"/>
      <c r="AE39" s="87"/>
      <c r="AF39" s="87"/>
      <c r="AG39" s="87"/>
    </row>
    <row r="40" spans="1:33">
      <c r="A40" s="87">
        <v>1997</v>
      </c>
      <c r="B40" s="87">
        <v>20.8</v>
      </c>
      <c r="C40" s="87">
        <v>30.9</v>
      </c>
      <c r="D40" s="87">
        <v>9.6</v>
      </c>
      <c r="E40" s="87">
        <v>87.1</v>
      </c>
      <c r="F40" s="87">
        <v>81.2</v>
      </c>
      <c r="G40" s="87">
        <v>203.1</v>
      </c>
      <c r="H40" s="87">
        <v>87.5</v>
      </c>
      <c r="I40" s="87">
        <v>29.7</v>
      </c>
      <c r="J40" s="87">
        <v>132</v>
      </c>
      <c r="K40" s="87">
        <v>59.9</v>
      </c>
      <c r="L40" s="87">
        <v>5.8</v>
      </c>
      <c r="M40" s="87">
        <v>13.6</v>
      </c>
      <c r="N40" s="87">
        <f t="shared" si="1"/>
        <v>148.4</v>
      </c>
      <c r="O40" s="87">
        <f t="shared" si="2"/>
        <v>533.5</v>
      </c>
      <c r="P40" s="87">
        <f t="shared" si="3"/>
        <v>79.3</v>
      </c>
      <c r="Q40" s="87">
        <f t="shared" si="4"/>
        <v>761.2</v>
      </c>
      <c r="R40" s="87"/>
      <c r="S40" s="87"/>
      <c r="T40" s="87"/>
      <c r="U40" s="87"/>
      <c r="V40" s="87"/>
      <c r="W40" s="87"/>
      <c r="X40" s="87"/>
      <c r="Y40" s="87"/>
      <c r="Z40" s="87"/>
      <c r="AA40" s="87"/>
      <c r="AB40" s="87"/>
      <c r="AC40" s="87"/>
      <c r="AD40" s="87"/>
      <c r="AE40" s="87"/>
      <c r="AF40" s="87"/>
      <c r="AG40" s="87"/>
    </row>
    <row r="41" spans="1:33">
      <c r="A41" s="87">
        <v>1998</v>
      </c>
      <c r="B41" s="87">
        <v>15.7</v>
      </c>
      <c r="C41" s="87">
        <v>6.7</v>
      </c>
      <c r="D41" s="87">
        <v>15.1</v>
      </c>
      <c r="E41" s="87">
        <v>66.599999999999994</v>
      </c>
      <c r="F41" s="87">
        <v>77.5</v>
      </c>
      <c r="G41" s="87">
        <v>84.7</v>
      </c>
      <c r="H41" s="87">
        <v>138.9</v>
      </c>
      <c r="I41" s="87">
        <v>243.7</v>
      </c>
      <c r="J41" s="87">
        <v>39.9</v>
      </c>
      <c r="K41" s="87">
        <v>88.3</v>
      </c>
      <c r="L41" s="87">
        <v>18.8</v>
      </c>
      <c r="M41" s="87">
        <v>10.4</v>
      </c>
      <c r="N41" s="87">
        <f t="shared" si="1"/>
        <v>104.1</v>
      </c>
      <c r="O41" s="87">
        <f t="shared" si="2"/>
        <v>584.69999999999993</v>
      </c>
      <c r="P41" s="87">
        <f t="shared" si="3"/>
        <v>117.5</v>
      </c>
      <c r="Q41" s="87">
        <f t="shared" si="4"/>
        <v>806.3</v>
      </c>
      <c r="R41" s="87"/>
      <c r="S41" s="87"/>
      <c r="T41" s="87"/>
      <c r="U41" s="87"/>
      <c r="V41" s="87"/>
      <c r="W41" s="87"/>
      <c r="X41" s="87"/>
      <c r="Y41" s="87"/>
      <c r="Z41" s="87"/>
      <c r="AA41" s="87"/>
      <c r="AB41" s="87"/>
      <c r="AC41" s="87"/>
      <c r="AD41" s="87"/>
      <c r="AE41" s="87"/>
      <c r="AF41" s="87"/>
      <c r="AG41" s="87"/>
    </row>
    <row r="42" spans="1:33">
      <c r="A42" s="87">
        <v>1999</v>
      </c>
      <c r="B42" s="87">
        <v>34.299999999999997</v>
      </c>
      <c r="C42" s="87">
        <v>13</v>
      </c>
      <c r="D42" s="87">
        <v>24.2</v>
      </c>
      <c r="E42" s="87">
        <v>69.099999999999994</v>
      </c>
      <c r="F42" s="87">
        <v>161.19999999999999</v>
      </c>
      <c r="G42" s="87">
        <v>163.9</v>
      </c>
      <c r="H42" s="87">
        <v>221.5</v>
      </c>
      <c r="I42" s="87">
        <v>122.8</v>
      </c>
      <c r="J42" s="87">
        <v>42.7</v>
      </c>
      <c r="K42" s="87">
        <v>44.9</v>
      </c>
      <c r="L42" s="87">
        <v>38.1</v>
      </c>
      <c r="M42" s="87">
        <v>4.0999999999999996</v>
      </c>
      <c r="N42" s="87">
        <f t="shared" si="1"/>
        <v>140.6</v>
      </c>
      <c r="O42" s="87">
        <f t="shared" si="2"/>
        <v>712.1</v>
      </c>
      <c r="P42" s="87">
        <f t="shared" si="3"/>
        <v>87.1</v>
      </c>
      <c r="Q42" s="87">
        <f t="shared" si="4"/>
        <v>939.8</v>
      </c>
      <c r="R42" s="87"/>
      <c r="S42" s="87"/>
      <c r="T42" s="87"/>
      <c r="U42" s="87"/>
      <c r="V42" s="87"/>
      <c r="W42" s="87"/>
      <c r="X42" s="87"/>
      <c r="Y42" s="87"/>
      <c r="Z42" s="87"/>
      <c r="AA42" s="87"/>
      <c r="AB42" s="87"/>
      <c r="AC42" s="87"/>
      <c r="AD42" s="87"/>
      <c r="AE42" s="87"/>
      <c r="AF42" s="87"/>
      <c r="AG42" s="87"/>
    </row>
    <row r="43" spans="1:33">
      <c r="A43" s="87">
        <v>2000</v>
      </c>
      <c r="B43" s="87">
        <v>16.100000000000001</v>
      </c>
      <c r="C43" s="87">
        <v>14.9</v>
      </c>
      <c r="D43" s="87">
        <v>47.9</v>
      </c>
      <c r="E43" s="87">
        <v>81.5</v>
      </c>
      <c r="F43" s="87">
        <v>80</v>
      </c>
      <c r="G43" s="87">
        <v>248.3</v>
      </c>
      <c r="H43" s="87">
        <v>143.5</v>
      </c>
      <c r="I43" s="87">
        <v>87.9</v>
      </c>
      <c r="J43" s="87">
        <v>70.099999999999994</v>
      </c>
      <c r="K43" s="87">
        <v>70.599999999999994</v>
      </c>
      <c r="L43" s="87">
        <v>29.1</v>
      </c>
      <c r="M43" s="87">
        <v>15.6</v>
      </c>
      <c r="N43" s="87">
        <f t="shared" si="1"/>
        <v>160.4</v>
      </c>
      <c r="O43" s="87">
        <f t="shared" si="2"/>
        <v>629.80000000000007</v>
      </c>
      <c r="P43" s="87">
        <f t="shared" si="3"/>
        <v>115.29999999999998</v>
      </c>
      <c r="Q43" s="87">
        <f t="shared" si="4"/>
        <v>905.50000000000011</v>
      </c>
      <c r="R43" s="87"/>
      <c r="S43" s="87"/>
      <c r="T43" s="87"/>
      <c r="U43" s="87"/>
      <c r="V43" s="87"/>
      <c r="W43" s="87"/>
      <c r="X43" s="87"/>
      <c r="Y43" s="87"/>
      <c r="Z43" s="87"/>
      <c r="AA43" s="87"/>
      <c r="AB43" s="87"/>
      <c r="AC43" s="87"/>
      <c r="AD43" s="87"/>
      <c r="AE43" s="87"/>
      <c r="AF43" s="87"/>
      <c r="AG43" s="87"/>
    </row>
    <row r="44" spans="1:33">
      <c r="A44" s="87">
        <v>2001</v>
      </c>
      <c r="B44" s="87">
        <v>16.5</v>
      </c>
      <c r="C44" s="87">
        <v>25</v>
      </c>
      <c r="D44" s="87">
        <v>35.9</v>
      </c>
      <c r="E44" s="87">
        <v>97</v>
      </c>
      <c r="F44" s="87">
        <v>87.4</v>
      </c>
      <c r="G44" s="87">
        <v>180.5</v>
      </c>
      <c r="H44" s="87">
        <v>76.599999999999994</v>
      </c>
      <c r="I44" s="87">
        <v>64.400000000000006</v>
      </c>
      <c r="J44" s="87">
        <v>29</v>
      </c>
      <c r="K44" s="87">
        <v>98.3</v>
      </c>
      <c r="L44" s="87">
        <v>24.4</v>
      </c>
      <c r="M44" s="87">
        <v>20.6</v>
      </c>
      <c r="N44" s="87">
        <f t="shared" si="1"/>
        <v>174.4</v>
      </c>
      <c r="O44" s="87">
        <f t="shared" si="2"/>
        <v>437.9</v>
      </c>
      <c r="P44" s="87">
        <f t="shared" si="3"/>
        <v>143.29999999999998</v>
      </c>
      <c r="Q44" s="87">
        <f t="shared" si="4"/>
        <v>755.59999999999991</v>
      </c>
      <c r="R44" s="87"/>
      <c r="S44" s="87"/>
      <c r="T44" s="87"/>
      <c r="U44" s="87"/>
      <c r="V44" s="87"/>
      <c r="W44" s="87"/>
      <c r="X44" s="87"/>
      <c r="Y44" s="87"/>
      <c r="Z44" s="87"/>
      <c r="AA44" s="87"/>
      <c r="AB44" s="87"/>
      <c r="AC44" s="87"/>
      <c r="AD44" s="87"/>
      <c r="AE44" s="87"/>
      <c r="AF44" s="87"/>
      <c r="AG44" s="87"/>
    </row>
    <row r="45" spans="1:33">
      <c r="A45" s="87">
        <v>2002</v>
      </c>
      <c r="B45" s="87">
        <v>13.8</v>
      </c>
      <c r="C45" s="87">
        <v>27.7</v>
      </c>
      <c r="D45" s="87">
        <v>38</v>
      </c>
      <c r="E45" s="87">
        <v>39.200000000000003</v>
      </c>
      <c r="F45" s="87">
        <v>117.6</v>
      </c>
      <c r="G45" s="87">
        <v>142.9</v>
      </c>
      <c r="H45" s="87">
        <v>133.80000000000001</v>
      </c>
      <c r="I45" s="87">
        <v>154.6</v>
      </c>
      <c r="J45" s="87">
        <v>26.3</v>
      </c>
      <c r="K45" s="87">
        <v>56.9</v>
      </c>
      <c r="L45" s="87">
        <v>14.3</v>
      </c>
      <c r="M45" s="87">
        <v>28.4</v>
      </c>
      <c r="N45" s="87">
        <f t="shared" si="1"/>
        <v>118.7</v>
      </c>
      <c r="O45" s="87">
        <f t="shared" si="2"/>
        <v>575.19999999999993</v>
      </c>
      <c r="P45" s="87">
        <f t="shared" si="3"/>
        <v>99.6</v>
      </c>
      <c r="Q45" s="87">
        <f t="shared" si="4"/>
        <v>793.49999999999989</v>
      </c>
      <c r="R45" s="87"/>
      <c r="S45" s="87"/>
      <c r="T45" s="87"/>
      <c r="U45" s="87"/>
      <c r="V45" s="87"/>
      <c r="W45" s="87"/>
      <c r="X45" s="87"/>
      <c r="Y45" s="87"/>
      <c r="Z45" s="87"/>
      <c r="AA45" s="87"/>
      <c r="AB45" s="87"/>
      <c r="AC45" s="87"/>
      <c r="AD45" s="87"/>
      <c r="AE45" s="87"/>
      <c r="AF45" s="87"/>
      <c r="AG45" s="87"/>
    </row>
    <row r="46" spans="1:33">
      <c r="A46" s="87">
        <v>2003</v>
      </c>
      <c r="B46" s="87">
        <v>28.4</v>
      </c>
      <c r="C46" s="87">
        <v>7.9</v>
      </c>
      <c r="D46" s="87">
        <v>13.2</v>
      </c>
      <c r="E46" s="87">
        <v>41.1</v>
      </c>
      <c r="F46" s="87">
        <v>52.3</v>
      </c>
      <c r="G46" s="87">
        <v>220.6</v>
      </c>
      <c r="H46" s="87">
        <v>136</v>
      </c>
      <c r="I46" s="87">
        <v>44.5</v>
      </c>
      <c r="J46" s="87">
        <v>63.5</v>
      </c>
      <c r="K46" s="87">
        <v>33.299999999999997</v>
      </c>
      <c r="L46" s="87">
        <v>20.8</v>
      </c>
      <c r="M46" s="87">
        <v>32</v>
      </c>
      <c r="N46" s="87">
        <f t="shared" si="1"/>
        <v>90.6</v>
      </c>
      <c r="O46" s="87">
        <f t="shared" si="2"/>
        <v>516.9</v>
      </c>
      <c r="P46" s="87">
        <f t="shared" si="3"/>
        <v>86.1</v>
      </c>
      <c r="Q46" s="87">
        <f t="shared" si="4"/>
        <v>693.59999999999991</v>
      </c>
      <c r="R46" s="87"/>
      <c r="S46" s="87"/>
      <c r="T46" s="87"/>
      <c r="U46" s="87"/>
      <c r="V46" s="87"/>
      <c r="W46" s="87"/>
      <c r="X46" s="87"/>
      <c r="Y46" s="87"/>
      <c r="Z46" s="87"/>
      <c r="AA46" s="87"/>
      <c r="AB46" s="87"/>
      <c r="AC46" s="87"/>
      <c r="AD46" s="87"/>
      <c r="AE46" s="87"/>
      <c r="AF46" s="87"/>
      <c r="AG46" s="87"/>
    </row>
    <row r="47" spans="1:33" ht="12.75">
      <c r="A47" s="86">
        <v>2004</v>
      </c>
      <c r="B47" s="87">
        <v>12.2</v>
      </c>
      <c r="C47" s="87">
        <v>39</v>
      </c>
      <c r="D47" s="87">
        <v>35.9</v>
      </c>
      <c r="E47" s="87">
        <v>59.6</v>
      </c>
      <c r="F47" s="87">
        <v>112.1</v>
      </c>
      <c r="G47" s="87">
        <v>156.6</v>
      </c>
      <c r="H47" s="87">
        <v>143.1</v>
      </c>
      <c r="I47" s="87">
        <v>48.4</v>
      </c>
      <c r="J47" s="87">
        <v>82.4</v>
      </c>
      <c r="K47" s="87">
        <v>33.299999999999997</v>
      </c>
      <c r="L47" s="87">
        <v>28</v>
      </c>
      <c r="M47" s="87">
        <v>17.600000000000001</v>
      </c>
      <c r="N47" s="87">
        <f t="shared" si="1"/>
        <v>146.69999999999999</v>
      </c>
      <c r="O47" s="87">
        <f t="shared" si="2"/>
        <v>542.59999999999991</v>
      </c>
      <c r="P47" s="87">
        <f t="shared" si="3"/>
        <v>78.900000000000006</v>
      </c>
      <c r="Q47" s="87">
        <f t="shared" si="4"/>
        <v>768.19999999999993</v>
      </c>
      <c r="R47" s="87"/>
      <c r="S47" s="87"/>
      <c r="T47" s="87"/>
      <c r="U47" s="87"/>
      <c r="V47" s="87"/>
      <c r="W47" s="87"/>
      <c r="X47" s="87"/>
      <c r="Y47" s="87"/>
      <c r="Z47" s="87"/>
      <c r="AA47" s="87"/>
      <c r="AB47" s="87"/>
      <c r="AC47" s="87"/>
      <c r="AD47" s="87"/>
      <c r="AE47" s="87"/>
      <c r="AF47" s="87"/>
      <c r="AG47" s="87"/>
    </row>
    <row r="48" spans="1:33" ht="12.75">
      <c r="A48" s="86">
        <v>2005</v>
      </c>
      <c r="B48" s="86">
        <v>11.2</v>
      </c>
      <c r="C48" s="86">
        <v>11.6</v>
      </c>
      <c r="D48" s="86">
        <v>27.7</v>
      </c>
      <c r="E48" s="86">
        <v>149.80000000000001</v>
      </c>
      <c r="F48" s="86">
        <v>150.5</v>
      </c>
      <c r="G48" s="86">
        <v>71.900000000000006</v>
      </c>
      <c r="H48" s="86">
        <v>141.4</v>
      </c>
      <c r="I48" s="86">
        <v>54.4</v>
      </c>
      <c r="J48" s="86">
        <v>84.5</v>
      </c>
      <c r="K48" s="86">
        <v>57.5</v>
      </c>
      <c r="L48" s="86">
        <v>29.9</v>
      </c>
      <c r="M48" s="86">
        <v>26.5</v>
      </c>
      <c r="N48" s="87">
        <f t="shared" si="1"/>
        <v>200.3</v>
      </c>
      <c r="O48" s="87">
        <f t="shared" si="2"/>
        <v>502.7</v>
      </c>
      <c r="P48" s="87">
        <f t="shared" si="3"/>
        <v>113.9</v>
      </c>
      <c r="Q48" s="87">
        <f t="shared" si="4"/>
        <v>816.9</v>
      </c>
      <c r="R48" s="87"/>
      <c r="S48" s="87"/>
      <c r="T48" s="87"/>
      <c r="U48" s="87"/>
      <c r="V48" s="87"/>
      <c r="W48" s="87"/>
      <c r="X48" s="87"/>
      <c r="Y48" s="87"/>
      <c r="Z48" s="87"/>
      <c r="AA48" s="87"/>
      <c r="AB48" s="87"/>
      <c r="AC48" s="87"/>
      <c r="AD48" s="87"/>
      <c r="AE48" s="87"/>
      <c r="AF48" s="87"/>
      <c r="AG48" s="87"/>
    </row>
    <row r="49" spans="1:33">
      <c r="A49" s="87">
        <v>2006</v>
      </c>
      <c r="B49" s="87">
        <v>21.6</v>
      </c>
      <c r="C49" s="87">
        <v>33.299999999999997</v>
      </c>
      <c r="D49" s="87">
        <v>44.8</v>
      </c>
      <c r="E49" s="87">
        <v>63.5</v>
      </c>
      <c r="F49" s="87">
        <v>110.1</v>
      </c>
      <c r="G49" s="87">
        <v>172.3</v>
      </c>
      <c r="H49" s="87">
        <v>37.9</v>
      </c>
      <c r="I49" s="87">
        <v>56</v>
      </c>
      <c r="J49" s="87">
        <v>40.5</v>
      </c>
      <c r="K49" s="87">
        <v>93.5</v>
      </c>
      <c r="L49" s="87">
        <v>69.599999999999994</v>
      </c>
      <c r="M49" s="87">
        <v>23.9</v>
      </c>
      <c r="N49" s="87">
        <f t="shared" si="1"/>
        <v>163.19999999999999</v>
      </c>
      <c r="O49" s="87">
        <f t="shared" si="2"/>
        <v>416.79999999999995</v>
      </c>
      <c r="P49" s="87">
        <f t="shared" si="3"/>
        <v>187</v>
      </c>
      <c r="Q49" s="87">
        <f t="shared" si="4"/>
        <v>767</v>
      </c>
      <c r="R49" s="87"/>
      <c r="S49" s="87"/>
      <c r="T49" s="87"/>
      <c r="U49" s="87"/>
      <c r="V49" s="87"/>
      <c r="W49" s="87"/>
      <c r="X49" s="87"/>
      <c r="Y49" s="87"/>
      <c r="Z49" s="87"/>
      <c r="AA49" s="87"/>
      <c r="AB49" s="87"/>
      <c r="AC49" s="87"/>
      <c r="AD49" s="87"/>
      <c r="AE49" s="87"/>
      <c r="AF49" s="87"/>
      <c r="AG49" s="87"/>
    </row>
    <row r="50" spans="1:33">
      <c r="A50" s="87">
        <v>2007</v>
      </c>
      <c r="B50" s="87">
        <v>23.6</v>
      </c>
      <c r="C50" s="87">
        <v>0.8</v>
      </c>
      <c r="D50" s="87">
        <v>28.9</v>
      </c>
      <c r="E50" s="87">
        <v>76.400000000000006</v>
      </c>
      <c r="F50" s="87">
        <v>67.599999999999994</v>
      </c>
      <c r="G50" s="87">
        <v>182.8</v>
      </c>
      <c r="H50" s="87">
        <v>192.6</v>
      </c>
      <c r="I50" s="87">
        <v>80.900000000000006</v>
      </c>
      <c r="J50" s="87">
        <v>86.8</v>
      </c>
      <c r="K50" s="87">
        <v>62.3</v>
      </c>
      <c r="L50" s="87">
        <v>11.8</v>
      </c>
      <c r="M50" s="87">
        <v>15.5</v>
      </c>
      <c r="N50" s="87">
        <f t="shared" si="1"/>
        <v>129.69999999999999</v>
      </c>
      <c r="O50" s="87">
        <f t="shared" si="2"/>
        <v>610.69999999999993</v>
      </c>
      <c r="P50" s="87">
        <f t="shared" si="3"/>
        <v>89.6</v>
      </c>
      <c r="Q50" s="87">
        <f t="shared" si="4"/>
        <v>829.99999999999989</v>
      </c>
      <c r="R50" s="87"/>
      <c r="S50" s="87"/>
      <c r="T50" s="87"/>
      <c r="U50" s="87"/>
      <c r="V50" s="87"/>
      <c r="W50" s="87"/>
      <c r="X50" s="87"/>
      <c r="Y50" s="87"/>
      <c r="Z50" s="87"/>
      <c r="AA50" s="87"/>
      <c r="AB50" s="87"/>
      <c r="AC50" s="87"/>
      <c r="AD50" s="87"/>
      <c r="AE50" s="87"/>
      <c r="AF50" s="87"/>
      <c r="AG50" s="87"/>
    </row>
    <row r="51" spans="1:33">
      <c r="A51" s="87">
        <v>2008</v>
      </c>
      <c r="B51" s="87">
        <v>8.1999999999999993</v>
      </c>
      <c r="C51" s="87">
        <v>13.6</v>
      </c>
      <c r="D51" s="87">
        <v>29.7</v>
      </c>
      <c r="E51" s="87">
        <v>58.2</v>
      </c>
      <c r="F51" s="87">
        <v>132.30000000000001</v>
      </c>
      <c r="G51" s="87">
        <v>112.5</v>
      </c>
      <c r="H51" s="87">
        <v>157.6</v>
      </c>
      <c r="I51" s="87">
        <v>150.9</v>
      </c>
      <c r="J51" s="87">
        <v>40.4</v>
      </c>
      <c r="K51" s="87">
        <v>143.30000000000001</v>
      </c>
      <c r="L51" s="87">
        <v>56.8</v>
      </c>
      <c r="M51" s="87">
        <v>13</v>
      </c>
      <c r="N51" s="87">
        <f t="shared" si="1"/>
        <v>109.7</v>
      </c>
      <c r="O51" s="87">
        <f t="shared" si="2"/>
        <v>593.69999999999993</v>
      </c>
      <c r="P51" s="87">
        <f t="shared" si="3"/>
        <v>213.10000000000002</v>
      </c>
      <c r="Q51" s="87">
        <f t="shared" si="4"/>
        <v>916.5</v>
      </c>
      <c r="R51" s="87"/>
      <c r="S51" s="87"/>
      <c r="T51" s="87"/>
      <c r="U51" s="87"/>
      <c r="V51" s="87"/>
      <c r="W51" s="87"/>
      <c r="X51" s="87"/>
      <c r="Y51" s="87"/>
      <c r="Z51" s="87"/>
      <c r="AA51" s="87"/>
      <c r="AB51" s="87"/>
      <c r="AC51" s="87"/>
      <c r="AD51" s="87"/>
      <c r="AE51" s="87"/>
      <c r="AF51" s="87"/>
      <c r="AG51" s="87"/>
    </row>
    <row r="52" spans="1:33">
      <c r="A52" s="87">
        <v>2009</v>
      </c>
      <c r="B52" s="87">
        <v>19.399999999999999</v>
      </c>
      <c r="C52" s="87">
        <v>37.9</v>
      </c>
      <c r="D52" s="87">
        <v>33.700000000000003</v>
      </c>
      <c r="E52" s="87">
        <v>48.2</v>
      </c>
      <c r="F52" s="87">
        <v>95.1</v>
      </c>
      <c r="G52" s="87">
        <v>190.4</v>
      </c>
      <c r="H52" s="87">
        <v>134</v>
      </c>
      <c r="I52" s="87">
        <v>105.5</v>
      </c>
      <c r="J52" s="87">
        <v>25.1</v>
      </c>
      <c r="K52" s="87">
        <v>34.9</v>
      </c>
      <c r="L52" s="87">
        <v>7.4</v>
      </c>
      <c r="M52" s="87">
        <v>15.9</v>
      </c>
      <c r="N52" s="87">
        <f t="shared" si="1"/>
        <v>139.19999999999999</v>
      </c>
      <c r="O52" s="87">
        <f t="shared" si="2"/>
        <v>550.1</v>
      </c>
      <c r="P52" s="87">
        <f t="shared" si="3"/>
        <v>58.199999999999996</v>
      </c>
      <c r="Q52" s="87">
        <f t="shared" si="4"/>
        <v>747.5</v>
      </c>
      <c r="R52" s="87"/>
      <c r="S52" s="87"/>
      <c r="T52" s="87"/>
      <c r="U52" s="87"/>
      <c r="V52" s="87"/>
      <c r="W52" s="87"/>
      <c r="X52" s="87"/>
      <c r="Y52" s="87"/>
      <c r="Z52" s="87"/>
      <c r="AA52" s="87"/>
      <c r="AB52" s="87"/>
      <c r="AC52" s="87"/>
      <c r="AD52" s="87"/>
      <c r="AE52" s="87"/>
      <c r="AF52" s="87"/>
      <c r="AG52" s="87"/>
    </row>
    <row r="53" spans="1:33">
      <c r="A53" s="87">
        <v>2010</v>
      </c>
      <c r="B53" s="87">
        <v>10.6</v>
      </c>
      <c r="C53" s="87">
        <v>1.3</v>
      </c>
      <c r="D53" s="87">
        <v>37.1</v>
      </c>
      <c r="E53" s="87">
        <v>62.5</v>
      </c>
      <c r="F53" s="87">
        <v>103.7</v>
      </c>
      <c r="G53" s="87">
        <v>165.1</v>
      </c>
      <c r="H53" s="87">
        <v>135.30000000000001</v>
      </c>
      <c r="I53" s="87">
        <v>16.5</v>
      </c>
      <c r="J53" s="87">
        <v>107.8</v>
      </c>
      <c r="K53" s="87">
        <v>95.3</v>
      </c>
      <c r="L53" s="87">
        <v>36.5</v>
      </c>
      <c r="M53" s="87">
        <v>18.3</v>
      </c>
      <c r="N53" s="87">
        <f t="shared" si="1"/>
        <v>111.5</v>
      </c>
      <c r="O53" s="87">
        <f t="shared" si="2"/>
        <v>528.4</v>
      </c>
      <c r="P53" s="87">
        <f t="shared" si="3"/>
        <v>150.10000000000002</v>
      </c>
      <c r="Q53" s="87">
        <f t="shared" si="4"/>
        <v>789.99999999999977</v>
      </c>
      <c r="R53" s="87"/>
      <c r="S53" s="87"/>
      <c r="T53" s="87"/>
      <c r="U53" s="87"/>
      <c r="V53" s="87"/>
      <c r="W53" s="87"/>
      <c r="X53" s="87"/>
      <c r="Y53" s="87"/>
      <c r="Z53" s="87"/>
      <c r="AA53" s="87"/>
      <c r="AB53" s="87"/>
      <c r="AC53" s="87"/>
      <c r="AD53" s="87"/>
      <c r="AE53" s="87"/>
      <c r="AF53" s="87"/>
      <c r="AG53" s="87"/>
    </row>
    <row r="54" spans="1:33" ht="12.75">
      <c r="A54" s="87">
        <v>2011</v>
      </c>
      <c r="B54" s="87">
        <v>8.8000000000000007</v>
      </c>
      <c r="C54" s="87">
        <v>7.9</v>
      </c>
      <c r="D54" s="87">
        <v>17.5</v>
      </c>
      <c r="E54" s="87">
        <v>19.2</v>
      </c>
      <c r="F54" s="87">
        <v>57.1</v>
      </c>
      <c r="G54" s="87">
        <v>218.5</v>
      </c>
      <c r="H54" s="87">
        <v>113.3</v>
      </c>
      <c r="I54" s="87">
        <v>79.5</v>
      </c>
      <c r="J54" s="87">
        <v>67.3</v>
      </c>
      <c r="K54" s="87">
        <v>103</v>
      </c>
      <c r="L54" s="87">
        <v>33.700000000000003</v>
      </c>
      <c r="M54" s="87">
        <v>18.2</v>
      </c>
      <c r="N54" s="87">
        <f t="shared" si="1"/>
        <v>53.400000000000006</v>
      </c>
      <c r="O54" s="87">
        <f t="shared" si="2"/>
        <v>535.70000000000005</v>
      </c>
      <c r="P54" s="87">
        <f t="shared" si="3"/>
        <v>154.89999999999998</v>
      </c>
      <c r="Q54" s="87">
        <f t="shared" si="4"/>
        <v>744</v>
      </c>
      <c r="R54" s="90"/>
      <c r="S54" s="90"/>
      <c r="T54" s="90"/>
      <c r="U54" s="90"/>
      <c r="V54" s="90"/>
      <c r="W54" s="90"/>
      <c r="X54" s="90"/>
      <c r="Y54" s="90"/>
      <c r="Z54" s="90"/>
      <c r="AA54" s="90"/>
      <c r="AB54" s="90"/>
      <c r="AC54" s="90"/>
      <c r="AD54" s="90"/>
      <c r="AE54" s="90"/>
      <c r="AF54" s="90"/>
      <c r="AG54" s="90"/>
    </row>
    <row r="55" spans="1:33" ht="12.75">
      <c r="A55" s="87">
        <v>2012</v>
      </c>
      <c r="B55" s="87">
        <v>35.4</v>
      </c>
      <c r="C55" s="87">
        <v>11</v>
      </c>
      <c r="D55" s="87">
        <v>13.8</v>
      </c>
      <c r="E55" s="87">
        <v>35</v>
      </c>
      <c r="F55" s="87">
        <v>121.6</v>
      </c>
      <c r="G55" s="87">
        <v>61.6</v>
      </c>
      <c r="H55" s="87">
        <v>181.5</v>
      </c>
      <c r="I55" s="87">
        <v>61.4</v>
      </c>
      <c r="J55" s="87">
        <v>108</v>
      </c>
      <c r="K55" s="87">
        <v>48.1</v>
      </c>
      <c r="L55" s="87">
        <v>18.5</v>
      </c>
      <c r="M55" s="87">
        <v>17.7</v>
      </c>
      <c r="N55" s="87">
        <f t="shared" si="1"/>
        <v>95.2</v>
      </c>
      <c r="O55" s="87">
        <f t="shared" si="2"/>
        <v>534.09999999999991</v>
      </c>
      <c r="P55" s="87">
        <f t="shared" si="3"/>
        <v>84.3</v>
      </c>
      <c r="Q55" s="87">
        <f t="shared" si="4"/>
        <v>713.60000000000014</v>
      </c>
      <c r="R55" s="90"/>
      <c r="S55" s="90"/>
      <c r="T55" s="90"/>
      <c r="U55" s="90"/>
      <c r="V55" s="90"/>
      <c r="W55" s="90"/>
      <c r="X55" s="90"/>
      <c r="Y55" s="90"/>
      <c r="Z55" s="90"/>
      <c r="AA55" s="90"/>
      <c r="AB55" s="90"/>
      <c r="AC55" s="90"/>
      <c r="AD55" s="90"/>
      <c r="AE55" s="90"/>
      <c r="AF55" s="90"/>
      <c r="AG55" s="90"/>
    </row>
    <row r="56" spans="1:33" ht="12.75">
      <c r="A56" s="87">
        <v>2013</v>
      </c>
      <c r="B56" s="87">
        <v>4.4000000000000004</v>
      </c>
      <c r="C56" s="87">
        <v>8.5</v>
      </c>
      <c r="D56" s="87">
        <v>27.9</v>
      </c>
      <c r="E56" s="87">
        <v>61.7</v>
      </c>
      <c r="F56" s="87">
        <v>188.1</v>
      </c>
      <c r="G56" s="87">
        <v>89.8</v>
      </c>
      <c r="H56" s="87">
        <v>0</v>
      </c>
      <c r="I56" s="87">
        <v>97</v>
      </c>
      <c r="J56" s="87">
        <v>62.8</v>
      </c>
      <c r="K56" s="87">
        <v>48.2</v>
      </c>
      <c r="L56" s="87">
        <v>20.7</v>
      </c>
      <c r="M56" s="87">
        <v>14.1</v>
      </c>
      <c r="N56" s="87">
        <f>SUM(B56:E56)</f>
        <v>102.5</v>
      </c>
      <c r="O56" s="87">
        <f>SUM(F56:J56)</f>
        <v>437.7</v>
      </c>
      <c r="P56" s="87">
        <f>SUM(K56:M56)</f>
        <v>83</v>
      </c>
      <c r="Q56" s="87">
        <f>SUM(B56:M56)</f>
        <v>623.20000000000016</v>
      </c>
      <c r="R56" s="90"/>
      <c r="S56" s="90"/>
      <c r="T56" s="90"/>
      <c r="U56" s="90"/>
      <c r="V56" s="90"/>
      <c r="W56" s="90"/>
      <c r="X56" s="90"/>
      <c r="Y56" s="90"/>
      <c r="Z56" s="90"/>
      <c r="AA56" s="90"/>
      <c r="AB56" s="90"/>
      <c r="AC56" s="90"/>
      <c r="AD56" s="90"/>
      <c r="AE56" s="90"/>
      <c r="AF56" s="90"/>
      <c r="AG56" s="90"/>
    </row>
    <row r="57" spans="1:33">
      <c r="A57" s="87">
        <v>2014</v>
      </c>
      <c r="B57" s="91">
        <v>13.6</v>
      </c>
      <c r="C57" s="91">
        <v>22</v>
      </c>
      <c r="D57" s="91">
        <v>114.4</v>
      </c>
      <c r="E57" s="91">
        <v>51.9</v>
      </c>
      <c r="F57" s="91">
        <v>78.3</v>
      </c>
      <c r="G57" s="91">
        <v>146</v>
      </c>
      <c r="H57" s="91">
        <v>209.3</v>
      </c>
      <c r="I57" s="91">
        <v>210.8</v>
      </c>
      <c r="J57" s="91">
        <v>138.4</v>
      </c>
      <c r="K57" s="91">
        <v>81.2</v>
      </c>
      <c r="L57" s="91">
        <v>49.2</v>
      </c>
      <c r="M57" s="91">
        <v>16.100000000000001</v>
      </c>
      <c r="N57" s="87">
        <f t="shared" ref="N57:N58" si="5">SUM(B57:E57)</f>
        <v>201.9</v>
      </c>
      <c r="O57" s="87">
        <f t="shared" ref="O57:O58" si="6">SUM(F57:J57)</f>
        <v>782.80000000000007</v>
      </c>
      <c r="P57" s="87">
        <f t="shared" ref="P57:P58" si="7">SUM(K57:M57)</f>
        <v>146.5</v>
      </c>
      <c r="Q57" s="87">
        <f t="shared" ref="Q57:Q58" si="8">SUM(B57:M57)</f>
        <v>1131.1999999999998</v>
      </c>
    </row>
    <row r="58" spans="1:33">
      <c r="A58" s="87">
        <v>2015</v>
      </c>
      <c r="B58" s="91">
        <v>18.8</v>
      </c>
      <c r="C58" s="91">
        <v>28.5</v>
      </c>
      <c r="D58" s="91">
        <v>21.5</v>
      </c>
      <c r="E58" s="91">
        <v>43.6</v>
      </c>
      <c r="F58" s="91">
        <v>127.9</v>
      </c>
      <c r="G58" s="91">
        <v>91.8</v>
      </c>
      <c r="H58" s="91">
        <v>96.8</v>
      </c>
      <c r="I58" s="91">
        <v>179.4</v>
      </c>
      <c r="J58" s="91">
        <v>132</v>
      </c>
      <c r="K58" s="91">
        <v>37.9</v>
      </c>
      <c r="L58" s="91">
        <v>18.5</v>
      </c>
      <c r="M58" s="91">
        <v>19.3</v>
      </c>
      <c r="N58" s="87">
        <f t="shared" si="5"/>
        <v>112.4</v>
      </c>
      <c r="O58" s="87">
        <f t="shared" si="6"/>
        <v>627.9</v>
      </c>
      <c r="P58" s="87">
        <f t="shared" si="7"/>
        <v>75.7</v>
      </c>
      <c r="Q58" s="87">
        <f t="shared" si="8"/>
        <v>816</v>
      </c>
    </row>
    <row r="59" spans="1:33" s="94" customFormat="1">
      <c r="A59" s="92">
        <v>2016</v>
      </c>
      <c r="B59" s="93">
        <v>22.3</v>
      </c>
      <c r="C59" s="93">
        <v>11.9</v>
      </c>
      <c r="D59" s="93">
        <v>78.599999999999994</v>
      </c>
      <c r="E59" s="93">
        <v>64.599999999999994</v>
      </c>
      <c r="F59" s="93">
        <v>134.4</v>
      </c>
      <c r="G59" s="93">
        <v>142.4</v>
      </c>
      <c r="H59" s="93">
        <v>117.4</v>
      </c>
      <c r="I59" s="93">
        <v>188.2</v>
      </c>
      <c r="J59" s="93">
        <v>35.1</v>
      </c>
      <c r="K59" s="93">
        <v>59.8</v>
      </c>
      <c r="L59" s="93">
        <v>32.9</v>
      </c>
      <c r="M59" s="93">
        <v>14.3</v>
      </c>
      <c r="N59" s="92">
        <f>SUM(B59:E59)</f>
        <v>177.39999999999998</v>
      </c>
      <c r="O59" s="92">
        <f>SUM(F59:J59)</f>
        <v>617.50000000000011</v>
      </c>
      <c r="P59" s="92">
        <f>SUM(K59:M59)</f>
        <v>106.99999999999999</v>
      </c>
      <c r="Q59" s="92">
        <f>SUM(B59:M59)</f>
        <v>901.89999999999986</v>
      </c>
      <c r="R59" s="94">
        <f t="shared" ref="R59:AG59" si="9">100*(B59-B4)/B4</f>
        <v>34.457347029924073</v>
      </c>
      <c r="S59" s="94">
        <f t="shared" si="9"/>
        <v>-16.39344262295079</v>
      </c>
      <c r="T59" s="94">
        <f t="shared" si="9"/>
        <v>156.75397737583921</v>
      </c>
      <c r="U59" s="94">
        <f t="shared" si="9"/>
        <v>18.980865650260942</v>
      </c>
      <c r="V59" s="94">
        <f t="shared" si="9"/>
        <v>16.875211362867752</v>
      </c>
      <c r="W59" s="94">
        <f t="shared" si="9"/>
        <v>-12.051513730513657</v>
      </c>
      <c r="X59" s="94">
        <f t="shared" si="9"/>
        <v>-5.5341975860527395</v>
      </c>
      <c r="Y59" s="94">
        <f t="shared" si="9"/>
        <v>76.922809094390956</v>
      </c>
      <c r="Z59" s="94">
        <f t="shared" si="9"/>
        <v>-56.189903846153854</v>
      </c>
      <c r="AA59" s="94">
        <f t="shared" si="9"/>
        <v>-8.7100330760750033</v>
      </c>
      <c r="AB59" s="94">
        <f t="shared" si="9"/>
        <v>5.2051874222774996</v>
      </c>
      <c r="AC59" s="94">
        <f t="shared" si="9"/>
        <v>-21.26032425818293</v>
      </c>
      <c r="AD59" s="94">
        <f t="shared" si="9"/>
        <v>53.293221532356171</v>
      </c>
      <c r="AE59" s="94">
        <f t="shared" si="9"/>
        <v>5.0745873589079569</v>
      </c>
      <c r="AF59" s="94">
        <f t="shared" si="9"/>
        <v>-6.9070520566484799</v>
      </c>
      <c r="AG59" s="94">
        <f t="shared" si="9"/>
        <v>10.210565619307314</v>
      </c>
    </row>
  </sheetData>
  <mergeCells count="6">
    <mergeCell ref="A1:A3"/>
    <mergeCell ref="B1:Q1"/>
    <mergeCell ref="B2:M2"/>
    <mergeCell ref="R1:AG1"/>
    <mergeCell ref="N2:Q2"/>
    <mergeCell ref="R2:AG2"/>
  </mergeCells>
  <phoneticPr fontId="2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AG62"/>
  <sheetViews>
    <sheetView zoomScale="85" zoomScaleNormal="85" workbookViewId="0">
      <pane ySplit="5" topLeftCell="A6" activePane="bottomLeft" state="frozen"/>
      <selection pane="bottomLeft" activeCell="K62" sqref="K62"/>
    </sheetView>
  </sheetViews>
  <sheetFormatPr defaultRowHeight="14.25"/>
  <cols>
    <col min="1" max="1" width="6.625" style="82" customWidth="1"/>
    <col min="2" max="13" width="6.625" style="22" customWidth="1"/>
    <col min="14" max="14" width="7.5" style="22" bestFit="1" customWidth="1"/>
    <col min="15" max="15" width="8.5" style="22" bestFit="1" customWidth="1"/>
    <col min="16" max="16" width="9" style="22" bestFit="1" customWidth="1"/>
    <col min="17" max="17" width="8.5" style="22" bestFit="1" customWidth="1"/>
    <col min="18" max="33" width="6.625" style="22" customWidth="1"/>
    <col min="34" max="42" width="6.625" style="82" customWidth="1"/>
    <col min="43" max="16384" width="9" style="82"/>
  </cols>
  <sheetData>
    <row r="1" spans="1:33" s="25" customFormat="1" ht="14.25" customHeight="1">
      <c r="A1" s="161" t="s">
        <v>0</v>
      </c>
      <c r="B1" s="161" t="s">
        <v>114</v>
      </c>
      <c r="C1" s="162"/>
      <c r="D1" s="162"/>
      <c r="E1" s="162"/>
      <c r="F1" s="162"/>
      <c r="G1" s="162"/>
      <c r="H1" s="162"/>
      <c r="I1" s="162"/>
      <c r="J1" s="162"/>
      <c r="K1" s="162"/>
      <c r="L1" s="162"/>
      <c r="M1" s="162"/>
      <c r="N1" s="162"/>
      <c r="O1" s="162"/>
      <c r="P1" s="162"/>
      <c r="Q1" s="162"/>
      <c r="R1" s="161" t="s">
        <v>68</v>
      </c>
      <c r="S1" s="162"/>
      <c r="T1" s="162"/>
      <c r="U1" s="162"/>
      <c r="V1" s="162"/>
      <c r="W1" s="162"/>
      <c r="X1" s="162"/>
      <c r="Y1" s="162"/>
      <c r="Z1" s="162"/>
      <c r="AA1" s="162"/>
      <c r="AB1" s="162"/>
      <c r="AC1" s="162"/>
      <c r="AD1" s="162"/>
      <c r="AE1" s="162"/>
      <c r="AF1" s="162"/>
      <c r="AG1" s="162"/>
    </row>
    <row r="2" spans="1:33" s="25" customFormat="1" ht="12.75">
      <c r="A2" s="162"/>
      <c r="B2" s="161" t="s">
        <v>3</v>
      </c>
      <c r="C2" s="162"/>
      <c r="D2" s="162"/>
      <c r="E2" s="162"/>
      <c r="F2" s="162"/>
      <c r="G2" s="162"/>
      <c r="H2" s="162"/>
      <c r="I2" s="162"/>
      <c r="J2" s="162"/>
      <c r="K2" s="162"/>
      <c r="L2" s="162"/>
      <c r="M2" s="162"/>
      <c r="N2" s="161" t="s">
        <v>32</v>
      </c>
      <c r="O2" s="162"/>
      <c r="P2" s="162"/>
      <c r="Q2" s="162"/>
      <c r="R2" s="161" t="s">
        <v>6</v>
      </c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  <c r="AF2" s="162"/>
      <c r="AG2" s="162"/>
    </row>
    <row r="3" spans="1:33" s="25" customFormat="1" ht="12.75">
      <c r="A3" s="162"/>
      <c r="B3" s="61" t="s">
        <v>19</v>
      </c>
      <c r="C3" s="61" t="s">
        <v>20</v>
      </c>
      <c r="D3" s="61" t="s">
        <v>69</v>
      </c>
      <c r="E3" s="61" t="s">
        <v>70</v>
      </c>
      <c r="F3" s="61" t="s">
        <v>71</v>
      </c>
      <c r="G3" s="61" t="s">
        <v>72</v>
      </c>
      <c r="H3" s="61" t="s">
        <v>73</v>
      </c>
      <c r="I3" s="61" t="s">
        <v>74</v>
      </c>
      <c r="J3" s="61" t="s">
        <v>75</v>
      </c>
      <c r="K3" s="61" t="s">
        <v>76</v>
      </c>
      <c r="L3" s="61" t="s">
        <v>77</v>
      </c>
      <c r="M3" s="61" t="s">
        <v>78</v>
      </c>
      <c r="N3" s="60" t="s">
        <v>98</v>
      </c>
      <c r="O3" s="60" t="s">
        <v>57</v>
      </c>
      <c r="P3" s="60" t="s">
        <v>100</v>
      </c>
      <c r="Q3" s="60" t="s">
        <v>89</v>
      </c>
      <c r="R3" s="61" t="s">
        <v>19</v>
      </c>
      <c r="S3" s="61" t="s">
        <v>20</v>
      </c>
      <c r="T3" s="61" t="s">
        <v>21</v>
      </c>
      <c r="U3" s="61" t="s">
        <v>47</v>
      </c>
      <c r="V3" s="61" t="s">
        <v>113</v>
      </c>
      <c r="W3" s="61" t="s">
        <v>80</v>
      </c>
      <c r="X3" s="61" t="s">
        <v>81</v>
      </c>
      <c r="Y3" s="61" t="s">
        <v>82</v>
      </c>
      <c r="Z3" s="61" t="s">
        <v>83</v>
      </c>
      <c r="AA3" s="61" t="s">
        <v>136</v>
      </c>
      <c r="AB3" s="61" t="s">
        <v>51</v>
      </c>
      <c r="AC3" s="61" t="s">
        <v>30</v>
      </c>
      <c r="AD3" s="60" t="s">
        <v>90</v>
      </c>
      <c r="AE3" s="60" t="s">
        <v>4</v>
      </c>
      <c r="AF3" s="60" t="s">
        <v>111</v>
      </c>
      <c r="AG3" s="60" t="s">
        <v>137</v>
      </c>
    </row>
    <row r="4" spans="1:33" s="25" customFormat="1" ht="12.75">
      <c r="A4" s="146" t="s">
        <v>261</v>
      </c>
      <c r="B4" s="146">
        <f t="shared" ref="B4:Q4" si="0">AVERAGE(B5:B61)</f>
        <v>16.429824561403507</v>
      </c>
      <c r="C4" s="146">
        <f t="shared" si="0"/>
        <v>14.529824561403508</v>
      </c>
      <c r="D4" s="146">
        <f t="shared" si="0"/>
        <v>38.156140350877195</v>
      </c>
      <c r="E4" s="146">
        <f t="shared" si="0"/>
        <v>70.650877192982449</v>
      </c>
      <c r="F4" s="146">
        <f t="shared" si="0"/>
        <v>136.38421052631577</v>
      </c>
      <c r="G4" s="146">
        <f t="shared" si="0"/>
        <v>184.70350877192979</v>
      </c>
      <c r="H4" s="146">
        <f t="shared" si="0"/>
        <v>134.46842105263156</v>
      </c>
      <c r="I4" s="146">
        <f t="shared" si="0"/>
        <v>126.70701754385971</v>
      </c>
      <c r="J4" s="146">
        <f t="shared" si="0"/>
        <v>98.168421052631558</v>
      </c>
      <c r="K4" s="146">
        <f t="shared" si="0"/>
        <v>91.512280701754392</v>
      </c>
      <c r="L4" s="146">
        <f t="shared" si="0"/>
        <v>41.682456140350872</v>
      </c>
      <c r="M4" s="146">
        <f t="shared" si="0"/>
        <v>19.359649122807017</v>
      </c>
      <c r="N4" s="145">
        <f t="shared" si="0"/>
        <v>139.76666666666665</v>
      </c>
      <c r="O4" s="145">
        <f t="shared" si="0"/>
        <v>680.43157894736828</v>
      </c>
      <c r="P4" s="145">
        <f t="shared" si="0"/>
        <v>152.55438596491229</v>
      </c>
      <c r="Q4" s="145">
        <f t="shared" si="0"/>
        <v>972.75263157894744</v>
      </c>
      <c r="R4" s="146"/>
      <c r="S4" s="146"/>
      <c r="T4" s="146"/>
      <c r="U4" s="146"/>
      <c r="V4" s="146"/>
      <c r="W4" s="146"/>
      <c r="X4" s="146"/>
      <c r="Y4" s="146"/>
      <c r="Z4" s="146"/>
      <c r="AA4" s="146"/>
      <c r="AB4" s="146"/>
      <c r="AC4" s="146"/>
      <c r="AD4" s="145"/>
      <c r="AE4" s="145"/>
      <c r="AF4" s="145"/>
      <c r="AG4" s="145"/>
    </row>
    <row r="5" spans="1:33">
      <c r="A5" s="75">
        <v>1959</v>
      </c>
      <c r="B5" s="75">
        <v>14.1</v>
      </c>
      <c r="C5" s="75">
        <v>4.5</v>
      </c>
      <c r="D5" s="75">
        <v>39.1</v>
      </c>
      <c r="E5" s="75">
        <v>27</v>
      </c>
      <c r="F5" s="75">
        <v>58.8</v>
      </c>
      <c r="G5" s="75">
        <v>266.7</v>
      </c>
      <c r="H5" s="75">
        <v>98.8</v>
      </c>
      <c r="I5" s="75">
        <v>51.2</v>
      </c>
      <c r="J5" s="75">
        <v>55.3</v>
      </c>
      <c r="K5" s="75">
        <v>122.6</v>
      </c>
      <c r="L5" s="75">
        <v>44.7</v>
      </c>
      <c r="M5" s="75">
        <v>15.6</v>
      </c>
      <c r="N5" s="75">
        <f>SUM(B5:E5)</f>
        <v>84.7</v>
      </c>
      <c r="O5" s="75">
        <f>SUM(F5:J5)</f>
        <v>530.79999999999995</v>
      </c>
      <c r="P5" s="75">
        <f>SUM(K5:M5)</f>
        <v>182.9</v>
      </c>
      <c r="Q5" s="75">
        <f>SUM(B5:M5)</f>
        <v>798.40000000000009</v>
      </c>
      <c r="R5" s="63"/>
      <c r="S5" s="63"/>
      <c r="T5" s="63"/>
      <c r="U5" s="63"/>
      <c r="V5" s="76"/>
      <c r="W5" s="76"/>
      <c r="X5" s="76"/>
      <c r="Y5" s="76"/>
      <c r="Z5" s="76"/>
      <c r="AA5" s="63"/>
      <c r="AB5" s="63"/>
      <c r="AC5" s="63"/>
      <c r="AD5" s="76"/>
      <c r="AE5" s="76"/>
      <c r="AF5" s="76"/>
      <c r="AG5" s="76"/>
    </row>
    <row r="6" spans="1:33">
      <c r="A6" s="75">
        <v>1960</v>
      </c>
      <c r="B6" s="75">
        <v>13.3</v>
      </c>
      <c r="C6" s="76">
        <v>9.6999999999999993</v>
      </c>
      <c r="D6" s="76">
        <v>25.2</v>
      </c>
      <c r="E6" s="76">
        <v>29.7</v>
      </c>
      <c r="F6" s="76">
        <v>126.1</v>
      </c>
      <c r="G6" s="76">
        <v>145.9</v>
      </c>
      <c r="H6" s="76">
        <v>35.700000000000003</v>
      </c>
      <c r="I6" s="76">
        <v>73</v>
      </c>
      <c r="J6" s="76">
        <v>84.7</v>
      </c>
      <c r="K6" s="76">
        <v>76.7</v>
      </c>
      <c r="L6" s="76">
        <v>28.9</v>
      </c>
      <c r="M6" s="76">
        <v>11.5</v>
      </c>
      <c r="N6" s="75">
        <f t="shared" ref="N6:N61" si="1">SUM(B6:E6)</f>
        <v>77.900000000000006</v>
      </c>
      <c r="O6" s="75">
        <f t="shared" ref="O6:O61" si="2">SUM(F6:J6)</f>
        <v>465.4</v>
      </c>
      <c r="P6" s="75">
        <f t="shared" ref="P6:P61" si="3">SUM(K6:M6)</f>
        <v>117.1</v>
      </c>
      <c r="Q6" s="75">
        <f t="shared" ref="Q6:Q61" si="4">SUM(B6:M6)</f>
        <v>660.4</v>
      </c>
      <c r="R6" s="63"/>
      <c r="S6" s="63"/>
      <c r="T6" s="63"/>
      <c r="U6" s="63"/>
      <c r="V6" s="76"/>
      <c r="W6" s="76"/>
      <c r="X6" s="76"/>
      <c r="Y6" s="76"/>
      <c r="Z6" s="76"/>
      <c r="AA6" s="63"/>
      <c r="AB6" s="63"/>
      <c r="AC6" s="63"/>
      <c r="AD6" s="76"/>
      <c r="AE6" s="76"/>
      <c r="AF6" s="76"/>
      <c r="AG6" s="76"/>
    </row>
    <row r="7" spans="1:33">
      <c r="A7" s="75">
        <v>1961</v>
      </c>
      <c r="B7" s="75">
        <v>8.8000000000000007</v>
      </c>
      <c r="C7" s="76">
        <v>7.9</v>
      </c>
      <c r="D7" s="76">
        <v>17.5</v>
      </c>
      <c r="E7" s="76">
        <v>19.2</v>
      </c>
      <c r="F7" s="76">
        <v>57.1</v>
      </c>
      <c r="G7" s="76">
        <v>218.5</v>
      </c>
      <c r="H7" s="76">
        <v>113.3</v>
      </c>
      <c r="I7" s="76">
        <v>79.5</v>
      </c>
      <c r="J7" s="76">
        <v>67.3</v>
      </c>
      <c r="K7" s="76">
        <v>92.2</v>
      </c>
      <c r="L7" s="76">
        <v>53.4</v>
      </c>
      <c r="M7" s="76">
        <v>24.4</v>
      </c>
      <c r="N7" s="75">
        <f t="shared" si="1"/>
        <v>53.400000000000006</v>
      </c>
      <c r="O7" s="75">
        <f t="shared" si="2"/>
        <v>535.70000000000005</v>
      </c>
      <c r="P7" s="75">
        <f t="shared" si="3"/>
        <v>170</v>
      </c>
      <c r="Q7" s="75">
        <f t="shared" si="4"/>
        <v>759.09999999999991</v>
      </c>
      <c r="R7" s="63"/>
      <c r="S7" s="63"/>
      <c r="T7" s="63"/>
      <c r="U7" s="63"/>
      <c r="V7" s="76"/>
      <c r="W7" s="76"/>
      <c r="X7" s="76"/>
      <c r="Y7" s="76"/>
      <c r="Z7" s="76"/>
      <c r="AA7" s="63"/>
      <c r="AB7" s="63"/>
      <c r="AC7" s="63"/>
      <c r="AD7" s="76"/>
      <c r="AE7" s="76"/>
      <c r="AF7" s="76"/>
      <c r="AG7" s="76"/>
    </row>
    <row r="8" spans="1:33">
      <c r="A8" s="75">
        <v>1962</v>
      </c>
      <c r="B8" s="75">
        <v>6.1</v>
      </c>
      <c r="C8" s="75">
        <v>4.9000000000000004</v>
      </c>
      <c r="D8" s="75">
        <v>27</v>
      </c>
      <c r="E8" s="75">
        <v>32.6</v>
      </c>
      <c r="F8" s="75">
        <v>58.3</v>
      </c>
      <c r="G8" s="75">
        <v>289.10000000000002</v>
      </c>
      <c r="H8" s="75">
        <v>56.9</v>
      </c>
      <c r="I8" s="75">
        <v>65.5</v>
      </c>
      <c r="J8" s="75">
        <v>47.3</v>
      </c>
      <c r="K8" s="75">
        <v>154.6</v>
      </c>
      <c r="L8" s="75">
        <v>28.3</v>
      </c>
      <c r="M8" s="75">
        <v>15.2</v>
      </c>
      <c r="N8" s="75">
        <f t="shared" si="1"/>
        <v>70.599999999999994</v>
      </c>
      <c r="O8" s="75">
        <f t="shared" si="2"/>
        <v>517.1</v>
      </c>
      <c r="P8" s="75">
        <f t="shared" si="3"/>
        <v>198.1</v>
      </c>
      <c r="Q8" s="75">
        <f t="shared" si="4"/>
        <v>785.8</v>
      </c>
      <c r="R8" s="75"/>
      <c r="S8" s="75"/>
      <c r="T8" s="75"/>
      <c r="U8" s="75"/>
      <c r="V8" s="75"/>
      <c r="W8" s="75"/>
      <c r="X8" s="75"/>
      <c r="Y8" s="75"/>
      <c r="Z8" s="75"/>
      <c r="AA8" s="75"/>
      <c r="AB8" s="75"/>
      <c r="AC8" s="75"/>
      <c r="AD8" s="75"/>
      <c r="AE8" s="75"/>
      <c r="AF8" s="75"/>
      <c r="AG8" s="75"/>
    </row>
    <row r="9" spans="1:33">
      <c r="A9" s="75">
        <v>1963</v>
      </c>
      <c r="B9" s="75">
        <v>10.7</v>
      </c>
      <c r="C9" s="75">
        <v>11.1</v>
      </c>
      <c r="D9" s="75">
        <v>55.1</v>
      </c>
      <c r="E9" s="75">
        <v>39</v>
      </c>
      <c r="F9" s="75">
        <v>68.8</v>
      </c>
      <c r="G9" s="75">
        <v>240.4</v>
      </c>
      <c r="H9" s="75">
        <v>87.1</v>
      </c>
      <c r="I9" s="75">
        <v>76.599999999999994</v>
      </c>
      <c r="J9" s="75">
        <v>55.6</v>
      </c>
      <c r="K9" s="75">
        <v>203.3</v>
      </c>
      <c r="L9" s="75">
        <v>64.3</v>
      </c>
      <c r="M9" s="75">
        <v>34.9</v>
      </c>
      <c r="N9" s="75">
        <f t="shared" si="1"/>
        <v>115.9</v>
      </c>
      <c r="O9" s="75">
        <f t="shared" si="2"/>
        <v>528.5</v>
      </c>
      <c r="P9" s="75">
        <f t="shared" si="3"/>
        <v>302.5</v>
      </c>
      <c r="Q9" s="75">
        <f t="shared" si="4"/>
        <v>946.9</v>
      </c>
      <c r="R9" s="75"/>
      <c r="S9" s="75"/>
      <c r="T9" s="75"/>
      <c r="U9" s="75"/>
      <c r="V9" s="75"/>
      <c r="W9" s="75"/>
      <c r="X9" s="75"/>
      <c r="Y9" s="75"/>
      <c r="Z9" s="75"/>
      <c r="AA9" s="75"/>
      <c r="AB9" s="75"/>
      <c r="AC9" s="75"/>
      <c r="AD9" s="75"/>
      <c r="AE9" s="75"/>
      <c r="AF9" s="75"/>
      <c r="AG9" s="75"/>
    </row>
    <row r="10" spans="1:33">
      <c r="A10" s="75">
        <v>1964</v>
      </c>
      <c r="B10" s="75">
        <v>9</v>
      </c>
      <c r="C10" s="75">
        <v>5.5</v>
      </c>
      <c r="D10" s="75">
        <v>20.399999999999999</v>
      </c>
      <c r="E10" s="75">
        <v>34.5</v>
      </c>
      <c r="F10" s="75">
        <v>40.700000000000003</v>
      </c>
      <c r="G10" s="75">
        <v>143.9</v>
      </c>
      <c r="H10" s="75">
        <v>54.5</v>
      </c>
      <c r="I10" s="75">
        <v>71.5</v>
      </c>
      <c r="J10" s="75">
        <v>76.900000000000006</v>
      </c>
      <c r="K10" s="75">
        <v>85.3</v>
      </c>
      <c r="L10" s="75">
        <v>35.799999999999997</v>
      </c>
      <c r="M10" s="75">
        <v>30.7</v>
      </c>
      <c r="N10" s="75">
        <f t="shared" si="1"/>
        <v>69.400000000000006</v>
      </c>
      <c r="O10" s="75">
        <f t="shared" si="2"/>
        <v>387.5</v>
      </c>
      <c r="P10" s="75">
        <f t="shared" si="3"/>
        <v>151.79999999999998</v>
      </c>
      <c r="Q10" s="75">
        <f t="shared" si="4"/>
        <v>608.69999999999993</v>
      </c>
      <c r="R10" s="75"/>
      <c r="S10" s="75"/>
      <c r="T10" s="75"/>
      <c r="U10" s="75"/>
      <c r="V10" s="75"/>
      <c r="W10" s="75"/>
      <c r="X10" s="75"/>
      <c r="Y10" s="75"/>
      <c r="Z10" s="75"/>
      <c r="AA10" s="75"/>
      <c r="AB10" s="75"/>
      <c r="AC10" s="75"/>
      <c r="AD10" s="75"/>
      <c r="AE10" s="75"/>
      <c r="AF10" s="75"/>
      <c r="AG10" s="75"/>
    </row>
    <row r="11" spans="1:33">
      <c r="A11" s="75">
        <v>1965</v>
      </c>
      <c r="B11" s="75">
        <v>11.3</v>
      </c>
      <c r="C11" s="75">
        <v>10.6</v>
      </c>
      <c r="D11" s="75">
        <v>45.3</v>
      </c>
      <c r="E11" s="75">
        <v>40.799999999999997</v>
      </c>
      <c r="F11" s="75">
        <v>62.3</v>
      </c>
      <c r="G11" s="75">
        <v>170.5</v>
      </c>
      <c r="H11" s="75">
        <v>61.5</v>
      </c>
      <c r="I11" s="75">
        <v>172.1</v>
      </c>
      <c r="J11" s="75">
        <v>57.2</v>
      </c>
      <c r="K11" s="75">
        <v>109.2</v>
      </c>
      <c r="L11" s="75">
        <v>23.8</v>
      </c>
      <c r="M11" s="75">
        <v>21.8</v>
      </c>
      <c r="N11" s="75">
        <f t="shared" si="1"/>
        <v>107.99999999999999</v>
      </c>
      <c r="O11" s="75">
        <f t="shared" si="2"/>
        <v>523.6</v>
      </c>
      <c r="P11" s="75">
        <f t="shared" si="3"/>
        <v>154.80000000000001</v>
      </c>
      <c r="Q11" s="75">
        <f t="shared" si="4"/>
        <v>786.4</v>
      </c>
      <c r="R11" s="75"/>
      <c r="S11" s="75"/>
      <c r="T11" s="75"/>
      <c r="U11" s="75"/>
      <c r="V11" s="75"/>
      <c r="W11" s="75"/>
      <c r="X11" s="75"/>
      <c r="Y11" s="75"/>
      <c r="Z11" s="75"/>
      <c r="AA11" s="75"/>
      <c r="AB11" s="75"/>
      <c r="AC11" s="75"/>
      <c r="AD11" s="75"/>
      <c r="AE11" s="75"/>
      <c r="AF11" s="75"/>
      <c r="AG11" s="75"/>
    </row>
    <row r="12" spans="1:33">
      <c r="A12" s="75">
        <v>1966</v>
      </c>
      <c r="B12" s="75">
        <v>8.1</v>
      </c>
      <c r="C12" s="75">
        <v>17.3</v>
      </c>
      <c r="D12" s="75">
        <v>39.5</v>
      </c>
      <c r="E12" s="75">
        <v>36.5</v>
      </c>
      <c r="F12" s="75">
        <v>54.2</v>
      </c>
      <c r="G12" s="75">
        <v>227.4</v>
      </c>
      <c r="H12" s="75">
        <v>105.2</v>
      </c>
      <c r="I12" s="75">
        <v>62.8</v>
      </c>
      <c r="J12" s="75">
        <v>62.8</v>
      </c>
      <c r="K12" s="75">
        <v>111.2</v>
      </c>
      <c r="L12" s="75">
        <v>18.399999999999999</v>
      </c>
      <c r="M12" s="75">
        <v>4.2</v>
      </c>
      <c r="N12" s="75">
        <f t="shared" si="1"/>
        <v>101.4</v>
      </c>
      <c r="O12" s="75">
        <f t="shared" si="2"/>
        <v>512.4</v>
      </c>
      <c r="P12" s="75">
        <f t="shared" si="3"/>
        <v>133.79999999999998</v>
      </c>
      <c r="Q12" s="75">
        <f t="shared" si="4"/>
        <v>747.6</v>
      </c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5"/>
      <c r="AG12" s="75"/>
    </row>
    <row r="13" spans="1:33">
      <c r="A13" s="75">
        <v>1967</v>
      </c>
      <c r="B13" s="75">
        <v>16.7</v>
      </c>
      <c r="C13" s="75">
        <v>3.9</v>
      </c>
      <c r="D13" s="75">
        <v>33.299999999999997</v>
      </c>
      <c r="E13" s="75">
        <v>25.5</v>
      </c>
      <c r="F13" s="75">
        <v>83.5</v>
      </c>
      <c r="G13" s="75">
        <v>222.8</v>
      </c>
      <c r="H13" s="75">
        <v>38.9</v>
      </c>
      <c r="I13" s="75">
        <v>56.4</v>
      </c>
      <c r="J13" s="75">
        <v>61.9</v>
      </c>
      <c r="K13" s="75">
        <v>27.9</v>
      </c>
      <c r="L13" s="75">
        <v>53.8</v>
      </c>
      <c r="M13" s="75">
        <v>19.100000000000001</v>
      </c>
      <c r="N13" s="75">
        <f t="shared" si="1"/>
        <v>79.399999999999991</v>
      </c>
      <c r="O13" s="75">
        <f t="shared" si="2"/>
        <v>463.49999999999994</v>
      </c>
      <c r="P13" s="75">
        <f t="shared" si="3"/>
        <v>100.79999999999998</v>
      </c>
      <c r="Q13" s="75">
        <f t="shared" si="4"/>
        <v>643.69999999999993</v>
      </c>
      <c r="R13" s="75"/>
      <c r="S13" s="75"/>
      <c r="T13" s="75"/>
      <c r="U13" s="75"/>
      <c r="V13" s="75"/>
      <c r="W13" s="75"/>
      <c r="X13" s="75"/>
      <c r="Y13" s="75"/>
      <c r="Z13" s="75"/>
      <c r="AA13" s="75"/>
      <c r="AB13" s="75"/>
      <c r="AC13" s="75"/>
      <c r="AD13" s="75"/>
      <c r="AE13" s="75"/>
      <c r="AF13" s="75"/>
      <c r="AG13" s="75"/>
    </row>
    <row r="14" spans="1:33">
      <c r="A14" s="75">
        <v>1968</v>
      </c>
      <c r="B14" s="75">
        <v>24.1</v>
      </c>
      <c r="C14" s="75">
        <v>7.5</v>
      </c>
      <c r="D14" s="75">
        <v>31.2</v>
      </c>
      <c r="E14" s="75">
        <v>38.799999999999997</v>
      </c>
      <c r="F14" s="75">
        <v>143.30000000000001</v>
      </c>
      <c r="G14" s="75">
        <v>195.8</v>
      </c>
      <c r="H14" s="75">
        <v>29.8</v>
      </c>
      <c r="I14" s="75">
        <v>18.7</v>
      </c>
      <c r="J14" s="75">
        <v>86.5</v>
      </c>
      <c r="K14" s="75">
        <v>72.3</v>
      </c>
      <c r="L14" s="75">
        <v>39.6</v>
      </c>
      <c r="M14" s="75">
        <v>13.1</v>
      </c>
      <c r="N14" s="75">
        <f t="shared" si="1"/>
        <v>101.6</v>
      </c>
      <c r="O14" s="75">
        <f t="shared" si="2"/>
        <v>474.1</v>
      </c>
      <c r="P14" s="75">
        <f t="shared" si="3"/>
        <v>125</v>
      </c>
      <c r="Q14" s="75">
        <f t="shared" si="4"/>
        <v>700.7</v>
      </c>
      <c r="R14" s="75"/>
      <c r="S14" s="75"/>
      <c r="T14" s="75"/>
      <c r="U14" s="75"/>
      <c r="V14" s="75"/>
      <c r="W14" s="75"/>
      <c r="X14" s="75"/>
      <c r="Y14" s="75"/>
      <c r="Z14" s="75"/>
      <c r="AA14" s="75"/>
      <c r="AB14" s="75"/>
      <c r="AC14" s="75"/>
      <c r="AD14" s="75"/>
      <c r="AE14" s="75"/>
      <c r="AF14" s="75"/>
      <c r="AG14" s="75"/>
    </row>
    <row r="15" spans="1:33">
      <c r="A15" s="75">
        <v>1969</v>
      </c>
      <c r="B15" s="75">
        <v>14.6</v>
      </c>
      <c r="C15" s="75">
        <v>2.1</v>
      </c>
      <c r="D15" s="75">
        <v>57.1</v>
      </c>
      <c r="E15" s="75">
        <v>43</v>
      </c>
      <c r="F15" s="75">
        <v>160.30000000000001</v>
      </c>
      <c r="G15" s="75">
        <v>156.6</v>
      </c>
      <c r="H15" s="75">
        <v>192.4</v>
      </c>
      <c r="I15" s="75">
        <v>176.9</v>
      </c>
      <c r="J15" s="75">
        <v>75.099999999999994</v>
      </c>
      <c r="K15" s="75">
        <v>203.6</v>
      </c>
      <c r="L15" s="75">
        <v>82.2</v>
      </c>
      <c r="M15" s="75">
        <v>11.1</v>
      </c>
      <c r="N15" s="75">
        <f t="shared" si="1"/>
        <v>116.8</v>
      </c>
      <c r="O15" s="75">
        <f t="shared" si="2"/>
        <v>761.3</v>
      </c>
      <c r="P15" s="75">
        <f t="shared" si="3"/>
        <v>296.90000000000003</v>
      </c>
      <c r="Q15" s="75">
        <f t="shared" si="4"/>
        <v>1175</v>
      </c>
      <c r="R15" s="75"/>
      <c r="S15" s="75"/>
      <c r="T15" s="75"/>
      <c r="U15" s="75"/>
      <c r="V15" s="75"/>
      <c r="W15" s="75"/>
      <c r="X15" s="75"/>
      <c r="Y15" s="75"/>
      <c r="Z15" s="75"/>
      <c r="AA15" s="75"/>
      <c r="AB15" s="75"/>
      <c r="AC15" s="75"/>
      <c r="AD15" s="75"/>
      <c r="AE15" s="75"/>
      <c r="AF15" s="75"/>
      <c r="AG15" s="75"/>
    </row>
    <row r="16" spans="1:33">
      <c r="A16" s="75">
        <v>1970</v>
      </c>
      <c r="B16" s="75">
        <v>21</v>
      </c>
      <c r="C16" s="75">
        <v>17.2</v>
      </c>
      <c r="D16" s="75">
        <v>17.7</v>
      </c>
      <c r="E16" s="75">
        <v>105</v>
      </c>
      <c r="F16" s="75">
        <v>187</v>
      </c>
      <c r="G16" s="75">
        <v>68.599999999999994</v>
      </c>
      <c r="H16" s="75">
        <v>254.5</v>
      </c>
      <c r="I16" s="75">
        <v>70</v>
      </c>
      <c r="J16" s="75">
        <v>192.3</v>
      </c>
      <c r="K16" s="75">
        <v>73.7</v>
      </c>
      <c r="L16" s="75">
        <v>41.5</v>
      </c>
      <c r="M16" s="75">
        <v>40.200000000000003</v>
      </c>
      <c r="N16" s="75">
        <f t="shared" si="1"/>
        <v>160.9</v>
      </c>
      <c r="O16" s="75">
        <f t="shared" si="2"/>
        <v>772.40000000000009</v>
      </c>
      <c r="P16" s="75">
        <f t="shared" si="3"/>
        <v>155.4</v>
      </c>
      <c r="Q16" s="75">
        <f t="shared" si="4"/>
        <v>1088.7</v>
      </c>
      <c r="R16" s="75"/>
      <c r="S16" s="75"/>
      <c r="T16" s="75"/>
      <c r="U16" s="75"/>
      <c r="V16" s="75"/>
      <c r="W16" s="75"/>
      <c r="X16" s="75"/>
      <c r="Y16" s="75"/>
      <c r="Z16" s="75"/>
      <c r="AA16" s="75"/>
      <c r="AB16" s="75"/>
      <c r="AC16" s="75"/>
      <c r="AD16" s="75"/>
      <c r="AE16" s="75"/>
      <c r="AF16" s="75"/>
      <c r="AG16" s="75"/>
    </row>
    <row r="17" spans="1:33">
      <c r="A17" s="75">
        <v>1971</v>
      </c>
      <c r="B17" s="75">
        <v>27.4</v>
      </c>
      <c r="C17" s="75">
        <v>14.5</v>
      </c>
      <c r="D17" s="75">
        <v>46.2</v>
      </c>
      <c r="E17" s="75">
        <v>72.900000000000006</v>
      </c>
      <c r="F17" s="75">
        <v>143.5</v>
      </c>
      <c r="G17" s="75">
        <v>137.30000000000001</v>
      </c>
      <c r="H17" s="75">
        <v>35.799999999999997</v>
      </c>
      <c r="I17" s="75">
        <v>107.7</v>
      </c>
      <c r="J17" s="75">
        <v>138.9</v>
      </c>
      <c r="K17" s="75">
        <v>92.7</v>
      </c>
      <c r="L17" s="75">
        <v>34.5</v>
      </c>
      <c r="M17" s="75">
        <v>46.4</v>
      </c>
      <c r="N17" s="75">
        <f t="shared" si="1"/>
        <v>161</v>
      </c>
      <c r="O17" s="75">
        <f t="shared" si="2"/>
        <v>563.20000000000005</v>
      </c>
      <c r="P17" s="75">
        <f t="shared" si="3"/>
        <v>173.6</v>
      </c>
      <c r="Q17" s="75">
        <f t="shared" si="4"/>
        <v>897.80000000000007</v>
      </c>
      <c r="R17" s="75"/>
      <c r="S17" s="75"/>
      <c r="T17" s="75"/>
      <c r="U17" s="75"/>
      <c r="V17" s="75"/>
      <c r="W17" s="75"/>
      <c r="X17" s="75"/>
      <c r="Y17" s="75"/>
      <c r="Z17" s="75"/>
      <c r="AA17" s="75"/>
      <c r="AB17" s="75"/>
      <c r="AC17" s="75"/>
      <c r="AD17" s="75"/>
      <c r="AE17" s="75"/>
      <c r="AF17" s="75"/>
      <c r="AG17" s="75"/>
    </row>
    <row r="18" spans="1:33">
      <c r="A18" s="75">
        <v>1972</v>
      </c>
      <c r="B18" s="75">
        <v>4.5999999999999996</v>
      </c>
      <c r="C18" s="75">
        <v>7.1</v>
      </c>
      <c r="D18" s="75">
        <v>35.799999999999997</v>
      </c>
      <c r="E18" s="75">
        <v>155.1</v>
      </c>
      <c r="F18" s="75">
        <v>282.89999999999998</v>
      </c>
      <c r="G18" s="75">
        <v>81.099999999999994</v>
      </c>
      <c r="H18" s="75">
        <v>95.6</v>
      </c>
      <c r="I18" s="75">
        <v>84.7</v>
      </c>
      <c r="J18" s="75">
        <v>243.6</v>
      </c>
      <c r="K18" s="75">
        <v>83.7</v>
      </c>
      <c r="L18" s="75">
        <v>57.7</v>
      </c>
      <c r="M18" s="75">
        <v>29.8</v>
      </c>
      <c r="N18" s="75">
        <f t="shared" si="1"/>
        <v>202.6</v>
      </c>
      <c r="O18" s="75">
        <f t="shared" si="2"/>
        <v>787.90000000000009</v>
      </c>
      <c r="P18" s="75">
        <f t="shared" si="3"/>
        <v>171.20000000000002</v>
      </c>
      <c r="Q18" s="75">
        <f t="shared" si="4"/>
        <v>1161.7</v>
      </c>
      <c r="R18" s="75"/>
      <c r="S18" s="75"/>
      <c r="T18" s="75"/>
      <c r="U18" s="75"/>
      <c r="V18" s="75"/>
      <c r="W18" s="75"/>
      <c r="X18" s="75"/>
      <c r="Y18" s="75"/>
      <c r="Z18" s="75"/>
      <c r="AA18" s="75"/>
      <c r="AB18" s="75"/>
      <c r="AC18" s="75"/>
      <c r="AD18" s="75"/>
      <c r="AE18" s="75"/>
      <c r="AF18" s="75"/>
      <c r="AG18" s="75"/>
    </row>
    <row r="19" spans="1:33">
      <c r="A19" s="75">
        <v>1973</v>
      </c>
      <c r="B19" s="75">
        <v>11.7</v>
      </c>
      <c r="C19" s="75">
        <v>17.100000000000001</v>
      </c>
      <c r="D19" s="75">
        <v>100.6</v>
      </c>
      <c r="E19" s="75">
        <v>102.2</v>
      </c>
      <c r="F19" s="75">
        <v>227.1</v>
      </c>
      <c r="G19" s="75">
        <v>330.8</v>
      </c>
      <c r="H19" s="75">
        <v>87.9</v>
      </c>
      <c r="I19" s="75">
        <v>78.900000000000006</v>
      </c>
      <c r="J19" s="75">
        <v>194.6</v>
      </c>
      <c r="K19" s="75">
        <v>34.700000000000003</v>
      </c>
      <c r="L19" s="75">
        <v>77</v>
      </c>
      <c r="M19" s="75">
        <v>11.1</v>
      </c>
      <c r="N19" s="75">
        <f t="shared" si="1"/>
        <v>231.60000000000002</v>
      </c>
      <c r="O19" s="75">
        <f t="shared" si="2"/>
        <v>919.3</v>
      </c>
      <c r="P19" s="75">
        <f t="shared" si="3"/>
        <v>122.8</v>
      </c>
      <c r="Q19" s="75">
        <f t="shared" si="4"/>
        <v>1273.6999999999998</v>
      </c>
      <c r="R19" s="75"/>
      <c r="S19" s="75"/>
      <c r="T19" s="75"/>
      <c r="U19" s="75"/>
      <c r="V19" s="75"/>
      <c r="W19" s="75"/>
      <c r="X19" s="75"/>
      <c r="Y19" s="75"/>
      <c r="Z19" s="75"/>
      <c r="AA19" s="75"/>
      <c r="AB19" s="75"/>
      <c r="AC19" s="75"/>
      <c r="AD19" s="75"/>
      <c r="AE19" s="75"/>
      <c r="AF19" s="75"/>
      <c r="AG19" s="75"/>
    </row>
    <row r="20" spans="1:33" ht="15">
      <c r="A20" s="75">
        <v>1974</v>
      </c>
      <c r="B20" s="75">
        <v>8.9</v>
      </c>
      <c r="C20" s="75">
        <v>7.6</v>
      </c>
      <c r="D20" s="75">
        <v>44.8</v>
      </c>
      <c r="E20" s="75">
        <v>117.4</v>
      </c>
      <c r="F20" s="75">
        <v>154.9</v>
      </c>
      <c r="G20" s="75">
        <v>196.9</v>
      </c>
      <c r="H20" s="75">
        <v>93.8</v>
      </c>
      <c r="I20" s="75">
        <v>275.8</v>
      </c>
      <c r="J20" s="75">
        <v>232.7</v>
      </c>
      <c r="K20" s="75">
        <v>49.1</v>
      </c>
      <c r="L20" s="97">
        <v>12.7</v>
      </c>
      <c r="M20" s="97">
        <v>11.5</v>
      </c>
      <c r="N20" s="75">
        <f t="shared" si="1"/>
        <v>178.7</v>
      </c>
      <c r="O20" s="75">
        <f t="shared" si="2"/>
        <v>954.10000000000014</v>
      </c>
      <c r="P20" s="75">
        <f t="shared" si="3"/>
        <v>73.3</v>
      </c>
      <c r="Q20" s="75">
        <f t="shared" si="4"/>
        <v>1206.0999999999999</v>
      </c>
      <c r="R20" s="75"/>
      <c r="S20" s="75"/>
      <c r="T20" s="75"/>
      <c r="U20" s="75"/>
      <c r="V20" s="75"/>
      <c r="W20" s="75"/>
      <c r="X20" s="75"/>
      <c r="Y20" s="75"/>
      <c r="Z20" s="75"/>
      <c r="AA20" s="75"/>
      <c r="AB20" s="75"/>
      <c r="AC20" s="75"/>
      <c r="AD20" s="75"/>
      <c r="AE20" s="75"/>
      <c r="AF20" s="75"/>
      <c r="AG20" s="75"/>
    </row>
    <row r="21" spans="1:33" ht="15">
      <c r="A21" s="75">
        <v>1975</v>
      </c>
      <c r="B21" s="75">
        <v>15.3</v>
      </c>
      <c r="C21" s="75">
        <v>9.9</v>
      </c>
      <c r="D21" s="75">
        <v>32.6</v>
      </c>
      <c r="E21" s="75">
        <v>98.8</v>
      </c>
      <c r="F21" s="75">
        <v>121.5</v>
      </c>
      <c r="G21" s="75">
        <v>237.4</v>
      </c>
      <c r="H21" s="75">
        <v>52.8</v>
      </c>
      <c r="I21" s="75">
        <v>166</v>
      </c>
      <c r="J21" s="75">
        <v>138.30000000000001</v>
      </c>
      <c r="K21" s="75">
        <v>61.8</v>
      </c>
      <c r="L21" s="97">
        <v>94.9</v>
      </c>
      <c r="M21" s="97">
        <v>4</v>
      </c>
      <c r="N21" s="75">
        <f t="shared" si="1"/>
        <v>156.6</v>
      </c>
      <c r="O21" s="75">
        <f t="shared" si="2"/>
        <v>716</v>
      </c>
      <c r="P21" s="75">
        <f t="shared" si="3"/>
        <v>160.69999999999999</v>
      </c>
      <c r="Q21" s="75">
        <f t="shared" si="4"/>
        <v>1033.3</v>
      </c>
      <c r="R21" s="75"/>
      <c r="S21" s="75"/>
      <c r="T21" s="75"/>
      <c r="U21" s="75"/>
      <c r="V21" s="75"/>
      <c r="W21" s="75"/>
      <c r="X21" s="75"/>
      <c r="Y21" s="75"/>
      <c r="Z21" s="75"/>
      <c r="AA21" s="75"/>
      <c r="AB21" s="75"/>
      <c r="AC21" s="75"/>
      <c r="AD21" s="75"/>
      <c r="AE21" s="75"/>
      <c r="AF21" s="75"/>
      <c r="AG21" s="75"/>
    </row>
    <row r="22" spans="1:33" ht="15">
      <c r="A22" s="75">
        <v>1976</v>
      </c>
      <c r="B22" s="75">
        <v>17.5</v>
      </c>
      <c r="C22" s="75">
        <v>30</v>
      </c>
      <c r="D22" s="75">
        <v>32.799999999999997</v>
      </c>
      <c r="E22" s="75">
        <v>52.2</v>
      </c>
      <c r="F22" s="75">
        <v>187.7</v>
      </c>
      <c r="G22" s="75">
        <v>168.4</v>
      </c>
      <c r="H22" s="75">
        <v>237.9</v>
      </c>
      <c r="I22" s="75">
        <v>70.400000000000006</v>
      </c>
      <c r="J22" s="75">
        <v>70.099999999999994</v>
      </c>
      <c r="K22" s="75">
        <v>59.7</v>
      </c>
      <c r="L22" s="97">
        <v>24.9</v>
      </c>
      <c r="M22" s="97">
        <v>18.899999999999999</v>
      </c>
      <c r="N22" s="75">
        <f t="shared" si="1"/>
        <v>132.5</v>
      </c>
      <c r="O22" s="75">
        <f t="shared" si="2"/>
        <v>734.5</v>
      </c>
      <c r="P22" s="75">
        <f t="shared" si="3"/>
        <v>103.5</v>
      </c>
      <c r="Q22" s="75">
        <f t="shared" si="4"/>
        <v>970.5</v>
      </c>
      <c r="R22" s="75"/>
      <c r="S22" s="75"/>
      <c r="T22" s="75"/>
      <c r="U22" s="75"/>
      <c r="V22" s="75"/>
      <c r="W22" s="75"/>
      <c r="X22" s="75"/>
      <c r="Y22" s="75"/>
      <c r="Z22" s="75"/>
      <c r="AA22" s="75"/>
      <c r="AB22" s="75"/>
      <c r="AC22" s="75"/>
      <c r="AD22" s="75"/>
      <c r="AE22" s="75"/>
      <c r="AF22" s="75"/>
      <c r="AG22" s="75"/>
    </row>
    <row r="23" spans="1:33" ht="15">
      <c r="A23" s="75">
        <v>1977</v>
      </c>
      <c r="B23" s="75">
        <v>10.8</v>
      </c>
      <c r="C23" s="75">
        <v>25</v>
      </c>
      <c r="D23" s="75">
        <v>45.8</v>
      </c>
      <c r="E23" s="75">
        <v>87.1</v>
      </c>
      <c r="F23" s="75">
        <v>329</v>
      </c>
      <c r="G23" s="75">
        <v>272.5</v>
      </c>
      <c r="H23" s="75">
        <v>185.6</v>
      </c>
      <c r="I23" s="75">
        <v>118.4</v>
      </c>
      <c r="J23" s="75">
        <v>103.1</v>
      </c>
      <c r="K23" s="75">
        <v>94.9</v>
      </c>
      <c r="L23" s="97">
        <v>60.4</v>
      </c>
      <c r="M23" s="97">
        <v>6.6</v>
      </c>
      <c r="N23" s="75">
        <f t="shared" si="1"/>
        <v>168.7</v>
      </c>
      <c r="O23" s="75">
        <f t="shared" si="2"/>
        <v>1008.6</v>
      </c>
      <c r="P23" s="75">
        <f t="shared" si="3"/>
        <v>161.9</v>
      </c>
      <c r="Q23" s="75">
        <f t="shared" si="4"/>
        <v>1339.2</v>
      </c>
      <c r="R23" s="75"/>
      <c r="S23" s="75"/>
      <c r="T23" s="75"/>
      <c r="U23" s="75"/>
      <c r="V23" s="75"/>
      <c r="W23" s="75"/>
      <c r="X23" s="75"/>
      <c r="Y23" s="75"/>
      <c r="Z23" s="75"/>
      <c r="AA23" s="75"/>
      <c r="AB23" s="75"/>
      <c r="AC23" s="75"/>
      <c r="AD23" s="75"/>
      <c r="AE23" s="75"/>
      <c r="AF23" s="75"/>
      <c r="AG23" s="75"/>
    </row>
    <row r="24" spans="1:33">
      <c r="A24" s="75">
        <v>1978</v>
      </c>
      <c r="B24" s="75">
        <v>24.5</v>
      </c>
      <c r="C24" s="75">
        <v>6.7</v>
      </c>
      <c r="D24" s="75">
        <v>27.7</v>
      </c>
      <c r="E24" s="75">
        <v>55.9</v>
      </c>
      <c r="F24" s="75">
        <v>184.2</v>
      </c>
      <c r="G24" s="75">
        <v>129</v>
      </c>
      <c r="H24" s="75">
        <v>96.3</v>
      </c>
      <c r="I24" s="75">
        <v>100.4</v>
      </c>
      <c r="J24" s="75">
        <v>30.8</v>
      </c>
      <c r="K24" s="75">
        <v>96.7</v>
      </c>
      <c r="L24" s="75">
        <v>67.2</v>
      </c>
      <c r="M24" s="75">
        <v>2.2000000000000002</v>
      </c>
      <c r="N24" s="75">
        <f t="shared" si="1"/>
        <v>114.8</v>
      </c>
      <c r="O24" s="75">
        <f t="shared" si="2"/>
        <v>540.69999999999993</v>
      </c>
      <c r="P24" s="75">
        <f t="shared" si="3"/>
        <v>166.1</v>
      </c>
      <c r="Q24" s="75">
        <f t="shared" si="4"/>
        <v>821.6</v>
      </c>
      <c r="R24" s="75"/>
      <c r="S24" s="75"/>
      <c r="T24" s="75"/>
      <c r="U24" s="75"/>
      <c r="V24" s="75"/>
      <c r="W24" s="75"/>
      <c r="X24" s="75"/>
      <c r="Y24" s="75"/>
      <c r="Z24" s="75"/>
      <c r="AA24" s="75"/>
      <c r="AB24" s="75"/>
      <c r="AC24" s="75"/>
      <c r="AD24" s="75"/>
      <c r="AE24" s="75"/>
      <c r="AF24" s="75"/>
      <c r="AG24" s="75"/>
    </row>
    <row r="25" spans="1:33" ht="15">
      <c r="A25" s="75">
        <v>1979</v>
      </c>
      <c r="B25" s="75">
        <v>7.8</v>
      </c>
      <c r="C25" s="75">
        <v>28.4</v>
      </c>
      <c r="D25" s="75">
        <v>35.9</v>
      </c>
      <c r="E25" s="75">
        <v>43.1</v>
      </c>
      <c r="F25" s="75">
        <v>60.4</v>
      </c>
      <c r="G25" s="75">
        <v>146.5</v>
      </c>
      <c r="H25" s="75">
        <v>127.5</v>
      </c>
      <c r="I25" s="75">
        <v>212.2</v>
      </c>
      <c r="J25" s="75">
        <v>149.5</v>
      </c>
      <c r="K25" s="75">
        <v>60.3</v>
      </c>
      <c r="L25" s="97">
        <v>26.9</v>
      </c>
      <c r="M25" s="97">
        <v>27.3</v>
      </c>
      <c r="N25" s="75">
        <f t="shared" si="1"/>
        <v>115.19999999999999</v>
      </c>
      <c r="O25" s="75">
        <f t="shared" si="2"/>
        <v>696.09999999999991</v>
      </c>
      <c r="P25" s="75">
        <f t="shared" si="3"/>
        <v>114.49999999999999</v>
      </c>
      <c r="Q25" s="75">
        <f t="shared" si="4"/>
        <v>925.79999999999984</v>
      </c>
      <c r="R25" s="75"/>
      <c r="S25" s="75"/>
      <c r="T25" s="75"/>
      <c r="U25" s="75"/>
      <c r="V25" s="75"/>
      <c r="W25" s="75"/>
      <c r="X25" s="75"/>
      <c r="Y25" s="75"/>
      <c r="Z25" s="75"/>
      <c r="AA25" s="75"/>
      <c r="AB25" s="75"/>
      <c r="AC25" s="75"/>
      <c r="AD25" s="75"/>
      <c r="AE25" s="75"/>
      <c r="AF25" s="75"/>
      <c r="AG25" s="75"/>
    </row>
    <row r="26" spans="1:33" ht="15">
      <c r="A26" s="75">
        <v>1980</v>
      </c>
      <c r="B26" s="75">
        <v>8.8000000000000007</v>
      </c>
      <c r="C26" s="75">
        <v>8.4</v>
      </c>
      <c r="D26" s="75">
        <v>22.2</v>
      </c>
      <c r="E26" s="75">
        <v>84.8</v>
      </c>
      <c r="F26" s="75">
        <v>134.19999999999999</v>
      </c>
      <c r="G26" s="75">
        <v>236.9</v>
      </c>
      <c r="H26" s="75">
        <v>113.8</v>
      </c>
      <c r="I26" s="75">
        <v>204</v>
      </c>
      <c r="J26" s="75">
        <v>97.6</v>
      </c>
      <c r="K26" s="75">
        <v>117.5</v>
      </c>
      <c r="L26" s="97">
        <v>33.5</v>
      </c>
      <c r="M26" s="97">
        <v>24.6</v>
      </c>
      <c r="N26" s="75">
        <f t="shared" si="1"/>
        <v>124.2</v>
      </c>
      <c r="O26" s="75">
        <f t="shared" si="2"/>
        <v>786.50000000000011</v>
      </c>
      <c r="P26" s="75">
        <f t="shared" si="3"/>
        <v>175.6</v>
      </c>
      <c r="Q26" s="75">
        <f t="shared" si="4"/>
        <v>1086.2999999999997</v>
      </c>
      <c r="R26" s="75"/>
      <c r="S26" s="75"/>
      <c r="T26" s="75"/>
      <c r="U26" s="75"/>
      <c r="V26" s="75"/>
      <c r="W26" s="75"/>
      <c r="X26" s="75"/>
      <c r="Y26" s="75"/>
      <c r="Z26" s="75"/>
      <c r="AA26" s="75"/>
      <c r="AB26" s="75"/>
      <c r="AC26" s="75"/>
      <c r="AD26" s="75"/>
      <c r="AE26" s="75"/>
      <c r="AF26" s="75"/>
      <c r="AG26" s="75"/>
    </row>
    <row r="27" spans="1:33" ht="15">
      <c r="A27" s="75">
        <v>1981</v>
      </c>
      <c r="B27" s="75">
        <v>19.899999999999999</v>
      </c>
      <c r="C27" s="75">
        <v>5.5</v>
      </c>
      <c r="D27" s="75">
        <v>27</v>
      </c>
      <c r="E27" s="75">
        <v>69.5</v>
      </c>
      <c r="F27" s="75">
        <v>152.1</v>
      </c>
      <c r="G27" s="75">
        <v>144</v>
      </c>
      <c r="H27" s="75">
        <v>213.1</v>
      </c>
      <c r="I27" s="75">
        <v>172.9</v>
      </c>
      <c r="J27" s="75">
        <v>63.7</v>
      </c>
      <c r="K27" s="75">
        <v>69.7</v>
      </c>
      <c r="L27" s="97">
        <v>20.7</v>
      </c>
      <c r="M27" s="97">
        <v>10.7</v>
      </c>
      <c r="N27" s="75">
        <f t="shared" si="1"/>
        <v>121.9</v>
      </c>
      <c r="O27" s="75">
        <f t="shared" si="2"/>
        <v>745.80000000000007</v>
      </c>
      <c r="P27" s="75">
        <f t="shared" si="3"/>
        <v>101.10000000000001</v>
      </c>
      <c r="Q27" s="75">
        <f t="shared" si="4"/>
        <v>968.80000000000018</v>
      </c>
      <c r="R27" s="75"/>
      <c r="S27" s="75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75"/>
      <c r="AG27" s="75"/>
    </row>
    <row r="28" spans="1:33" ht="15">
      <c r="A28" s="75">
        <v>1982</v>
      </c>
      <c r="B28" s="75">
        <v>9.3000000000000007</v>
      </c>
      <c r="C28" s="75">
        <v>16.100000000000001</v>
      </c>
      <c r="D28" s="75">
        <v>7.8</v>
      </c>
      <c r="E28" s="75">
        <v>94.1</v>
      </c>
      <c r="F28" s="75">
        <v>150.9</v>
      </c>
      <c r="G28" s="75">
        <v>189.9</v>
      </c>
      <c r="H28" s="75">
        <v>100.7</v>
      </c>
      <c r="I28" s="75">
        <v>274.8</v>
      </c>
      <c r="J28" s="75">
        <v>126.3</v>
      </c>
      <c r="K28" s="75">
        <v>44.1</v>
      </c>
      <c r="L28" s="97">
        <v>39.799999999999997</v>
      </c>
      <c r="M28" s="97">
        <v>45.7</v>
      </c>
      <c r="N28" s="75">
        <f t="shared" si="1"/>
        <v>127.3</v>
      </c>
      <c r="O28" s="75">
        <f t="shared" si="2"/>
        <v>842.59999999999991</v>
      </c>
      <c r="P28" s="75">
        <f t="shared" si="3"/>
        <v>129.60000000000002</v>
      </c>
      <c r="Q28" s="75">
        <f t="shared" si="4"/>
        <v>1099.5000000000002</v>
      </c>
      <c r="R28" s="75"/>
      <c r="S28" s="75"/>
      <c r="T28" s="75"/>
      <c r="U28" s="75"/>
      <c r="V28" s="75"/>
      <c r="W28" s="75"/>
      <c r="X28" s="75"/>
      <c r="Y28" s="75"/>
      <c r="Z28" s="75"/>
      <c r="AA28" s="75"/>
      <c r="AB28" s="75"/>
      <c r="AC28" s="75"/>
      <c r="AD28" s="75"/>
      <c r="AE28" s="75"/>
      <c r="AF28" s="75"/>
      <c r="AG28" s="75"/>
    </row>
    <row r="29" spans="1:33" ht="15">
      <c r="A29" s="75">
        <v>1983</v>
      </c>
      <c r="B29" s="75">
        <v>43.8</v>
      </c>
      <c r="C29" s="75">
        <v>26</v>
      </c>
      <c r="D29" s="75">
        <v>49.7</v>
      </c>
      <c r="E29" s="75">
        <v>110.8</v>
      </c>
      <c r="F29" s="75">
        <v>67.099999999999994</v>
      </c>
      <c r="G29" s="75">
        <v>221.5</v>
      </c>
      <c r="H29" s="75">
        <v>233.7</v>
      </c>
      <c r="I29" s="75">
        <v>136.30000000000001</v>
      </c>
      <c r="J29" s="75">
        <v>60.4</v>
      </c>
      <c r="K29" s="75">
        <v>37.1</v>
      </c>
      <c r="L29" s="97">
        <v>64.2</v>
      </c>
      <c r="M29" s="97">
        <v>10.8</v>
      </c>
      <c r="N29" s="75">
        <f t="shared" si="1"/>
        <v>230.3</v>
      </c>
      <c r="O29" s="75">
        <f t="shared" si="2"/>
        <v>718.99999999999989</v>
      </c>
      <c r="P29" s="75">
        <f t="shared" si="3"/>
        <v>112.10000000000001</v>
      </c>
      <c r="Q29" s="75">
        <f t="shared" si="4"/>
        <v>1061.3999999999999</v>
      </c>
      <c r="R29" s="75"/>
      <c r="S29" s="75"/>
      <c r="T29" s="75"/>
      <c r="U29" s="75"/>
      <c r="V29" s="75"/>
      <c r="W29" s="75"/>
      <c r="X29" s="75"/>
      <c r="Y29" s="75"/>
      <c r="Z29" s="75"/>
      <c r="AA29" s="75"/>
      <c r="AB29" s="75"/>
      <c r="AC29" s="75"/>
      <c r="AD29" s="75"/>
      <c r="AE29" s="75"/>
      <c r="AF29" s="75"/>
      <c r="AG29" s="75"/>
    </row>
    <row r="30" spans="1:33" ht="15">
      <c r="A30" s="75">
        <v>1984</v>
      </c>
      <c r="B30" s="75">
        <v>11.8</v>
      </c>
      <c r="C30" s="75">
        <v>9</v>
      </c>
      <c r="D30" s="75">
        <v>23.4</v>
      </c>
      <c r="E30" s="75">
        <v>21.1</v>
      </c>
      <c r="F30" s="75">
        <v>170.6</v>
      </c>
      <c r="G30" s="75">
        <v>77.8</v>
      </c>
      <c r="H30" s="75">
        <v>176.3</v>
      </c>
      <c r="I30" s="75">
        <v>260.8</v>
      </c>
      <c r="J30" s="75">
        <v>205.6</v>
      </c>
      <c r="K30" s="75">
        <v>62.9</v>
      </c>
      <c r="L30" s="97">
        <v>22.3</v>
      </c>
      <c r="M30" s="97">
        <v>21.1</v>
      </c>
      <c r="N30" s="75">
        <f t="shared" si="1"/>
        <v>65.300000000000011</v>
      </c>
      <c r="O30" s="75">
        <f t="shared" si="2"/>
        <v>891.1</v>
      </c>
      <c r="P30" s="75">
        <f t="shared" si="3"/>
        <v>106.30000000000001</v>
      </c>
      <c r="Q30" s="75">
        <f t="shared" si="4"/>
        <v>1062.6999999999998</v>
      </c>
      <c r="R30" s="75"/>
      <c r="S30" s="75"/>
      <c r="T30" s="75"/>
      <c r="U30" s="75"/>
      <c r="V30" s="75"/>
      <c r="W30" s="75"/>
      <c r="X30" s="75"/>
      <c r="Y30" s="75"/>
      <c r="Z30" s="75"/>
      <c r="AA30" s="75"/>
      <c r="AB30" s="75"/>
      <c r="AC30" s="75"/>
      <c r="AD30" s="75"/>
      <c r="AE30" s="75"/>
      <c r="AF30" s="75"/>
      <c r="AG30" s="75"/>
    </row>
    <row r="31" spans="1:33">
      <c r="A31" s="75">
        <v>1985</v>
      </c>
      <c r="B31" s="75">
        <v>11.1</v>
      </c>
      <c r="C31" s="75">
        <v>17.8</v>
      </c>
      <c r="D31" s="75">
        <v>32.200000000000003</v>
      </c>
      <c r="E31" s="75">
        <v>76.099999999999994</v>
      </c>
      <c r="F31" s="75">
        <v>221.2</v>
      </c>
      <c r="G31" s="75">
        <v>270.8</v>
      </c>
      <c r="H31" s="75">
        <v>195.7</v>
      </c>
      <c r="I31" s="75">
        <v>101.9</v>
      </c>
      <c r="J31" s="75">
        <v>69.2</v>
      </c>
      <c r="K31" s="75">
        <v>94.2</v>
      </c>
      <c r="L31" s="75">
        <v>53.6</v>
      </c>
      <c r="M31" s="75">
        <v>21.5</v>
      </c>
      <c r="N31" s="75">
        <f t="shared" si="1"/>
        <v>137.19999999999999</v>
      </c>
      <c r="O31" s="75">
        <f t="shared" si="2"/>
        <v>858.80000000000007</v>
      </c>
      <c r="P31" s="75">
        <f t="shared" si="3"/>
        <v>169.3</v>
      </c>
      <c r="Q31" s="75">
        <f t="shared" si="4"/>
        <v>1165.3</v>
      </c>
      <c r="R31" s="75"/>
      <c r="S31" s="75"/>
      <c r="T31" s="75"/>
      <c r="U31" s="75"/>
      <c r="V31" s="75"/>
      <c r="W31" s="75"/>
      <c r="X31" s="75"/>
      <c r="Y31" s="75"/>
      <c r="Z31" s="75"/>
      <c r="AA31" s="75"/>
      <c r="AB31" s="75"/>
      <c r="AC31" s="75"/>
      <c r="AD31" s="75"/>
      <c r="AE31" s="75"/>
      <c r="AF31" s="75"/>
      <c r="AG31" s="75"/>
    </row>
    <row r="32" spans="1:33">
      <c r="A32" s="75">
        <v>1986</v>
      </c>
      <c r="B32" s="75">
        <v>6.7</v>
      </c>
      <c r="C32" s="75">
        <v>8.5</v>
      </c>
      <c r="D32" s="75">
        <v>33.6</v>
      </c>
      <c r="E32" s="75">
        <v>50.2</v>
      </c>
      <c r="F32" s="75">
        <v>89.1</v>
      </c>
      <c r="G32" s="75">
        <v>156</v>
      </c>
      <c r="H32" s="75">
        <v>345.1</v>
      </c>
      <c r="I32" s="75">
        <v>71</v>
      </c>
      <c r="J32" s="75">
        <v>101.4</v>
      </c>
      <c r="K32" s="75">
        <v>36.5</v>
      </c>
      <c r="L32" s="75">
        <v>46.7</v>
      </c>
      <c r="M32" s="75">
        <v>5.9</v>
      </c>
      <c r="N32" s="75">
        <f t="shared" si="1"/>
        <v>99</v>
      </c>
      <c r="O32" s="75">
        <f t="shared" si="2"/>
        <v>762.6</v>
      </c>
      <c r="P32" s="75">
        <f t="shared" si="3"/>
        <v>89.100000000000009</v>
      </c>
      <c r="Q32" s="75">
        <f t="shared" si="4"/>
        <v>950.7</v>
      </c>
      <c r="R32" s="75"/>
      <c r="S32" s="75"/>
      <c r="T32" s="75"/>
      <c r="U32" s="75"/>
      <c r="V32" s="75"/>
      <c r="W32" s="75"/>
      <c r="X32" s="75"/>
      <c r="Y32" s="75"/>
      <c r="Z32" s="75"/>
      <c r="AA32" s="75"/>
      <c r="AB32" s="75"/>
      <c r="AC32" s="75"/>
      <c r="AD32" s="75"/>
      <c r="AE32" s="75"/>
      <c r="AF32" s="75"/>
      <c r="AG32" s="75"/>
    </row>
    <row r="33" spans="1:33">
      <c r="A33" s="75">
        <v>1987</v>
      </c>
      <c r="B33" s="75">
        <v>42.4</v>
      </c>
      <c r="C33" s="75">
        <v>11.1</v>
      </c>
      <c r="D33" s="75">
        <v>20.8</v>
      </c>
      <c r="E33" s="75">
        <v>47.5</v>
      </c>
      <c r="F33" s="75">
        <v>143.9</v>
      </c>
      <c r="G33" s="75">
        <v>122.2</v>
      </c>
      <c r="H33" s="75">
        <v>205.4</v>
      </c>
      <c r="I33" s="75">
        <v>192.4</v>
      </c>
      <c r="J33" s="75">
        <v>81.3</v>
      </c>
      <c r="K33" s="75">
        <v>124.6</v>
      </c>
      <c r="L33" s="75">
        <v>30</v>
      </c>
      <c r="M33" s="75">
        <v>5.8</v>
      </c>
      <c r="N33" s="75">
        <f t="shared" si="1"/>
        <v>121.8</v>
      </c>
      <c r="O33" s="75">
        <f t="shared" si="2"/>
        <v>745.19999999999993</v>
      </c>
      <c r="P33" s="75">
        <f t="shared" si="3"/>
        <v>160.4</v>
      </c>
      <c r="Q33" s="75">
        <f t="shared" si="4"/>
        <v>1027.3999999999999</v>
      </c>
      <c r="R33" s="75"/>
      <c r="S33" s="75"/>
      <c r="T33" s="75"/>
      <c r="U33" s="75"/>
      <c r="V33" s="75"/>
      <c r="W33" s="75"/>
      <c r="X33" s="75"/>
      <c r="Y33" s="75"/>
      <c r="Z33" s="75"/>
      <c r="AA33" s="75"/>
      <c r="AB33" s="75"/>
      <c r="AC33" s="75"/>
      <c r="AD33" s="75"/>
      <c r="AE33" s="75"/>
      <c r="AF33" s="75"/>
      <c r="AG33" s="75"/>
    </row>
    <row r="34" spans="1:33">
      <c r="A34" s="75">
        <v>1988</v>
      </c>
      <c r="B34" s="75">
        <v>15.9</v>
      </c>
      <c r="C34" s="75">
        <v>12.9</v>
      </c>
      <c r="D34" s="75">
        <v>13.4</v>
      </c>
      <c r="E34" s="75">
        <v>111.2</v>
      </c>
      <c r="F34" s="75">
        <v>81.5</v>
      </c>
      <c r="G34" s="75">
        <v>154.30000000000001</v>
      </c>
      <c r="H34" s="75">
        <v>64.3</v>
      </c>
      <c r="I34" s="75">
        <v>162.80000000000001</v>
      </c>
      <c r="J34" s="75">
        <v>177.8</v>
      </c>
      <c r="K34" s="75">
        <v>67.8</v>
      </c>
      <c r="L34" s="75">
        <v>5</v>
      </c>
      <c r="M34" s="75">
        <v>16.100000000000001</v>
      </c>
      <c r="N34" s="75">
        <f t="shared" si="1"/>
        <v>153.4</v>
      </c>
      <c r="O34" s="75">
        <f t="shared" si="2"/>
        <v>640.70000000000005</v>
      </c>
      <c r="P34" s="75">
        <f t="shared" si="3"/>
        <v>88.9</v>
      </c>
      <c r="Q34" s="75">
        <f t="shared" si="4"/>
        <v>883.00000000000011</v>
      </c>
      <c r="R34" s="75"/>
      <c r="S34" s="75"/>
      <c r="T34" s="75"/>
      <c r="U34" s="75"/>
      <c r="V34" s="75"/>
      <c r="W34" s="75"/>
      <c r="X34" s="75"/>
      <c r="Y34" s="75"/>
      <c r="Z34" s="75"/>
      <c r="AA34" s="75"/>
      <c r="AB34" s="75"/>
      <c r="AC34" s="75"/>
      <c r="AD34" s="75"/>
      <c r="AE34" s="75"/>
      <c r="AF34" s="75"/>
      <c r="AG34" s="75"/>
    </row>
    <row r="35" spans="1:33">
      <c r="A35" s="75">
        <v>1989</v>
      </c>
      <c r="B35" s="75">
        <v>11.3</v>
      </c>
      <c r="C35" s="75">
        <v>19.8</v>
      </c>
      <c r="D35" s="75">
        <v>34.299999999999997</v>
      </c>
      <c r="E35" s="75">
        <v>79.3</v>
      </c>
      <c r="F35" s="75">
        <v>108</v>
      </c>
      <c r="G35" s="75">
        <v>230.4</v>
      </c>
      <c r="H35" s="75">
        <v>129.69999999999999</v>
      </c>
      <c r="I35" s="75">
        <v>222.7</v>
      </c>
      <c r="J35" s="75">
        <v>59.7</v>
      </c>
      <c r="K35" s="75">
        <v>90.5</v>
      </c>
      <c r="L35" s="75">
        <v>54.2</v>
      </c>
      <c r="M35" s="75">
        <v>38.299999999999997</v>
      </c>
      <c r="N35" s="75">
        <f t="shared" si="1"/>
        <v>144.69999999999999</v>
      </c>
      <c r="O35" s="75">
        <f t="shared" si="2"/>
        <v>750.5</v>
      </c>
      <c r="P35" s="75">
        <f t="shared" si="3"/>
        <v>183</v>
      </c>
      <c r="Q35" s="75">
        <f t="shared" si="4"/>
        <v>1078.2</v>
      </c>
      <c r="R35" s="75"/>
      <c r="S35" s="75"/>
      <c r="T35" s="75"/>
      <c r="U35" s="75"/>
      <c r="V35" s="75"/>
      <c r="W35" s="75"/>
      <c r="X35" s="75"/>
      <c r="Y35" s="75"/>
      <c r="Z35" s="75"/>
      <c r="AA35" s="75"/>
      <c r="AB35" s="75"/>
      <c r="AC35" s="75"/>
      <c r="AD35" s="75"/>
      <c r="AE35" s="75"/>
      <c r="AF35" s="75"/>
      <c r="AG35" s="75"/>
    </row>
    <row r="36" spans="1:33">
      <c r="A36" s="75">
        <v>1990</v>
      </c>
      <c r="B36" s="75">
        <v>18.899999999999999</v>
      </c>
      <c r="C36" s="75">
        <v>5.4</v>
      </c>
      <c r="D36" s="75">
        <v>47.5</v>
      </c>
      <c r="E36" s="75">
        <v>69.599999999999994</v>
      </c>
      <c r="F36" s="75">
        <v>161.19999999999999</v>
      </c>
      <c r="G36" s="75">
        <v>143.9</v>
      </c>
      <c r="H36" s="75">
        <v>61</v>
      </c>
      <c r="I36" s="75">
        <v>42.2</v>
      </c>
      <c r="J36" s="75">
        <v>82.9</v>
      </c>
      <c r="K36" s="75">
        <v>119</v>
      </c>
      <c r="L36" s="75">
        <v>43.3</v>
      </c>
      <c r="M36" s="75">
        <v>9.9</v>
      </c>
      <c r="N36" s="75">
        <f t="shared" si="1"/>
        <v>141.39999999999998</v>
      </c>
      <c r="O36" s="75">
        <f t="shared" si="2"/>
        <v>491.20000000000005</v>
      </c>
      <c r="P36" s="75">
        <f t="shared" si="3"/>
        <v>172.20000000000002</v>
      </c>
      <c r="Q36" s="75">
        <f t="shared" si="4"/>
        <v>804.8</v>
      </c>
      <c r="R36" s="75"/>
      <c r="S36" s="75"/>
      <c r="T36" s="75"/>
      <c r="U36" s="75"/>
      <c r="V36" s="75"/>
      <c r="W36" s="75"/>
      <c r="X36" s="75"/>
      <c r="Y36" s="75"/>
      <c r="Z36" s="75"/>
      <c r="AA36" s="75"/>
      <c r="AB36" s="75"/>
      <c r="AC36" s="75"/>
      <c r="AD36" s="75"/>
      <c r="AE36" s="75"/>
      <c r="AF36" s="75"/>
      <c r="AG36" s="75"/>
    </row>
    <row r="37" spans="1:33">
      <c r="A37" s="75">
        <v>1991</v>
      </c>
      <c r="B37" s="75">
        <v>21.1</v>
      </c>
      <c r="C37" s="75">
        <v>15.3</v>
      </c>
      <c r="D37" s="75">
        <v>38.6</v>
      </c>
      <c r="E37" s="75">
        <v>55.5</v>
      </c>
      <c r="F37" s="75">
        <v>91.2</v>
      </c>
      <c r="G37" s="75">
        <v>73.5</v>
      </c>
      <c r="H37" s="75">
        <v>260.7</v>
      </c>
      <c r="I37" s="75">
        <v>129</v>
      </c>
      <c r="J37" s="75">
        <v>79.599999999999994</v>
      </c>
      <c r="K37" s="75">
        <v>104.1</v>
      </c>
      <c r="L37" s="75">
        <v>37.200000000000003</v>
      </c>
      <c r="M37" s="75">
        <v>22.6</v>
      </c>
      <c r="N37" s="75">
        <f t="shared" si="1"/>
        <v>130.5</v>
      </c>
      <c r="O37" s="75">
        <f t="shared" si="2"/>
        <v>634</v>
      </c>
      <c r="P37" s="75">
        <f t="shared" si="3"/>
        <v>163.9</v>
      </c>
      <c r="Q37" s="75">
        <f t="shared" si="4"/>
        <v>928.40000000000009</v>
      </c>
      <c r="R37" s="75"/>
      <c r="S37" s="75"/>
      <c r="T37" s="75"/>
      <c r="U37" s="75"/>
      <c r="V37" s="75"/>
      <c r="W37" s="75"/>
      <c r="X37" s="75"/>
      <c r="Y37" s="75"/>
      <c r="Z37" s="75"/>
      <c r="AA37" s="75"/>
      <c r="AB37" s="75"/>
      <c r="AC37" s="75"/>
      <c r="AD37" s="75"/>
      <c r="AE37" s="75"/>
      <c r="AF37" s="75"/>
      <c r="AG37" s="75"/>
    </row>
    <row r="38" spans="1:33">
      <c r="A38" s="75">
        <v>1992</v>
      </c>
      <c r="B38" s="75">
        <v>14</v>
      </c>
      <c r="C38" s="75">
        <v>33.299999999999997</v>
      </c>
      <c r="D38" s="75">
        <v>56.5</v>
      </c>
      <c r="E38" s="75">
        <v>131.19999999999999</v>
      </c>
      <c r="F38" s="75">
        <v>192.9</v>
      </c>
      <c r="G38" s="75">
        <v>226</v>
      </c>
      <c r="H38" s="75">
        <v>96.9</v>
      </c>
      <c r="I38" s="75">
        <v>30.2</v>
      </c>
      <c r="J38" s="75">
        <v>33.1</v>
      </c>
      <c r="K38" s="75">
        <v>152</v>
      </c>
      <c r="L38" s="75">
        <v>11</v>
      </c>
      <c r="M38" s="75">
        <v>16.8</v>
      </c>
      <c r="N38" s="75">
        <f t="shared" si="1"/>
        <v>235</v>
      </c>
      <c r="O38" s="75">
        <f t="shared" si="2"/>
        <v>579.1</v>
      </c>
      <c r="P38" s="75">
        <f t="shared" si="3"/>
        <v>179.8</v>
      </c>
      <c r="Q38" s="75">
        <f t="shared" si="4"/>
        <v>993.9</v>
      </c>
      <c r="R38" s="75"/>
      <c r="S38" s="75"/>
      <c r="T38" s="75"/>
      <c r="U38" s="75"/>
      <c r="V38" s="75"/>
      <c r="W38" s="75"/>
      <c r="X38" s="75"/>
      <c r="Y38" s="75"/>
      <c r="Z38" s="75"/>
      <c r="AA38" s="75"/>
      <c r="AB38" s="75"/>
      <c r="AC38" s="75"/>
      <c r="AD38" s="75"/>
      <c r="AE38" s="75"/>
      <c r="AF38" s="75"/>
      <c r="AG38" s="75"/>
    </row>
    <row r="39" spans="1:33">
      <c r="A39" s="75">
        <v>1993</v>
      </c>
      <c r="B39" s="75">
        <v>31</v>
      </c>
      <c r="C39" s="75">
        <v>35.4</v>
      </c>
      <c r="D39" s="75">
        <v>20</v>
      </c>
      <c r="E39" s="75">
        <v>56.8</v>
      </c>
      <c r="F39" s="75">
        <v>116.7</v>
      </c>
      <c r="G39" s="75">
        <v>94.5</v>
      </c>
      <c r="H39" s="75">
        <v>182</v>
      </c>
      <c r="I39" s="75">
        <v>248.6</v>
      </c>
      <c r="J39" s="75">
        <v>100.8</v>
      </c>
      <c r="K39" s="75">
        <v>92.7</v>
      </c>
      <c r="L39" s="75">
        <v>18.600000000000001</v>
      </c>
      <c r="M39" s="75">
        <v>13</v>
      </c>
      <c r="N39" s="75">
        <f t="shared" si="1"/>
        <v>143.19999999999999</v>
      </c>
      <c r="O39" s="75">
        <f t="shared" si="2"/>
        <v>742.59999999999991</v>
      </c>
      <c r="P39" s="75">
        <f t="shared" si="3"/>
        <v>124.30000000000001</v>
      </c>
      <c r="Q39" s="75">
        <f t="shared" si="4"/>
        <v>1010.1</v>
      </c>
      <c r="R39" s="75"/>
      <c r="S39" s="75"/>
      <c r="T39" s="75"/>
      <c r="U39" s="75"/>
      <c r="V39" s="75"/>
      <c r="W39" s="75"/>
      <c r="X39" s="75"/>
      <c r="Y39" s="75"/>
      <c r="Z39" s="75"/>
      <c r="AA39" s="75"/>
      <c r="AB39" s="75"/>
      <c r="AC39" s="75"/>
      <c r="AD39" s="75"/>
      <c r="AE39" s="75"/>
      <c r="AF39" s="75"/>
      <c r="AG39" s="75"/>
    </row>
    <row r="40" spans="1:33">
      <c r="A40" s="75">
        <v>1994</v>
      </c>
      <c r="B40" s="75">
        <v>19.2</v>
      </c>
      <c r="C40" s="75">
        <v>10.7</v>
      </c>
      <c r="D40" s="75">
        <v>81.3</v>
      </c>
      <c r="E40" s="75">
        <v>29.2</v>
      </c>
      <c r="F40" s="75">
        <v>183.6</v>
      </c>
      <c r="G40" s="75">
        <v>140.1</v>
      </c>
      <c r="H40" s="75">
        <v>52</v>
      </c>
      <c r="I40" s="75">
        <v>85.2</v>
      </c>
      <c r="J40" s="75">
        <v>92.9</v>
      </c>
      <c r="K40" s="75">
        <v>137.5</v>
      </c>
      <c r="L40" s="75">
        <v>58.4</v>
      </c>
      <c r="M40" s="75">
        <v>37.9</v>
      </c>
      <c r="N40" s="75">
        <f t="shared" si="1"/>
        <v>140.39999999999998</v>
      </c>
      <c r="O40" s="75">
        <f t="shared" si="2"/>
        <v>553.79999999999995</v>
      </c>
      <c r="P40" s="75">
        <f t="shared" si="3"/>
        <v>233.8</v>
      </c>
      <c r="Q40" s="75">
        <f t="shared" si="4"/>
        <v>928</v>
      </c>
      <c r="R40" s="75"/>
      <c r="S40" s="75"/>
      <c r="T40" s="75"/>
      <c r="U40" s="75"/>
      <c r="V40" s="75"/>
      <c r="W40" s="75"/>
      <c r="X40" s="75"/>
      <c r="Y40" s="75"/>
      <c r="Z40" s="75"/>
      <c r="AA40" s="75"/>
      <c r="AB40" s="75"/>
      <c r="AC40" s="75"/>
      <c r="AD40" s="75"/>
      <c r="AE40" s="75"/>
      <c r="AF40" s="75"/>
      <c r="AG40" s="75"/>
    </row>
    <row r="41" spans="1:33">
      <c r="A41" s="75">
        <v>1995</v>
      </c>
      <c r="B41" s="75">
        <v>32.4</v>
      </c>
      <c r="C41" s="75">
        <v>19.3</v>
      </c>
      <c r="D41" s="75">
        <v>43.9</v>
      </c>
      <c r="E41" s="75">
        <v>39.1</v>
      </c>
      <c r="F41" s="75">
        <v>180.8</v>
      </c>
      <c r="G41" s="75">
        <v>290.5</v>
      </c>
      <c r="H41" s="75">
        <v>48.4</v>
      </c>
      <c r="I41" s="75">
        <v>229.1</v>
      </c>
      <c r="J41" s="75">
        <v>64.900000000000006</v>
      </c>
      <c r="K41" s="75">
        <v>75.900000000000006</v>
      </c>
      <c r="L41" s="75">
        <v>51.5</v>
      </c>
      <c r="M41" s="75">
        <v>10.1</v>
      </c>
      <c r="N41" s="75">
        <f t="shared" si="1"/>
        <v>134.69999999999999</v>
      </c>
      <c r="O41" s="75">
        <f t="shared" si="2"/>
        <v>813.7</v>
      </c>
      <c r="P41" s="75">
        <f t="shared" si="3"/>
        <v>137.5</v>
      </c>
      <c r="Q41" s="75">
        <f t="shared" si="4"/>
        <v>1085.8999999999999</v>
      </c>
      <c r="R41" s="75"/>
      <c r="S41" s="75"/>
      <c r="T41" s="75"/>
      <c r="U41" s="75"/>
      <c r="V41" s="75"/>
      <c r="W41" s="75"/>
      <c r="X41" s="75"/>
      <c r="Y41" s="75"/>
      <c r="Z41" s="75"/>
      <c r="AA41" s="75"/>
      <c r="AB41" s="75"/>
      <c r="AC41" s="75"/>
      <c r="AD41" s="75"/>
      <c r="AE41" s="75"/>
      <c r="AF41" s="75"/>
      <c r="AG41" s="75"/>
    </row>
    <row r="42" spans="1:33">
      <c r="A42" s="75">
        <v>1996</v>
      </c>
      <c r="B42" s="75">
        <v>12.8</v>
      </c>
      <c r="C42" s="75">
        <v>3.8</v>
      </c>
      <c r="D42" s="75">
        <v>48</v>
      </c>
      <c r="E42" s="75">
        <v>57.6</v>
      </c>
      <c r="F42" s="75">
        <v>180.5</v>
      </c>
      <c r="G42" s="75">
        <v>201.8</v>
      </c>
      <c r="H42" s="75">
        <v>266.3</v>
      </c>
      <c r="I42" s="75">
        <v>15.6</v>
      </c>
      <c r="J42" s="75">
        <v>153.19999999999999</v>
      </c>
      <c r="K42" s="75">
        <v>61.7</v>
      </c>
      <c r="L42" s="75">
        <v>124.2</v>
      </c>
      <c r="M42" s="75">
        <v>10.4</v>
      </c>
      <c r="N42" s="75">
        <f t="shared" si="1"/>
        <v>122.19999999999999</v>
      </c>
      <c r="O42" s="75">
        <f t="shared" si="2"/>
        <v>817.40000000000009</v>
      </c>
      <c r="P42" s="75">
        <f t="shared" si="3"/>
        <v>196.3</v>
      </c>
      <c r="Q42" s="75">
        <f t="shared" si="4"/>
        <v>1135.9000000000001</v>
      </c>
      <c r="R42" s="75"/>
      <c r="S42" s="75"/>
      <c r="T42" s="75"/>
      <c r="U42" s="75"/>
      <c r="V42" s="75"/>
      <c r="W42" s="75"/>
      <c r="X42" s="75"/>
      <c r="Y42" s="75"/>
      <c r="Z42" s="75"/>
      <c r="AA42" s="75"/>
      <c r="AB42" s="75"/>
      <c r="AC42" s="75"/>
      <c r="AD42" s="75"/>
      <c r="AE42" s="75"/>
      <c r="AF42" s="75"/>
      <c r="AG42" s="75"/>
    </row>
    <row r="43" spans="1:33">
      <c r="A43" s="75">
        <v>1997</v>
      </c>
      <c r="B43" s="75">
        <v>23.2</v>
      </c>
      <c r="C43" s="75">
        <v>26</v>
      </c>
      <c r="D43" s="75">
        <v>10.199999999999999</v>
      </c>
      <c r="E43" s="75">
        <v>118</v>
      </c>
      <c r="F43" s="75">
        <v>123.3</v>
      </c>
      <c r="G43" s="75">
        <v>187.4</v>
      </c>
      <c r="H43" s="75">
        <v>131.80000000000001</v>
      </c>
      <c r="I43" s="75">
        <v>83.8</v>
      </c>
      <c r="J43" s="75">
        <v>99.7</v>
      </c>
      <c r="K43" s="75">
        <v>124.4</v>
      </c>
      <c r="L43" s="75">
        <v>6.5</v>
      </c>
      <c r="M43" s="75">
        <v>18.899999999999999</v>
      </c>
      <c r="N43" s="75">
        <f t="shared" si="1"/>
        <v>177.4</v>
      </c>
      <c r="O43" s="75">
        <f t="shared" si="2"/>
        <v>626</v>
      </c>
      <c r="P43" s="75">
        <f t="shared" si="3"/>
        <v>149.80000000000001</v>
      </c>
      <c r="Q43" s="75">
        <f t="shared" si="4"/>
        <v>953.2</v>
      </c>
      <c r="R43" s="75"/>
      <c r="S43" s="75"/>
      <c r="T43" s="75"/>
      <c r="U43" s="75"/>
      <c r="V43" s="75"/>
      <c r="W43" s="75"/>
      <c r="X43" s="75"/>
      <c r="Y43" s="75"/>
      <c r="Z43" s="75"/>
      <c r="AA43" s="75"/>
      <c r="AB43" s="75"/>
      <c r="AC43" s="75"/>
      <c r="AD43" s="75"/>
      <c r="AE43" s="75"/>
      <c r="AF43" s="75"/>
      <c r="AG43" s="75"/>
    </row>
    <row r="44" spans="1:33">
      <c r="A44" s="75">
        <v>1998</v>
      </c>
      <c r="B44" s="75">
        <v>10.6</v>
      </c>
      <c r="C44" s="75">
        <v>16</v>
      </c>
      <c r="D44" s="75">
        <v>22.2</v>
      </c>
      <c r="E44" s="75">
        <v>80.8</v>
      </c>
      <c r="F44" s="75">
        <v>77.599999999999994</v>
      </c>
      <c r="G44" s="75">
        <v>124.6</v>
      </c>
      <c r="H44" s="75">
        <v>96</v>
      </c>
      <c r="I44" s="75">
        <v>198</v>
      </c>
      <c r="J44" s="75">
        <v>67.2</v>
      </c>
      <c r="K44" s="75">
        <v>89.5</v>
      </c>
      <c r="L44" s="75">
        <v>19.600000000000001</v>
      </c>
      <c r="M44" s="75">
        <v>15.7</v>
      </c>
      <c r="N44" s="75">
        <f t="shared" si="1"/>
        <v>129.6</v>
      </c>
      <c r="O44" s="75">
        <f t="shared" si="2"/>
        <v>563.4</v>
      </c>
      <c r="P44" s="75">
        <f t="shared" si="3"/>
        <v>124.8</v>
      </c>
      <c r="Q44" s="75">
        <f t="shared" si="4"/>
        <v>817.80000000000007</v>
      </c>
      <c r="R44" s="75"/>
      <c r="S44" s="75"/>
      <c r="T44" s="75"/>
      <c r="U44" s="75"/>
      <c r="V44" s="75"/>
      <c r="W44" s="75"/>
      <c r="X44" s="75"/>
      <c r="Y44" s="75"/>
      <c r="Z44" s="75"/>
      <c r="AA44" s="75"/>
      <c r="AB44" s="75"/>
      <c r="AC44" s="75"/>
      <c r="AD44" s="75"/>
      <c r="AE44" s="75"/>
      <c r="AF44" s="75"/>
      <c r="AG44" s="75"/>
    </row>
    <row r="45" spans="1:33">
      <c r="A45" s="75">
        <v>1999</v>
      </c>
      <c r="B45" s="75">
        <v>33.9</v>
      </c>
      <c r="C45" s="75">
        <v>10.6</v>
      </c>
      <c r="D45" s="75">
        <v>17.399999999999999</v>
      </c>
      <c r="E45" s="75">
        <v>142.6</v>
      </c>
      <c r="F45" s="75">
        <v>189.4</v>
      </c>
      <c r="G45" s="75">
        <v>258.2</v>
      </c>
      <c r="H45" s="75">
        <v>213.7</v>
      </c>
      <c r="I45" s="75">
        <v>126.3</v>
      </c>
      <c r="J45" s="75">
        <v>36</v>
      </c>
      <c r="K45" s="75">
        <v>74.900000000000006</v>
      </c>
      <c r="L45" s="75">
        <v>59.7</v>
      </c>
      <c r="M45" s="75">
        <v>17.2</v>
      </c>
      <c r="N45" s="75">
        <f t="shared" si="1"/>
        <v>204.5</v>
      </c>
      <c r="O45" s="75">
        <f t="shared" si="2"/>
        <v>823.59999999999991</v>
      </c>
      <c r="P45" s="75">
        <f t="shared" si="3"/>
        <v>151.80000000000001</v>
      </c>
      <c r="Q45" s="75">
        <f t="shared" si="4"/>
        <v>1179.9000000000001</v>
      </c>
      <c r="R45" s="75"/>
      <c r="S45" s="75"/>
      <c r="T45" s="75"/>
      <c r="U45" s="75"/>
      <c r="V45" s="75"/>
      <c r="W45" s="75"/>
      <c r="X45" s="75"/>
      <c r="Y45" s="75"/>
      <c r="Z45" s="75"/>
      <c r="AA45" s="75"/>
      <c r="AB45" s="75"/>
      <c r="AC45" s="75"/>
      <c r="AD45" s="75"/>
      <c r="AE45" s="75"/>
      <c r="AF45" s="75"/>
      <c r="AG45" s="75"/>
    </row>
    <row r="46" spans="1:33">
      <c r="A46" s="75">
        <v>2000</v>
      </c>
      <c r="B46" s="75">
        <v>17</v>
      </c>
      <c r="C46" s="75">
        <v>13.8</v>
      </c>
      <c r="D46" s="75">
        <v>42.9</v>
      </c>
      <c r="E46" s="75">
        <v>121.8</v>
      </c>
      <c r="F46" s="75">
        <v>111.5</v>
      </c>
      <c r="G46" s="75">
        <v>398.1</v>
      </c>
      <c r="H46" s="75">
        <v>164.3</v>
      </c>
      <c r="I46" s="75">
        <v>150.19999999999999</v>
      </c>
      <c r="J46" s="75">
        <v>188.8</v>
      </c>
      <c r="K46" s="75">
        <v>91</v>
      </c>
      <c r="L46" s="75">
        <v>24.2</v>
      </c>
      <c r="M46" s="75">
        <v>21</v>
      </c>
      <c r="N46" s="75">
        <f t="shared" si="1"/>
        <v>195.5</v>
      </c>
      <c r="O46" s="75">
        <f t="shared" si="2"/>
        <v>1012.9000000000001</v>
      </c>
      <c r="P46" s="75">
        <f t="shared" si="3"/>
        <v>136.19999999999999</v>
      </c>
      <c r="Q46" s="75">
        <f t="shared" si="4"/>
        <v>1344.6000000000001</v>
      </c>
      <c r="R46" s="75"/>
      <c r="S46" s="75"/>
      <c r="T46" s="75"/>
      <c r="U46" s="75"/>
      <c r="V46" s="75"/>
      <c r="W46" s="75"/>
      <c r="X46" s="75"/>
      <c r="Y46" s="75"/>
      <c r="Z46" s="75"/>
      <c r="AA46" s="75"/>
      <c r="AB46" s="75"/>
      <c r="AC46" s="75"/>
      <c r="AD46" s="75"/>
      <c r="AE46" s="75"/>
      <c r="AF46" s="75"/>
      <c r="AG46" s="75"/>
    </row>
    <row r="47" spans="1:33">
      <c r="A47" s="75">
        <v>2001</v>
      </c>
      <c r="B47" s="75">
        <v>22.2</v>
      </c>
      <c r="C47" s="75">
        <v>15.4</v>
      </c>
      <c r="D47" s="75">
        <v>49.6</v>
      </c>
      <c r="E47" s="75">
        <v>120.6</v>
      </c>
      <c r="F47" s="75">
        <v>121.8</v>
      </c>
      <c r="G47" s="75">
        <v>207.6</v>
      </c>
      <c r="H47" s="75">
        <v>98.5</v>
      </c>
      <c r="I47" s="75">
        <v>98.7</v>
      </c>
      <c r="J47" s="75">
        <v>51.9</v>
      </c>
      <c r="K47" s="75">
        <v>107.5</v>
      </c>
      <c r="L47" s="75">
        <v>21.6</v>
      </c>
      <c r="M47" s="75">
        <v>24.7</v>
      </c>
      <c r="N47" s="75">
        <f t="shared" si="1"/>
        <v>207.8</v>
      </c>
      <c r="O47" s="75">
        <f t="shared" si="2"/>
        <v>578.5</v>
      </c>
      <c r="P47" s="75">
        <f t="shared" si="3"/>
        <v>153.79999999999998</v>
      </c>
      <c r="Q47" s="75">
        <f t="shared" si="4"/>
        <v>940.10000000000014</v>
      </c>
      <c r="R47" s="75"/>
      <c r="S47" s="75"/>
      <c r="T47" s="75"/>
      <c r="U47" s="75"/>
      <c r="V47" s="75"/>
      <c r="W47" s="75"/>
      <c r="X47" s="75"/>
      <c r="Y47" s="75"/>
      <c r="Z47" s="75"/>
      <c r="AA47" s="75"/>
      <c r="AB47" s="75"/>
      <c r="AC47" s="75"/>
      <c r="AD47" s="75"/>
      <c r="AE47" s="75"/>
      <c r="AF47" s="75"/>
      <c r="AG47" s="75"/>
    </row>
    <row r="48" spans="1:33">
      <c r="A48" s="75">
        <v>2002</v>
      </c>
      <c r="B48" s="75">
        <v>15.8</v>
      </c>
      <c r="C48" s="75">
        <v>20</v>
      </c>
      <c r="D48" s="75">
        <v>53.2</v>
      </c>
      <c r="E48" s="75">
        <v>52.5</v>
      </c>
      <c r="F48" s="75">
        <v>135.80000000000001</v>
      </c>
      <c r="G48" s="75">
        <v>322.10000000000002</v>
      </c>
      <c r="H48" s="75">
        <v>90.9</v>
      </c>
      <c r="I48" s="75">
        <v>190</v>
      </c>
      <c r="J48" s="75">
        <v>54.9</v>
      </c>
      <c r="K48" s="75">
        <v>83.6</v>
      </c>
      <c r="L48" s="75">
        <v>41.5</v>
      </c>
      <c r="M48" s="75">
        <v>27.2</v>
      </c>
      <c r="N48" s="75">
        <f t="shared" si="1"/>
        <v>141.5</v>
      </c>
      <c r="O48" s="75">
        <f t="shared" si="2"/>
        <v>793.7</v>
      </c>
      <c r="P48" s="75">
        <f t="shared" si="3"/>
        <v>152.29999999999998</v>
      </c>
      <c r="Q48" s="75">
        <f t="shared" si="4"/>
        <v>1087.5000000000002</v>
      </c>
      <c r="R48" s="75"/>
      <c r="S48" s="75"/>
      <c r="T48" s="75"/>
      <c r="U48" s="75"/>
      <c r="V48" s="75"/>
      <c r="W48" s="75"/>
      <c r="X48" s="75"/>
      <c r="Y48" s="75"/>
      <c r="Z48" s="75"/>
      <c r="AA48" s="75"/>
      <c r="AB48" s="75"/>
      <c r="AC48" s="75"/>
      <c r="AD48" s="75"/>
      <c r="AE48" s="75"/>
      <c r="AF48" s="75"/>
      <c r="AG48" s="75"/>
    </row>
    <row r="49" spans="1:33">
      <c r="A49" s="75">
        <v>2003</v>
      </c>
      <c r="B49" s="75">
        <v>30.4</v>
      </c>
      <c r="C49" s="75">
        <v>4</v>
      </c>
      <c r="D49" s="75">
        <v>31.2</v>
      </c>
      <c r="E49" s="75">
        <v>57.2</v>
      </c>
      <c r="F49" s="75">
        <v>123.1</v>
      </c>
      <c r="G49" s="75">
        <v>256.8</v>
      </c>
      <c r="H49" s="75">
        <v>190.9</v>
      </c>
      <c r="I49" s="75">
        <v>106.6</v>
      </c>
      <c r="J49" s="75">
        <v>72.2</v>
      </c>
      <c r="K49" s="75">
        <v>38.6</v>
      </c>
      <c r="L49" s="75">
        <v>33.6</v>
      </c>
      <c r="M49" s="75">
        <v>32.6</v>
      </c>
      <c r="N49" s="75">
        <f t="shared" si="1"/>
        <v>122.8</v>
      </c>
      <c r="O49" s="75">
        <f t="shared" si="2"/>
        <v>749.6</v>
      </c>
      <c r="P49" s="75">
        <f t="shared" si="3"/>
        <v>104.80000000000001</v>
      </c>
      <c r="Q49" s="75">
        <f t="shared" si="4"/>
        <v>977.20000000000016</v>
      </c>
      <c r="R49" s="75"/>
      <c r="S49" s="75"/>
      <c r="T49" s="75"/>
      <c r="U49" s="75"/>
      <c r="V49" s="75"/>
      <c r="W49" s="75"/>
      <c r="X49" s="75"/>
      <c r="Y49" s="75"/>
      <c r="Z49" s="75"/>
      <c r="AA49" s="75"/>
      <c r="AB49" s="75"/>
      <c r="AC49" s="75"/>
      <c r="AD49" s="75"/>
      <c r="AE49" s="75"/>
      <c r="AF49" s="75"/>
      <c r="AG49" s="75"/>
    </row>
    <row r="50" spans="1:33" ht="15">
      <c r="A50" s="97">
        <v>2004</v>
      </c>
      <c r="B50" s="76">
        <v>13.4</v>
      </c>
      <c r="C50" s="76">
        <v>36.5</v>
      </c>
      <c r="D50" s="76">
        <v>30.4</v>
      </c>
      <c r="E50" s="76">
        <v>95.5</v>
      </c>
      <c r="F50" s="76">
        <v>110.4</v>
      </c>
      <c r="G50" s="76">
        <v>154.6</v>
      </c>
      <c r="H50" s="76">
        <v>203</v>
      </c>
      <c r="I50" s="76">
        <v>140.30000000000001</v>
      </c>
      <c r="J50" s="76">
        <v>196.5</v>
      </c>
      <c r="K50" s="76">
        <v>36.5</v>
      </c>
      <c r="L50" s="76">
        <v>80.5</v>
      </c>
      <c r="M50" s="76">
        <v>12.5</v>
      </c>
      <c r="N50" s="75">
        <f t="shared" si="1"/>
        <v>175.8</v>
      </c>
      <c r="O50" s="75">
        <f t="shared" si="2"/>
        <v>804.8</v>
      </c>
      <c r="P50" s="75">
        <f t="shared" si="3"/>
        <v>129.5</v>
      </c>
      <c r="Q50" s="75">
        <f t="shared" si="4"/>
        <v>1110.1000000000001</v>
      </c>
      <c r="R50" s="75"/>
      <c r="S50" s="75"/>
      <c r="T50" s="75"/>
      <c r="U50" s="75"/>
      <c r="V50" s="75"/>
      <c r="W50" s="75"/>
      <c r="X50" s="75"/>
      <c r="Y50" s="75"/>
      <c r="Z50" s="75"/>
      <c r="AA50" s="75"/>
      <c r="AB50" s="75"/>
      <c r="AC50" s="75"/>
      <c r="AD50" s="75"/>
      <c r="AE50" s="75"/>
      <c r="AF50" s="75"/>
      <c r="AG50" s="75"/>
    </row>
    <row r="51" spans="1:33" ht="15">
      <c r="A51" s="97">
        <v>2005</v>
      </c>
      <c r="B51" s="63">
        <v>13.4</v>
      </c>
      <c r="C51" s="63">
        <v>14.2</v>
      </c>
      <c r="D51" s="63">
        <v>41.6</v>
      </c>
      <c r="E51" s="63">
        <v>71.3</v>
      </c>
      <c r="F51" s="63">
        <v>273</v>
      </c>
      <c r="G51" s="63">
        <v>109.5</v>
      </c>
      <c r="H51" s="63">
        <v>147.6</v>
      </c>
      <c r="I51" s="63">
        <v>80.5</v>
      </c>
      <c r="J51" s="63">
        <v>100.3</v>
      </c>
      <c r="K51" s="63">
        <v>122.5</v>
      </c>
      <c r="L51" s="63">
        <v>25.6</v>
      </c>
      <c r="M51" s="63">
        <v>14.4</v>
      </c>
      <c r="N51" s="75">
        <f t="shared" si="1"/>
        <v>140.5</v>
      </c>
      <c r="O51" s="75">
        <f t="shared" si="2"/>
        <v>710.9</v>
      </c>
      <c r="P51" s="75">
        <f t="shared" si="3"/>
        <v>162.5</v>
      </c>
      <c r="Q51" s="75">
        <f t="shared" si="4"/>
        <v>1013.9</v>
      </c>
      <c r="R51" s="75"/>
      <c r="S51" s="75"/>
      <c r="T51" s="75"/>
      <c r="U51" s="75"/>
      <c r="V51" s="75"/>
      <c r="W51" s="75"/>
      <c r="X51" s="75"/>
      <c r="Y51" s="75"/>
      <c r="Z51" s="75"/>
      <c r="AA51" s="75"/>
      <c r="AB51" s="75"/>
      <c r="AC51" s="75"/>
      <c r="AD51" s="75"/>
      <c r="AE51" s="75"/>
      <c r="AF51" s="75"/>
      <c r="AG51" s="75"/>
    </row>
    <row r="52" spans="1:33">
      <c r="A52" s="75">
        <v>2006</v>
      </c>
      <c r="B52" s="63">
        <v>11.2</v>
      </c>
      <c r="C52" s="63">
        <v>43.9</v>
      </c>
      <c r="D52" s="63">
        <v>27.9</v>
      </c>
      <c r="E52" s="63">
        <v>36.799999999999997</v>
      </c>
      <c r="F52" s="63">
        <v>135.80000000000001</v>
      </c>
      <c r="G52" s="63">
        <v>141</v>
      </c>
      <c r="H52" s="63">
        <v>78.2</v>
      </c>
      <c r="I52" s="63">
        <v>69.3</v>
      </c>
      <c r="J52" s="75">
        <v>74.7</v>
      </c>
      <c r="K52" s="63">
        <v>102.2</v>
      </c>
      <c r="L52" s="63">
        <v>65.3</v>
      </c>
      <c r="M52" s="63">
        <v>21.8</v>
      </c>
      <c r="N52" s="75">
        <f t="shared" si="1"/>
        <v>119.8</v>
      </c>
      <c r="O52" s="75">
        <f t="shared" si="2"/>
        <v>499</v>
      </c>
      <c r="P52" s="75">
        <f t="shared" si="3"/>
        <v>189.3</v>
      </c>
      <c r="Q52" s="75">
        <f t="shared" si="4"/>
        <v>808.1</v>
      </c>
      <c r="R52" s="75"/>
      <c r="S52" s="75"/>
      <c r="T52" s="75"/>
      <c r="U52" s="75"/>
      <c r="V52" s="75"/>
      <c r="W52" s="75"/>
      <c r="X52" s="75"/>
      <c r="Y52" s="75"/>
      <c r="Z52" s="75"/>
      <c r="AA52" s="75"/>
      <c r="AB52" s="75"/>
      <c r="AC52" s="75"/>
      <c r="AD52" s="75"/>
      <c r="AE52" s="75"/>
      <c r="AF52" s="75"/>
      <c r="AG52" s="75"/>
    </row>
    <row r="53" spans="1:33">
      <c r="A53" s="75">
        <v>2007</v>
      </c>
      <c r="B53" s="63">
        <v>27.5</v>
      </c>
      <c r="C53" s="63">
        <v>5.9</v>
      </c>
      <c r="D53" s="63">
        <v>31.9</v>
      </c>
      <c r="E53" s="63">
        <v>134.69999999999999</v>
      </c>
      <c r="F53" s="63">
        <v>68</v>
      </c>
      <c r="G53" s="63">
        <v>155.69999999999999</v>
      </c>
      <c r="H53" s="63">
        <v>255.7</v>
      </c>
      <c r="I53" s="63">
        <v>145.80000000000001</v>
      </c>
      <c r="J53" s="63">
        <v>79.5</v>
      </c>
      <c r="K53" s="75">
        <v>109</v>
      </c>
      <c r="L53" s="75">
        <v>15.4</v>
      </c>
      <c r="M53" s="75">
        <v>13.4</v>
      </c>
      <c r="N53" s="75">
        <f t="shared" si="1"/>
        <v>200</v>
      </c>
      <c r="O53" s="75">
        <f t="shared" si="2"/>
        <v>704.7</v>
      </c>
      <c r="P53" s="75">
        <f t="shared" si="3"/>
        <v>137.80000000000001</v>
      </c>
      <c r="Q53" s="75">
        <f t="shared" si="4"/>
        <v>1042.5000000000002</v>
      </c>
      <c r="R53" s="75"/>
      <c r="S53" s="75"/>
      <c r="T53" s="75"/>
      <c r="U53" s="75"/>
      <c r="V53" s="75"/>
      <c r="W53" s="75"/>
      <c r="X53" s="75"/>
      <c r="Y53" s="75"/>
      <c r="Z53" s="75"/>
      <c r="AA53" s="75"/>
      <c r="AB53" s="75"/>
      <c r="AC53" s="75"/>
      <c r="AD53" s="75"/>
      <c r="AE53" s="75"/>
      <c r="AF53" s="75"/>
      <c r="AG53" s="75"/>
    </row>
    <row r="54" spans="1:33">
      <c r="A54" s="75">
        <v>2008</v>
      </c>
      <c r="B54" s="75">
        <v>7</v>
      </c>
      <c r="C54" s="75">
        <v>26.4</v>
      </c>
      <c r="D54" s="75">
        <v>81.2</v>
      </c>
      <c r="E54" s="75">
        <v>87.3</v>
      </c>
      <c r="F54" s="75">
        <v>105.7</v>
      </c>
      <c r="G54" s="75">
        <v>79.400000000000006</v>
      </c>
      <c r="H54" s="75">
        <v>179.1</v>
      </c>
      <c r="I54" s="75">
        <v>98.1</v>
      </c>
      <c r="J54" s="75">
        <v>73.599999999999994</v>
      </c>
      <c r="K54" s="75">
        <v>156.1</v>
      </c>
      <c r="L54" s="75">
        <v>64.400000000000006</v>
      </c>
      <c r="M54" s="75">
        <v>22.5</v>
      </c>
      <c r="N54" s="75">
        <f t="shared" si="1"/>
        <v>201.89999999999998</v>
      </c>
      <c r="O54" s="75">
        <f t="shared" si="2"/>
        <v>535.90000000000009</v>
      </c>
      <c r="P54" s="75">
        <f t="shared" si="3"/>
        <v>243</v>
      </c>
      <c r="Q54" s="75">
        <f t="shared" si="4"/>
        <v>980.80000000000007</v>
      </c>
      <c r="R54" s="75"/>
      <c r="S54" s="75"/>
      <c r="T54" s="75"/>
      <c r="U54" s="75"/>
      <c r="V54" s="75"/>
      <c r="W54" s="75"/>
      <c r="X54" s="75"/>
      <c r="Y54" s="75"/>
      <c r="Z54" s="75"/>
      <c r="AA54" s="75"/>
      <c r="AB54" s="75"/>
      <c r="AC54" s="75"/>
      <c r="AD54" s="75"/>
      <c r="AE54" s="75"/>
      <c r="AF54" s="75"/>
      <c r="AG54" s="75"/>
    </row>
    <row r="55" spans="1:33">
      <c r="A55" s="75">
        <v>2009</v>
      </c>
      <c r="B55" s="75">
        <v>24</v>
      </c>
      <c r="C55" s="75">
        <v>16.7</v>
      </c>
      <c r="D55" s="75">
        <v>29.3</v>
      </c>
      <c r="E55" s="75">
        <v>60.4</v>
      </c>
      <c r="F55" s="75">
        <v>139.19999999999999</v>
      </c>
      <c r="G55" s="75">
        <v>174.3</v>
      </c>
      <c r="H55" s="75">
        <v>52.9</v>
      </c>
      <c r="I55" s="75">
        <v>161.69999999999999</v>
      </c>
      <c r="J55" s="75">
        <v>36.799999999999997</v>
      </c>
      <c r="K55" s="75">
        <v>64.599999999999994</v>
      </c>
      <c r="L55" s="75">
        <v>9.6</v>
      </c>
      <c r="M55" s="75">
        <v>21.3</v>
      </c>
      <c r="N55" s="75">
        <f t="shared" si="1"/>
        <v>130.4</v>
      </c>
      <c r="O55" s="75">
        <f t="shared" si="2"/>
        <v>564.89999999999986</v>
      </c>
      <c r="P55" s="75">
        <f t="shared" si="3"/>
        <v>95.499999999999986</v>
      </c>
      <c r="Q55" s="75">
        <f t="shared" si="4"/>
        <v>790.8</v>
      </c>
      <c r="R55" s="75"/>
      <c r="S55" s="75"/>
      <c r="T55" s="75"/>
      <c r="U55" s="75"/>
      <c r="V55" s="75"/>
      <c r="W55" s="75"/>
      <c r="X55" s="75"/>
      <c r="Y55" s="75"/>
      <c r="Z55" s="75"/>
      <c r="AA55" s="75"/>
      <c r="AB55" s="75"/>
      <c r="AC55" s="75"/>
      <c r="AD55" s="75"/>
      <c r="AE55" s="75"/>
      <c r="AF55" s="75"/>
      <c r="AG55" s="75"/>
    </row>
    <row r="56" spans="1:33">
      <c r="A56" s="75">
        <v>2010</v>
      </c>
      <c r="B56" s="75">
        <v>8.9</v>
      </c>
      <c r="C56" s="75">
        <v>1.6</v>
      </c>
      <c r="D56" s="75">
        <v>44.8</v>
      </c>
      <c r="E56" s="75">
        <v>78.7</v>
      </c>
      <c r="F56" s="75">
        <v>185.8</v>
      </c>
      <c r="G56" s="75">
        <v>153.9</v>
      </c>
      <c r="H56" s="75">
        <v>189.5</v>
      </c>
      <c r="I56" s="75">
        <v>52.2</v>
      </c>
      <c r="J56" s="75">
        <v>160.9</v>
      </c>
      <c r="K56" s="75">
        <v>100.1</v>
      </c>
      <c r="L56" s="75">
        <v>58</v>
      </c>
      <c r="M56" s="75">
        <v>19.600000000000001</v>
      </c>
      <c r="N56" s="75">
        <f t="shared" si="1"/>
        <v>134</v>
      </c>
      <c r="O56" s="75">
        <f t="shared" si="2"/>
        <v>742.30000000000007</v>
      </c>
      <c r="P56" s="75">
        <f t="shared" si="3"/>
        <v>177.7</v>
      </c>
      <c r="Q56" s="75">
        <f t="shared" si="4"/>
        <v>1054</v>
      </c>
      <c r="R56" s="75"/>
      <c r="S56" s="75"/>
      <c r="T56" s="75"/>
      <c r="U56" s="75"/>
      <c r="V56" s="75"/>
      <c r="W56" s="75"/>
      <c r="X56" s="75"/>
      <c r="Y56" s="75"/>
      <c r="Z56" s="75"/>
      <c r="AA56" s="75"/>
      <c r="AB56" s="75"/>
      <c r="AC56" s="75"/>
      <c r="AD56" s="75"/>
      <c r="AE56" s="75"/>
      <c r="AF56" s="75"/>
      <c r="AG56" s="75"/>
    </row>
    <row r="57" spans="1:33" ht="15">
      <c r="A57" s="75">
        <v>2011</v>
      </c>
      <c r="B57" s="75">
        <v>8.1</v>
      </c>
      <c r="C57" s="75">
        <v>17.3</v>
      </c>
      <c r="D57" s="75">
        <v>39.5</v>
      </c>
      <c r="E57" s="75">
        <v>36.5</v>
      </c>
      <c r="F57" s="75">
        <v>54.2</v>
      </c>
      <c r="G57" s="75">
        <v>227.4</v>
      </c>
      <c r="H57" s="75">
        <v>105.2</v>
      </c>
      <c r="I57" s="75">
        <v>62.8</v>
      </c>
      <c r="J57" s="75">
        <v>62.8</v>
      </c>
      <c r="K57" s="75">
        <v>138.6</v>
      </c>
      <c r="L57" s="75">
        <v>46.2</v>
      </c>
      <c r="M57" s="75">
        <v>18</v>
      </c>
      <c r="N57" s="75">
        <f t="shared" si="1"/>
        <v>101.4</v>
      </c>
      <c r="O57" s="75">
        <f t="shared" si="2"/>
        <v>512.4</v>
      </c>
      <c r="P57" s="75">
        <f t="shared" si="3"/>
        <v>202.8</v>
      </c>
      <c r="Q57" s="75">
        <f t="shared" si="4"/>
        <v>816.6</v>
      </c>
      <c r="R57" s="78"/>
      <c r="S57" s="78"/>
      <c r="T57" s="78"/>
      <c r="U57" s="78"/>
      <c r="V57" s="78"/>
      <c r="W57" s="78"/>
      <c r="X57" s="78"/>
      <c r="Y57" s="78"/>
      <c r="Z57" s="78"/>
      <c r="AA57" s="78"/>
      <c r="AB57" s="78"/>
      <c r="AC57" s="78"/>
      <c r="AD57" s="78"/>
      <c r="AE57" s="78"/>
      <c r="AF57" s="78"/>
      <c r="AG57" s="78"/>
    </row>
    <row r="58" spans="1:33" ht="15">
      <c r="A58" s="75">
        <v>2012</v>
      </c>
      <c r="B58" s="75">
        <v>19.3</v>
      </c>
      <c r="C58" s="75">
        <v>6.5</v>
      </c>
      <c r="D58" s="75">
        <v>23.8</v>
      </c>
      <c r="E58" s="75">
        <v>66.5</v>
      </c>
      <c r="F58" s="75">
        <v>147.30000000000001</v>
      </c>
      <c r="G58" s="75">
        <v>117</v>
      </c>
      <c r="H58" s="75">
        <v>108.5</v>
      </c>
      <c r="I58" s="75">
        <v>151.19999999999999</v>
      </c>
      <c r="J58" s="75">
        <v>98.2</v>
      </c>
      <c r="K58" s="75">
        <v>46.2</v>
      </c>
      <c r="L58" s="75">
        <v>28</v>
      </c>
      <c r="M58" s="75">
        <v>13.2</v>
      </c>
      <c r="N58" s="75">
        <f t="shared" si="1"/>
        <v>116.1</v>
      </c>
      <c r="O58" s="75">
        <f t="shared" si="2"/>
        <v>622.20000000000005</v>
      </c>
      <c r="P58" s="75">
        <f t="shared" si="3"/>
        <v>87.4</v>
      </c>
      <c r="Q58" s="75">
        <f t="shared" si="4"/>
        <v>825.7</v>
      </c>
      <c r="R58" s="78"/>
      <c r="S58" s="78"/>
      <c r="T58" s="78"/>
      <c r="U58" s="78"/>
      <c r="V58" s="78"/>
      <c r="W58" s="78"/>
      <c r="X58" s="78"/>
      <c r="Y58" s="78"/>
      <c r="Z58" s="78"/>
      <c r="AA58" s="78"/>
      <c r="AB58" s="78"/>
      <c r="AC58" s="78"/>
      <c r="AD58" s="78"/>
      <c r="AE58" s="78"/>
      <c r="AF58" s="78"/>
      <c r="AG58" s="78"/>
    </row>
    <row r="59" spans="1:33" ht="15">
      <c r="A59" s="75">
        <v>2013</v>
      </c>
      <c r="B59" s="75">
        <v>6</v>
      </c>
      <c r="C59" s="75">
        <v>10.5</v>
      </c>
      <c r="D59" s="75">
        <v>39.5</v>
      </c>
      <c r="E59" s="75">
        <v>112.5</v>
      </c>
      <c r="F59" s="75">
        <v>131.30000000000001</v>
      </c>
      <c r="G59" s="75">
        <v>82.8</v>
      </c>
      <c r="H59" s="75">
        <v>0.5</v>
      </c>
      <c r="I59" s="75">
        <v>101.1</v>
      </c>
      <c r="J59" s="75">
        <v>79</v>
      </c>
      <c r="K59" s="75">
        <v>61.2</v>
      </c>
      <c r="L59" s="75">
        <v>16.2</v>
      </c>
      <c r="M59" s="75">
        <v>15.9</v>
      </c>
      <c r="N59" s="75">
        <f t="shared" si="1"/>
        <v>168.5</v>
      </c>
      <c r="O59" s="75">
        <f t="shared" si="2"/>
        <v>394.70000000000005</v>
      </c>
      <c r="P59" s="75">
        <f t="shared" si="3"/>
        <v>93.300000000000011</v>
      </c>
      <c r="Q59" s="75">
        <f t="shared" si="4"/>
        <v>656.50000000000011</v>
      </c>
      <c r="R59" s="78"/>
      <c r="S59" s="78"/>
      <c r="T59" s="78"/>
      <c r="U59" s="78"/>
      <c r="V59" s="78"/>
      <c r="W59" s="78"/>
      <c r="X59" s="78"/>
      <c r="Y59" s="78"/>
      <c r="Z59" s="78"/>
      <c r="AA59" s="78"/>
      <c r="AB59" s="78"/>
      <c r="AC59" s="78"/>
      <c r="AD59" s="78"/>
      <c r="AE59" s="78"/>
      <c r="AF59" s="78"/>
      <c r="AG59" s="78"/>
    </row>
    <row r="60" spans="1:33">
      <c r="A60" s="75">
        <v>2014</v>
      </c>
      <c r="B60" s="98">
        <v>17.3</v>
      </c>
      <c r="C60" s="98">
        <v>15.4</v>
      </c>
      <c r="D60" s="98">
        <v>112.9</v>
      </c>
      <c r="E60" s="98">
        <v>62</v>
      </c>
      <c r="F60" s="98">
        <v>103.9</v>
      </c>
      <c r="G60" s="98">
        <v>250.4</v>
      </c>
      <c r="H60" s="98">
        <v>298.60000000000002</v>
      </c>
      <c r="I60" s="98">
        <v>209.4</v>
      </c>
      <c r="J60" s="98">
        <v>71.8</v>
      </c>
      <c r="K60" s="98">
        <v>140.19999999999999</v>
      </c>
      <c r="L60" s="98">
        <v>49.9</v>
      </c>
      <c r="M60" s="98">
        <v>16.2</v>
      </c>
      <c r="N60" s="75">
        <f t="shared" si="1"/>
        <v>207.60000000000002</v>
      </c>
      <c r="O60" s="75">
        <f t="shared" si="2"/>
        <v>934.1</v>
      </c>
      <c r="P60" s="75">
        <f t="shared" si="3"/>
        <v>206.29999999999998</v>
      </c>
      <c r="Q60" s="75">
        <f t="shared" si="4"/>
        <v>1348.0000000000002</v>
      </c>
    </row>
    <row r="61" spans="1:33">
      <c r="A61" s="75">
        <v>2015</v>
      </c>
      <c r="B61" s="98">
        <v>10.6</v>
      </c>
      <c r="C61" s="98">
        <v>20.7</v>
      </c>
      <c r="D61" s="98">
        <v>34.6</v>
      </c>
      <c r="E61" s="98">
        <v>51.5</v>
      </c>
      <c r="F61" s="98">
        <v>219.7</v>
      </c>
      <c r="G61" s="98">
        <v>107.1</v>
      </c>
      <c r="H61" s="98">
        <v>172.9</v>
      </c>
      <c r="I61" s="98">
        <v>228.1</v>
      </c>
      <c r="J61" s="98">
        <v>115.9</v>
      </c>
      <c r="K61" s="98">
        <v>75.5</v>
      </c>
      <c r="L61" s="98">
        <v>25</v>
      </c>
      <c r="M61" s="98">
        <v>36.6</v>
      </c>
      <c r="N61" s="75">
        <f t="shared" si="1"/>
        <v>117.4</v>
      </c>
      <c r="O61" s="75">
        <f t="shared" si="2"/>
        <v>843.69999999999993</v>
      </c>
      <c r="P61" s="75">
        <f t="shared" si="3"/>
        <v>137.1</v>
      </c>
      <c r="Q61" s="75">
        <f t="shared" si="4"/>
        <v>1098.1999999999998</v>
      </c>
    </row>
    <row r="62" spans="1:33">
      <c r="A62" s="81">
        <v>2016</v>
      </c>
      <c r="B62" s="99">
        <v>17.7</v>
      </c>
      <c r="C62" s="99">
        <v>16.399999999999999</v>
      </c>
      <c r="D62" s="99">
        <v>100.8</v>
      </c>
      <c r="E62" s="99">
        <v>85</v>
      </c>
      <c r="F62" s="99">
        <v>113.1</v>
      </c>
      <c r="G62" s="99">
        <v>146</v>
      </c>
      <c r="H62" s="99">
        <v>71.2</v>
      </c>
      <c r="I62" s="99">
        <v>208.4</v>
      </c>
      <c r="J62" s="99">
        <v>82</v>
      </c>
      <c r="K62" s="99">
        <v>73.599999999999994</v>
      </c>
      <c r="L62" s="99">
        <v>30.5</v>
      </c>
      <c r="M62" s="99">
        <v>13.7</v>
      </c>
      <c r="N62" s="81">
        <f>SUM(B62:E62)</f>
        <v>219.89999999999998</v>
      </c>
      <c r="O62" s="81">
        <f>SUM(F62:J62)</f>
        <v>620.70000000000005</v>
      </c>
      <c r="P62" s="81">
        <f>SUM(K62:M62)</f>
        <v>117.8</v>
      </c>
      <c r="Q62" s="81">
        <f>SUM(B62:M62)</f>
        <v>958.40000000000009</v>
      </c>
      <c r="R62" s="100">
        <f t="shared" ref="R62:AG62" si="5">100*(B62-B4)/B4</f>
        <v>7.7309129738387705</v>
      </c>
      <c r="S62" s="100">
        <f t="shared" si="5"/>
        <v>12.871287128712867</v>
      </c>
      <c r="T62" s="100">
        <f t="shared" si="5"/>
        <v>164.17766334084325</v>
      </c>
      <c r="U62" s="100">
        <f t="shared" si="5"/>
        <v>20.309900424623191</v>
      </c>
      <c r="V62" s="100">
        <f t="shared" si="5"/>
        <v>-17.072511866630638</v>
      </c>
      <c r="W62" s="100">
        <f t="shared" si="5"/>
        <v>-20.954398229500086</v>
      </c>
      <c r="X62" s="100">
        <f t="shared" si="5"/>
        <v>-47.050765196289476</v>
      </c>
      <c r="Y62" s="100">
        <f t="shared" si="5"/>
        <v>64.473921050080932</v>
      </c>
      <c r="Z62" s="100">
        <f t="shared" si="5"/>
        <v>-16.470083637143453</v>
      </c>
      <c r="AA62" s="100">
        <f t="shared" si="5"/>
        <v>-19.573635980215496</v>
      </c>
      <c r="AB62" s="100">
        <f t="shared" si="5"/>
        <v>-26.827728439749141</v>
      </c>
      <c r="AC62" s="100">
        <f t="shared" si="5"/>
        <v>-29.234254644313552</v>
      </c>
      <c r="AD62" s="100">
        <f t="shared" si="5"/>
        <v>57.333651323634626</v>
      </c>
      <c r="AE62" s="100">
        <f t="shared" si="5"/>
        <v>-8.7784842437462043</v>
      </c>
      <c r="AF62" s="100">
        <f t="shared" si="5"/>
        <v>-22.781636689820143</v>
      </c>
      <c r="AG62" s="100">
        <f t="shared" si="5"/>
        <v>-1.4754657158470519</v>
      </c>
    </row>
  </sheetData>
  <mergeCells count="6">
    <mergeCell ref="A1:A3"/>
    <mergeCell ref="B1:Q1"/>
    <mergeCell ref="B2:M2"/>
    <mergeCell ref="R1:AG1"/>
    <mergeCell ref="N2:Q2"/>
    <mergeCell ref="R2:AG2"/>
  </mergeCells>
  <phoneticPr fontId="2" type="noConversion"/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AG63"/>
  <sheetViews>
    <sheetView zoomScale="70" zoomScaleNormal="70" workbookViewId="0">
      <pane ySplit="5" topLeftCell="A6" activePane="bottomLeft" state="frozen"/>
      <selection pane="bottomLeft" activeCell="W64" sqref="W64"/>
    </sheetView>
  </sheetViews>
  <sheetFormatPr defaultRowHeight="14.25"/>
  <cols>
    <col min="1" max="33" width="7.125" style="2" customWidth="1"/>
    <col min="34" max="34" width="7.125" customWidth="1"/>
  </cols>
  <sheetData>
    <row r="1" spans="1:33" s="105" customFormat="1" ht="14.25" customHeight="1">
      <c r="A1" s="176" t="s">
        <v>0</v>
      </c>
      <c r="B1" s="176" t="s">
        <v>1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2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05" customFormat="1" ht="12.75">
      <c r="A2" s="176"/>
      <c r="B2" s="176" t="s">
        <v>3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32</v>
      </c>
      <c r="O2" s="176"/>
      <c r="P2" s="176"/>
      <c r="Q2" s="176"/>
      <c r="R2" s="176" t="s">
        <v>6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05" customFormat="1" ht="24">
      <c r="A3" s="176"/>
      <c r="B3" s="106" t="s">
        <v>39</v>
      </c>
      <c r="C3" s="106" t="s">
        <v>40</v>
      </c>
      <c r="D3" s="106" t="s">
        <v>138</v>
      </c>
      <c r="E3" s="106" t="s">
        <v>139</v>
      </c>
      <c r="F3" s="106" t="s">
        <v>140</v>
      </c>
      <c r="G3" s="106" t="s">
        <v>141</v>
      </c>
      <c r="H3" s="106" t="s">
        <v>25</v>
      </c>
      <c r="I3" s="106" t="s">
        <v>26</v>
      </c>
      <c r="J3" s="106" t="s">
        <v>27</v>
      </c>
      <c r="K3" s="106" t="s">
        <v>142</v>
      </c>
      <c r="L3" s="106" t="s">
        <v>143</v>
      </c>
      <c r="M3" s="106" t="s">
        <v>144</v>
      </c>
      <c r="N3" s="106" t="s">
        <v>145</v>
      </c>
      <c r="O3" s="106" t="s">
        <v>146</v>
      </c>
      <c r="P3" s="106" t="s">
        <v>147</v>
      </c>
      <c r="Q3" s="106" t="s">
        <v>148</v>
      </c>
      <c r="R3" s="106" t="s">
        <v>149</v>
      </c>
      <c r="S3" s="106" t="s">
        <v>150</v>
      </c>
      <c r="T3" s="106" t="s">
        <v>151</v>
      </c>
      <c r="U3" s="106" t="s">
        <v>152</v>
      </c>
      <c r="V3" s="106" t="s">
        <v>153</v>
      </c>
      <c r="W3" s="106" t="s">
        <v>154</v>
      </c>
      <c r="X3" s="106" t="s">
        <v>25</v>
      </c>
      <c r="Y3" s="106" t="s">
        <v>26</v>
      </c>
      <c r="Z3" s="106" t="s">
        <v>27</v>
      </c>
      <c r="AA3" s="106" t="s">
        <v>155</v>
      </c>
      <c r="AB3" s="106" t="s">
        <v>156</v>
      </c>
      <c r="AC3" s="106" t="s">
        <v>157</v>
      </c>
      <c r="AD3" s="106" t="s">
        <v>158</v>
      </c>
      <c r="AE3" s="106" t="s">
        <v>159</v>
      </c>
      <c r="AF3" s="106" t="s">
        <v>160</v>
      </c>
      <c r="AG3" s="106" t="s">
        <v>161</v>
      </c>
    </row>
    <row r="4" spans="1:33" s="105" customFormat="1" ht="12.75">
      <c r="A4" s="150" t="s">
        <v>261</v>
      </c>
      <c r="B4" s="150">
        <f t="shared" ref="B4:Q4" si="0">AVERAGE(B5:B62)</f>
        <v>30.975862068965515</v>
      </c>
      <c r="C4" s="150">
        <f t="shared" si="0"/>
        <v>30.660344827586218</v>
      </c>
      <c r="D4" s="150">
        <f t="shared" si="0"/>
        <v>49.024137931034495</v>
      </c>
      <c r="E4" s="150">
        <f t="shared" si="0"/>
        <v>85.494827586206881</v>
      </c>
      <c r="F4" s="150">
        <f t="shared" si="0"/>
        <v>146.85344827586206</v>
      </c>
      <c r="G4" s="150">
        <f t="shared" si="0"/>
        <v>177.58620689655172</v>
      </c>
      <c r="H4" s="150">
        <f t="shared" si="0"/>
        <v>183.79310344827584</v>
      </c>
      <c r="I4" s="150">
        <f t="shared" si="0"/>
        <v>164.46896551724137</v>
      </c>
      <c r="J4" s="150">
        <f t="shared" si="0"/>
        <v>124.88448275862072</v>
      </c>
      <c r="K4" s="150">
        <f t="shared" si="0"/>
        <v>94.367241379310343</v>
      </c>
      <c r="L4" s="150">
        <f t="shared" si="0"/>
        <v>54.274137931034495</v>
      </c>
      <c r="M4" s="150">
        <f t="shared" si="0"/>
        <v>35.2051724137931</v>
      </c>
      <c r="N4" s="150">
        <f t="shared" si="0"/>
        <v>196.1551724137932</v>
      </c>
      <c r="O4" s="150">
        <f t="shared" si="0"/>
        <v>797.58620689655152</v>
      </c>
      <c r="P4" s="150">
        <f t="shared" si="0"/>
        <v>183.84655172413798</v>
      </c>
      <c r="Q4" s="150">
        <f t="shared" si="0"/>
        <v>1177.5879310344828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1958</v>
      </c>
      <c r="B5" s="102">
        <v>24.3</v>
      </c>
      <c r="C5" s="102">
        <v>40.299999999999997</v>
      </c>
      <c r="D5" s="102">
        <v>41</v>
      </c>
      <c r="E5" s="102">
        <v>37.200000000000003</v>
      </c>
      <c r="F5" s="102">
        <v>72.599999999999994</v>
      </c>
      <c r="G5" s="102">
        <v>247.9</v>
      </c>
      <c r="H5" s="102">
        <v>350.2</v>
      </c>
      <c r="I5" s="102">
        <v>147.1</v>
      </c>
      <c r="J5" s="102">
        <v>211.8</v>
      </c>
      <c r="K5" s="102">
        <v>70.400000000000006</v>
      </c>
      <c r="L5" s="102">
        <v>40.9</v>
      </c>
      <c r="M5" s="102">
        <v>46.1</v>
      </c>
      <c r="N5" s="102">
        <f>SUM(B5:E5)</f>
        <v>142.80000000000001</v>
      </c>
      <c r="O5" s="102">
        <f>SUM(F5:J5)</f>
        <v>1029.6000000000001</v>
      </c>
      <c r="P5" s="102">
        <f>SUM(K5:M5)</f>
        <v>157.4</v>
      </c>
      <c r="Q5" s="102">
        <f>SUM(B5:M5)</f>
        <v>1329.8000000000002</v>
      </c>
      <c r="R5" s="102"/>
      <c r="S5" s="102"/>
      <c r="T5" s="102"/>
      <c r="U5" s="102"/>
      <c r="V5" s="102"/>
      <c r="W5" s="102"/>
      <c r="X5" s="102"/>
      <c r="Y5" s="102"/>
      <c r="Z5" s="102"/>
      <c r="AA5" s="102"/>
      <c r="AB5" s="102"/>
      <c r="AC5" s="102"/>
      <c r="AD5" s="102"/>
      <c r="AE5" s="102"/>
      <c r="AF5" s="102"/>
      <c r="AG5" s="102"/>
    </row>
    <row r="6" spans="1:33">
      <c r="A6" s="102">
        <v>1959</v>
      </c>
      <c r="B6" s="102">
        <v>27.7</v>
      </c>
      <c r="C6" s="102">
        <v>66.900000000000006</v>
      </c>
      <c r="D6" s="102">
        <v>27</v>
      </c>
      <c r="E6" s="102">
        <v>67.900000000000006</v>
      </c>
      <c r="F6" s="102">
        <v>144.30000000000001</v>
      </c>
      <c r="G6" s="102">
        <v>216.4</v>
      </c>
      <c r="H6" s="102">
        <v>52.8</v>
      </c>
      <c r="I6" s="102">
        <v>133</v>
      </c>
      <c r="J6" s="102">
        <v>147.4</v>
      </c>
      <c r="K6" s="102">
        <v>70.5</v>
      </c>
      <c r="L6" s="102">
        <v>38.5</v>
      </c>
      <c r="M6" s="102">
        <v>33.299999999999997</v>
      </c>
      <c r="N6" s="102">
        <f t="shared" ref="N6:N62" si="1">SUM(B6:E6)</f>
        <v>189.5</v>
      </c>
      <c r="O6" s="102">
        <f t="shared" ref="O6:O62" si="2">SUM(F6:J6)</f>
        <v>693.9</v>
      </c>
      <c r="P6" s="102">
        <f t="shared" ref="P6:P62" si="3">SUM(K6:M6)</f>
        <v>142.30000000000001</v>
      </c>
      <c r="Q6" s="102">
        <f t="shared" ref="Q6:Q62" si="4">SUM(B6:M6)</f>
        <v>1025.7</v>
      </c>
      <c r="R6" s="102"/>
      <c r="S6" s="102"/>
      <c r="T6" s="102"/>
      <c r="U6" s="102"/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</row>
    <row r="7" spans="1:33">
      <c r="A7" s="102">
        <v>1960</v>
      </c>
      <c r="B7" s="102">
        <v>14.2</v>
      </c>
      <c r="C7" s="102">
        <v>36.700000000000003</v>
      </c>
      <c r="D7" s="102">
        <v>29.4</v>
      </c>
      <c r="E7" s="102">
        <v>95.2</v>
      </c>
      <c r="F7" s="102">
        <v>47.2</v>
      </c>
      <c r="G7" s="102">
        <v>110</v>
      </c>
      <c r="H7" s="102">
        <v>164.3</v>
      </c>
      <c r="I7" s="102">
        <v>134.4</v>
      </c>
      <c r="J7" s="102">
        <v>88.7</v>
      </c>
      <c r="K7" s="102">
        <v>119.1</v>
      </c>
      <c r="L7" s="102">
        <v>47.3</v>
      </c>
      <c r="M7" s="102">
        <v>27.8</v>
      </c>
      <c r="N7" s="102">
        <f t="shared" si="1"/>
        <v>175.5</v>
      </c>
      <c r="O7" s="102">
        <f t="shared" si="2"/>
        <v>544.6</v>
      </c>
      <c r="P7" s="102">
        <f t="shared" si="3"/>
        <v>194.2</v>
      </c>
      <c r="Q7" s="102">
        <f t="shared" si="4"/>
        <v>914.3</v>
      </c>
      <c r="R7" s="102"/>
      <c r="S7" s="102"/>
      <c r="T7" s="102"/>
      <c r="U7" s="102"/>
      <c r="V7" s="102"/>
      <c r="W7" s="102"/>
      <c r="X7" s="102"/>
      <c r="Y7" s="102"/>
      <c r="Z7" s="102"/>
      <c r="AA7" s="102"/>
      <c r="AB7" s="102"/>
      <c r="AC7" s="102"/>
      <c r="AD7" s="102"/>
      <c r="AE7" s="102"/>
      <c r="AF7" s="102"/>
      <c r="AG7" s="102"/>
    </row>
    <row r="8" spans="1:33">
      <c r="A8" s="102">
        <v>1961</v>
      </c>
      <c r="B8" s="102">
        <v>26.3</v>
      </c>
      <c r="C8" s="102">
        <v>55.1</v>
      </c>
      <c r="D8" s="102">
        <v>73.8</v>
      </c>
      <c r="E8" s="102">
        <v>59.9</v>
      </c>
      <c r="F8" s="102">
        <v>79</v>
      </c>
      <c r="G8" s="102">
        <v>204.8</v>
      </c>
      <c r="H8" s="102">
        <v>232.6</v>
      </c>
      <c r="I8" s="102">
        <v>150.19999999999999</v>
      </c>
      <c r="J8" s="102">
        <v>68.2</v>
      </c>
      <c r="K8" s="102">
        <v>114.9</v>
      </c>
      <c r="L8" s="102">
        <v>46.7</v>
      </c>
      <c r="M8" s="102">
        <v>53.5</v>
      </c>
      <c r="N8" s="102">
        <f t="shared" si="1"/>
        <v>215.1</v>
      </c>
      <c r="O8" s="102">
        <f t="shared" si="2"/>
        <v>734.8</v>
      </c>
      <c r="P8" s="102">
        <f t="shared" si="3"/>
        <v>215.10000000000002</v>
      </c>
      <c r="Q8" s="102">
        <f t="shared" si="4"/>
        <v>1165.0000000000002</v>
      </c>
      <c r="R8" s="102"/>
      <c r="S8" s="102"/>
      <c r="T8" s="102"/>
      <c r="U8" s="102"/>
      <c r="V8" s="102"/>
      <c r="W8" s="102"/>
      <c r="X8" s="102"/>
      <c r="Y8" s="102"/>
      <c r="Z8" s="102"/>
      <c r="AA8" s="102"/>
      <c r="AB8" s="102"/>
      <c r="AC8" s="102"/>
      <c r="AD8" s="102"/>
      <c r="AE8" s="102"/>
      <c r="AF8" s="102"/>
      <c r="AG8" s="102"/>
    </row>
    <row r="9" spans="1:33">
      <c r="A9" s="102">
        <v>1962</v>
      </c>
      <c r="B9" s="102">
        <v>41.3</v>
      </c>
      <c r="C9" s="102">
        <v>15.5</v>
      </c>
      <c r="D9" s="102">
        <v>48.9</v>
      </c>
      <c r="E9" s="102">
        <v>119.7</v>
      </c>
      <c r="F9" s="102">
        <v>188.1</v>
      </c>
      <c r="G9" s="102">
        <v>321.3</v>
      </c>
      <c r="H9" s="102">
        <v>187.8</v>
      </c>
      <c r="I9" s="102">
        <v>369.7</v>
      </c>
      <c r="J9" s="102">
        <v>50.4</v>
      </c>
      <c r="K9" s="102">
        <v>96.6</v>
      </c>
      <c r="L9" s="102">
        <v>56.7</v>
      </c>
      <c r="M9" s="102">
        <v>15.3</v>
      </c>
      <c r="N9" s="102">
        <f t="shared" si="1"/>
        <v>225.39999999999998</v>
      </c>
      <c r="O9" s="102">
        <f t="shared" si="2"/>
        <v>1117.3000000000002</v>
      </c>
      <c r="P9" s="102">
        <f t="shared" si="3"/>
        <v>168.60000000000002</v>
      </c>
      <c r="Q9" s="102">
        <f t="shared" si="4"/>
        <v>1511.3</v>
      </c>
      <c r="R9" s="102"/>
      <c r="S9" s="102"/>
      <c r="T9" s="102"/>
      <c r="U9" s="102"/>
      <c r="V9" s="102"/>
      <c r="W9" s="102"/>
      <c r="X9" s="102"/>
      <c r="Y9" s="102"/>
      <c r="Z9" s="102"/>
      <c r="AA9" s="102"/>
      <c r="AB9" s="102"/>
      <c r="AC9" s="102"/>
      <c r="AD9" s="102"/>
      <c r="AE9" s="102"/>
      <c r="AF9" s="102"/>
      <c r="AG9" s="102"/>
    </row>
    <row r="10" spans="1:33">
      <c r="A10" s="102">
        <v>1963</v>
      </c>
      <c r="B10" s="102">
        <v>13.7</v>
      </c>
      <c r="C10" s="102">
        <v>26.1</v>
      </c>
      <c r="D10" s="102">
        <v>15.5</v>
      </c>
      <c r="E10" s="102">
        <v>84.7</v>
      </c>
      <c r="F10" s="102">
        <v>98.5</v>
      </c>
      <c r="G10" s="102">
        <v>53.1</v>
      </c>
      <c r="H10" s="102">
        <v>121.5</v>
      </c>
      <c r="I10" s="102">
        <v>128.69999999999999</v>
      </c>
      <c r="J10" s="102">
        <v>65</v>
      </c>
      <c r="K10" s="102">
        <v>166.3</v>
      </c>
      <c r="L10" s="102">
        <v>79.400000000000006</v>
      </c>
      <c r="M10" s="102">
        <v>42.3</v>
      </c>
      <c r="N10" s="102">
        <f t="shared" si="1"/>
        <v>140</v>
      </c>
      <c r="O10" s="102">
        <f t="shared" si="2"/>
        <v>466.8</v>
      </c>
      <c r="P10" s="102">
        <f t="shared" si="3"/>
        <v>288</v>
      </c>
      <c r="Q10" s="102">
        <f t="shared" si="4"/>
        <v>894.79999999999984</v>
      </c>
      <c r="R10" s="102"/>
      <c r="S10" s="102"/>
      <c r="T10" s="102"/>
      <c r="U10" s="102"/>
      <c r="V10" s="102"/>
      <c r="W10" s="102"/>
      <c r="X10" s="102"/>
      <c r="Y10" s="102"/>
      <c r="Z10" s="102"/>
      <c r="AA10" s="102"/>
      <c r="AB10" s="102"/>
      <c r="AC10" s="102"/>
      <c r="AD10" s="102"/>
      <c r="AE10" s="102"/>
      <c r="AF10" s="102"/>
      <c r="AG10" s="102"/>
    </row>
    <row r="11" spans="1:33">
      <c r="A11" s="102">
        <v>1964</v>
      </c>
      <c r="B11" s="102">
        <v>33</v>
      </c>
      <c r="C11" s="102">
        <v>20.399999999999999</v>
      </c>
      <c r="D11" s="102">
        <v>47.5</v>
      </c>
      <c r="E11" s="102">
        <v>81.900000000000006</v>
      </c>
      <c r="F11" s="102">
        <v>171.4</v>
      </c>
      <c r="G11" s="102">
        <v>298.2</v>
      </c>
      <c r="H11" s="102">
        <v>117</v>
      </c>
      <c r="I11" s="102">
        <v>130.80000000000001</v>
      </c>
      <c r="J11" s="102">
        <v>185.3</v>
      </c>
      <c r="K11" s="102">
        <v>161</v>
      </c>
      <c r="L11" s="102">
        <v>55.8</v>
      </c>
      <c r="M11" s="102">
        <v>39.5</v>
      </c>
      <c r="N11" s="102">
        <f t="shared" si="1"/>
        <v>182.8</v>
      </c>
      <c r="O11" s="102">
        <f t="shared" si="2"/>
        <v>902.7</v>
      </c>
      <c r="P11" s="102">
        <f t="shared" si="3"/>
        <v>256.3</v>
      </c>
      <c r="Q11" s="102">
        <f t="shared" si="4"/>
        <v>1341.8</v>
      </c>
      <c r="R11" s="102"/>
      <c r="S11" s="102"/>
      <c r="T11" s="102"/>
      <c r="U11" s="102"/>
      <c r="V11" s="102"/>
      <c r="W11" s="102"/>
      <c r="X11" s="102"/>
      <c r="Y11" s="102"/>
      <c r="Z11" s="102"/>
      <c r="AA11" s="102"/>
      <c r="AB11" s="102"/>
      <c r="AC11" s="102"/>
      <c r="AD11" s="102"/>
      <c r="AE11" s="102"/>
      <c r="AF11" s="102"/>
      <c r="AG11" s="102"/>
    </row>
    <row r="12" spans="1:33">
      <c r="A12" s="102">
        <v>1965</v>
      </c>
      <c r="B12" s="102">
        <v>64.900000000000006</v>
      </c>
      <c r="C12" s="102">
        <v>25.9</v>
      </c>
      <c r="D12" s="102">
        <v>47.2</v>
      </c>
      <c r="E12" s="102">
        <v>80.099999999999994</v>
      </c>
      <c r="F12" s="102">
        <v>185.5</v>
      </c>
      <c r="G12" s="102">
        <v>171</v>
      </c>
      <c r="H12" s="102">
        <v>231.8</v>
      </c>
      <c r="I12" s="102">
        <v>185.2</v>
      </c>
      <c r="J12" s="102">
        <v>276.10000000000002</v>
      </c>
      <c r="K12" s="102">
        <v>88.7</v>
      </c>
      <c r="L12" s="102">
        <v>22.9</v>
      </c>
      <c r="M12" s="102">
        <v>58.4</v>
      </c>
      <c r="N12" s="102">
        <f t="shared" si="1"/>
        <v>218.1</v>
      </c>
      <c r="O12" s="102">
        <f t="shared" si="2"/>
        <v>1049.5999999999999</v>
      </c>
      <c r="P12" s="102">
        <f t="shared" si="3"/>
        <v>170</v>
      </c>
      <c r="Q12" s="102">
        <f t="shared" si="4"/>
        <v>1437.7000000000005</v>
      </c>
      <c r="R12" s="102"/>
      <c r="S12" s="102"/>
      <c r="T12" s="102"/>
      <c r="U12" s="102"/>
      <c r="V12" s="102"/>
      <c r="W12" s="102"/>
      <c r="X12" s="102"/>
      <c r="Y12" s="102"/>
      <c r="Z12" s="102"/>
      <c r="AA12" s="102"/>
      <c r="AB12" s="102"/>
      <c r="AC12" s="102"/>
      <c r="AD12" s="102"/>
      <c r="AE12" s="102"/>
      <c r="AF12" s="102"/>
      <c r="AG12" s="102"/>
    </row>
    <row r="13" spans="1:33">
      <c r="A13" s="102">
        <v>1966</v>
      </c>
      <c r="B13" s="102">
        <v>16.100000000000001</v>
      </c>
      <c r="C13" s="102">
        <v>24.1</v>
      </c>
      <c r="D13" s="102">
        <v>16.8</v>
      </c>
      <c r="E13" s="102">
        <v>29.4</v>
      </c>
      <c r="F13" s="102">
        <v>146.4</v>
      </c>
      <c r="G13" s="102">
        <v>150.5</v>
      </c>
      <c r="H13" s="102">
        <v>133.6</v>
      </c>
      <c r="I13" s="102">
        <v>177.2</v>
      </c>
      <c r="J13" s="102">
        <v>68</v>
      </c>
      <c r="K13" s="102">
        <v>106.1</v>
      </c>
      <c r="L13" s="102">
        <v>50</v>
      </c>
      <c r="M13" s="102">
        <v>40.9</v>
      </c>
      <c r="N13" s="102">
        <f t="shared" si="1"/>
        <v>86.4</v>
      </c>
      <c r="O13" s="102">
        <f t="shared" si="2"/>
        <v>675.7</v>
      </c>
      <c r="P13" s="102">
        <f t="shared" si="3"/>
        <v>197</v>
      </c>
      <c r="Q13" s="102">
        <f t="shared" si="4"/>
        <v>959.09999999999991</v>
      </c>
      <c r="R13" s="102"/>
      <c r="S13" s="102"/>
      <c r="T13" s="102"/>
      <c r="U13" s="102"/>
      <c r="V13" s="102"/>
      <c r="W13" s="102"/>
      <c r="X13" s="102"/>
      <c r="Y13" s="102"/>
      <c r="Z13" s="102"/>
      <c r="AA13" s="102"/>
      <c r="AB13" s="102"/>
      <c r="AC13" s="102"/>
      <c r="AD13" s="102"/>
      <c r="AE13" s="102"/>
      <c r="AF13" s="102"/>
      <c r="AG13" s="102"/>
    </row>
    <row r="14" spans="1:33">
      <c r="A14" s="102">
        <v>1967</v>
      </c>
      <c r="B14" s="102">
        <v>28</v>
      </c>
      <c r="C14" s="102">
        <v>42.4</v>
      </c>
      <c r="D14" s="102">
        <v>83.4</v>
      </c>
      <c r="E14" s="102">
        <v>33.6</v>
      </c>
      <c r="F14" s="102">
        <v>147.69999999999999</v>
      </c>
      <c r="G14" s="102">
        <v>281</v>
      </c>
      <c r="H14" s="102">
        <v>186.9</v>
      </c>
      <c r="I14" s="102">
        <v>209.8</v>
      </c>
      <c r="J14" s="102">
        <v>200.8</v>
      </c>
      <c r="K14" s="102">
        <v>85.3</v>
      </c>
      <c r="L14" s="102">
        <v>93.5</v>
      </c>
      <c r="M14" s="102">
        <v>47.4</v>
      </c>
      <c r="N14" s="102">
        <f t="shared" si="1"/>
        <v>187.4</v>
      </c>
      <c r="O14" s="102">
        <f t="shared" si="2"/>
        <v>1026.2</v>
      </c>
      <c r="P14" s="102">
        <f t="shared" si="3"/>
        <v>226.20000000000002</v>
      </c>
      <c r="Q14" s="102">
        <f t="shared" si="4"/>
        <v>1439.8</v>
      </c>
      <c r="R14" s="102"/>
      <c r="S14" s="102"/>
      <c r="T14" s="102"/>
      <c r="U14" s="102"/>
      <c r="V14" s="102"/>
      <c r="W14" s="102"/>
      <c r="X14" s="102"/>
      <c r="Y14" s="102"/>
      <c r="Z14" s="102"/>
      <c r="AA14" s="102"/>
      <c r="AB14" s="102"/>
      <c r="AC14" s="102"/>
      <c r="AD14" s="102"/>
      <c r="AE14" s="102"/>
      <c r="AF14" s="102"/>
      <c r="AG14" s="102"/>
    </row>
    <row r="15" spans="1:33">
      <c r="A15" s="102">
        <v>1968</v>
      </c>
      <c r="B15" s="102">
        <v>23.7</v>
      </c>
      <c r="C15" s="102">
        <v>44.2</v>
      </c>
      <c r="D15" s="102">
        <v>29.3</v>
      </c>
      <c r="E15" s="102">
        <v>92.5</v>
      </c>
      <c r="F15" s="102">
        <v>202.6</v>
      </c>
      <c r="G15" s="102">
        <v>205.9</v>
      </c>
      <c r="H15" s="102">
        <v>359.6</v>
      </c>
      <c r="I15" s="102">
        <v>326.8</v>
      </c>
      <c r="J15" s="102">
        <v>146.69999999999999</v>
      </c>
      <c r="K15" s="102">
        <v>129.6</v>
      </c>
      <c r="L15" s="102">
        <v>38.200000000000003</v>
      </c>
      <c r="M15" s="102">
        <v>22.5</v>
      </c>
      <c r="N15" s="102">
        <f t="shared" si="1"/>
        <v>189.7</v>
      </c>
      <c r="O15" s="102">
        <f t="shared" si="2"/>
        <v>1241.6000000000001</v>
      </c>
      <c r="P15" s="102">
        <f t="shared" si="3"/>
        <v>190.3</v>
      </c>
      <c r="Q15" s="102">
        <f t="shared" si="4"/>
        <v>1621.6</v>
      </c>
      <c r="R15" s="102"/>
      <c r="S15" s="102"/>
      <c r="T15" s="102"/>
      <c r="U15" s="102"/>
      <c r="V15" s="102"/>
      <c r="W15" s="102"/>
      <c r="X15" s="102"/>
      <c r="Y15" s="102"/>
      <c r="Z15" s="102"/>
      <c r="AA15" s="102"/>
      <c r="AB15" s="102"/>
      <c r="AC15" s="102"/>
      <c r="AD15" s="102"/>
      <c r="AE15" s="102"/>
      <c r="AF15" s="102"/>
      <c r="AG15" s="102"/>
    </row>
    <row r="16" spans="1:33">
      <c r="A16" s="102">
        <v>1969</v>
      </c>
      <c r="B16" s="102">
        <v>27.2</v>
      </c>
      <c r="C16" s="102">
        <v>21.3</v>
      </c>
      <c r="D16" s="102">
        <v>6.9</v>
      </c>
      <c r="E16" s="102">
        <v>52.2</v>
      </c>
      <c r="F16" s="102">
        <v>98.8</v>
      </c>
      <c r="G16" s="102">
        <v>130.19999999999999</v>
      </c>
      <c r="H16" s="102">
        <v>285.8</v>
      </c>
      <c r="I16" s="102">
        <v>213.8</v>
      </c>
      <c r="J16" s="102">
        <v>131.19999999999999</v>
      </c>
      <c r="K16" s="102">
        <v>169.2</v>
      </c>
      <c r="L16" s="102">
        <v>103.6</v>
      </c>
      <c r="M16" s="102">
        <v>34.200000000000003</v>
      </c>
      <c r="N16" s="102">
        <f t="shared" si="1"/>
        <v>107.6</v>
      </c>
      <c r="O16" s="102">
        <f t="shared" si="2"/>
        <v>859.8</v>
      </c>
      <c r="P16" s="102">
        <f t="shared" si="3"/>
        <v>306.99999999999994</v>
      </c>
      <c r="Q16" s="102">
        <f t="shared" si="4"/>
        <v>1274.4000000000001</v>
      </c>
      <c r="R16" s="102"/>
      <c r="S16" s="102"/>
      <c r="T16" s="102"/>
      <c r="U16" s="102"/>
      <c r="V16" s="102"/>
      <c r="W16" s="102"/>
      <c r="X16" s="102"/>
      <c r="Y16" s="102"/>
      <c r="Z16" s="102"/>
      <c r="AA16" s="102"/>
      <c r="AB16" s="102"/>
      <c r="AC16" s="102"/>
      <c r="AD16" s="102"/>
      <c r="AE16" s="102"/>
      <c r="AF16" s="102"/>
      <c r="AG16" s="102"/>
    </row>
    <row r="17" spans="1:33">
      <c r="A17" s="102">
        <v>1970</v>
      </c>
      <c r="B17" s="102">
        <v>31.5</v>
      </c>
      <c r="C17" s="102">
        <v>25.4</v>
      </c>
      <c r="D17" s="102">
        <v>82</v>
      </c>
      <c r="E17" s="102">
        <v>138.19999999999999</v>
      </c>
      <c r="F17" s="102">
        <v>175.3</v>
      </c>
      <c r="G17" s="102">
        <v>54</v>
      </c>
      <c r="H17" s="102">
        <v>272.39999999999998</v>
      </c>
      <c r="I17" s="102">
        <v>128.6</v>
      </c>
      <c r="J17" s="102">
        <v>171.6</v>
      </c>
      <c r="K17" s="102">
        <v>90.1</v>
      </c>
      <c r="L17" s="102">
        <v>151.1</v>
      </c>
      <c r="M17" s="102">
        <v>46.8</v>
      </c>
      <c r="N17" s="102">
        <f t="shared" si="1"/>
        <v>277.10000000000002</v>
      </c>
      <c r="O17" s="102">
        <f t="shared" si="2"/>
        <v>801.9</v>
      </c>
      <c r="P17" s="102">
        <f t="shared" si="3"/>
        <v>288</v>
      </c>
      <c r="Q17" s="102">
        <f t="shared" si="4"/>
        <v>1366.9999999999998</v>
      </c>
      <c r="R17" s="102"/>
      <c r="S17" s="102"/>
      <c r="T17" s="102"/>
      <c r="U17" s="102"/>
      <c r="V17" s="102"/>
      <c r="W17" s="102"/>
      <c r="X17" s="102"/>
      <c r="Y17" s="102"/>
      <c r="Z17" s="102"/>
      <c r="AA17" s="102"/>
      <c r="AB17" s="102"/>
      <c r="AC17" s="102"/>
      <c r="AD17" s="102"/>
      <c r="AE17" s="102"/>
      <c r="AF17" s="102"/>
      <c r="AG17" s="102"/>
    </row>
    <row r="18" spans="1:33">
      <c r="A18" s="102">
        <v>1971</v>
      </c>
      <c r="B18" s="102">
        <v>49.6</v>
      </c>
      <c r="C18" s="102">
        <v>20.7</v>
      </c>
      <c r="D18" s="102">
        <v>26.4</v>
      </c>
      <c r="E18" s="102">
        <v>80.8</v>
      </c>
      <c r="F18" s="102">
        <v>223.1</v>
      </c>
      <c r="G18" s="102">
        <v>67.8</v>
      </c>
      <c r="H18" s="102">
        <v>124.2</v>
      </c>
      <c r="I18" s="102">
        <v>86.3</v>
      </c>
      <c r="J18" s="102">
        <v>125.2</v>
      </c>
      <c r="K18" s="102">
        <v>88.5</v>
      </c>
      <c r="L18" s="102">
        <v>39.799999999999997</v>
      </c>
      <c r="M18" s="102">
        <v>28.4</v>
      </c>
      <c r="N18" s="102">
        <f t="shared" si="1"/>
        <v>177.5</v>
      </c>
      <c r="O18" s="102">
        <f t="shared" si="2"/>
        <v>626.6</v>
      </c>
      <c r="P18" s="102">
        <f t="shared" si="3"/>
        <v>156.70000000000002</v>
      </c>
      <c r="Q18" s="102">
        <f t="shared" si="4"/>
        <v>960.8</v>
      </c>
      <c r="R18" s="102"/>
      <c r="S18" s="102"/>
      <c r="T18" s="102"/>
      <c r="U18" s="102"/>
      <c r="V18" s="102"/>
      <c r="W18" s="102"/>
      <c r="X18" s="102"/>
      <c r="Y18" s="102"/>
      <c r="Z18" s="102"/>
      <c r="AA18" s="102"/>
      <c r="AB18" s="102"/>
      <c r="AC18" s="102"/>
      <c r="AD18" s="102"/>
      <c r="AE18" s="102"/>
      <c r="AF18" s="102"/>
      <c r="AG18" s="102"/>
    </row>
    <row r="19" spans="1:33">
      <c r="A19" s="102">
        <v>1972</v>
      </c>
      <c r="B19" s="102">
        <v>16.399999999999999</v>
      </c>
      <c r="C19" s="102">
        <v>54.8</v>
      </c>
      <c r="D19" s="102">
        <v>33.799999999999997</v>
      </c>
      <c r="E19" s="102">
        <v>88.1</v>
      </c>
      <c r="F19" s="102">
        <v>278.7</v>
      </c>
      <c r="G19" s="102">
        <v>144.80000000000001</v>
      </c>
      <c r="H19" s="102">
        <v>195</v>
      </c>
      <c r="I19" s="102">
        <v>47.3</v>
      </c>
      <c r="J19" s="102">
        <v>164.8</v>
      </c>
      <c r="K19" s="102">
        <v>115.5</v>
      </c>
      <c r="L19" s="102">
        <v>26.5</v>
      </c>
      <c r="M19" s="102">
        <v>21.8</v>
      </c>
      <c r="N19" s="102">
        <f t="shared" si="1"/>
        <v>193.09999999999997</v>
      </c>
      <c r="O19" s="102">
        <f t="shared" si="2"/>
        <v>830.59999999999991</v>
      </c>
      <c r="P19" s="102">
        <f t="shared" si="3"/>
        <v>163.80000000000001</v>
      </c>
      <c r="Q19" s="102">
        <f t="shared" si="4"/>
        <v>1187.4999999999998</v>
      </c>
      <c r="R19" s="102"/>
      <c r="S19" s="102"/>
      <c r="T19" s="102"/>
      <c r="U19" s="102"/>
      <c r="V19" s="102"/>
      <c r="W19" s="102"/>
      <c r="X19" s="102"/>
      <c r="Y19" s="102"/>
      <c r="Z19" s="102"/>
      <c r="AA19" s="102"/>
      <c r="AB19" s="102"/>
      <c r="AC19" s="102"/>
      <c r="AD19" s="102"/>
      <c r="AE19" s="102"/>
      <c r="AF19" s="102"/>
      <c r="AG19" s="102"/>
    </row>
    <row r="20" spans="1:33">
      <c r="A20" s="102">
        <v>1973</v>
      </c>
      <c r="B20" s="102">
        <v>18.7</v>
      </c>
      <c r="C20" s="102">
        <v>18</v>
      </c>
      <c r="D20" s="102">
        <v>67.7</v>
      </c>
      <c r="E20" s="102">
        <v>93.7</v>
      </c>
      <c r="F20" s="102">
        <v>194.2</v>
      </c>
      <c r="G20" s="102">
        <v>306.2</v>
      </c>
      <c r="H20" s="102">
        <v>169</v>
      </c>
      <c r="I20" s="102">
        <v>164.4</v>
      </c>
      <c r="J20" s="102">
        <v>220.4</v>
      </c>
      <c r="K20" s="102">
        <v>56.3</v>
      </c>
      <c r="L20" s="102">
        <v>44.6</v>
      </c>
      <c r="M20" s="102">
        <v>51.6</v>
      </c>
      <c r="N20" s="102">
        <f t="shared" si="1"/>
        <v>198.10000000000002</v>
      </c>
      <c r="O20" s="102">
        <f t="shared" si="2"/>
        <v>1054.2</v>
      </c>
      <c r="P20" s="102">
        <f t="shared" si="3"/>
        <v>152.5</v>
      </c>
      <c r="Q20" s="102">
        <f t="shared" si="4"/>
        <v>1404.8</v>
      </c>
      <c r="R20" s="102"/>
      <c r="S20" s="102"/>
      <c r="T20" s="102"/>
      <c r="U20" s="102"/>
      <c r="V20" s="102"/>
      <c r="W20" s="102"/>
      <c r="X20" s="102"/>
      <c r="Y20" s="102"/>
      <c r="Z20" s="102"/>
      <c r="AA20" s="102"/>
      <c r="AB20" s="102"/>
      <c r="AC20" s="102"/>
      <c r="AD20" s="102"/>
      <c r="AE20" s="102"/>
      <c r="AF20" s="102"/>
      <c r="AG20" s="102"/>
    </row>
    <row r="21" spans="1:33">
      <c r="A21" s="102">
        <v>1974</v>
      </c>
      <c r="B21" s="102">
        <v>35.299999999999997</v>
      </c>
      <c r="C21" s="102">
        <v>26.4</v>
      </c>
      <c r="D21" s="102">
        <v>44.7</v>
      </c>
      <c r="E21" s="102">
        <v>137.9</v>
      </c>
      <c r="F21" s="102">
        <v>102.5</v>
      </c>
      <c r="G21" s="102">
        <v>152.6</v>
      </c>
      <c r="H21" s="102">
        <v>122</v>
      </c>
      <c r="I21" s="102">
        <v>211.2</v>
      </c>
      <c r="J21" s="102">
        <v>164.8</v>
      </c>
      <c r="K21" s="102">
        <v>59.1</v>
      </c>
      <c r="L21" s="102">
        <v>42.5</v>
      </c>
      <c r="M21" s="102">
        <v>63.4</v>
      </c>
      <c r="N21" s="102">
        <f t="shared" si="1"/>
        <v>244.3</v>
      </c>
      <c r="O21" s="102">
        <f t="shared" si="2"/>
        <v>753.09999999999991</v>
      </c>
      <c r="P21" s="102">
        <f t="shared" si="3"/>
        <v>165</v>
      </c>
      <c r="Q21" s="102">
        <f t="shared" si="4"/>
        <v>1162.3999999999999</v>
      </c>
      <c r="R21" s="102"/>
      <c r="S21" s="102"/>
      <c r="T21" s="102"/>
      <c r="U21" s="102"/>
      <c r="V21" s="102"/>
      <c r="W21" s="102"/>
      <c r="X21" s="102"/>
      <c r="Y21" s="102"/>
      <c r="Z21" s="102"/>
      <c r="AA21" s="102"/>
      <c r="AB21" s="102"/>
      <c r="AC21" s="102"/>
      <c r="AD21" s="102"/>
      <c r="AE21" s="102"/>
      <c r="AF21" s="102"/>
      <c r="AG21" s="102"/>
    </row>
    <row r="22" spans="1:33">
      <c r="A22" s="102">
        <v>1975</v>
      </c>
      <c r="B22" s="102">
        <v>37.799999999999997</v>
      </c>
      <c r="C22" s="102">
        <v>43.6</v>
      </c>
      <c r="D22" s="102">
        <v>51.7</v>
      </c>
      <c r="E22" s="102">
        <v>58.8</v>
      </c>
      <c r="F22" s="102">
        <v>170.4</v>
      </c>
      <c r="G22" s="102">
        <v>110.5</v>
      </c>
      <c r="H22" s="102">
        <v>149.1</v>
      </c>
      <c r="I22" s="102">
        <v>219.7</v>
      </c>
      <c r="J22" s="102">
        <v>101.9</v>
      </c>
      <c r="K22" s="102">
        <v>102</v>
      </c>
      <c r="L22" s="102">
        <v>63.6</v>
      </c>
      <c r="M22" s="102">
        <v>26.8</v>
      </c>
      <c r="N22" s="102">
        <f t="shared" si="1"/>
        <v>191.90000000000003</v>
      </c>
      <c r="O22" s="102">
        <f t="shared" si="2"/>
        <v>751.6</v>
      </c>
      <c r="P22" s="102">
        <f t="shared" si="3"/>
        <v>192.4</v>
      </c>
      <c r="Q22" s="102">
        <f t="shared" si="4"/>
        <v>1135.8999999999999</v>
      </c>
      <c r="R22" s="102"/>
      <c r="S22" s="102"/>
      <c r="T22" s="102"/>
      <c r="U22" s="102"/>
      <c r="V22" s="102"/>
      <c r="W22" s="102"/>
      <c r="X22" s="102"/>
      <c r="Y22" s="102"/>
      <c r="Z22" s="102"/>
      <c r="AA22" s="102"/>
      <c r="AB22" s="102"/>
      <c r="AC22" s="102"/>
      <c r="AD22" s="102"/>
      <c r="AE22" s="102"/>
      <c r="AF22" s="102"/>
      <c r="AG22" s="102"/>
    </row>
    <row r="23" spans="1:33">
      <c r="A23" s="102">
        <v>1976</v>
      </c>
      <c r="B23" s="102">
        <v>46.6</v>
      </c>
      <c r="C23" s="102">
        <v>29.7</v>
      </c>
      <c r="D23" s="102">
        <v>53.3</v>
      </c>
      <c r="E23" s="102">
        <v>94.6</v>
      </c>
      <c r="F23" s="102">
        <v>223</v>
      </c>
      <c r="G23" s="102">
        <v>165.1</v>
      </c>
      <c r="H23" s="102">
        <v>249.2</v>
      </c>
      <c r="I23" s="102">
        <v>128.6</v>
      </c>
      <c r="J23" s="102">
        <v>128.69999999999999</v>
      </c>
      <c r="K23" s="102">
        <v>80.400000000000006</v>
      </c>
      <c r="L23" s="102">
        <v>42.2</v>
      </c>
      <c r="M23" s="102">
        <v>39.6</v>
      </c>
      <c r="N23" s="102">
        <f t="shared" si="1"/>
        <v>224.2</v>
      </c>
      <c r="O23" s="102">
        <f t="shared" si="2"/>
        <v>894.59999999999991</v>
      </c>
      <c r="P23" s="102">
        <f t="shared" si="3"/>
        <v>162.20000000000002</v>
      </c>
      <c r="Q23" s="102">
        <f t="shared" si="4"/>
        <v>1281</v>
      </c>
      <c r="R23" s="102"/>
      <c r="S23" s="102"/>
      <c r="T23" s="102"/>
      <c r="U23" s="102"/>
      <c r="V23" s="102"/>
      <c r="W23" s="102"/>
      <c r="X23" s="102"/>
      <c r="Y23" s="102"/>
      <c r="Z23" s="102"/>
      <c r="AA23" s="102"/>
      <c r="AB23" s="102"/>
      <c r="AC23" s="102"/>
      <c r="AD23" s="102"/>
      <c r="AE23" s="102"/>
      <c r="AF23" s="102"/>
      <c r="AG23" s="102"/>
    </row>
    <row r="24" spans="1:33">
      <c r="A24" s="102">
        <v>1977</v>
      </c>
      <c r="B24" s="102">
        <v>31.9</v>
      </c>
      <c r="C24" s="102">
        <v>41.7</v>
      </c>
      <c r="D24" s="102">
        <v>49</v>
      </c>
      <c r="E24" s="102">
        <v>115.7</v>
      </c>
      <c r="F24" s="102">
        <v>122.1</v>
      </c>
      <c r="G24" s="102">
        <v>229.3</v>
      </c>
      <c r="H24" s="102">
        <v>275.39999999999998</v>
      </c>
      <c r="I24" s="102">
        <v>237.4</v>
      </c>
      <c r="J24" s="102">
        <v>114.2</v>
      </c>
      <c r="K24" s="102">
        <v>75.900000000000006</v>
      </c>
      <c r="L24" s="102">
        <v>86.6</v>
      </c>
      <c r="M24" s="102">
        <v>35.700000000000003</v>
      </c>
      <c r="N24" s="102">
        <f t="shared" si="1"/>
        <v>238.3</v>
      </c>
      <c r="O24" s="102">
        <f t="shared" si="2"/>
        <v>978.4</v>
      </c>
      <c r="P24" s="102">
        <f t="shared" si="3"/>
        <v>198.2</v>
      </c>
      <c r="Q24" s="102">
        <f t="shared" si="4"/>
        <v>1414.9</v>
      </c>
      <c r="R24" s="102"/>
      <c r="S24" s="102"/>
      <c r="T24" s="102"/>
      <c r="U24" s="102"/>
      <c r="V24" s="102"/>
      <c r="W24" s="102"/>
      <c r="X24" s="102"/>
      <c r="Y24" s="102"/>
      <c r="Z24" s="102"/>
      <c r="AA24" s="102"/>
      <c r="AB24" s="102"/>
      <c r="AC24" s="102"/>
      <c r="AD24" s="102"/>
      <c r="AE24" s="102"/>
      <c r="AF24" s="102"/>
      <c r="AG24" s="102"/>
    </row>
    <row r="25" spans="1:33">
      <c r="A25" s="102">
        <v>1978</v>
      </c>
      <c r="B25" s="102">
        <v>38.200000000000003</v>
      </c>
      <c r="C25" s="102">
        <v>24.7</v>
      </c>
      <c r="D25" s="102">
        <v>39.5</v>
      </c>
      <c r="E25" s="102">
        <v>62.4</v>
      </c>
      <c r="F25" s="102">
        <v>222.2</v>
      </c>
      <c r="G25" s="102">
        <v>154</v>
      </c>
      <c r="H25" s="102">
        <v>86.9</v>
      </c>
      <c r="I25" s="102">
        <v>79.5</v>
      </c>
      <c r="J25" s="102">
        <v>71.900000000000006</v>
      </c>
      <c r="K25" s="102">
        <v>93.2</v>
      </c>
      <c r="L25" s="102">
        <v>81.099999999999994</v>
      </c>
      <c r="M25" s="102">
        <v>15.4</v>
      </c>
      <c r="N25" s="102">
        <f t="shared" si="1"/>
        <v>164.8</v>
      </c>
      <c r="O25" s="102">
        <f t="shared" si="2"/>
        <v>614.5</v>
      </c>
      <c r="P25" s="102">
        <f t="shared" si="3"/>
        <v>189.70000000000002</v>
      </c>
      <c r="Q25" s="102">
        <f t="shared" si="4"/>
        <v>969</v>
      </c>
      <c r="R25" s="102"/>
      <c r="S25" s="102"/>
      <c r="T25" s="102"/>
      <c r="U25" s="102"/>
      <c r="V25" s="102"/>
      <c r="W25" s="102"/>
      <c r="X25" s="102"/>
      <c r="Y25" s="102"/>
      <c r="Z25" s="102"/>
      <c r="AA25" s="102"/>
      <c r="AB25" s="102"/>
      <c r="AC25" s="102"/>
      <c r="AD25" s="102"/>
      <c r="AE25" s="102"/>
      <c r="AF25" s="102"/>
      <c r="AG25" s="102"/>
    </row>
    <row r="26" spans="1:33">
      <c r="A26" s="102">
        <v>1979</v>
      </c>
      <c r="B26" s="102">
        <v>33.4</v>
      </c>
      <c r="C26" s="102">
        <v>20.2</v>
      </c>
      <c r="D26" s="102">
        <v>47</v>
      </c>
      <c r="E26" s="102">
        <v>57.8</v>
      </c>
      <c r="F26" s="102">
        <v>113.4</v>
      </c>
      <c r="G26" s="102">
        <v>223.3</v>
      </c>
      <c r="H26" s="102">
        <v>205.2</v>
      </c>
      <c r="I26" s="102">
        <v>186.7</v>
      </c>
      <c r="J26" s="102">
        <v>152.9</v>
      </c>
      <c r="K26" s="102">
        <v>64</v>
      </c>
      <c r="L26" s="102">
        <v>44.4</v>
      </c>
      <c r="M26" s="102">
        <v>32.4</v>
      </c>
      <c r="N26" s="102">
        <f t="shared" si="1"/>
        <v>158.39999999999998</v>
      </c>
      <c r="O26" s="102">
        <f t="shared" si="2"/>
        <v>881.50000000000011</v>
      </c>
      <c r="P26" s="102">
        <f t="shared" si="3"/>
        <v>140.80000000000001</v>
      </c>
      <c r="Q26" s="102">
        <f t="shared" si="4"/>
        <v>1180.7000000000003</v>
      </c>
      <c r="R26" s="102"/>
      <c r="S26" s="102"/>
      <c r="T26" s="102"/>
      <c r="U26" s="102"/>
      <c r="V26" s="102"/>
      <c r="W26" s="102"/>
      <c r="X26" s="102"/>
      <c r="Y26" s="102"/>
      <c r="Z26" s="102"/>
      <c r="AA26" s="102"/>
      <c r="AB26" s="102"/>
      <c r="AC26" s="102"/>
      <c r="AD26" s="102"/>
      <c r="AE26" s="102"/>
      <c r="AF26" s="102"/>
      <c r="AG26" s="102"/>
    </row>
    <row r="27" spans="1:33">
      <c r="A27" s="102">
        <v>1980</v>
      </c>
      <c r="B27" s="102">
        <v>45.1</v>
      </c>
      <c r="C27" s="102">
        <v>27.5</v>
      </c>
      <c r="D27" s="102">
        <v>36.6</v>
      </c>
      <c r="E27" s="102">
        <v>96.7</v>
      </c>
      <c r="F27" s="102">
        <v>69.2</v>
      </c>
      <c r="G27" s="102">
        <v>75.3</v>
      </c>
      <c r="H27" s="102">
        <v>106.6</v>
      </c>
      <c r="I27" s="102">
        <v>260.7</v>
      </c>
      <c r="J27" s="102">
        <v>90.8</v>
      </c>
      <c r="K27" s="102">
        <v>101.3</v>
      </c>
      <c r="L27" s="102">
        <v>53.5</v>
      </c>
      <c r="M27" s="102">
        <v>36.6</v>
      </c>
      <c r="N27" s="102">
        <f t="shared" si="1"/>
        <v>205.89999999999998</v>
      </c>
      <c r="O27" s="102">
        <f t="shared" si="2"/>
        <v>602.59999999999991</v>
      </c>
      <c r="P27" s="102">
        <f t="shared" si="3"/>
        <v>191.4</v>
      </c>
      <c r="Q27" s="102">
        <f t="shared" si="4"/>
        <v>999.9</v>
      </c>
      <c r="R27" s="102"/>
      <c r="S27" s="102"/>
      <c r="T27" s="102"/>
      <c r="U27" s="102"/>
      <c r="V27" s="102"/>
      <c r="W27" s="102"/>
      <c r="X27" s="102"/>
      <c r="Y27" s="102"/>
      <c r="Z27" s="102"/>
      <c r="AA27" s="102"/>
      <c r="AB27" s="102"/>
      <c r="AC27" s="102"/>
      <c r="AD27" s="102"/>
      <c r="AE27" s="102"/>
      <c r="AF27" s="102"/>
      <c r="AG27" s="102"/>
    </row>
    <row r="28" spans="1:33">
      <c r="A28" s="102">
        <v>1981</v>
      </c>
      <c r="B28" s="102">
        <v>28.7</v>
      </c>
      <c r="C28" s="102">
        <v>29</v>
      </c>
      <c r="D28" s="102">
        <v>27</v>
      </c>
      <c r="E28" s="102">
        <v>88.9</v>
      </c>
      <c r="F28" s="102">
        <v>171.2</v>
      </c>
      <c r="G28" s="102">
        <v>81.7</v>
      </c>
      <c r="H28" s="102">
        <v>222.3</v>
      </c>
      <c r="I28" s="102">
        <v>114.1</v>
      </c>
      <c r="J28" s="102">
        <v>51</v>
      </c>
      <c r="K28" s="102">
        <v>112.1</v>
      </c>
      <c r="L28" s="102">
        <v>73.8</v>
      </c>
      <c r="M28" s="102">
        <v>61.6</v>
      </c>
      <c r="N28" s="102">
        <f t="shared" si="1"/>
        <v>173.60000000000002</v>
      </c>
      <c r="O28" s="102">
        <f t="shared" si="2"/>
        <v>640.29999999999995</v>
      </c>
      <c r="P28" s="102">
        <f t="shared" si="3"/>
        <v>247.49999999999997</v>
      </c>
      <c r="Q28" s="102">
        <f t="shared" si="4"/>
        <v>1061.3999999999999</v>
      </c>
      <c r="R28" s="102"/>
      <c r="S28" s="102"/>
      <c r="T28" s="102"/>
      <c r="U28" s="102"/>
      <c r="V28" s="102"/>
      <c r="W28" s="102"/>
      <c r="X28" s="102"/>
      <c r="Y28" s="102"/>
      <c r="Z28" s="102"/>
      <c r="AA28" s="102"/>
      <c r="AB28" s="102"/>
      <c r="AC28" s="102"/>
      <c r="AD28" s="102"/>
      <c r="AE28" s="102"/>
      <c r="AF28" s="102"/>
      <c r="AG28" s="102"/>
    </row>
    <row r="29" spans="1:33">
      <c r="A29" s="102">
        <v>1982</v>
      </c>
      <c r="B29" s="102">
        <v>25</v>
      </c>
      <c r="C29" s="102">
        <v>32.1</v>
      </c>
      <c r="D29" s="102">
        <v>33.700000000000003</v>
      </c>
      <c r="E29" s="102">
        <v>70.8</v>
      </c>
      <c r="F29" s="102">
        <v>248.5</v>
      </c>
      <c r="G29" s="102">
        <v>204.5</v>
      </c>
      <c r="H29" s="102">
        <v>267.7</v>
      </c>
      <c r="I29" s="102">
        <v>68.5</v>
      </c>
      <c r="J29" s="102">
        <v>119.4</v>
      </c>
      <c r="K29" s="102">
        <v>57.4</v>
      </c>
      <c r="L29" s="102">
        <v>80.8</v>
      </c>
      <c r="M29" s="102">
        <v>33.299999999999997</v>
      </c>
      <c r="N29" s="102">
        <f t="shared" si="1"/>
        <v>161.60000000000002</v>
      </c>
      <c r="O29" s="102">
        <f t="shared" si="2"/>
        <v>908.6</v>
      </c>
      <c r="P29" s="102">
        <f t="shared" si="3"/>
        <v>171.5</v>
      </c>
      <c r="Q29" s="102">
        <f t="shared" si="4"/>
        <v>1241.7</v>
      </c>
      <c r="R29" s="102"/>
      <c r="S29" s="102"/>
      <c r="T29" s="102"/>
      <c r="U29" s="102"/>
      <c r="V29" s="102"/>
      <c r="W29" s="102"/>
      <c r="X29" s="102"/>
      <c r="Y29" s="102"/>
      <c r="Z29" s="102"/>
      <c r="AA29" s="102"/>
      <c r="AB29" s="102"/>
      <c r="AC29" s="102"/>
      <c r="AD29" s="102"/>
      <c r="AE29" s="102"/>
      <c r="AF29" s="102"/>
      <c r="AG29" s="102"/>
    </row>
    <row r="30" spans="1:33">
      <c r="A30" s="102">
        <v>1983</v>
      </c>
      <c r="B30" s="102">
        <v>35.1</v>
      </c>
      <c r="C30" s="102">
        <v>41.2</v>
      </c>
      <c r="D30" s="102">
        <v>70.099999999999994</v>
      </c>
      <c r="E30" s="102">
        <v>136</v>
      </c>
      <c r="F30" s="102">
        <v>215.3</v>
      </c>
      <c r="G30" s="102">
        <v>110.6</v>
      </c>
      <c r="H30" s="102">
        <v>158.4</v>
      </c>
      <c r="I30" s="102">
        <v>166</v>
      </c>
      <c r="J30" s="102">
        <v>239.6</v>
      </c>
      <c r="K30" s="102">
        <v>80</v>
      </c>
      <c r="L30" s="102">
        <v>64.099999999999994</v>
      </c>
      <c r="M30" s="102">
        <v>29.5</v>
      </c>
      <c r="N30" s="102">
        <f t="shared" si="1"/>
        <v>282.39999999999998</v>
      </c>
      <c r="O30" s="102">
        <f t="shared" si="2"/>
        <v>889.9</v>
      </c>
      <c r="P30" s="102">
        <f t="shared" si="3"/>
        <v>173.6</v>
      </c>
      <c r="Q30" s="102">
        <f t="shared" si="4"/>
        <v>1345.8999999999999</v>
      </c>
      <c r="R30" s="102"/>
      <c r="S30" s="102"/>
      <c r="T30" s="102"/>
      <c r="U30" s="102"/>
      <c r="V30" s="102"/>
      <c r="W30" s="102"/>
      <c r="X30" s="102"/>
      <c r="Y30" s="102"/>
      <c r="Z30" s="102"/>
      <c r="AA30" s="102"/>
      <c r="AB30" s="102"/>
      <c r="AC30" s="102"/>
      <c r="AD30" s="102"/>
      <c r="AE30" s="102"/>
      <c r="AF30" s="102"/>
      <c r="AG30" s="102"/>
    </row>
    <row r="31" spans="1:33">
      <c r="A31" s="102">
        <v>1984</v>
      </c>
      <c r="B31" s="102">
        <v>17.7</v>
      </c>
      <c r="C31" s="102">
        <v>35.4</v>
      </c>
      <c r="D31" s="102">
        <v>64.5</v>
      </c>
      <c r="E31" s="102">
        <v>62.5</v>
      </c>
      <c r="F31" s="102">
        <v>267.39999999999998</v>
      </c>
      <c r="G31" s="102">
        <v>41.4</v>
      </c>
      <c r="H31" s="102">
        <v>188.1</v>
      </c>
      <c r="I31" s="102">
        <v>278.39999999999998</v>
      </c>
      <c r="J31" s="102">
        <v>64.3</v>
      </c>
      <c r="K31" s="102">
        <v>61.9</v>
      </c>
      <c r="L31" s="102">
        <v>42.5</v>
      </c>
      <c r="M31" s="102">
        <v>48.3</v>
      </c>
      <c r="N31" s="102">
        <f t="shared" si="1"/>
        <v>180.1</v>
      </c>
      <c r="O31" s="102">
        <f t="shared" si="2"/>
        <v>839.59999999999991</v>
      </c>
      <c r="P31" s="102">
        <f t="shared" si="3"/>
        <v>152.69999999999999</v>
      </c>
      <c r="Q31" s="102">
        <f t="shared" si="4"/>
        <v>1172.3999999999999</v>
      </c>
      <c r="R31" s="102"/>
      <c r="S31" s="102"/>
      <c r="T31" s="102"/>
      <c r="U31" s="102"/>
      <c r="V31" s="102"/>
      <c r="W31" s="102"/>
      <c r="X31" s="102"/>
      <c r="Y31" s="102"/>
      <c r="Z31" s="102"/>
      <c r="AA31" s="102"/>
      <c r="AB31" s="102"/>
      <c r="AC31" s="102"/>
      <c r="AD31" s="102"/>
      <c r="AE31" s="102"/>
      <c r="AF31" s="102"/>
      <c r="AG31" s="102"/>
    </row>
    <row r="32" spans="1:33">
      <c r="A32" s="102">
        <v>1985</v>
      </c>
      <c r="B32" s="102">
        <v>49</v>
      </c>
      <c r="C32" s="102">
        <v>24.8</v>
      </c>
      <c r="D32" s="102">
        <v>79.8</v>
      </c>
      <c r="E32" s="102">
        <v>63.9</v>
      </c>
      <c r="F32" s="102">
        <v>183</v>
      </c>
      <c r="G32" s="102">
        <v>218.8</v>
      </c>
      <c r="H32" s="102">
        <v>167.8</v>
      </c>
      <c r="I32" s="102">
        <v>184.5</v>
      </c>
      <c r="J32" s="102">
        <v>145.9</v>
      </c>
      <c r="K32" s="102">
        <v>95.2</v>
      </c>
      <c r="L32" s="102">
        <v>55.4</v>
      </c>
      <c r="M32" s="102">
        <v>35</v>
      </c>
      <c r="N32" s="102">
        <f t="shared" si="1"/>
        <v>217.5</v>
      </c>
      <c r="O32" s="102">
        <f t="shared" si="2"/>
        <v>900</v>
      </c>
      <c r="P32" s="102">
        <f t="shared" si="3"/>
        <v>185.6</v>
      </c>
      <c r="Q32" s="102">
        <f t="shared" si="4"/>
        <v>1303.1000000000001</v>
      </c>
      <c r="R32" s="102"/>
      <c r="S32" s="102"/>
      <c r="T32" s="102"/>
      <c r="U32" s="102"/>
      <c r="V32" s="102"/>
      <c r="W32" s="102"/>
      <c r="X32" s="102"/>
      <c r="Y32" s="102"/>
      <c r="Z32" s="102"/>
      <c r="AA32" s="102"/>
      <c r="AB32" s="102"/>
      <c r="AC32" s="102"/>
      <c r="AD32" s="102"/>
      <c r="AE32" s="102"/>
      <c r="AF32" s="102"/>
      <c r="AG32" s="102"/>
    </row>
    <row r="33" spans="1:33">
      <c r="A33" s="102">
        <v>1986</v>
      </c>
      <c r="B33" s="102">
        <v>29.7</v>
      </c>
      <c r="C33" s="102">
        <v>36.9</v>
      </c>
      <c r="D33" s="102">
        <v>39.799999999999997</v>
      </c>
      <c r="E33" s="102">
        <v>46.7</v>
      </c>
      <c r="F33" s="102">
        <v>75.900000000000006</v>
      </c>
      <c r="G33" s="102">
        <v>217.4</v>
      </c>
      <c r="H33" s="102">
        <v>225.8</v>
      </c>
      <c r="I33" s="102">
        <v>92.7</v>
      </c>
      <c r="J33" s="102">
        <v>170.7</v>
      </c>
      <c r="K33" s="102">
        <v>45.3</v>
      </c>
      <c r="L33" s="102">
        <v>80.099999999999994</v>
      </c>
      <c r="M33" s="102">
        <v>19</v>
      </c>
      <c r="N33" s="102">
        <f t="shared" si="1"/>
        <v>153.1</v>
      </c>
      <c r="O33" s="102">
        <f t="shared" si="2"/>
        <v>782.5</v>
      </c>
      <c r="P33" s="102">
        <f t="shared" si="3"/>
        <v>144.39999999999998</v>
      </c>
      <c r="Q33" s="102">
        <f t="shared" si="4"/>
        <v>1080</v>
      </c>
      <c r="R33" s="102"/>
      <c r="S33" s="102"/>
      <c r="T33" s="102"/>
      <c r="U33" s="102"/>
      <c r="V33" s="102"/>
      <c r="W33" s="102"/>
      <c r="X33" s="102"/>
      <c r="Y33" s="102"/>
      <c r="Z33" s="102"/>
      <c r="AA33" s="102"/>
      <c r="AB33" s="102"/>
      <c r="AC33" s="102"/>
      <c r="AD33" s="102"/>
      <c r="AE33" s="102"/>
      <c r="AF33" s="102"/>
      <c r="AG33" s="102"/>
    </row>
    <row r="34" spans="1:33">
      <c r="A34" s="102">
        <v>1987</v>
      </c>
      <c r="B34" s="102">
        <v>21.7</v>
      </c>
      <c r="C34" s="102">
        <v>40.700000000000003</v>
      </c>
      <c r="D34" s="102">
        <v>43.7</v>
      </c>
      <c r="E34" s="102">
        <v>59.3</v>
      </c>
      <c r="F34" s="102">
        <v>113</v>
      </c>
      <c r="G34" s="102">
        <v>130.4</v>
      </c>
      <c r="H34" s="102">
        <v>146.6</v>
      </c>
      <c r="I34" s="102">
        <v>186</v>
      </c>
      <c r="J34" s="102">
        <v>95.6</v>
      </c>
      <c r="K34" s="102">
        <v>76.3</v>
      </c>
      <c r="L34" s="102">
        <v>47</v>
      </c>
      <c r="M34" s="102">
        <v>13.2</v>
      </c>
      <c r="N34" s="102">
        <f t="shared" si="1"/>
        <v>165.4</v>
      </c>
      <c r="O34" s="102">
        <f t="shared" si="2"/>
        <v>671.6</v>
      </c>
      <c r="P34" s="102">
        <f t="shared" si="3"/>
        <v>136.5</v>
      </c>
      <c r="Q34" s="102">
        <f t="shared" si="4"/>
        <v>973.5</v>
      </c>
      <c r="R34" s="102"/>
      <c r="S34" s="102"/>
      <c r="T34" s="102"/>
      <c r="U34" s="102"/>
      <c r="V34" s="102"/>
      <c r="W34" s="102"/>
      <c r="X34" s="102"/>
      <c r="Y34" s="102"/>
      <c r="Z34" s="102"/>
      <c r="AA34" s="102"/>
      <c r="AB34" s="102"/>
      <c r="AC34" s="102"/>
      <c r="AD34" s="102"/>
      <c r="AE34" s="102"/>
      <c r="AF34" s="102"/>
      <c r="AG34" s="102"/>
    </row>
    <row r="35" spans="1:33">
      <c r="A35" s="102">
        <v>1988</v>
      </c>
      <c r="B35" s="102">
        <v>26</v>
      </c>
      <c r="C35" s="102">
        <v>37.6</v>
      </c>
      <c r="D35" s="102">
        <v>62.8</v>
      </c>
      <c r="E35" s="102">
        <v>76.2</v>
      </c>
      <c r="F35" s="102">
        <v>224.5</v>
      </c>
      <c r="G35" s="102">
        <v>80.099999999999994</v>
      </c>
      <c r="H35" s="102">
        <v>283</v>
      </c>
      <c r="I35" s="102">
        <v>214.8</v>
      </c>
      <c r="J35" s="102">
        <v>191.1</v>
      </c>
      <c r="K35" s="102">
        <v>109.9</v>
      </c>
      <c r="L35" s="102">
        <v>41</v>
      </c>
      <c r="M35" s="102">
        <v>36.799999999999997</v>
      </c>
      <c r="N35" s="102">
        <f t="shared" si="1"/>
        <v>202.60000000000002</v>
      </c>
      <c r="O35" s="102">
        <f t="shared" si="2"/>
        <v>993.50000000000011</v>
      </c>
      <c r="P35" s="102">
        <f t="shared" si="3"/>
        <v>187.7</v>
      </c>
      <c r="Q35" s="102">
        <f t="shared" si="4"/>
        <v>1383.8</v>
      </c>
      <c r="R35" s="102"/>
      <c r="S35" s="102"/>
      <c r="T35" s="102"/>
      <c r="U35" s="102"/>
      <c r="V35" s="102"/>
      <c r="W35" s="102"/>
      <c r="X35" s="102"/>
      <c r="Y35" s="102"/>
      <c r="Z35" s="102"/>
      <c r="AA35" s="102"/>
      <c r="AB35" s="102"/>
      <c r="AC35" s="102"/>
      <c r="AD35" s="102"/>
      <c r="AE35" s="102"/>
      <c r="AF35" s="102"/>
      <c r="AG35" s="102"/>
    </row>
    <row r="36" spans="1:33">
      <c r="A36" s="102">
        <v>1989</v>
      </c>
      <c r="B36" s="102">
        <v>41.8</v>
      </c>
      <c r="C36" s="102">
        <v>26.9</v>
      </c>
      <c r="D36" s="102">
        <v>61.8</v>
      </c>
      <c r="E36" s="102">
        <v>121.9</v>
      </c>
      <c r="F36" s="102">
        <v>132.9</v>
      </c>
      <c r="G36" s="102">
        <v>125.7</v>
      </c>
      <c r="H36" s="102">
        <v>238.7</v>
      </c>
      <c r="I36" s="102">
        <v>108.9</v>
      </c>
      <c r="J36" s="102">
        <v>91.1</v>
      </c>
      <c r="K36" s="102">
        <v>109.6</v>
      </c>
      <c r="L36" s="102">
        <v>43.2</v>
      </c>
      <c r="M36" s="102">
        <v>41.5</v>
      </c>
      <c r="N36" s="102">
        <f t="shared" si="1"/>
        <v>252.4</v>
      </c>
      <c r="O36" s="102">
        <f t="shared" si="2"/>
        <v>697.30000000000007</v>
      </c>
      <c r="P36" s="102">
        <f t="shared" si="3"/>
        <v>194.3</v>
      </c>
      <c r="Q36" s="102">
        <f t="shared" si="4"/>
        <v>1144</v>
      </c>
      <c r="R36" s="102"/>
      <c r="S36" s="102"/>
      <c r="T36" s="102"/>
      <c r="U36" s="102"/>
      <c r="V36" s="102"/>
      <c r="W36" s="102"/>
      <c r="X36" s="102"/>
      <c r="Y36" s="102"/>
      <c r="Z36" s="102"/>
      <c r="AA36" s="102"/>
      <c r="AB36" s="102"/>
      <c r="AC36" s="102"/>
      <c r="AD36" s="102"/>
      <c r="AE36" s="102"/>
      <c r="AF36" s="102"/>
      <c r="AG36" s="102"/>
    </row>
    <row r="37" spans="1:33">
      <c r="A37" s="102">
        <v>1990</v>
      </c>
      <c r="B37" s="102">
        <v>31.9</v>
      </c>
      <c r="C37" s="102">
        <v>27.7</v>
      </c>
      <c r="D37" s="102">
        <v>46.5</v>
      </c>
      <c r="E37" s="102">
        <v>81.400000000000006</v>
      </c>
      <c r="F37" s="102">
        <v>166.9</v>
      </c>
      <c r="G37" s="102">
        <v>181.9</v>
      </c>
      <c r="H37" s="102">
        <v>184.1</v>
      </c>
      <c r="I37" s="102">
        <v>113.7</v>
      </c>
      <c r="J37" s="102">
        <v>74.7</v>
      </c>
      <c r="K37" s="102">
        <v>164.2</v>
      </c>
      <c r="L37" s="102">
        <v>40</v>
      </c>
      <c r="M37" s="102">
        <v>19.7</v>
      </c>
      <c r="N37" s="102">
        <f t="shared" si="1"/>
        <v>187.5</v>
      </c>
      <c r="O37" s="102">
        <f t="shared" si="2"/>
        <v>721.30000000000007</v>
      </c>
      <c r="P37" s="102">
        <f t="shared" si="3"/>
        <v>223.89999999999998</v>
      </c>
      <c r="Q37" s="102">
        <f t="shared" si="4"/>
        <v>1132.7</v>
      </c>
      <c r="R37" s="102"/>
      <c r="S37" s="102"/>
      <c r="T37" s="102"/>
      <c r="U37" s="102"/>
      <c r="V37" s="102"/>
      <c r="W37" s="102"/>
      <c r="X37" s="102"/>
      <c r="Y37" s="102"/>
      <c r="Z37" s="102"/>
      <c r="AA37" s="102"/>
      <c r="AB37" s="102"/>
      <c r="AC37" s="102"/>
      <c r="AD37" s="102"/>
      <c r="AE37" s="102"/>
      <c r="AF37" s="102"/>
      <c r="AG37" s="102"/>
    </row>
    <row r="38" spans="1:33">
      <c r="A38" s="102">
        <v>1991</v>
      </c>
      <c r="B38" s="102">
        <v>33.9</v>
      </c>
      <c r="C38" s="102">
        <v>39.9</v>
      </c>
      <c r="D38" s="102">
        <v>40.799999999999997</v>
      </c>
      <c r="E38" s="102">
        <v>54.7</v>
      </c>
      <c r="F38" s="102">
        <v>78.8</v>
      </c>
      <c r="G38" s="102">
        <v>293.3</v>
      </c>
      <c r="H38" s="102">
        <v>134.4</v>
      </c>
      <c r="I38" s="102">
        <v>163.19999999999999</v>
      </c>
      <c r="J38" s="102">
        <v>158.1</v>
      </c>
      <c r="K38" s="102">
        <v>121.2</v>
      </c>
      <c r="L38" s="102">
        <v>42.2</v>
      </c>
      <c r="M38" s="102">
        <v>46.2</v>
      </c>
      <c r="N38" s="102">
        <f t="shared" si="1"/>
        <v>169.3</v>
      </c>
      <c r="O38" s="102">
        <f t="shared" si="2"/>
        <v>827.80000000000007</v>
      </c>
      <c r="P38" s="102">
        <f t="shared" si="3"/>
        <v>209.60000000000002</v>
      </c>
      <c r="Q38" s="102">
        <f t="shared" si="4"/>
        <v>1206.7</v>
      </c>
      <c r="R38" s="102"/>
      <c r="S38" s="102"/>
      <c r="T38" s="102"/>
      <c r="U38" s="102"/>
      <c r="V38" s="102"/>
      <c r="W38" s="102"/>
      <c r="X38" s="102"/>
      <c r="Y38" s="102"/>
      <c r="Z38" s="102"/>
      <c r="AA38" s="102"/>
      <c r="AB38" s="102"/>
      <c r="AC38" s="102"/>
      <c r="AD38" s="102"/>
      <c r="AE38" s="102"/>
      <c r="AF38" s="102"/>
      <c r="AG38" s="102"/>
    </row>
    <row r="39" spans="1:33">
      <c r="A39" s="102">
        <v>1992</v>
      </c>
      <c r="B39" s="102">
        <v>17.3</v>
      </c>
      <c r="C39" s="102">
        <v>42.9</v>
      </c>
      <c r="D39" s="102">
        <v>85.7</v>
      </c>
      <c r="E39" s="102">
        <v>181</v>
      </c>
      <c r="F39" s="102">
        <v>188.3</v>
      </c>
      <c r="G39" s="102">
        <v>139.30000000000001</v>
      </c>
      <c r="H39" s="102">
        <v>130.69999999999999</v>
      </c>
      <c r="I39" s="102">
        <v>185.6</v>
      </c>
      <c r="J39" s="102">
        <v>74.599999999999994</v>
      </c>
      <c r="K39" s="102">
        <v>128.69999999999999</v>
      </c>
      <c r="L39" s="102">
        <v>6.8</v>
      </c>
      <c r="M39" s="102">
        <v>20.8</v>
      </c>
      <c r="N39" s="102">
        <f t="shared" si="1"/>
        <v>326.89999999999998</v>
      </c>
      <c r="O39" s="102">
        <f t="shared" si="2"/>
        <v>718.5</v>
      </c>
      <c r="P39" s="102">
        <f t="shared" si="3"/>
        <v>156.30000000000001</v>
      </c>
      <c r="Q39" s="102">
        <f t="shared" si="4"/>
        <v>1201.7</v>
      </c>
      <c r="R39" s="102"/>
      <c r="S39" s="102"/>
      <c r="T39" s="102"/>
      <c r="U39" s="102"/>
      <c r="V39" s="102"/>
      <c r="W39" s="102"/>
      <c r="X39" s="102"/>
      <c r="Y39" s="102"/>
      <c r="Z39" s="102"/>
      <c r="AA39" s="102"/>
      <c r="AB39" s="102"/>
      <c r="AC39" s="102"/>
      <c r="AD39" s="102"/>
      <c r="AE39" s="102"/>
      <c r="AF39" s="102"/>
      <c r="AG39" s="102"/>
    </row>
    <row r="40" spans="1:33">
      <c r="A40" s="102">
        <v>1993</v>
      </c>
      <c r="B40" s="102">
        <v>29.8</v>
      </c>
      <c r="C40" s="102">
        <v>38.799999999999997</v>
      </c>
      <c r="D40" s="102">
        <v>44.9</v>
      </c>
      <c r="E40" s="102">
        <v>124.9</v>
      </c>
      <c r="F40" s="102">
        <v>49.1</v>
      </c>
      <c r="G40" s="102">
        <v>32.1</v>
      </c>
      <c r="H40" s="102">
        <v>218.3</v>
      </c>
      <c r="I40" s="102">
        <v>167.8</v>
      </c>
      <c r="J40" s="102">
        <v>59.5</v>
      </c>
      <c r="K40" s="102">
        <v>76.400000000000006</v>
      </c>
      <c r="L40" s="102">
        <v>39.299999999999997</v>
      </c>
      <c r="M40" s="102">
        <v>19.8</v>
      </c>
      <c r="N40" s="102">
        <f t="shared" si="1"/>
        <v>238.4</v>
      </c>
      <c r="O40" s="102">
        <f t="shared" si="2"/>
        <v>526.79999999999995</v>
      </c>
      <c r="P40" s="102">
        <f t="shared" si="3"/>
        <v>135.5</v>
      </c>
      <c r="Q40" s="102">
        <f t="shared" si="4"/>
        <v>900.69999999999993</v>
      </c>
      <c r="R40" s="102"/>
      <c r="S40" s="102"/>
      <c r="T40" s="102"/>
      <c r="U40" s="102"/>
      <c r="V40" s="102"/>
      <c r="W40" s="102"/>
      <c r="X40" s="102"/>
      <c r="Y40" s="102"/>
      <c r="Z40" s="102"/>
      <c r="AA40" s="102"/>
      <c r="AB40" s="102"/>
      <c r="AC40" s="102"/>
      <c r="AD40" s="102"/>
      <c r="AE40" s="102"/>
      <c r="AF40" s="102"/>
      <c r="AG40" s="102"/>
    </row>
    <row r="41" spans="1:33">
      <c r="A41" s="102">
        <v>1994</v>
      </c>
      <c r="B41" s="102">
        <v>18.7</v>
      </c>
      <c r="C41" s="102">
        <v>10.5</v>
      </c>
      <c r="D41" s="102">
        <v>76.3</v>
      </c>
      <c r="E41" s="102">
        <v>36.6</v>
      </c>
      <c r="F41" s="102">
        <v>96</v>
      </c>
      <c r="G41" s="102">
        <v>119.3</v>
      </c>
      <c r="H41" s="102">
        <v>77.900000000000006</v>
      </c>
      <c r="I41" s="102">
        <v>96.1</v>
      </c>
      <c r="J41" s="102">
        <v>169.6</v>
      </c>
      <c r="K41" s="102">
        <v>104.5</v>
      </c>
      <c r="L41" s="102">
        <v>55.5</v>
      </c>
      <c r="M41" s="102">
        <v>53.1</v>
      </c>
      <c r="N41" s="102">
        <f t="shared" si="1"/>
        <v>142.1</v>
      </c>
      <c r="O41" s="102">
        <f t="shared" si="2"/>
        <v>558.90000000000009</v>
      </c>
      <c r="P41" s="102">
        <f t="shared" si="3"/>
        <v>213.1</v>
      </c>
      <c r="Q41" s="102">
        <f t="shared" si="4"/>
        <v>914.1</v>
      </c>
      <c r="R41" s="102"/>
      <c r="S41" s="102"/>
      <c r="T41" s="102"/>
      <c r="U41" s="102"/>
      <c r="V41" s="102"/>
      <c r="W41" s="102"/>
      <c r="X41" s="102"/>
      <c r="Y41" s="102"/>
      <c r="Z41" s="102"/>
      <c r="AA41" s="102"/>
      <c r="AB41" s="102"/>
      <c r="AC41" s="102"/>
      <c r="AD41" s="102"/>
      <c r="AE41" s="102"/>
      <c r="AF41" s="102"/>
      <c r="AG41" s="102"/>
    </row>
    <row r="42" spans="1:33">
      <c r="A42" s="102">
        <v>1995</v>
      </c>
      <c r="B42" s="102">
        <v>32</v>
      </c>
      <c r="C42" s="102">
        <v>45.4</v>
      </c>
      <c r="D42" s="102">
        <v>42.9</v>
      </c>
      <c r="E42" s="102">
        <v>40.200000000000003</v>
      </c>
      <c r="F42" s="102">
        <v>231</v>
      </c>
      <c r="G42" s="102">
        <v>170.8</v>
      </c>
      <c r="H42" s="102">
        <v>207</v>
      </c>
      <c r="I42" s="102">
        <v>153.5</v>
      </c>
      <c r="J42" s="102">
        <v>73.7</v>
      </c>
      <c r="K42" s="102">
        <v>100.7</v>
      </c>
      <c r="L42" s="102">
        <v>66.099999999999994</v>
      </c>
      <c r="M42" s="102">
        <v>36</v>
      </c>
      <c r="N42" s="102">
        <f t="shared" si="1"/>
        <v>160.5</v>
      </c>
      <c r="O42" s="102">
        <f t="shared" si="2"/>
        <v>836</v>
      </c>
      <c r="P42" s="102">
        <f t="shared" si="3"/>
        <v>202.8</v>
      </c>
      <c r="Q42" s="102">
        <f t="shared" si="4"/>
        <v>1199.3</v>
      </c>
      <c r="R42" s="102"/>
      <c r="S42" s="102"/>
      <c r="T42" s="102"/>
      <c r="U42" s="102"/>
      <c r="V42" s="102"/>
      <c r="W42" s="102"/>
      <c r="X42" s="102"/>
      <c r="Y42" s="102"/>
      <c r="Z42" s="102"/>
      <c r="AA42" s="102"/>
      <c r="AB42" s="102"/>
      <c r="AC42" s="102"/>
      <c r="AD42" s="102"/>
      <c r="AE42" s="102"/>
      <c r="AF42" s="102"/>
      <c r="AG42" s="102"/>
    </row>
    <row r="43" spans="1:33">
      <c r="A43" s="102">
        <v>1996</v>
      </c>
      <c r="B43" s="102">
        <v>40.799999999999997</v>
      </c>
      <c r="C43" s="102">
        <v>13.1</v>
      </c>
      <c r="D43" s="102">
        <v>36.200000000000003</v>
      </c>
      <c r="E43" s="102">
        <v>75.400000000000006</v>
      </c>
      <c r="F43" s="102">
        <v>129.19999999999999</v>
      </c>
      <c r="G43" s="102">
        <v>223.4</v>
      </c>
      <c r="H43" s="102">
        <v>227.9</v>
      </c>
      <c r="I43" s="102">
        <v>175.6</v>
      </c>
      <c r="J43" s="102">
        <v>71.5</v>
      </c>
      <c r="K43" s="102">
        <v>40</v>
      </c>
      <c r="L43" s="102">
        <v>80.900000000000006</v>
      </c>
      <c r="M43" s="102">
        <v>19.5</v>
      </c>
      <c r="N43" s="102">
        <f t="shared" si="1"/>
        <v>165.5</v>
      </c>
      <c r="O43" s="102">
        <f t="shared" si="2"/>
        <v>827.6</v>
      </c>
      <c r="P43" s="102">
        <f t="shared" si="3"/>
        <v>140.4</v>
      </c>
      <c r="Q43" s="102">
        <f t="shared" si="4"/>
        <v>1133.5</v>
      </c>
      <c r="R43" s="102"/>
      <c r="S43" s="102"/>
      <c r="T43" s="102"/>
      <c r="U43" s="102"/>
      <c r="V43" s="102"/>
      <c r="W43" s="102"/>
      <c r="X43" s="102"/>
      <c r="Y43" s="102"/>
      <c r="Z43" s="102"/>
      <c r="AA43" s="102"/>
      <c r="AB43" s="102"/>
      <c r="AC43" s="102"/>
      <c r="AD43" s="102"/>
      <c r="AE43" s="102"/>
      <c r="AF43" s="102"/>
      <c r="AG43" s="102"/>
    </row>
    <row r="44" spans="1:33">
      <c r="A44" s="102">
        <v>1997</v>
      </c>
      <c r="B44" s="102">
        <v>29.8</v>
      </c>
      <c r="C44" s="102">
        <v>40.700000000000003</v>
      </c>
      <c r="D44" s="102">
        <v>13.4</v>
      </c>
      <c r="E44" s="102">
        <v>86.9</v>
      </c>
      <c r="F44" s="102">
        <v>99.8</v>
      </c>
      <c r="G44" s="102">
        <v>199.3</v>
      </c>
      <c r="H44" s="102">
        <v>151</v>
      </c>
      <c r="I44" s="102">
        <v>93.9</v>
      </c>
      <c r="J44" s="102">
        <v>176.6</v>
      </c>
      <c r="K44" s="102">
        <v>57.7</v>
      </c>
      <c r="L44" s="102">
        <v>21.5</v>
      </c>
      <c r="M44" s="102">
        <v>20.8</v>
      </c>
      <c r="N44" s="102">
        <f t="shared" si="1"/>
        <v>170.8</v>
      </c>
      <c r="O44" s="102">
        <f t="shared" si="2"/>
        <v>720.6</v>
      </c>
      <c r="P44" s="102">
        <f t="shared" si="3"/>
        <v>100</v>
      </c>
      <c r="Q44" s="102">
        <f t="shared" si="4"/>
        <v>991.40000000000009</v>
      </c>
      <c r="R44" s="102"/>
      <c r="S44" s="102"/>
      <c r="T44" s="102"/>
      <c r="U44" s="102"/>
      <c r="V44" s="102"/>
      <c r="W44" s="102"/>
      <c r="X44" s="102"/>
      <c r="Y44" s="102"/>
      <c r="Z44" s="102"/>
      <c r="AA44" s="102"/>
      <c r="AB44" s="102"/>
      <c r="AC44" s="102"/>
      <c r="AD44" s="102"/>
      <c r="AE44" s="102"/>
      <c r="AF44" s="102"/>
      <c r="AG44" s="102"/>
    </row>
    <row r="45" spans="1:33">
      <c r="A45" s="102">
        <v>1998</v>
      </c>
      <c r="B45" s="102">
        <v>39.700000000000003</v>
      </c>
      <c r="C45" s="102">
        <v>28.9</v>
      </c>
      <c r="D45" s="102">
        <v>22</v>
      </c>
      <c r="E45" s="102">
        <v>85.4</v>
      </c>
      <c r="F45" s="102">
        <v>110.6</v>
      </c>
      <c r="G45" s="102">
        <v>329</v>
      </c>
      <c r="H45" s="102">
        <v>288.39999999999998</v>
      </c>
      <c r="I45" s="102">
        <v>293.60000000000002</v>
      </c>
      <c r="J45" s="102">
        <v>83</v>
      </c>
      <c r="K45" s="102">
        <v>48.7</v>
      </c>
      <c r="L45" s="102">
        <v>15.6</v>
      </c>
      <c r="M45" s="102">
        <v>33.9</v>
      </c>
      <c r="N45" s="102">
        <f t="shared" si="1"/>
        <v>176</v>
      </c>
      <c r="O45" s="102">
        <f t="shared" si="2"/>
        <v>1104.5999999999999</v>
      </c>
      <c r="P45" s="102">
        <f t="shared" si="3"/>
        <v>98.199999999999989</v>
      </c>
      <c r="Q45" s="102">
        <f t="shared" si="4"/>
        <v>1378.8</v>
      </c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  <c r="AC45" s="102"/>
      <c r="AD45" s="102"/>
      <c r="AE45" s="102"/>
      <c r="AF45" s="102"/>
      <c r="AG45" s="102"/>
    </row>
    <row r="46" spans="1:33">
      <c r="A46" s="102">
        <v>1999</v>
      </c>
      <c r="B46" s="102">
        <v>30.8</v>
      </c>
      <c r="C46" s="102">
        <v>18.8</v>
      </c>
      <c r="D46" s="102">
        <v>35.5</v>
      </c>
      <c r="E46" s="102">
        <v>144.5</v>
      </c>
      <c r="F46" s="102">
        <v>233.2</v>
      </c>
      <c r="G46" s="102">
        <v>158.5</v>
      </c>
      <c r="H46" s="102">
        <v>240.4</v>
      </c>
      <c r="I46" s="102">
        <v>183.2</v>
      </c>
      <c r="J46" s="102">
        <v>122.8</v>
      </c>
      <c r="K46" s="102">
        <v>129.4</v>
      </c>
      <c r="L46" s="102">
        <v>65.2</v>
      </c>
      <c r="M46" s="102">
        <v>28.6</v>
      </c>
      <c r="N46" s="102">
        <f t="shared" si="1"/>
        <v>229.6</v>
      </c>
      <c r="O46" s="102">
        <f t="shared" si="2"/>
        <v>938.09999999999991</v>
      </c>
      <c r="P46" s="102">
        <f t="shared" si="3"/>
        <v>223.20000000000002</v>
      </c>
      <c r="Q46" s="102">
        <f t="shared" si="4"/>
        <v>1390.8999999999999</v>
      </c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  <c r="AC46" s="102"/>
      <c r="AD46" s="102"/>
      <c r="AE46" s="102"/>
      <c r="AF46" s="102"/>
      <c r="AG46" s="102"/>
    </row>
    <row r="47" spans="1:33">
      <c r="A47" s="102">
        <v>2000</v>
      </c>
      <c r="B47" s="102">
        <v>22.7</v>
      </c>
      <c r="C47" s="102">
        <v>18.399999999999999</v>
      </c>
      <c r="D47" s="102">
        <v>49.4</v>
      </c>
      <c r="E47" s="102">
        <v>133</v>
      </c>
      <c r="F47" s="102">
        <v>90.7</v>
      </c>
      <c r="G47" s="102">
        <v>147.69999999999999</v>
      </c>
      <c r="H47" s="102">
        <v>111.3</v>
      </c>
      <c r="I47" s="102">
        <v>266</v>
      </c>
      <c r="J47" s="102">
        <v>181.7</v>
      </c>
      <c r="K47" s="102">
        <v>74.3</v>
      </c>
      <c r="L47" s="102">
        <v>33.700000000000003</v>
      </c>
      <c r="M47" s="102">
        <v>25.1</v>
      </c>
      <c r="N47" s="102">
        <f t="shared" si="1"/>
        <v>223.5</v>
      </c>
      <c r="O47" s="102">
        <f t="shared" si="2"/>
        <v>797.40000000000009</v>
      </c>
      <c r="P47" s="102">
        <f t="shared" si="3"/>
        <v>133.1</v>
      </c>
      <c r="Q47" s="102">
        <f t="shared" si="4"/>
        <v>1153.9999999999998</v>
      </c>
      <c r="R47" s="102"/>
      <c r="S47" s="102"/>
      <c r="T47" s="102"/>
      <c r="U47" s="102"/>
      <c r="V47" s="102"/>
      <c r="W47" s="102"/>
      <c r="X47" s="102"/>
      <c r="Y47" s="102"/>
      <c r="Z47" s="102"/>
      <c r="AA47" s="102"/>
      <c r="AB47" s="102"/>
      <c r="AC47" s="102"/>
      <c r="AD47" s="102"/>
      <c r="AE47" s="102"/>
      <c r="AF47" s="102"/>
      <c r="AG47" s="102"/>
    </row>
    <row r="48" spans="1:33">
      <c r="A48" s="102">
        <v>2001</v>
      </c>
      <c r="B48" s="102">
        <v>41.6</v>
      </c>
      <c r="C48" s="102">
        <v>17.899999999999999</v>
      </c>
      <c r="D48" s="102">
        <v>38.4</v>
      </c>
      <c r="E48" s="102">
        <v>73.599999999999994</v>
      </c>
      <c r="F48" s="102">
        <v>132.6</v>
      </c>
      <c r="G48" s="102">
        <v>163.69999999999999</v>
      </c>
      <c r="H48" s="102">
        <v>45.9</v>
      </c>
      <c r="I48" s="102">
        <v>99.6</v>
      </c>
      <c r="J48" s="102">
        <v>70.599999999999994</v>
      </c>
      <c r="K48" s="102">
        <v>114.1</v>
      </c>
      <c r="L48" s="102">
        <v>63.4</v>
      </c>
      <c r="M48" s="102">
        <v>50.2</v>
      </c>
      <c r="N48" s="102">
        <f t="shared" si="1"/>
        <v>171.5</v>
      </c>
      <c r="O48" s="102">
        <f t="shared" si="2"/>
        <v>512.4</v>
      </c>
      <c r="P48" s="102">
        <f t="shared" si="3"/>
        <v>227.7</v>
      </c>
      <c r="Q48" s="102">
        <f t="shared" si="4"/>
        <v>911.60000000000014</v>
      </c>
      <c r="R48" s="102"/>
      <c r="S48" s="102"/>
      <c r="T48" s="102"/>
      <c r="U48" s="102"/>
      <c r="V48" s="102"/>
      <c r="W48" s="102"/>
      <c r="X48" s="102"/>
      <c r="Y48" s="102"/>
      <c r="Z48" s="102"/>
      <c r="AA48" s="102"/>
      <c r="AB48" s="102"/>
      <c r="AC48" s="102"/>
      <c r="AD48" s="102"/>
      <c r="AE48" s="102"/>
      <c r="AF48" s="102"/>
      <c r="AG48" s="102"/>
    </row>
    <row r="49" spans="1:33">
      <c r="A49" s="102">
        <v>2002</v>
      </c>
      <c r="B49" s="102">
        <v>32.299999999999997</v>
      </c>
      <c r="C49" s="102">
        <v>25.5</v>
      </c>
      <c r="D49" s="102">
        <v>49.5</v>
      </c>
      <c r="E49" s="102">
        <v>71.900000000000006</v>
      </c>
      <c r="F49" s="102">
        <v>111.4</v>
      </c>
      <c r="G49" s="102">
        <v>197.5</v>
      </c>
      <c r="H49" s="102">
        <v>200.1</v>
      </c>
      <c r="I49" s="102">
        <v>235.1</v>
      </c>
      <c r="J49" s="102">
        <v>84.8</v>
      </c>
      <c r="K49" s="102">
        <v>73.599999999999994</v>
      </c>
      <c r="L49" s="102">
        <v>38.4</v>
      </c>
      <c r="M49" s="102">
        <v>37.200000000000003</v>
      </c>
      <c r="N49" s="102">
        <f t="shared" si="1"/>
        <v>179.2</v>
      </c>
      <c r="O49" s="102">
        <f t="shared" si="2"/>
        <v>828.9</v>
      </c>
      <c r="P49" s="102">
        <f t="shared" si="3"/>
        <v>149.19999999999999</v>
      </c>
      <c r="Q49" s="102">
        <f t="shared" si="4"/>
        <v>1157.3000000000002</v>
      </c>
      <c r="R49" s="102"/>
      <c r="S49" s="102"/>
      <c r="T49" s="102"/>
      <c r="U49" s="102"/>
      <c r="V49" s="102"/>
      <c r="W49" s="102"/>
      <c r="X49" s="102"/>
      <c r="Y49" s="102"/>
      <c r="Z49" s="102"/>
      <c r="AA49" s="102"/>
      <c r="AB49" s="102"/>
      <c r="AC49" s="102"/>
      <c r="AD49" s="102"/>
      <c r="AE49" s="102"/>
      <c r="AF49" s="102"/>
      <c r="AG49" s="102"/>
    </row>
    <row r="50" spans="1:33">
      <c r="A50" s="102">
        <v>2003</v>
      </c>
      <c r="B50" s="102">
        <v>41.8</v>
      </c>
      <c r="C50" s="102">
        <v>13.7</v>
      </c>
      <c r="D50" s="102">
        <v>40.200000000000003</v>
      </c>
      <c r="E50" s="102">
        <v>55.6</v>
      </c>
      <c r="F50" s="102">
        <v>120.4</v>
      </c>
      <c r="G50" s="102">
        <v>323.60000000000002</v>
      </c>
      <c r="H50" s="102">
        <v>239.4</v>
      </c>
      <c r="I50" s="102">
        <v>44.7</v>
      </c>
      <c r="J50" s="102">
        <v>125</v>
      </c>
      <c r="K50" s="102">
        <v>62.2</v>
      </c>
      <c r="L50" s="102">
        <v>54.9</v>
      </c>
      <c r="M50" s="102">
        <v>39.5</v>
      </c>
      <c r="N50" s="102">
        <f t="shared" si="1"/>
        <v>151.30000000000001</v>
      </c>
      <c r="O50" s="102">
        <f t="shared" si="2"/>
        <v>853.1</v>
      </c>
      <c r="P50" s="102">
        <f t="shared" si="3"/>
        <v>156.6</v>
      </c>
      <c r="Q50" s="102">
        <f t="shared" si="4"/>
        <v>1161.0000000000002</v>
      </c>
      <c r="R50" s="102"/>
      <c r="S50" s="102"/>
      <c r="T50" s="102"/>
      <c r="U50" s="102"/>
      <c r="V50" s="102"/>
      <c r="W50" s="102"/>
      <c r="X50" s="102"/>
      <c r="Y50" s="102"/>
      <c r="Z50" s="102"/>
      <c r="AA50" s="102"/>
      <c r="AB50" s="102"/>
      <c r="AC50" s="102"/>
      <c r="AD50" s="102"/>
      <c r="AE50" s="102"/>
      <c r="AF50" s="102"/>
      <c r="AG50" s="102"/>
    </row>
    <row r="51" spans="1:33">
      <c r="A51" s="102">
        <v>2004</v>
      </c>
      <c r="B51" s="103">
        <v>32.700000000000003</v>
      </c>
      <c r="C51" s="103">
        <v>35.700000000000003</v>
      </c>
      <c r="D51" s="103">
        <v>93</v>
      </c>
      <c r="E51" s="103">
        <v>145.80000000000001</v>
      </c>
      <c r="F51" s="103">
        <v>170</v>
      </c>
      <c r="G51" s="103">
        <v>199.1</v>
      </c>
      <c r="H51" s="103">
        <v>184.7</v>
      </c>
      <c r="I51" s="103">
        <v>142.4</v>
      </c>
      <c r="J51" s="103">
        <v>146.19999999999999</v>
      </c>
      <c r="K51" s="103">
        <v>58</v>
      </c>
      <c r="L51" s="103">
        <v>59.5</v>
      </c>
      <c r="M51" s="103">
        <v>30.5</v>
      </c>
      <c r="N51" s="102">
        <f t="shared" si="1"/>
        <v>307.20000000000005</v>
      </c>
      <c r="O51" s="102">
        <f t="shared" si="2"/>
        <v>842.39999999999986</v>
      </c>
      <c r="P51" s="102">
        <f t="shared" si="3"/>
        <v>148</v>
      </c>
      <c r="Q51" s="102">
        <f t="shared" si="4"/>
        <v>1297.5999999999999</v>
      </c>
      <c r="R51" s="102"/>
      <c r="S51" s="102"/>
      <c r="T51" s="102"/>
      <c r="U51" s="102"/>
      <c r="V51" s="102"/>
      <c r="W51" s="102"/>
      <c r="X51" s="102"/>
      <c r="Y51" s="102"/>
      <c r="Z51" s="102"/>
      <c r="AA51" s="102"/>
      <c r="AB51" s="102"/>
      <c r="AC51" s="102"/>
      <c r="AD51" s="102"/>
      <c r="AE51" s="102"/>
      <c r="AF51" s="102"/>
      <c r="AG51" s="102"/>
    </row>
    <row r="52" spans="1:33">
      <c r="A52" s="102">
        <v>2005</v>
      </c>
      <c r="B52" s="102">
        <v>14.7</v>
      </c>
      <c r="C52" s="102">
        <v>33.1</v>
      </c>
      <c r="D52" s="102">
        <v>80.3</v>
      </c>
      <c r="E52" s="102">
        <v>130.6</v>
      </c>
      <c r="F52" s="102">
        <v>273.3</v>
      </c>
      <c r="G52" s="102">
        <v>122.8</v>
      </c>
      <c r="H52" s="102">
        <v>263.5</v>
      </c>
      <c r="I52" s="102">
        <v>209.8</v>
      </c>
      <c r="J52" s="102">
        <v>45.2</v>
      </c>
      <c r="K52" s="103">
        <v>83.3</v>
      </c>
      <c r="L52" s="103">
        <v>42.1</v>
      </c>
      <c r="M52" s="103">
        <v>30.6</v>
      </c>
      <c r="N52" s="102">
        <f t="shared" si="1"/>
        <v>258.7</v>
      </c>
      <c r="O52" s="102">
        <f t="shared" si="2"/>
        <v>914.60000000000014</v>
      </c>
      <c r="P52" s="102">
        <f t="shared" si="3"/>
        <v>156</v>
      </c>
      <c r="Q52" s="102">
        <f t="shared" si="4"/>
        <v>1329.2999999999997</v>
      </c>
      <c r="R52" s="102"/>
      <c r="S52" s="102"/>
      <c r="T52" s="102"/>
      <c r="U52" s="102"/>
      <c r="V52" s="102"/>
      <c r="W52" s="102"/>
      <c r="X52" s="102"/>
      <c r="Y52" s="102"/>
      <c r="Z52" s="102"/>
      <c r="AA52" s="102"/>
      <c r="AB52" s="102"/>
      <c r="AC52" s="102"/>
      <c r="AD52" s="102"/>
      <c r="AE52" s="102"/>
      <c r="AF52" s="102"/>
      <c r="AG52" s="102"/>
    </row>
    <row r="53" spans="1:33">
      <c r="A53" s="102">
        <v>2006</v>
      </c>
      <c r="B53" s="103">
        <v>56.1</v>
      </c>
      <c r="C53" s="103">
        <v>48.4</v>
      </c>
      <c r="D53" s="103">
        <v>62</v>
      </c>
      <c r="E53" s="103">
        <v>79.099999999999994</v>
      </c>
      <c r="F53" s="103">
        <v>105.2</v>
      </c>
      <c r="G53" s="103">
        <v>270.5</v>
      </c>
      <c r="H53" s="103">
        <v>166.3</v>
      </c>
      <c r="I53" s="103">
        <v>85.4</v>
      </c>
      <c r="J53" s="102">
        <v>91.9</v>
      </c>
      <c r="K53" s="102">
        <v>105.5</v>
      </c>
      <c r="L53" s="102">
        <v>82.4</v>
      </c>
      <c r="M53" s="102">
        <v>26.2</v>
      </c>
      <c r="N53" s="102">
        <f t="shared" si="1"/>
        <v>245.6</v>
      </c>
      <c r="O53" s="102">
        <f t="shared" si="2"/>
        <v>719.3</v>
      </c>
      <c r="P53" s="102">
        <f t="shared" si="3"/>
        <v>214.1</v>
      </c>
      <c r="Q53" s="102">
        <f t="shared" si="4"/>
        <v>1179</v>
      </c>
      <c r="R53" s="102"/>
      <c r="S53" s="102"/>
      <c r="T53" s="102"/>
      <c r="U53" s="102"/>
      <c r="V53" s="102"/>
      <c r="W53" s="102"/>
      <c r="X53" s="102"/>
      <c r="Y53" s="102"/>
      <c r="Z53" s="102"/>
      <c r="AA53" s="102"/>
      <c r="AB53" s="102"/>
      <c r="AC53" s="102"/>
      <c r="AD53" s="102"/>
      <c r="AE53" s="102"/>
      <c r="AF53" s="102"/>
      <c r="AG53" s="102"/>
    </row>
    <row r="54" spans="1:33">
      <c r="A54" s="102">
        <v>2007</v>
      </c>
      <c r="B54" s="102">
        <v>41</v>
      </c>
      <c r="C54" s="102">
        <v>14</v>
      </c>
      <c r="D54" s="102">
        <v>37.799999999999997</v>
      </c>
      <c r="E54" s="102">
        <v>132.9</v>
      </c>
      <c r="F54" s="102">
        <v>78.5</v>
      </c>
      <c r="G54" s="102">
        <v>159.5</v>
      </c>
      <c r="H54" s="102">
        <v>333.6</v>
      </c>
      <c r="I54" s="102">
        <v>108.2</v>
      </c>
      <c r="J54" s="102">
        <v>147.30000000000001</v>
      </c>
      <c r="K54" s="102">
        <v>56.3</v>
      </c>
      <c r="L54" s="102">
        <v>17.8</v>
      </c>
      <c r="M54" s="102">
        <v>36.6</v>
      </c>
      <c r="N54" s="102">
        <f t="shared" si="1"/>
        <v>225.7</v>
      </c>
      <c r="O54" s="102">
        <f t="shared" si="2"/>
        <v>827.10000000000014</v>
      </c>
      <c r="P54" s="102">
        <f t="shared" si="3"/>
        <v>110.69999999999999</v>
      </c>
      <c r="Q54" s="102">
        <f t="shared" si="4"/>
        <v>1163.4999999999998</v>
      </c>
      <c r="R54" s="102"/>
      <c r="S54" s="102"/>
      <c r="T54" s="102"/>
      <c r="U54" s="102"/>
      <c r="V54" s="102"/>
      <c r="W54" s="102"/>
      <c r="X54" s="102"/>
      <c r="Y54" s="102"/>
      <c r="Z54" s="102"/>
      <c r="AA54" s="102"/>
      <c r="AB54" s="102"/>
      <c r="AC54" s="102"/>
      <c r="AD54" s="102"/>
      <c r="AE54" s="102"/>
      <c r="AF54" s="102"/>
      <c r="AG54" s="102"/>
    </row>
    <row r="55" spans="1:33">
      <c r="A55" s="102">
        <v>2008</v>
      </c>
      <c r="B55" s="102">
        <v>42.6</v>
      </c>
      <c r="C55" s="102">
        <v>31</v>
      </c>
      <c r="D55" s="102">
        <v>73.2</v>
      </c>
      <c r="E55" s="102">
        <v>101.5</v>
      </c>
      <c r="F55" s="102">
        <v>58.5</v>
      </c>
      <c r="G55" s="102">
        <v>212.5</v>
      </c>
      <c r="H55" s="102">
        <v>121.7</v>
      </c>
      <c r="I55" s="102">
        <v>127</v>
      </c>
      <c r="J55" s="102">
        <v>47.5</v>
      </c>
      <c r="K55" s="102">
        <v>178.7</v>
      </c>
      <c r="L55" s="102">
        <v>88.3</v>
      </c>
      <c r="M55" s="102">
        <v>35.5</v>
      </c>
      <c r="N55" s="102">
        <f t="shared" si="1"/>
        <v>248.3</v>
      </c>
      <c r="O55" s="102">
        <f t="shared" si="2"/>
        <v>567.20000000000005</v>
      </c>
      <c r="P55" s="102">
        <f t="shared" si="3"/>
        <v>302.5</v>
      </c>
      <c r="Q55" s="102">
        <f t="shared" si="4"/>
        <v>1118</v>
      </c>
      <c r="R55" s="102"/>
      <c r="S55" s="102"/>
      <c r="T55" s="102"/>
      <c r="U55" s="102"/>
      <c r="V55" s="102"/>
      <c r="W55" s="102"/>
      <c r="X55" s="102"/>
      <c r="Y55" s="102"/>
      <c r="Z55" s="102"/>
      <c r="AA55" s="102"/>
      <c r="AB55" s="102"/>
      <c r="AC55" s="102"/>
      <c r="AD55" s="102"/>
      <c r="AE55" s="102"/>
      <c r="AF55" s="102"/>
      <c r="AG55" s="102"/>
    </row>
    <row r="56" spans="1:33">
      <c r="A56" s="102">
        <v>2009</v>
      </c>
      <c r="B56" s="102">
        <v>23.4</v>
      </c>
      <c r="C56" s="102">
        <v>21.4</v>
      </c>
      <c r="D56" s="102">
        <v>50.5</v>
      </c>
      <c r="E56" s="102">
        <v>56.9</v>
      </c>
      <c r="F56" s="102">
        <v>112</v>
      </c>
      <c r="G56" s="102">
        <v>193.7</v>
      </c>
      <c r="H56" s="102">
        <v>105.6</v>
      </c>
      <c r="I56" s="102">
        <v>270.39999999999998</v>
      </c>
      <c r="J56" s="102">
        <v>43.5</v>
      </c>
      <c r="K56" s="102">
        <v>104.1</v>
      </c>
      <c r="L56" s="102">
        <v>50.5</v>
      </c>
      <c r="M56" s="102">
        <v>45.4</v>
      </c>
      <c r="N56" s="102">
        <f t="shared" si="1"/>
        <v>152.19999999999999</v>
      </c>
      <c r="O56" s="102">
        <f t="shared" si="2"/>
        <v>725.19999999999993</v>
      </c>
      <c r="P56" s="102">
        <f t="shared" si="3"/>
        <v>200</v>
      </c>
      <c r="Q56" s="102">
        <f t="shared" si="4"/>
        <v>1077.4000000000001</v>
      </c>
      <c r="R56" s="102"/>
      <c r="S56" s="102"/>
      <c r="T56" s="102"/>
      <c r="U56" s="102"/>
      <c r="V56" s="102"/>
      <c r="W56" s="102"/>
      <c r="X56" s="102"/>
      <c r="Y56" s="102"/>
      <c r="Z56" s="102"/>
      <c r="AA56" s="102"/>
      <c r="AB56" s="102"/>
      <c r="AC56" s="102"/>
      <c r="AD56" s="102"/>
      <c r="AE56" s="102"/>
      <c r="AF56" s="102"/>
      <c r="AG56" s="102"/>
    </row>
    <row r="57" spans="1:33">
      <c r="A57" s="102">
        <v>2010</v>
      </c>
      <c r="B57" s="102">
        <v>24</v>
      </c>
      <c r="C57" s="102">
        <v>18.600000000000001</v>
      </c>
      <c r="D57" s="102">
        <v>52.3</v>
      </c>
      <c r="E57" s="102">
        <v>65.2</v>
      </c>
      <c r="F57" s="102">
        <v>166.7</v>
      </c>
      <c r="G57" s="102">
        <v>208.8</v>
      </c>
      <c r="H57" s="102">
        <v>102.7</v>
      </c>
      <c r="I57" s="102">
        <v>178.3</v>
      </c>
      <c r="J57" s="102">
        <v>52.5</v>
      </c>
      <c r="K57" s="102">
        <v>98.6</v>
      </c>
      <c r="L57" s="102">
        <v>72</v>
      </c>
      <c r="M57" s="102">
        <v>35.299999999999997</v>
      </c>
      <c r="N57" s="102">
        <f t="shared" si="1"/>
        <v>160.10000000000002</v>
      </c>
      <c r="O57" s="102">
        <f t="shared" si="2"/>
        <v>709</v>
      </c>
      <c r="P57" s="102">
        <f t="shared" si="3"/>
        <v>205.89999999999998</v>
      </c>
      <c r="Q57" s="102">
        <f t="shared" si="4"/>
        <v>1075.0000000000002</v>
      </c>
      <c r="R57" s="102"/>
      <c r="S57" s="102"/>
      <c r="T57" s="102"/>
      <c r="U57" s="102"/>
      <c r="V57" s="102"/>
      <c r="W57" s="102"/>
      <c r="X57" s="102"/>
      <c r="Y57" s="102"/>
      <c r="Z57" s="102"/>
      <c r="AA57" s="102"/>
      <c r="AB57" s="102"/>
      <c r="AC57" s="102"/>
      <c r="AD57" s="102"/>
      <c r="AE57" s="102"/>
      <c r="AF57" s="102"/>
      <c r="AG57" s="102"/>
    </row>
    <row r="58" spans="1:33">
      <c r="A58" s="102">
        <v>2011</v>
      </c>
      <c r="B58" s="102">
        <v>29</v>
      </c>
      <c r="C58" s="102">
        <v>14.5</v>
      </c>
      <c r="D58" s="102">
        <v>41.4</v>
      </c>
      <c r="E58" s="102">
        <v>32.299999999999997</v>
      </c>
      <c r="F58" s="102">
        <v>136.19999999999999</v>
      </c>
      <c r="G58" s="102">
        <v>188</v>
      </c>
      <c r="H58" s="102">
        <v>89.8</v>
      </c>
      <c r="I58" s="102">
        <v>24</v>
      </c>
      <c r="J58" s="102">
        <v>41.1</v>
      </c>
      <c r="K58" s="102">
        <v>135.1</v>
      </c>
      <c r="L58" s="102">
        <v>60</v>
      </c>
      <c r="M58" s="102">
        <v>43.1</v>
      </c>
      <c r="N58" s="102">
        <f t="shared" si="1"/>
        <v>117.2</v>
      </c>
      <c r="O58" s="102">
        <f t="shared" si="2"/>
        <v>479.1</v>
      </c>
      <c r="P58" s="102">
        <f t="shared" si="3"/>
        <v>238.2</v>
      </c>
      <c r="Q58" s="102">
        <f t="shared" si="4"/>
        <v>834.5</v>
      </c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</row>
    <row r="59" spans="1:33">
      <c r="A59" s="102">
        <v>2012</v>
      </c>
      <c r="B59" s="102">
        <v>38.1</v>
      </c>
      <c r="C59" s="102">
        <v>18.100000000000001</v>
      </c>
      <c r="D59" s="102">
        <v>50.2</v>
      </c>
      <c r="E59" s="102">
        <v>78.8</v>
      </c>
      <c r="F59" s="102">
        <v>134.1</v>
      </c>
      <c r="G59" s="102">
        <v>170.3</v>
      </c>
      <c r="H59" s="102">
        <v>120.9</v>
      </c>
      <c r="I59" s="102">
        <v>33.9</v>
      </c>
      <c r="J59" s="102">
        <v>220.5</v>
      </c>
      <c r="K59" s="102">
        <v>76.2</v>
      </c>
      <c r="L59" s="102">
        <v>33.299999999999997</v>
      </c>
      <c r="M59" s="102">
        <v>15.2</v>
      </c>
      <c r="N59" s="102">
        <f t="shared" si="1"/>
        <v>185.2</v>
      </c>
      <c r="O59" s="102">
        <f t="shared" si="2"/>
        <v>679.69999999999993</v>
      </c>
      <c r="P59" s="102">
        <f t="shared" si="3"/>
        <v>124.7</v>
      </c>
      <c r="Q59" s="102">
        <f t="shared" si="4"/>
        <v>989.6</v>
      </c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</row>
    <row r="60" spans="1:33">
      <c r="A60" s="102">
        <v>2013</v>
      </c>
      <c r="B60" s="102">
        <v>8.3000000000000007</v>
      </c>
      <c r="C60" s="102">
        <v>29.8</v>
      </c>
      <c r="D60" s="102">
        <v>62.8</v>
      </c>
      <c r="E60" s="102">
        <v>126.2</v>
      </c>
      <c r="F60" s="102">
        <v>107.2</v>
      </c>
      <c r="G60" s="102">
        <v>247.7</v>
      </c>
      <c r="H60" s="102">
        <v>47.8</v>
      </c>
      <c r="I60" s="102">
        <v>199</v>
      </c>
      <c r="J60" s="102">
        <v>250.6</v>
      </c>
      <c r="K60" s="102">
        <v>64.7</v>
      </c>
      <c r="L60" s="102">
        <v>57.3</v>
      </c>
      <c r="M60" s="102">
        <v>25.5</v>
      </c>
      <c r="N60" s="102">
        <f t="shared" si="1"/>
        <v>227.10000000000002</v>
      </c>
      <c r="O60" s="102">
        <f t="shared" si="2"/>
        <v>852.30000000000007</v>
      </c>
      <c r="P60" s="102">
        <f t="shared" si="3"/>
        <v>147.5</v>
      </c>
      <c r="Q60" s="102">
        <f t="shared" si="4"/>
        <v>1226.8999999999999</v>
      </c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  <c r="AD60" s="104"/>
      <c r="AE60" s="104"/>
      <c r="AF60" s="104"/>
      <c r="AG60" s="104"/>
    </row>
    <row r="61" spans="1:33">
      <c r="A61" s="102">
        <v>2014</v>
      </c>
      <c r="B61" s="107">
        <v>12.6</v>
      </c>
      <c r="C61" s="107">
        <v>56</v>
      </c>
      <c r="D61" s="107">
        <v>91.5</v>
      </c>
      <c r="E61" s="107">
        <v>72.400000000000006</v>
      </c>
      <c r="F61" s="107">
        <v>96.7</v>
      </c>
      <c r="G61" s="107">
        <v>202.6</v>
      </c>
      <c r="H61" s="107">
        <v>138.4</v>
      </c>
      <c r="I61" s="107">
        <v>130.1</v>
      </c>
      <c r="J61" s="107">
        <v>174.4</v>
      </c>
      <c r="K61" s="107">
        <v>99.5</v>
      </c>
      <c r="L61" s="107">
        <v>60.9</v>
      </c>
      <c r="M61" s="107">
        <v>33.799999999999997</v>
      </c>
      <c r="N61" s="102">
        <f t="shared" si="1"/>
        <v>232.5</v>
      </c>
      <c r="O61" s="102">
        <f t="shared" si="2"/>
        <v>742.2</v>
      </c>
      <c r="P61" s="102">
        <f t="shared" si="3"/>
        <v>194.2</v>
      </c>
      <c r="Q61" s="102">
        <f t="shared" si="4"/>
        <v>1168.8999999999999</v>
      </c>
    </row>
    <row r="62" spans="1:33">
      <c r="A62" s="102">
        <v>2015</v>
      </c>
      <c r="B62" s="107">
        <v>31.4</v>
      </c>
      <c r="C62" s="107">
        <v>19.3</v>
      </c>
      <c r="D62" s="107">
        <v>45.1</v>
      </c>
      <c r="E62" s="107">
        <v>106.7</v>
      </c>
      <c r="F62" s="107">
        <v>133.19999999999999</v>
      </c>
      <c r="G62" s="107">
        <v>161.30000000000001</v>
      </c>
      <c r="H62" s="107">
        <v>250.9</v>
      </c>
      <c r="I62" s="107">
        <v>288.10000000000002</v>
      </c>
      <c r="J62" s="107">
        <v>140.9</v>
      </c>
      <c r="K62" s="107">
        <v>65.900000000000006</v>
      </c>
      <c r="L62" s="107">
        <v>23</v>
      </c>
      <c r="M62" s="107">
        <v>55.9</v>
      </c>
      <c r="N62" s="102">
        <f t="shared" si="1"/>
        <v>202.5</v>
      </c>
      <c r="O62" s="102">
        <f t="shared" si="2"/>
        <v>974.4</v>
      </c>
      <c r="P62" s="102">
        <f t="shared" si="3"/>
        <v>144.80000000000001</v>
      </c>
      <c r="Q62" s="102">
        <f t="shared" si="4"/>
        <v>1321.7000000000003</v>
      </c>
    </row>
    <row r="63" spans="1:33" s="111" customFormat="1" ht="12">
      <c r="A63" s="108">
        <v>2016</v>
      </c>
      <c r="B63" s="109">
        <v>49.5</v>
      </c>
      <c r="C63" s="109">
        <v>23.1</v>
      </c>
      <c r="D63" s="109">
        <v>95</v>
      </c>
      <c r="E63" s="109">
        <v>81.900000000000006</v>
      </c>
      <c r="F63" s="109">
        <v>165.2</v>
      </c>
      <c r="G63" s="109">
        <v>334</v>
      </c>
      <c r="H63" s="109">
        <v>180.1</v>
      </c>
      <c r="I63" s="109">
        <v>169.7</v>
      </c>
      <c r="J63" s="109">
        <v>158.6</v>
      </c>
      <c r="K63" s="109">
        <v>75</v>
      </c>
      <c r="L63" s="109">
        <v>43.1</v>
      </c>
      <c r="M63" s="109">
        <v>34.799999999999997</v>
      </c>
      <c r="N63" s="108">
        <f>SUM(B63:E63)</f>
        <v>249.5</v>
      </c>
      <c r="O63" s="108">
        <f>SUM(F63:J63)</f>
        <v>1007.6</v>
      </c>
      <c r="P63" s="108">
        <f>SUM(K63:M63)</f>
        <v>152.89999999999998</v>
      </c>
      <c r="Q63" s="108">
        <f>SUM(B63:M63)</f>
        <v>1409.9999999999998</v>
      </c>
      <c r="R63" s="110">
        <f t="shared" ref="R63:AG63" si="5">100*(B63-B4)/B4</f>
        <v>59.801847934988317</v>
      </c>
      <c r="S63" s="110">
        <f t="shared" si="5"/>
        <v>-24.658381600404905</v>
      </c>
      <c r="T63" s="110">
        <f t="shared" si="5"/>
        <v>93.782091861855477</v>
      </c>
      <c r="U63" s="110">
        <f t="shared" si="5"/>
        <v>-4.2047310787101217</v>
      </c>
      <c r="V63" s="110">
        <f t="shared" si="5"/>
        <v>12.493102436160843</v>
      </c>
      <c r="W63" s="110">
        <f t="shared" si="5"/>
        <v>88.077669902912632</v>
      </c>
      <c r="X63" s="110">
        <f t="shared" si="5"/>
        <v>-2.009380863039393</v>
      </c>
      <c r="Y63" s="110">
        <f t="shared" si="5"/>
        <v>3.1805602146930534</v>
      </c>
      <c r="Z63" s="110">
        <f t="shared" si="5"/>
        <v>26.997363080363886</v>
      </c>
      <c r="AA63" s="110">
        <f t="shared" si="5"/>
        <v>-20.523267498584033</v>
      </c>
      <c r="AB63" s="110">
        <f t="shared" si="5"/>
        <v>-20.588328727087912</v>
      </c>
      <c r="AC63" s="110">
        <f t="shared" si="5"/>
        <v>-1.1508888780057784</v>
      </c>
      <c r="AD63" s="110">
        <f t="shared" si="5"/>
        <v>27.195218423134332</v>
      </c>
      <c r="AE63" s="110">
        <f t="shared" si="5"/>
        <v>26.331171638564673</v>
      </c>
      <c r="AF63" s="110">
        <f t="shared" si="5"/>
        <v>-16.832815972840955</v>
      </c>
      <c r="AG63" s="110">
        <f t="shared" si="5"/>
        <v>19.73628149885576</v>
      </c>
    </row>
  </sheetData>
  <mergeCells count="6">
    <mergeCell ref="A1:A3"/>
    <mergeCell ref="B1:Q1"/>
    <mergeCell ref="B2:M2"/>
    <mergeCell ref="R1:AG1"/>
    <mergeCell ref="N2:Q2"/>
    <mergeCell ref="R2:AG2"/>
  </mergeCells>
  <phoneticPr fontId="2" type="noConversion"/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AG57"/>
  <sheetViews>
    <sheetView zoomScale="85" zoomScaleNormal="85" workbookViewId="0">
      <pane ySplit="5" topLeftCell="A6" activePane="bottomLeft" state="frozen"/>
      <selection pane="bottomLeft" activeCell="S60" sqref="S60"/>
    </sheetView>
  </sheetViews>
  <sheetFormatPr defaultRowHeight="12"/>
  <cols>
    <col min="1" max="34" width="7.125" style="75" customWidth="1"/>
    <col min="35" max="16384" width="9" style="75"/>
  </cols>
  <sheetData>
    <row r="1" spans="1:33" s="101" customFormat="1" ht="14.25" customHeight="1">
      <c r="A1" s="161" t="s">
        <v>0</v>
      </c>
      <c r="B1" s="161" t="s">
        <v>114</v>
      </c>
      <c r="C1" s="162"/>
      <c r="D1" s="162"/>
      <c r="E1" s="162"/>
      <c r="F1" s="162"/>
      <c r="G1" s="162"/>
      <c r="H1" s="162"/>
      <c r="I1" s="162"/>
      <c r="J1" s="162"/>
      <c r="K1" s="162"/>
      <c r="L1" s="162"/>
      <c r="M1" s="162"/>
      <c r="N1" s="162"/>
      <c r="O1" s="162"/>
      <c r="P1" s="162"/>
      <c r="Q1" s="162"/>
      <c r="R1" s="161" t="s">
        <v>68</v>
      </c>
      <c r="S1" s="162"/>
      <c r="T1" s="162"/>
      <c r="U1" s="162"/>
      <c r="V1" s="162"/>
      <c r="W1" s="162"/>
      <c r="X1" s="162"/>
      <c r="Y1" s="162"/>
      <c r="Z1" s="162"/>
      <c r="AA1" s="162"/>
      <c r="AB1" s="162"/>
      <c r="AC1" s="162"/>
      <c r="AD1" s="162"/>
      <c r="AE1" s="162"/>
      <c r="AF1" s="162"/>
      <c r="AG1" s="162"/>
    </row>
    <row r="2" spans="1:33" s="101" customFormat="1" ht="12.75">
      <c r="A2" s="162"/>
      <c r="B2" s="161" t="s">
        <v>3</v>
      </c>
      <c r="C2" s="162"/>
      <c r="D2" s="162"/>
      <c r="E2" s="162"/>
      <c r="F2" s="162"/>
      <c r="G2" s="162"/>
      <c r="H2" s="162"/>
      <c r="I2" s="162"/>
      <c r="J2" s="162"/>
      <c r="K2" s="162"/>
      <c r="L2" s="162"/>
      <c r="M2" s="162"/>
      <c r="N2" s="161" t="s">
        <v>32</v>
      </c>
      <c r="O2" s="162"/>
      <c r="P2" s="162"/>
      <c r="Q2" s="162"/>
      <c r="R2" s="161" t="s">
        <v>6</v>
      </c>
      <c r="S2" s="162"/>
      <c r="T2" s="162"/>
      <c r="U2" s="162"/>
      <c r="V2" s="162"/>
      <c r="W2" s="162"/>
      <c r="X2" s="162"/>
      <c r="Y2" s="162"/>
      <c r="Z2" s="162"/>
      <c r="AA2" s="162"/>
      <c r="AB2" s="162"/>
      <c r="AC2" s="162"/>
      <c r="AD2" s="162"/>
      <c r="AE2" s="162"/>
      <c r="AF2" s="162"/>
      <c r="AG2" s="162"/>
    </row>
    <row r="3" spans="1:33" s="101" customFormat="1" ht="24.75">
      <c r="A3" s="162"/>
      <c r="B3" s="61" t="s">
        <v>19</v>
      </c>
      <c r="C3" s="61" t="s">
        <v>20</v>
      </c>
      <c r="D3" s="61" t="s">
        <v>69</v>
      </c>
      <c r="E3" s="61" t="s">
        <v>70</v>
      </c>
      <c r="F3" s="61" t="s">
        <v>71</v>
      </c>
      <c r="G3" s="61" t="s">
        <v>72</v>
      </c>
      <c r="H3" s="61" t="s">
        <v>73</v>
      </c>
      <c r="I3" s="61" t="s">
        <v>74</v>
      </c>
      <c r="J3" s="61" t="s">
        <v>75</v>
      </c>
      <c r="K3" s="61" t="s">
        <v>76</v>
      </c>
      <c r="L3" s="61" t="s">
        <v>77</v>
      </c>
      <c r="M3" s="61" t="s">
        <v>78</v>
      </c>
      <c r="N3" s="60" t="s">
        <v>98</v>
      </c>
      <c r="O3" s="60" t="s">
        <v>57</v>
      </c>
      <c r="P3" s="60" t="s">
        <v>100</v>
      </c>
      <c r="Q3" s="60" t="s">
        <v>89</v>
      </c>
      <c r="R3" s="61" t="s">
        <v>19</v>
      </c>
      <c r="S3" s="61" t="s">
        <v>20</v>
      </c>
      <c r="T3" s="61" t="s">
        <v>21</v>
      </c>
      <c r="U3" s="61" t="s">
        <v>47</v>
      </c>
      <c r="V3" s="61" t="s">
        <v>113</v>
      </c>
      <c r="W3" s="61" t="s">
        <v>80</v>
      </c>
      <c r="X3" s="61" t="s">
        <v>81</v>
      </c>
      <c r="Y3" s="61" t="s">
        <v>82</v>
      </c>
      <c r="Z3" s="61" t="s">
        <v>83</v>
      </c>
      <c r="AA3" s="61" t="s">
        <v>136</v>
      </c>
      <c r="AB3" s="61" t="s">
        <v>51</v>
      </c>
      <c r="AC3" s="61" t="s">
        <v>30</v>
      </c>
      <c r="AD3" s="60" t="s">
        <v>90</v>
      </c>
      <c r="AE3" s="60" t="s">
        <v>4</v>
      </c>
      <c r="AF3" s="60" t="s">
        <v>111</v>
      </c>
      <c r="AG3" s="60" t="s">
        <v>137</v>
      </c>
    </row>
    <row r="4" spans="1:33" s="101" customFormat="1" ht="12.75">
      <c r="A4" s="146" t="s">
        <v>261</v>
      </c>
      <c r="B4" s="146">
        <f t="shared" ref="B4:Q4" si="0">AVERAGE(B5:B56)</f>
        <v>15.359615384615383</v>
      </c>
      <c r="C4" s="146">
        <f t="shared" si="0"/>
        <v>14.203846153846154</v>
      </c>
      <c r="D4" s="146">
        <f t="shared" si="0"/>
        <v>32.255769230769232</v>
      </c>
      <c r="E4" s="146">
        <f t="shared" si="0"/>
        <v>59.492307692307698</v>
      </c>
      <c r="F4" s="146">
        <f t="shared" si="0"/>
        <v>103.73846153846155</v>
      </c>
      <c r="G4" s="146">
        <f t="shared" si="0"/>
        <v>162.06730769230768</v>
      </c>
      <c r="H4" s="146">
        <f t="shared" si="0"/>
        <v>115.86153846153849</v>
      </c>
      <c r="I4" s="146">
        <f t="shared" si="0"/>
        <v>105.3807692307692</v>
      </c>
      <c r="J4" s="146">
        <f t="shared" si="0"/>
        <v>80.505769230769232</v>
      </c>
      <c r="K4" s="146">
        <f t="shared" si="0"/>
        <v>63.980769230769212</v>
      </c>
      <c r="L4" s="146">
        <f t="shared" si="0"/>
        <v>30.274999999999999</v>
      </c>
      <c r="M4" s="146">
        <f t="shared" si="0"/>
        <v>17.07692307692307</v>
      </c>
      <c r="N4" s="145">
        <f t="shared" si="0"/>
        <v>121.31153846153845</v>
      </c>
      <c r="O4" s="145">
        <f t="shared" si="0"/>
        <v>567.55384615384605</v>
      </c>
      <c r="P4" s="145">
        <f t="shared" si="0"/>
        <v>111.33269230769233</v>
      </c>
      <c r="Q4" s="145">
        <f t="shared" si="0"/>
        <v>800.19807692307688</v>
      </c>
      <c r="R4" s="146"/>
      <c r="S4" s="146"/>
      <c r="T4" s="146"/>
      <c r="U4" s="146"/>
      <c r="V4" s="146"/>
      <c r="W4" s="146"/>
      <c r="X4" s="146"/>
      <c r="Y4" s="146"/>
      <c r="Z4" s="146"/>
      <c r="AA4" s="146"/>
      <c r="AB4" s="146"/>
      <c r="AC4" s="146"/>
      <c r="AD4" s="145"/>
      <c r="AE4" s="145"/>
      <c r="AF4" s="145"/>
      <c r="AG4" s="145"/>
    </row>
    <row r="5" spans="1:33">
      <c r="A5" s="75">
        <v>1964</v>
      </c>
      <c r="B5" s="75">
        <v>14.1</v>
      </c>
      <c r="C5" s="75">
        <v>4.5</v>
      </c>
      <c r="D5" s="75">
        <v>39.1</v>
      </c>
      <c r="E5" s="75">
        <v>27</v>
      </c>
      <c r="F5" s="75">
        <v>58.8</v>
      </c>
      <c r="G5" s="75">
        <v>266.7</v>
      </c>
      <c r="H5" s="75">
        <v>98.8</v>
      </c>
      <c r="I5" s="75">
        <v>51.2</v>
      </c>
      <c r="J5" s="75">
        <v>55.3</v>
      </c>
      <c r="K5" s="75">
        <v>59.2</v>
      </c>
      <c r="L5" s="75">
        <v>20.5</v>
      </c>
      <c r="M5" s="75">
        <v>26.3</v>
      </c>
      <c r="N5" s="75">
        <f>SUM(B5:E5)</f>
        <v>84.7</v>
      </c>
      <c r="O5" s="75">
        <f>SUM(F5:J5)</f>
        <v>530.79999999999995</v>
      </c>
      <c r="P5" s="75">
        <f>SUM(K5:M5)</f>
        <v>106</v>
      </c>
      <c r="Q5" s="75">
        <f>SUM(B5:M5)</f>
        <v>721.5</v>
      </c>
    </row>
    <row r="6" spans="1:33">
      <c r="A6" s="75">
        <v>1965</v>
      </c>
      <c r="B6" s="75">
        <v>13.3</v>
      </c>
      <c r="C6" s="75">
        <v>9.6999999999999993</v>
      </c>
      <c r="D6" s="75">
        <v>25.2</v>
      </c>
      <c r="E6" s="75">
        <v>29.7</v>
      </c>
      <c r="F6" s="75">
        <v>126.1</v>
      </c>
      <c r="G6" s="75">
        <v>145.9</v>
      </c>
      <c r="H6" s="75">
        <v>35.700000000000003</v>
      </c>
      <c r="I6" s="75">
        <v>73</v>
      </c>
      <c r="J6" s="75">
        <v>84.7</v>
      </c>
      <c r="K6" s="75">
        <v>53.8</v>
      </c>
      <c r="L6" s="75">
        <v>18.399999999999999</v>
      </c>
      <c r="M6" s="75">
        <v>15.1</v>
      </c>
      <c r="N6" s="75">
        <f t="shared" ref="N6:N56" si="1">SUM(B6:E6)</f>
        <v>77.900000000000006</v>
      </c>
      <c r="O6" s="75">
        <f t="shared" ref="O6:O56" si="2">SUM(F6:J6)</f>
        <v>465.4</v>
      </c>
      <c r="P6" s="75">
        <f t="shared" ref="P6:P56" si="3">SUM(K6:M6)</f>
        <v>87.299999999999983</v>
      </c>
      <c r="Q6" s="75">
        <f t="shared" ref="Q6:Q56" si="4">SUM(B6:M6)</f>
        <v>630.59999999999991</v>
      </c>
    </row>
    <row r="7" spans="1:33">
      <c r="A7" s="75">
        <v>1966</v>
      </c>
      <c r="B7" s="75">
        <v>8.8000000000000007</v>
      </c>
      <c r="C7" s="75">
        <v>7.9</v>
      </c>
      <c r="D7" s="75">
        <v>17.5</v>
      </c>
      <c r="E7" s="75">
        <v>19.2</v>
      </c>
      <c r="F7" s="75">
        <v>57.1</v>
      </c>
      <c r="G7" s="75">
        <v>218.5</v>
      </c>
      <c r="H7" s="75">
        <v>113.3</v>
      </c>
      <c r="I7" s="75">
        <v>79.5</v>
      </c>
      <c r="J7" s="75">
        <v>67.3</v>
      </c>
      <c r="K7" s="75">
        <v>74.099999999999994</v>
      </c>
      <c r="L7" s="75">
        <v>13.3</v>
      </c>
      <c r="M7" s="75">
        <v>5.6</v>
      </c>
      <c r="N7" s="75">
        <f t="shared" si="1"/>
        <v>53.400000000000006</v>
      </c>
      <c r="O7" s="75">
        <f t="shared" si="2"/>
        <v>535.70000000000005</v>
      </c>
      <c r="P7" s="75">
        <f t="shared" si="3"/>
        <v>92.999999999999986</v>
      </c>
      <c r="Q7" s="75">
        <f t="shared" si="4"/>
        <v>682.09999999999991</v>
      </c>
    </row>
    <row r="8" spans="1:33">
      <c r="A8" s="75">
        <v>1967</v>
      </c>
      <c r="B8" s="75">
        <v>6.1</v>
      </c>
      <c r="C8" s="75">
        <v>4.9000000000000004</v>
      </c>
      <c r="D8" s="75">
        <v>27</v>
      </c>
      <c r="E8" s="75">
        <v>32.6</v>
      </c>
      <c r="F8" s="75">
        <v>58.3</v>
      </c>
      <c r="G8" s="75">
        <v>289.10000000000002</v>
      </c>
      <c r="H8" s="75">
        <v>56.9</v>
      </c>
      <c r="I8" s="75">
        <v>65.5</v>
      </c>
      <c r="J8" s="75">
        <v>47.3</v>
      </c>
      <c r="K8" s="75">
        <v>50.4</v>
      </c>
      <c r="L8" s="75">
        <v>39.1</v>
      </c>
      <c r="M8" s="75">
        <v>25.7</v>
      </c>
      <c r="N8" s="75">
        <f t="shared" si="1"/>
        <v>70.599999999999994</v>
      </c>
      <c r="O8" s="75">
        <f t="shared" si="2"/>
        <v>517.1</v>
      </c>
      <c r="P8" s="75">
        <f t="shared" si="3"/>
        <v>115.2</v>
      </c>
      <c r="Q8" s="75">
        <f t="shared" si="4"/>
        <v>702.9</v>
      </c>
    </row>
    <row r="9" spans="1:33">
      <c r="A9" s="75">
        <v>1968</v>
      </c>
      <c r="B9" s="75">
        <v>10.7</v>
      </c>
      <c r="C9" s="75">
        <v>11.1</v>
      </c>
      <c r="D9" s="75">
        <v>55.1</v>
      </c>
      <c r="E9" s="75">
        <v>39</v>
      </c>
      <c r="F9" s="75">
        <v>68.8</v>
      </c>
      <c r="G9" s="75">
        <v>240.4</v>
      </c>
      <c r="H9" s="75">
        <v>87.1</v>
      </c>
      <c r="I9" s="75">
        <v>76.599999999999994</v>
      </c>
      <c r="J9" s="75">
        <v>55.6</v>
      </c>
      <c r="K9" s="75">
        <v>52.7</v>
      </c>
      <c r="L9" s="75">
        <v>24.1</v>
      </c>
      <c r="M9" s="75">
        <v>14.2</v>
      </c>
      <c r="N9" s="75">
        <f t="shared" si="1"/>
        <v>115.9</v>
      </c>
      <c r="O9" s="75">
        <f t="shared" si="2"/>
        <v>528.5</v>
      </c>
      <c r="P9" s="75">
        <f t="shared" si="3"/>
        <v>91.000000000000014</v>
      </c>
      <c r="Q9" s="75">
        <f t="shared" si="4"/>
        <v>735.4000000000002</v>
      </c>
    </row>
    <row r="10" spans="1:33">
      <c r="A10" s="75">
        <v>1969</v>
      </c>
      <c r="B10" s="75">
        <v>9</v>
      </c>
      <c r="C10" s="75">
        <v>5.5</v>
      </c>
      <c r="D10" s="75">
        <v>20.399999999999999</v>
      </c>
      <c r="E10" s="75">
        <v>34.5</v>
      </c>
      <c r="F10" s="75">
        <v>40.700000000000003</v>
      </c>
      <c r="G10" s="75">
        <v>143.9</v>
      </c>
      <c r="H10" s="75">
        <v>54.5</v>
      </c>
      <c r="I10" s="75">
        <v>71.5</v>
      </c>
      <c r="J10" s="75">
        <v>76.900000000000006</v>
      </c>
      <c r="K10" s="75">
        <v>170.4</v>
      </c>
      <c r="L10" s="75">
        <v>61</v>
      </c>
      <c r="M10" s="75">
        <v>19.3</v>
      </c>
      <c r="N10" s="75">
        <f t="shared" si="1"/>
        <v>69.400000000000006</v>
      </c>
      <c r="O10" s="75">
        <f t="shared" si="2"/>
        <v>387.5</v>
      </c>
      <c r="P10" s="75">
        <f t="shared" si="3"/>
        <v>250.70000000000002</v>
      </c>
      <c r="Q10" s="75">
        <f t="shared" si="4"/>
        <v>707.59999999999991</v>
      </c>
    </row>
    <row r="11" spans="1:33">
      <c r="A11" s="75">
        <v>1970</v>
      </c>
      <c r="B11" s="75">
        <v>11.3</v>
      </c>
      <c r="C11" s="75">
        <v>10.6</v>
      </c>
      <c r="D11" s="75">
        <v>45.3</v>
      </c>
      <c r="E11" s="75">
        <v>40.799999999999997</v>
      </c>
      <c r="F11" s="75">
        <v>62.3</v>
      </c>
      <c r="G11" s="75">
        <v>170.5</v>
      </c>
      <c r="H11" s="75">
        <v>61.5</v>
      </c>
      <c r="I11" s="75">
        <v>172.1</v>
      </c>
      <c r="J11" s="75">
        <v>57.2</v>
      </c>
      <c r="K11" s="75">
        <v>73.3</v>
      </c>
      <c r="L11" s="75">
        <v>64.3</v>
      </c>
      <c r="M11" s="75">
        <v>43.5</v>
      </c>
      <c r="N11" s="75">
        <f t="shared" si="1"/>
        <v>107.99999999999999</v>
      </c>
      <c r="O11" s="75">
        <f t="shared" si="2"/>
        <v>523.6</v>
      </c>
      <c r="P11" s="75">
        <f t="shared" si="3"/>
        <v>181.1</v>
      </c>
      <c r="Q11" s="75">
        <f t="shared" si="4"/>
        <v>812.69999999999993</v>
      </c>
    </row>
    <row r="12" spans="1:33">
      <c r="A12" s="75">
        <v>1971</v>
      </c>
      <c r="B12" s="75">
        <v>8.1</v>
      </c>
      <c r="C12" s="75">
        <v>17.3</v>
      </c>
      <c r="D12" s="75">
        <v>39.5</v>
      </c>
      <c r="E12" s="75">
        <v>36.5</v>
      </c>
      <c r="F12" s="75">
        <v>54.2</v>
      </c>
      <c r="G12" s="75">
        <v>227.4</v>
      </c>
      <c r="H12" s="75">
        <v>105.2</v>
      </c>
      <c r="I12" s="75">
        <v>62.8</v>
      </c>
      <c r="J12" s="75">
        <v>62.8</v>
      </c>
      <c r="K12" s="75">
        <v>50.2</v>
      </c>
      <c r="L12" s="75">
        <v>22.9</v>
      </c>
      <c r="M12" s="75">
        <v>36.1</v>
      </c>
      <c r="N12" s="75">
        <f t="shared" si="1"/>
        <v>101.4</v>
      </c>
      <c r="O12" s="75">
        <f t="shared" si="2"/>
        <v>512.4</v>
      </c>
      <c r="P12" s="75">
        <f t="shared" si="3"/>
        <v>109.19999999999999</v>
      </c>
      <c r="Q12" s="75">
        <f t="shared" si="4"/>
        <v>723</v>
      </c>
    </row>
    <row r="13" spans="1:33">
      <c r="A13" s="75">
        <v>1972</v>
      </c>
      <c r="B13" s="75">
        <v>16.7</v>
      </c>
      <c r="C13" s="75">
        <v>3.9</v>
      </c>
      <c r="D13" s="75">
        <v>33.299999999999997</v>
      </c>
      <c r="E13" s="75">
        <v>25.5</v>
      </c>
      <c r="F13" s="75">
        <v>83.5</v>
      </c>
      <c r="G13" s="75">
        <v>222.8</v>
      </c>
      <c r="H13" s="75">
        <v>38.9</v>
      </c>
      <c r="I13" s="75">
        <v>56.4</v>
      </c>
      <c r="J13" s="75">
        <v>61.9</v>
      </c>
      <c r="K13" s="75">
        <v>83.7</v>
      </c>
      <c r="L13" s="75">
        <v>61.2</v>
      </c>
      <c r="M13" s="75">
        <v>22.7</v>
      </c>
      <c r="N13" s="75">
        <f t="shared" si="1"/>
        <v>79.399999999999991</v>
      </c>
      <c r="O13" s="75">
        <f t="shared" si="2"/>
        <v>463.49999999999994</v>
      </c>
      <c r="P13" s="75">
        <f t="shared" si="3"/>
        <v>167.6</v>
      </c>
      <c r="Q13" s="75">
        <f t="shared" si="4"/>
        <v>710.50000000000011</v>
      </c>
    </row>
    <row r="14" spans="1:33">
      <c r="A14" s="75">
        <v>1973</v>
      </c>
      <c r="B14" s="75">
        <v>24.1</v>
      </c>
      <c r="C14" s="75">
        <v>7.5</v>
      </c>
      <c r="D14" s="75">
        <v>31.2</v>
      </c>
      <c r="E14" s="75">
        <v>38.799999999999997</v>
      </c>
      <c r="F14" s="75">
        <v>143.30000000000001</v>
      </c>
      <c r="G14" s="75">
        <v>195.8</v>
      </c>
      <c r="H14" s="75">
        <v>29.8</v>
      </c>
      <c r="I14" s="75">
        <v>18.7</v>
      </c>
      <c r="J14" s="75">
        <v>86.5</v>
      </c>
      <c r="K14" s="75">
        <v>11.9</v>
      </c>
      <c r="L14" s="75">
        <v>50.9</v>
      </c>
      <c r="M14" s="75">
        <v>11.2</v>
      </c>
      <c r="N14" s="75">
        <f t="shared" si="1"/>
        <v>101.6</v>
      </c>
      <c r="O14" s="75">
        <f t="shared" si="2"/>
        <v>474.1</v>
      </c>
      <c r="P14" s="75">
        <f t="shared" si="3"/>
        <v>74</v>
      </c>
      <c r="Q14" s="75">
        <f t="shared" si="4"/>
        <v>649.70000000000005</v>
      </c>
    </row>
    <row r="15" spans="1:33" ht="12.75">
      <c r="A15" s="75">
        <v>1974</v>
      </c>
      <c r="B15" s="75">
        <v>5</v>
      </c>
      <c r="C15" s="75">
        <v>3.9</v>
      </c>
      <c r="D15" s="75">
        <v>37</v>
      </c>
      <c r="E15" s="75">
        <v>118.8</v>
      </c>
      <c r="F15" s="75">
        <v>60</v>
      </c>
      <c r="G15" s="75">
        <v>133.5</v>
      </c>
      <c r="H15" s="75">
        <v>148.19999999999999</v>
      </c>
      <c r="I15" s="75">
        <v>251.5</v>
      </c>
      <c r="J15" s="75">
        <v>107</v>
      </c>
      <c r="K15" s="75">
        <v>23.7</v>
      </c>
      <c r="L15" s="97">
        <v>18.7</v>
      </c>
      <c r="M15" s="97">
        <v>18.399999999999999</v>
      </c>
      <c r="N15" s="75">
        <f t="shared" si="1"/>
        <v>164.7</v>
      </c>
      <c r="O15" s="75">
        <f t="shared" si="2"/>
        <v>700.2</v>
      </c>
      <c r="P15" s="75">
        <f t="shared" si="3"/>
        <v>60.8</v>
      </c>
      <c r="Q15" s="75">
        <f t="shared" si="4"/>
        <v>925.7</v>
      </c>
    </row>
    <row r="16" spans="1:33" ht="12.75">
      <c r="A16" s="75">
        <v>1975</v>
      </c>
      <c r="B16" s="75">
        <v>17.3</v>
      </c>
      <c r="C16" s="75">
        <v>15</v>
      </c>
      <c r="D16" s="75">
        <v>13.3</v>
      </c>
      <c r="E16" s="75">
        <v>55.7</v>
      </c>
      <c r="F16" s="75">
        <v>131.19999999999999</v>
      </c>
      <c r="G16" s="75">
        <v>159.69999999999999</v>
      </c>
      <c r="H16" s="75">
        <v>99.9</v>
      </c>
      <c r="I16" s="75">
        <v>85.6</v>
      </c>
      <c r="J16" s="75">
        <v>251</v>
      </c>
      <c r="K16" s="75">
        <v>56.5</v>
      </c>
      <c r="L16" s="97">
        <v>69.2</v>
      </c>
      <c r="M16" s="97">
        <v>10.7</v>
      </c>
      <c r="N16" s="75">
        <f t="shared" si="1"/>
        <v>101.3</v>
      </c>
      <c r="O16" s="75">
        <f t="shared" si="2"/>
        <v>727.4</v>
      </c>
      <c r="P16" s="75">
        <f t="shared" si="3"/>
        <v>136.4</v>
      </c>
      <c r="Q16" s="75">
        <f t="shared" si="4"/>
        <v>965.10000000000014</v>
      </c>
    </row>
    <row r="17" spans="1:17" ht="12.75">
      <c r="A17" s="75">
        <v>1976</v>
      </c>
      <c r="B17" s="75">
        <v>27.6</v>
      </c>
      <c r="C17" s="75">
        <v>16.399999999999999</v>
      </c>
      <c r="D17" s="75">
        <v>36.700000000000003</v>
      </c>
      <c r="E17" s="75">
        <v>25.1</v>
      </c>
      <c r="F17" s="75">
        <v>145.1</v>
      </c>
      <c r="G17" s="75">
        <v>144.69999999999999</v>
      </c>
      <c r="H17" s="75">
        <v>183.6</v>
      </c>
      <c r="I17" s="75">
        <v>47.9</v>
      </c>
      <c r="J17" s="75">
        <v>92.7</v>
      </c>
      <c r="K17" s="75">
        <v>56.2</v>
      </c>
      <c r="L17" s="97">
        <v>20.9</v>
      </c>
      <c r="M17" s="97">
        <v>23.4</v>
      </c>
      <c r="N17" s="75">
        <f t="shared" si="1"/>
        <v>105.80000000000001</v>
      </c>
      <c r="O17" s="75">
        <f t="shared" si="2"/>
        <v>614</v>
      </c>
      <c r="P17" s="75">
        <f t="shared" si="3"/>
        <v>100.5</v>
      </c>
      <c r="Q17" s="75">
        <f t="shared" si="4"/>
        <v>820.30000000000007</v>
      </c>
    </row>
    <row r="18" spans="1:17" ht="12.75">
      <c r="A18" s="75">
        <v>1977</v>
      </c>
      <c r="B18" s="75">
        <v>11.6</v>
      </c>
      <c r="C18" s="75">
        <v>23.4</v>
      </c>
      <c r="D18" s="75">
        <v>27.2</v>
      </c>
      <c r="E18" s="75">
        <v>60.1</v>
      </c>
      <c r="F18" s="75">
        <v>221.3</v>
      </c>
      <c r="G18" s="75">
        <v>193.2</v>
      </c>
      <c r="H18" s="75">
        <v>210.1</v>
      </c>
      <c r="I18" s="75">
        <v>101.3</v>
      </c>
      <c r="J18" s="75">
        <v>107.1</v>
      </c>
      <c r="K18" s="75">
        <v>60.3</v>
      </c>
      <c r="L18" s="97">
        <v>43.3</v>
      </c>
      <c r="M18" s="97">
        <v>5.4</v>
      </c>
      <c r="N18" s="75">
        <f t="shared" si="1"/>
        <v>122.30000000000001</v>
      </c>
      <c r="O18" s="75">
        <f t="shared" si="2"/>
        <v>833</v>
      </c>
      <c r="P18" s="75">
        <f t="shared" si="3"/>
        <v>109</v>
      </c>
      <c r="Q18" s="75">
        <f t="shared" si="4"/>
        <v>1064.3</v>
      </c>
    </row>
    <row r="19" spans="1:17" ht="12.75">
      <c r="A19" s="75">
        <v>1978</v>
      </c>
      <c r="B19" s="75">
        <v>18.8</v>
      </c>
      <c r="C19" s="75">
        <v>5.2</v>
      </c>
      <c r="D19" s="75">
        <v>19.399999999999999</v>
      </c>
      <c r="E19" s="75">
        <v>44.4</v>
      </c>
      <c r="F19" s="75">
        <v>146.80000000000001</v>
      </c>
      <c r="G19" s="75">
        <v>160.9</v>
      </c>
      <c r="H19" s="75">
        <v>26.9</v>
      </c>
      <c r="I19" s="75">
        <v>73.099999999999994</v>
      </c>
      <c r="J19" s="75">
        <v>21.4</v>
      </c>
      <c r="K19" s="75">
        <v>51.3</v>
      </c>
      <c r="L19" s="97">
        <v>80.5</v>
      </c>
      <c r="M19" s="97">
        <v>1.4</v>
      </c>
      <c r="N19" s="75">
        <f t="shared" si="1"/>
        <v>87.8</v>
      </c>
      <c r="O19" s="75">
        <f t="shared" si="2"/>
        <v>429.1</v>
      </c>
      <c r="P19" s="75">
        <f t="shared" si="3"/>
        <v>133.20000000000002</v>
      </c>
      <c r="Q19" s="75">
        <f t="shared" si="4"/>
        <v>650.09999999999991</v>
      </c>
    </row>
    <row r="20" spans="1:17" ht="12.75">
      <c r="A20" s="75">
        <v>1979</v>
      </c>
      <c r="B20" s="75">
        <v>17.7</v>
      </c>
      <c r="C20" s="75">
        <v>18</v>
      </c>
      <c r="D20" s="75">
        <v>29.8</v>
      </c>
      <c r="E20" s="75">
        <v>33.200000000000003</v>
      </c>
      <c r="F20" s="75">
        <v>42.3</v>
      </c>
      <c r="G20" s="75">
        <v>180.9</v>
      </c>
      <c r="H20" s="75">
        <v>154</v>
      </c>
      <c r="I20" s="75">
        <v>166.2</v>
      </c>
      <c r="J20" s="75">
        <v>124.5</v>
      </c>
      <c r="K20" s="75">
        <v>44.7</v>
      </c>
      <c r="L20" s="97">
        <v>10.1</v>
      </c>
      <c r="M20" s="97">
        <v>29.7</v>
      </c>
      <c r="N20" s="75">
        <f t="shared" si="1"/>
        <v>98.7</v>
      </c>
      <c r="O20" s="75">
        <f t="shared" si="2"/>
        <v>667.9</v>
      </c>
      <c r="P20" s="75">
        <f t="shared" si="3"/>
        <v>84.5</v>
      </c>
      <c r="Q20" s="75">
        <f t="shared" si="4"/>
        <v>851.1</v>
      </c>
    </row>
    <row r="21" spans="1:17" ht="12.75">
      <c r="A21" s="75">
        <v>1980</v>
      </c>
      <c r="B21" s="75">
        <v>21</v>
      </c>
      <c r="C21" s="75">
        <v>7.9</v>
      </c>
      <c r="D21" s="75">
        <v>14.5</v>
      </c>
      <c r="E21" s="75">
        <v>114.8</v>
      </c>
      <c r="F21" s="75">
        <v>89.9</v>
      </c>
      <c r="G21" s="75">
        <v>130.80000000000001</v>
      </c>
      <c r="H21" s="75">
        <v>284.8</v>
      </c>
      <c r="I21" s="75">
        <v>143.69999999999999</v>
      </c>
      <c r="J21" s="75">
        <v>50.5</v>
      </c>
      <c r="K21" s="75">
        <v>126.7</v>
      </c>
      <c r="L21" s="97">
        <v>9.5</v>
      </c>
      <c r="M21" s="97">
        <v>15.9</v>
      </c>
      <c r="N21" s="75">
        <f t="shared" si="1"/>
        <v>158.19999999999999</v>
      </c>
      <c r="O21" s="75">
        <f t="shared" si="2"/>
        <v>699.7</v>
      </c>
      <c r="P21" s="75">
        <f t="shared" si="3"/>
        <v>152.1</v>
      </c>
      <c r="Q21" s="75">
        <f t="shared" si="4"/>
        <v>1010.0000000000001</v>
      </c>
    </row>
    <row r="22" spans="1:17" ht="12.75">
      <c r="A22" s="75">
        <v>1981</v>
      </c>
      <c r="B22" s="75">
        <v>14.2</v>
      </c>
      <c r="C22" s="75">
        <v>10.8</v>
      </c>
      <c r="D22" s="75">
        <v>17</v>
      </c>
      <c r="E22" s="75">
        <v>49.4</v>
      </c>
      <c r="F22" s="75">
        <v>101.4</v>
      </c>
      <c r="G22" s="75">
        <v>77.3</v>
      </c>
      <c r="H22" s="75">
        <v>158.80000000000001</v>
      </c>
      <c r="I22" s="75">
        <v>169.7</v>
      </c>
      <c r="J22" s="75">
        <v>57.9</v>
      </c>
      <c r="K22" s="75">
        <v>37.299999999999997</v>
      </c>
      <c r="L22" s="97">
        <v>19.2</v>
      </c>
      <c r="M22" s="97">
        <v>13.1</v>
      </c>
      <c r="N22" s="75">
        <f t="shared" si="1"/>
        <v>91.4</v>
      </c>
      <c r="O22" s="75">
        <f t="shared" si="2"/>
        <v>565.1</v>
      </c>
      <c r="P22" s="75">
        <f t="shared" si="3"/>
        <v>69.599999999999994</v>
      </c>
      <c r="Q22" s="75">
        <f t="shared" si="4"/>
        <v>726.1</v>
      </c>
    </row>
    <row r="23" spans="1:17" ht="12.75">
      <c r="A23" s="75">
        <v>1982</v>
      </c>
      <c r="B23" s="75">
        <v>8.5</v>
      </c>
      <c r="C23" s="75">
        <v>23.7</v>
      </c>
      <c r="D23" s="75">
        <v>2.5</v>
      </c>
      <c r="E23" s="75">
        <v>52.1</v>
      </c>
      <c r="F23" s="75">
        <v>249.7</v>
      </c>
      <c r="G23" s="75">
        <v>155.5</v>
      </c>
      <c r="H23" s="75">
        <v>70.099999999999994</v>
      </c>
      <c r="I23" s="75">
        <v>266</v>
      </c>
      <c r="J23" s="75">
        <v>130.80000000000001</v>
      </c>
      <c r="K23" s="75">
        <v>34.6</v>
      </c>
      <c r="L23" s="97">
        <v>42.1</v>
      </c>
      <c r="M23" s="97">
        <v>17.600000000000001</v>
      </c>
      <c r="N23" s="75">
        <f t="shared" si="1"/>
        <v>86.800000000000011</v>
      </c>
      <c r="O23" s="75">
        <f t="shared" si="2"/>
        <v>872.09999999999991</v>
      </c>
      <c r="P23" s="75">
        <f t="shared" si="3"/>
        <v>94.300000000000011</v>
      </c>
      <c r="Q23" s="75">
        <f t="shared" si="4"/>
        <v>1053.2</v>
      </c>
    </row>
    <row r="24" spans="1:17" ht="12.75">
      <c r="A24" s="75">
        <v>1983</v>
      </c>
      <c r="B24" s="75">
        <v>24.7</v>
      </c>
      <c r="C24" s="75">
        <v>19.899999999999999</v>
      </c>
      <c r="D24" s="75">
        <v>43.1</v>
      </c>
      <c r="E24" s="75">
        <v>89.7</v>
      </c>
      <c r="F24" s="75">
        <v>37.1</v>
      </c>
      <c r="G24" s="75">
        <v>153.9</v>
      </c>
      <c r="H24" s="75">
        <v>199.4</v>
      </c>
      <c r="I24" s="75">
        <v>122.1</v>
      </c>
      <c r="J24" s="75">
        <v>79.900000000000006</v>
      </c>
      <c r="K24" s="75">
        <v>35.299999999999997</v>
      </c>
      <c r="L24" s="97">
        <v>34.299999999999997</v>
      </c>
      <c r="M24" s="97">
        <v>26.9</v>
      </c>
      <c r="N24" s="75">
        <f t="shared" si="1"/>
        <v>177.39999999999998</v>
      </c>
      <c r="O24" s="75">
        <f t="shared" si="2"/>
        <v>592.4</v>
      </c>
      <c r="P24" s="75">
        <f t="shared" si="3"/>
        <v>96.5</v>
      </c>
      <c r="Q24" s="75">
        <f t="shared" si="4"/>
        <v>866.29999999999984</v>
      </c>
    </row>
    <row r="25" spans="1:17" ht="12.75">
      <c r="A25" s="75">
        <v>1984</v>
      </c>
      <c r="B25" s="75">
        <v>7.7</v>
      </c>
      <c r="C25" s="75">
        <v>12.8</v>
      </c>
      <c r="D25" s="75">
        <v>21</v>
      </c>
      <c r="E25" s="75">
        <v>17.3</v>
      </c>
      <c r="F25" s="75">
        <v>115</v>
      </c>
      <c r="G25" s="75">
        <v>26.1</v>
      </c>
      <c r="H25" s="75">
        <v>174</v>
      </c>
      <c r="I25" s="75">
        <v>175.2</v>
      </c>
      <c r="J25" s="75">
        <v>101.5</v>
      </c>
      <c r="K25" s="75">
        <v>20.399999999999999</v>
      </c>
      <c r="L25" s="97">
        <v>9.6</v>
      </c>
      <c r="M25" s="97">
        <v>20.9</v>
      </c>
      <c r="N25" s="75">
        <f t="shared" si="1"/>
        <v>58.8</v>
      </c>
      <c r="O25" s="75">
        <f t="shared" si="2"/>
        <v>591.79999999999995</v>
      </c>
      <c r="P25" s="75">
        <f t="shared" si="3"/>
        <v>50.9</v>
      </c>
      <c r="Q25" s="75">
        <f t="shared" si="4"/>
        <v>701.49999999999989</v>
      </c>
    </row>
    <row r="26" spans="1:17">
      <c r="A26" s="75">
        <v>1985</v>
      </c>
      <c r="B26" s="75">
        <v>22.9</v>
      </c>
      <c r="C26" s="75">
        <v>11.7</v>
      </c>
      <c r="D26" s="75">
        <v>46.9</v>
      </c>
      <c r="E26" s="75">
        <v>73</v>
      </c>
      <c r="F26" s="75">
        <v>179.9</v>
      </c>
      <c r="G26" s="75">
        <v>130</v>
      </c>
      <c r="H26" s="75">
        <v>97.1</v>
      </c>
      <c r="I26" s="75">
        <v>174.5</v>
      </c>
      <c r="J26" s="75">
        <v>72.3</v>
      </c>
      <c r="K26" s="75">
        <v>70.3</v>
      </c>
      <c r="L26" s="75">
        <v>39.9</v>
      </c>
      <c r="M26" s="75">
        <v>12.3</v>
      </c>
      <c r="N26" s="75">
        <f t="shared" si="1"/>
        <v>154.5</v>
      </c>
      <c r="O26" s="75">
        <f t="shared" si="2"/>
        <v>653.79999999999995</v>
      </c>
      <c r="P26" s="75">
        <f t="shared" si="3"/>
        <v>122.49999999999999</v>
      </c>
      <c r="Q26" s="75">
        <f t="shared" si="4"/>
        <v>930.79999999999984</v>
      </c>
    </row>
    <row r="27" spans="1:17">
      <c r="A27" s="75">
        <v>1986</v>
      </c>
      <c r="B27" s="75">
        <v>9</v>
      </c>
      <c r="C27" s="75">
        <v>13.9</v>
      </c>
      <c r="D27" s="75">
        <v>18.7</v>
      </c>
      <c r="E27" s="75">
        <v>26.2</v>
      </c>
      <c r="F27" s="75">
        <v>90.3</v>
      </c>
      <c r="G27" s="75">
        <v>92.2</v>
      </c>
      <c r="H27" s="75">
        <v>225.3</v>
      </c>
      <c r="I27" s="75">
        <v>57.7</v>
      </c>
      <c r="J27" s="75">
        <v>82.3</v>
      </c>
      <c r="K27" s="75">
        <v>17.899999999999999</v>
      </c>
      <c r="L27" s="75">
        <v>36.4</v>
      </c>
      <c r="M27" s="75">
        <v>3</v>
      </c>
      <c r="N27" s="75">
        <f t="shared" si="1"/>
        <v>67.8</v>
      </c>
      <c r="O27" s="75">
        <f t="shared" si="2"/>
        <v>547.79999999999995</v>
      </c>
      <c r="P27" s="75">
        <f t="shared" si="3"/>
        <v>57.3</v>
      </c>
      <c r="Q27" s="75">
        <f t="shared" si="4"/>
        <v>672.9</v>
      </c>
    </row>
    <row r="28" spans="1:17">
      <c r="A28" s="75">
        <v>1987</v>
      </c>
      <c r="B28" s="75">
        <v>34.299999999999997</v>
      </c>
      <c r="C28" s="75">
        <v>13.2</v>
      </c>
      <c r="D28" s="75">
        <v>17.600000000000001</v>
      </c>
      <c r="E28" s="75">
        <v>56.6</v>
      </c>
      <c r="F28" s="75">
        <v>103.8</v>
      </c>
      <c r="G28" s="75">
        <v>101.1</v>
      </c>
      <c r="H28" s="75">
        <v>165</v>
      </c>
      <c r="I28" s="75">
        <v>106.2</v>
      </c>
      <c r="J28" s="75">
        <v>89.6</v>
      </c>
      <c r="K28" s="75">
        <v>97.7</v>
      </c>
      <c r="L28" s="75">
        <v>35.1</v>
      </c>
      <c r="M28" s="75">
        <v>4.4000000000000004</v>
      </c>
      <c r="N28" s="75">
        <f t="shared" si="1"/>
        <v>121.69999999999999</v>
      </c>
      <c r="O28" s="75">
        <f t="shared" si="2"/>
        <v>565.69999999999993</v>
      </c>
      <c r="P28" s="75">
        <f t="shared" si="3"/>
        <v>137.20000000000002</v>
      </c>
      <c r="Q28" s="75">
        <f t="shared" si="4"/>
        <v>824.60000000000014</v>
      </c>
    </row>
    <row r="29" spans="1:17">
      <c r="A29" s="75">
        <v>1988</v>
      </c>
      <c r="B29" s="75">
        <v>24.6</v>
      </c>
      <c r="C29" s="75">
        <v>15.3</v>
      </c>
      <c r="D29" s="75">
        <v>13.6</v>
      </c>
      <c r="E29" s="75">
        <v>74.5</v>
      </c>
      <c r="F29" s="75">
        <v>67.8</v>
      </c>
      <c r="G29" s="75">
        <v>87.4</v>
      </c>
      <c r="H29" s="75">
        <v>138.80000000000001</v>
      </c>
      <c r="I29" s="75">
        <v>96.9</v>
      </c>
      <c r="J29" s="75">
        <v>205.2</v>
      </c>
      <c r="K29" s="75">
        <v>53.8</v>
      </c>
      <c r="L29" s="75">
        <v>8.3000000000000007</v>
      </c>
      <c r="M29" s="75">
        <v>10.3</v>
      </c>
      <c r="N29" s="75">
        <f t="shared" si="1"/>
        <v>128</v>
      </c>
      <c r="O29" s="75">
        <f t="shared" si="2"/>
        <v>596.09999999999991</v>
      </c>
      <c r="P29" s="75">
        <f t="shared" si="3"/>
        <v>72.399999999999991</v>
      </c>
      <c r="Q29" s="75">
        <f t="shared" si="4"/>
        <v>796.5</v>
      </c>
    </row>
    <row r="30" spans="1:17">
      <c r="A30" s="75">
        <v>1989</v>
      </c>
      <c r="B30" s="75">
        <v>24.3</v>
      </c>
      <c r="C30" s="75">
        <v>18.3</v>
      </c>
      <c r="D30" s="75">
        <v>50.2</v>
      </c>
      <c r="E30" s="75">
        <v>120.2</v>
      </c>
      <c r="F30" s="75">
        <v>122</v>
      </c>
      <c r="G30" s="75">
        <v>135.30000000000001</v>
      </c>
      <c r="H30" s="75">
        <v>114.5</v>
      </c>
      <c r="I30" s="75">
        <v>61.5</v>
      </c>
      <c r="J30" s="75">
        <v>115.2</v>
      </c>
      <c r="K30" s="75">
        <v>60.6</v>
      </c>
      <c r="L30" s="75">
        <v>26.6</v>
      </c>
      <c r="M30" s="75">
        <v>19.399999999999999</v>
      </c>
      <c r="N30" s="75">
        <f t="shared" si="1"/>
        <v>213</v>
      </c>
      <c r="O30" s="75">
        <f t="shared" si="2"/>
        <v>548.5</v>
      </c>
      <c r="P30" s="75">
        <f t="shared" si="3"/>
        <v>106.6</v>
      </c>
      <c r="Q30" s="75">
        <f t="shared" si="4"/>
        <v>868.1</v>
      </c>
    </row>
    <row r="31" spans="1:17">
      <c r="A31" s="75">
        <v>1990</v>
      </c>
      <c r="B31" s="75">
        <v>10.9</v>
      </c>
      <c r="C31" s="75">
        <v>17.7</v>
      </c>
      <c r="D31" s="75">
        <v>27.8</v>
      </c>
      <c r="E31" s="75">
        <v>63.5</v>
      </c>
      <c r="F31" s="75">
        <v>91.9</v>
      </c>
      <c r="G31" s="75">
        <v>126.8</v>
      </c>
      <c r="H31" s="75">
        <v>144.5</v>
      </c>
      <c r="I31" s="75">
        <v>24.1</v>
      </c>
      <c r="J31" s="75">
        <v>93.7</v>
      </c>
      <c r="K31" s="75">
        <v>95.1</v>
      </c>
      <c r="L31" s="75">
        <v>21.7</v>
      </c>
      <c r="M31" s="75">
        <v>4.9000000000000004</v>
      </c>
      <c r="N31" s="75">
        <f t="shared" si="1"/>
        <v>119.9</v>
      </c>
      <c r="O31" s="75">
        <f t="shared" si="2"/>
        <v>481</v>
      </c>
      <c r="P31" s="75">
        <f t="shared" si="3"/>
        <v>121.7</v>
      </c>
      <c r="Q31" s="75">
        <f t="shared" si="4"/>
        <v>722.60000000000014</v>
      </c>
    </row>
    <row r="32" spans="1:17">
      <c r="A32" s="75">
        <v>1991</v>
      </c>
      <c r="B32" s="75">
        <v>23.3</v>
      </c>
      <c r="C32" s="75">
        <v>12.7</v>
      </c>
      <c r="D32" s="75">
        <v>17.3</v>
      </c>
      <c r="E32" s="75">
        <v>46.1</v>
      </c>
      <c r="F32" s="75">
        <v>39.200000000000003</v>
      </c>
      <c r="G32" s="75">
        <v>91.7</v>
      </c>
      <c r="H32" s="75">
        <v>116.1</v>
      </c>
      <c r="I32" s="75">
        <v>188.2</v>
      </c>
      <c r="J32" s="75">
        <v>45.1</v>
      </c>
      <c r="K32" s="75">
        <v>91</v>
      </c>
      <c r="L32" s="75">
        <v>29.6</v>
      </c>
      <c r="M32" s="75">
        <v>25.6</v>
      </c>
      <c r="N32" s="75">
        <f t="shared" si="1"/>
        <v>99.4</v>
      </c>
      <c r="O32" s="75">
        <f t="shared" si="2"/>
        <v>480.3</v>
      </c>
      <c r="P32" s="75">
        <f t="shared" si="3"/>
        <v>146.19999999999999</v>
      </c>
      <c r="Q32" s="75">
        <f t="shared" si="4"/>
        <v>725.9</v>
      </c>
    </row>
    <row r="33" spans="1:17">
      <c r="A33" s="75">
        <v>1992</v>
      </c>
      <c r="B33" s="75">
        <v>16.3</v>
      </c>
      <c r="C33" s="75">
        <v>41.6</v>
      </c>
      <c r="D33" s="75">
        <v>44</v>
      </c>
      <c r="E33" s="75">
        <v>125.5</v>
      </c>
      <c r="F33" s="75">
        <v>177.9</v>
      </c>
      <c r="G33" s="75">
        <v>181.9</v>
      </c>
      <c r="H33" s="75">
        <v>140.6</v>
      </c>
      <c r="I33" s="75">
        <v>30.8</v>
      </c>
      <c r="J33" s="75">
        <v>7.6</v>
      </c>
      <c r="K33" s="75">
        <v>70.3</v>
      </c>
      <c r="L33" s="75">
        <v>2.8</v>
      </c>
      <c r="M33" s="75">
        <v>18.2</v>
      </c>
      <c r="N33" s="75">
        <f t="shared" si="1"/>
        <v>227.4</v>
      </c>
      <c r="O33" s="75">
        <f t="shared" si="2"/>
        <v>538.79999999999995</v>
      </c>
      <c r="P33" s="75">
        <f t="shared" si="3"/>
        <v>91.3</v>
      </c>
      <c r="Q33" s="75">
        <f t="shared" si="4"/>
        <v>857.5</v>
      </c>
    </row>
    <row r="34" spans="1:17">
      <c r="A34" s="75">
        <v>1993</v>
      </c>
      <c r="B34" s="75">
        <v>20</v>
      </c>
      <c r="C34" s="75">
        <v>30.6</v>
      </c>
      <c r="D34" s="75">
        <v>9.6999999999999993</v>
      </c>
      <c r="E34" s="75">
        <v>48</v>
      </c>
      <c r="F34" s="75">
        <v>39.299999999999997</v>
      </c>
      <c r="G34" s="75">
        <v>102</v>
      </c>
      <c r="H34" s="75">
        <v>94.4</v>
      </c>
      <c r="I34" s="75">
        <v>105.5</v>
      </c>
      <c r="J34" s="75">
        <v>80.2</v>
      </c>
      <c r="K34" s="75">
        <v>71</v>
      </c>
      <c r="L34" s="75">
        <v>2.2999999999999998</v>
      </c>
      <c r="M34" s="75">
        <v>5.0999999999999996</v>
      </c>
      <c r="N34" s="75">
        <f t="shared" si="1"/>
        <v>108.3</v>
      </c>
      <c r="O34" s="75">
        <f t="shared" si="2"/>
        <v>421.40000000000003</v>
      </c>
      <c r="P34" s="75">
        <f t="shared" si="3"/>
        <v>78.399999999999991</v>
      </c>
      <c r="Q34" s="75">
        <f t="shared" si="4"/>
        <v>608.1</v>
      </c>
    </row>
    <row r="35" spans="1:17">
      <c r="A35" s="75">
        <v>1994</v>
      </c>
      <c r="B35" s="75">
        <v>3.2</v>
      </c>
      <c r="C35" s="75">
        <v>6.2</v>
      </c>
      <c r="D35" s="75">
        <v>65.400000000000006</v>
      </c>
      <c r="E35" s="75">
        <v>33.200000000000003</v>
      </c>
      <c r="F35" s="75">
        <v>79.599999999999994</v>
      </c>
      <c r="G35" s="75">
        <v>120.1</v>
      </c>
      <c r="H35" s="75">
        <v>153.80000000000001</v>
      </c>
      <c r="I35" s="75">
        <v>113.2</v>
      </c>
      <c r="J35" s="75">
        <v>132.30000000000001</v>
      </c>
      <c r="K35" s="75">
        <v>106.5</v>
      </c>
      <c r="L35" s="75">
        <v>43.6</v>
      </c>
      <c r="M35" s="75">
        <v>22.8</v>
      </c>
      <c r="N35" s="75">
        <f t="shared" si="1"/>
        <v>108.00000000000001</v>
      </c>
      <c r="O35" s="75">
        <f t="shared" si="2"/>
        <v>599</v>
      </c>
      <c r="P35" s="75">
        <f t="shared" si="3"/>
        <v>172.9</v>
      </c>
      <c r="Q35" s="75">
        <f t="shared" si="4"/>
        <v>879.9</v>
      </c>
    </row>
    <row r="36" spans="1:17">
      <c r="A36" s="75">
        <v>1995</v>
      </c>
      <c r="B36" s="75">
        <v>22.8</v>
      </c>
      <c r="C36" s="75">
        <v>23.4</v>
      </c>
      <c r="D36" s="75">
        <v>18.7</v>
      </c>
      <c r="E36" s="75">
        <v>38.200000000000003</v>
      </c>
      <c r="F36" s="75">
        <v>148.5</v>
      </c>
      <c r="G36" s="75">
        <v>282</v>
      </c>
      <c r="H36" s="75">
        <v>56.5</v>
      </c>
      <c r="I36" s="75">
        <v>285.8</v>
      </c>
      <c r="J36" s="75">
        <v>63.1</v>
      </c>
      <c r="K36" s="75">
        <v>41.9</v>
      </c>
      <c r="L36" s="75">
        <v>32.4</v>
      </c>
      <c r="M36" s="75">
        <v>28.4</v>
      </c>
      <c r="N36" s="75">
        <f t="shared" si="1"/>
        <v>103.10000000000001</v>
      </c>
      <c r="O36" s="75">
        <f t="shared" si="2"/>
        <v>835.9</v>
      </c>
      <c r="P36" s="75">
        <f t="shared" si="3"/>
        <v>102.69999999999999</v>
      </c>
      <c r="Q36" s="75">
        <f t="shared" si="4"/>
        <v>1041.7</v>
      </c>
    </row>
    <row r="37" spans="1:17">
      <c r="A37" s="75">
        <v>1996</v>
      </c>
      <c r="B37" s="75">
        <v>16.5</v>
      </c>
      <c r="C37" s="75">
        <v>1.9</v>
      </c>
      <c r="D37" s="75">
        <v>55.6</v>
      </c>
      <c r="E37" s="75">
        <v>46.5</v>
      </c>
      <c r="F37" s="75">
        <v>126.4</v>
      </c>
      <c r="G37" s="75">
        <v>122.4</v>
      </c>
      <c r="H37" s="75">
        <v>164.4</v>
      </c>
      <c r="I37" s="75">
        <v>72.099999999999994</v>
      </c>
      <c r="J37" s="75">
        <v>36.299999999999997</v>
      </c>
      <c r="K37" s="75">
        <v>11.2</v>
      </c>
      <c r="L37" s="75">
        <v>131.5</v>
      </c>
      <c r="M37" s="75">
        <v>6.5</v>
      </c>
      <c r="N37" s="75">
        <f t="shared" si="1"/>
        <v>120.5</v>
      </c>
      <c r="O37" s="75">
        <f t="shared" si="2"/>
        <v>521.6</v>
      </c>
      <c r="P37" s="75">
        <f t="shared" si="3"/>
        <v>149.19999999999999</v>
      </c>
      <c r="Q37" s="75">
        <f t="shared" si="4"/>
        <v>791.30000000000007</v>
      </c>
    </row>
    <row r="38" spans="1:17">
      <c r="A38" s="75">
        <v>1997</v>
      </c>
      <c r="B38" s="75">
        <v>18.2</v>
      </c>
      <c r="C38" s="75">
        <v>35.1</v>
      </c>
      <c r="D38" s="75">
        <v>8</v>
      </c>
      <c r="E38" s="75">
        <v>99.7</v>
      </c>
      <c r="F38" s="75">
        <v>131.6</v>
      </c>
      <c r="G38" s="75">
        <v>210.2</v>
      </c>
      <c r="H38" s="75">
        <v>85.6</v>
      </c>
      <c r="I38" s="75">
        <v>69.900000000000006</v>
      </c>
      <c r="J38" s="75">
        <v>95.9</v>
      </c>
      <c r="K38" s="75">
        <v>51.1</v>
      </c>
      <c r="L38" s="75">
        <v>4.2</v>
      </c>
      <c r="M38" s="75">
        <v>9.6</v>
      </c>
      <c r="N38" s="75">
        <f t="shared" si="1"/>
        <v>161</v>
      </c>
      <c r="O38" s="75">
        <f t="shared" si="2"/>
        <v>593.19999999999993</v>
      </c>
      <c r="P38" s="75">
        <f t="shared" si="3"/>
        <v>64.900000000000006</v>
      </c>
      <c r="Q38" s="75">
        <f t="shared" si="4"/>
        <v>819.1</v>
      </c>
    </row>
    <row r="39" spans="1:17">
      <c r="A39" s="75">
        <v>1998</v>
      </c>
      <c r="B39" s="75">
        <v>10.5</v>
      </c>
      <c r="C39" s="75">
        <v>7.5</v>
      </c>
      <c r="D39" s="75">
        <v>10.1</v>
      </c>
      <c r="E39" s="75">
        <v>76.3</v>
      </c>
      <c r="F39" s="75">
        <v>62.1</v>
      </c>
      <c r="G39" s="75">
        <v>91.7</v>
      </c>
      <c r="H39" s="75">
        <v>129.5</v>
      </c>
      <c r="I39" s="75">
        <v>137.1</v>
      </c>
      <c r="J39" s="75">
        <v>28.9</v>
      </c>
      <c r="K39" s="75">
        <v>70.8</v>
      </c>
      <c r="L39" s="75">
        <v>11.4</v>
      </c>
      <c r="M39" s="75">
        <v>14.1</v>
      </c>
      <c r="N39" s="75">
        <f t="shared" si="1"/>
        <v>104.4</v>
      </c>
      <c r="O39" s="75">
        <f t="shared" si="2"/>
        <v>449.29999999999995</v>
      </c>
      <c r="P39" s="75">
        <f t="shared" si="3"/>
        <v>96.3</v>
      </c>
      <c r="Q39" s="75">
        <f t="shared" si="4"/>
        <v>649.99999999999989</v>
      </c>
    </row>
    <row r="40" spans="1:17">
      <c r="A40" s="75">
        <v>1999</v>
      </c>
      <c r="B40" s="75">
        <v>21.4</v>
      </c>
      <c r="C40" s="75">
        <v>21.8</v>
      </c>
      <c r="D40" s="75">
        <v>21.1</v>
      </c>
      <c r="E40" s="75">
        <v>79.900000000000006</v>
      </c>
      <c r="F40" s="75">
        <v>184.8</v>
      </c>
      <c r="G40" s="75">
        <v>199.7</v>
      </c>
      <c r="H40" s="75">
        <v>229.5</v>
      </c>
      <c r="I40" s="75">
        <v>75.599999999999994</v>
      </c>
      <c r="J40" s="75">
        <v>33.9</v>
      </c>
      <c r="K40" s="75">
        <v>45.4</v>
      </c>
      <c r="L40" s="75">
        <v>39.9</v>
      </c>
      <c r="M40" s="75">
        <v>22.4</v>
      </c>
      <c r="N40" s="75">
        <f t="shared" si="1"/>
        <v>144.20000000000002</v>
      </c>
      <c r="O40" s="75">
        <f t="shared" si="2"/>
        <v>723.5</v>
      </c>
      <c r="P40" s="75">
        <f t="shared" si="3"/>
        <v>107.69999999999999</v>
      </c>
      <c r="Q40" s="75">
        <f t="shared" si="4"/>
        <v>975.4</v>
      </c>
    </row>
    <row r="41" spans="1:17">
      <c r="A41" s="75">
        <v>2000</v>
      </c>
      <c r="B41" s="75">
        <v>14.5</v>
      </c>
      <c r="C41" s="75">
        <v>18.3</v>
      </c>
      <c r="D41" s="75">
        <v>55.5</v>
      </c>
      <c r="E41" s="75">
        <v>99.7</v>
      </c>
      <c r="F41" s="75">
        <v>57.2</v>
      </c>
      <c r="G41" s="75">
        <v>242.7</v>
      </c>
      <c r="H41" s="75">
        <v>140.1</v>
      </c>
      <c r="I41" s="75">
        <v>97</v>
      </c>
      <c r="J41" s="75">
        <v>159.1</v>
      </c>
      <c r="K41" s="75">
        <v>59.2</v>
      </c>
      <c r="L41" s="75">
        <v>14</v>
      </c>
      <c r="M41" s="75">
        <v>9.4</v>
      </c>
      <c r="N41" s="75">
        <f t="shared" si="1"/>
        <v>188</v>
      </c>
      <c r="O41" s="75">
        <f t="shared" si="2"/>
        <v>696.1</v>
      </c>
      <c r="P41" s="75">
        <f t="shared" si="3"/>
        <v>82.600000000000009</v>
      </c>
      <c r="Q41" s="75">
        <f t="shared" si="4"/>
        <v>966.7</v>
      </c>
    </row>
    <row r="42" spans="1:17">
      <c r="A42" s="75">
        <v>2001</v>
      </c>
      <c r="B42" s="75">
        <v>27.9</v>
      </c>
      <c r="C42" s="75">
        <v>11.1</v>
      </c>
      <c r="D42" s="75">
        <v>58.2</v>
      </c>
      <c r="E42" s="75">
        <v>108.7</v>
      </c>
      <c r="F42" s="75">
        <v>67.5</v>
      </c>
      <c r="G42" s="75">
        <v>240.7</v>
      </c>
      <c r="H42" s="75">
        <v>64.5</v>
      </c>
      <c r="I42" s="75">
        <v>60</v>
      </c>
      <c r="J42" s="75">
        <v>45.8</v>
      </c>
      <c r="K42" s="75">
        <v>80.5</v>
      </c>
      <c r="L42" s="75">
        <v>19.600000000000001</v>
      </c>
      <c r="M42" s="75">
        <v>25.1</v>
      </c>
      <c r="N42" s="75">
        <f t="shared" si="1"/>
        <v>205.9</v>
      </c>
      <c r="O42" s="75">
        <f t="shared" si="2"/>
        <v>478.5</v>
      </c>
      <c r="P42" s="75">
        <f t="shared" si="3"/>
        <v>125.19999999999999</v>
      </c>
      <c r="Q42" s="75">
        <f t="shared" si="4"/>
        <v>809.59999999999991</v>
      </c>
    </row>
    <row r="43" spans="1:17">
      <c r="A43" s="75">
        <v>2002</v>
      </c>
      <c r="B43" s="75">
        <v>22.7</v>
      </c>
      <c r="C43" s="75">
        <v>15.1</v>
      </c>
      <c r="D43" s="75">
        <v>30.9</v>
      </c>
      <c r="E43" s="75">
        <v>24.1</v>
      </c>
      <c r="F43" s="75">
        <v>102.1</v>
      </c>
      <c r="G43" s="75">
        <v>254</v>
      </c>
      <c r="H43" s="75">
        <v>92.6</v>
      </c>
      <c r="I43" s="75">
        <v>178.7</v>
      </c>
      <c r="J43" s="75">
        <v>23.7</v>
      </c>
      <c r="K43" s="75">
        <v>63.5</v>
      </c>
      <c r="L43" s="75">
        <v>16.600000000000001</v>
      </c>
      <c r="M43" s="75">
        <v>42.9</v>
      </c>
      <c r="N43" s="75">
        <f t="shared" si="1"/>
        <v>92.799999999999983</v>
      </c>
      <c r="O43" s="75">
        <f t="shared" si="2"/>
        <v>651.10000000000014</v>
      </c>
      <c r="P43" s="75">
        <f t="shared" si="3"/>
        <v>123</v>
      </c>
      <c r="Q43" s="75">
        <f t="shared" si="4"/>
        <v>866.90000000000009</v>
      </c>
    </row>
    <row r="44" spans="1:17">
      <c r="A44" s="75">
        <v>2003</v>
      </c>
      <c r="B44" s="75">
        <v>22.8</v>
      </c>
      <c r="C44" s="75">
        <v>4.4000000000000004</v>
      </c>
      <c r="D44" s="75">
        <v>26.5</v>
      </c>
      <c r="E44" s="75">
        <v>62.3</v>
      </c>
      <c r="F44" s="75">
        <v>77.5</v>
      </c>
      <c r="G44" s="75">
        <v>336.4</v>
      </c>
      <c r="H44" s="75">
        <v>101.1</v>
      </c>
      <c r="I44" s="75">
        <v>60.5</v>
      </c>
      <c r="J44" s="75">
        <v>72.900000000000006</v>
      </c>
      <c r="K44" s="75">
        <v>30.7</v>
      </c>
      <c r="L44" s="75">
        <v>46.4</v>
      </c>
      <c r="M44" s="75">
        <v>39.9</v>
      </c>
      <c r="N44" s="75">
        <f t="shared" si="1"/>
        <v>116</v>
      </c>
      <c r="O44" s="75">
        <f t="shared" si="2"/>
        <v>648.4</v>
      </c>
      <c r="P44" s="75">
        <f t="shared" si="3"/>
        <v>117</v>
      </c>
      <c r="Q44" s="75">
        <f t="shared" si="4"/>
        <v>881.4</v>
      </c>
    </row>
    <row r="45" spans="1:17" ht="12.75">
      <c r="A45" s="97">
        <v>2004</v>
      </c>
      <c r="B45" s="76">
        <v>17.100000000000001</v>
      </c>
      <c r="C45" s="76">
        <v>58.6</v>
      </c>
      <c r="D45" s="76">
        <v>41.2</v>
      </c>
      <c r="E45" s="76">
        <v>102.3</v>
      </c>
      <c r="F45" s="76">
        <v>96</v>
      </c>
      <c r="G45" s="76">
        <v>131</v>
      </c>
      <c r="H45" s="76">
        <v>149.69999999999999</v>
      </c>
      <c r="I45" s="76">
        <v>108.9</v>
      </c>
      <c r="J45" s="76">
        <v>122.5</v>
      </c>
      <c r="K45" s="76">
        <v>30.7</v>
      </c>
      <c r="L45" s="76">
        <v>44.7</v>
      </c>
      <c r="M45" s="76">
        <v>18.3</v>
      </c>
      <c r="N45" s="75">
        <f t="shared" si="1"/>
        <v>219.2</v>
      </c>
      <c r="O45" s="75">
        <f t="shared" si="2"/>
        <v>608.1</v>
      </c>
      <c r="P45" s="75">
        <f t="shared" si="3"/>
        <v>93.7</v>
      </c>
      <c r="Q45" s="75">
        <f t="shared" si="4"/>
        <v>921</v>
      </c>
    </row>
    <row r="46" spans="1:17" ht="12.75">
      <c r="A46" s="97">
        <v>2005</v>
      </c>
      <c r="B46" s="63">
        <v>13.1</v>
      </c>
      <c r="C46" s="63">
        <v>8.3000000000000007</v>
      </c>
      <c r="D46" s="63">
        <v>50.5</v>
      </c>
      <c r="E46" s="63">
        <v>108.1</v>
      </c>
      <c r="F46" s="63">
        <v>268.10000000000002</v>
      </c>
      <c r="G46" s="63">
        <v>87.1</v>
      </c>
      <c r="H46" s="63">
        <v>77.400000000000006</v>
      </c>
      <c r="I46" s="63">
        <v>66.400000000000006</v>
      </c>
      <c r="J46" s="63">
        <v>68.3</v>
      </c>
      <c r="K46" s="63">
        <v>69.599999999999994</v>
      </c>
      <c r="L46" s="63">
        <v>19.5</v>
      </c>
      <c r="M46" s="63">
        <v>8.5</v>
      </c>
      <c r="N46" s="75">
        <f t="shared" si="1"/>
        <v>180</v>
      </c>
      <c r="O46" s="75">
        <f t="shared" si="2"/>
        <v>567.29999999999995</v>
      </c>
      <c r="P46" s="75">
        <f t="shared" si="3"/>
        <v>97.6</v>
      </c>
      <c r="Q46" s="75">
        <f t="shared" si="4"/>
        <v>844.9</v>
      </c>
    </row>
    <row r="47" spans="1:17">
      <c r="A47" s="75">
        <v>2006</v>
      </c>
      <c r="B47" s="75">
        <v>15.1</v>
      </c>
      <c r="C47" s="75">
        <v>33.1</v>
      </c>
      <c r="D47" s="75">
        <v>32.9</v>
      </c>
      <c r="E47" s="75">
        <v>27.4</v>
      </c>
      <c r="F47" s="75">
        <v>101.9</v>
      </c>
      <c r="G47" s="75">
        <v>165.7</v>
      </c>
      <c r="H47" s="75">
        <v>42.6</v>
      </c>
      <c r="I47" s="75">
        <v>25.4</v>
      </c>
      <c r="J47" s="75">
        <v>71.5</v>
      </c>
      <c r="K47" s="75">
        <v>98.7</v>
      </c>
      <c r="L47" s="75">
        <v>49.2</v>
      </c>
      <c r="M47" s="75">
        <v>18.5</v>
      </c>
      <c r="N47" s="75">
        <f t="shared" si="1"/>
        <v>108.5</v>
      </c>
      <c r="O47" s="75">
        <f t="shared" si="2"/>
        <v>407.1</v>
      </c>
      <c r="P47" s="75">
        <f t="shared" si="3"/>
        <v>166.4</v>
      </c>
      <c r="Q47" s="75">
        <f t="shared" si="4"/>
        <v>682.00000000000011</v>
      </c>
    </row>
    <row r="48" spans="1:17">
      <c r="A48" s="75">
        <v>2007</v>
      </c>
      <c r="B48" s="75">
        <v>17.899999999999999</v>
      </c>
      <c r="C48" s="75">
        <v>1.3</v>
      </c>
      <c r="D48" s="75">
        <v>34.6</v>
      </c>
      <c r="E48" s="75">
        <v>104.1</v>
      </c>
      <c r="F48" s="75">
        <v>67.2</v>
      </c>
      <c r="G48" s="75">
        <v>214.7</v>
      </c>
      <c r="H48" s="75">
        <v>166.2</v>
      </c>
      <c r="I48" s="75">
        <v>87.5</v>
      </c>
      <c r="J48" s="75">
        <v>101.8</v>
      </c>
      <c r="K48" s="75">
        <v>58</v>
      </c>
      <c r="L48" s="75">
        <v>3.4</v>
      </c>
      <c r="M48" s="75">
        <v>15.4</v>
      </c>
      <c r="N48" s="75">
        <f t="shared" si="1"/>
        <v>157.89999999999998</v>
      </c>
      <c r="O48" s="75">
        <f t="shared" si="2"/>
        <v>637.39999999999986</v>
      </c>
      <c r="P48" s="75">
        <f t="shared" si="3"/>
        <v>76.8</v>
      </c>
      <c r="Q48" s="75">
        <f t="shared" si="4"/>
        <v>872.09999999999991</v>
      </c>
    </row>
    <row r="49" spans="1:33">
      <c r="A49" s="75">
        <v>2008</v>
      </c>
      <c r="B49" s="75">
        <v>17.8</v>
      </c>
      <c r="C49" s="75">
        <v>9.6999999999999993</v>
      </c>
      <c r="D49" s="75">
        <v>62.1</v>
      </c>
      <c r="E49" s="75">
        <v>77.2</v>
      </c>
      <c r="F49" s="75">
        <v>54.5</v>
      </c>
      <c r="G49" s="75">
        <v>86.5</v>
      </c>
      <c r="H49" s="75">
        <v>97.2</v>
      </c>
      <c r="I49" s="75">
        <v>98</v>
      </c>
      <c r="J49" s="75">
        <v>75.900000000000006</v>
      </c>
      <c r="K49" s="75">
        <v>158.19999999999999</v>
      </c>
      <c r="L49" s="75">
        <v>30.7</v>
      </c>
      <c r="M49" s="75">
        <v>8.4</v>
      </c>
      <c r="N49" s="75">
        <f t="shared" si="1"/>
        <v>166.8</v>
      </c>
      <c r="O49" s="75">
        <f t="shared" si="2"/>
        <v>412.1</v>
      </c>
      <c r="P49" s="75">
        <f t="shared" si="3"/>
        <v>197.29999999999998</v>
      </c>
      <c r="Q49" s="75">
        <f t="shared" si="4"/>
        <v>776.19999999999993</v>
      </c>
    </row>
    <row r="50" spans="1:33">
      <c r="A50" s="75">
        <v>2009</v>
      </c>
      <c r="B50" s="75">
        <v>11.299999999999999</v>
      </c>
      <c r="C50" s="75">
        <v>25.3</v>
      </c>
      <c r="D50" s="75">
        <v>27.099999999999998</v>
      </c>
      <c r="E50" s="75">
        <v>53.099999999999994</v>
      </c>
      <c r="F50" s="75">
        <v>91</v>
      </c>
      <c r="G50" s="75">
        <v>203.3</v>
      </c>
      <c r="H50" s="75">
        <v>65.900000000000006</v>
      </c>
      <c r="I50" s="75">
        <v>111.80000000000003</v>
      </c>
      <c r="J50" s="75">
        <v>9.1999999999999993</v>
      </c>
      <c r="K50" s="75">
        <v>46.3</v>
      </c>
      <c r="L50" s="75">
        <v>9.5</v>
      </c>
      <c r="M50" s="75">
        <v>14</v>
      </c>
      <c r="N50" s="75">
        <f t="shared" si="1"/>
        <v>116.8</v>
      </c>
      <c r="O50" s="75">
        <f t="shared" si="2"/>
        <v>481.20000000000005</v>
      </c>
      <c r="P50" s="75">
        <f t="shared" si="3"/>
        <v>69.8</v>
      </c>
      <c r="Q50" s="75">
        <f t="shared" si="4"/>
        <v>667.80000000000007</v>
      </c>
    </row>
    <row r="51" spans="1:33">
      <c r="A51" s="75">
        <v>2010</v>
      </c>
      <c r="B51" s="75">
        <v>4.0999999999999996</v>
      </c>
      <c r="C51" s="75">
        <v>0.4</v>
      </c>
      <c r="D51" s="75">
        <v>18.399999999999999</v>
      </c>
      <c r="E51" s="75">
        <v>85.3</v>
      </c>
      <c r="F51" s="75">
        <v>156.6</v>
      </c>
      <c r="G51" s="75">
        <v>126.6</v>
      </c>
      <c r="H51" s="75">
        <v>141.9</v>
      </c>
      <c r="I51" s="75">
        <v>26.8</v>
      </c>
      <c r="J51" s="75">
        <v>66.400000000000006</v>
      </c>
      <c r="K51" s="75">
        <v>92</v>
      </c>
      <c r="L51" s="75">
        <v>31.8</v>
      </c>
      <c r="M51" s="75">
        <v>17.7</v>
      </c>
      <c r="N51" s="75">
        <f t="shared" si="1"/>
        <v>108.19999999999999</v>
      </c>
      <c r="O51" s="75">
        <f t="shared" si="2"/>
        <v>518.30000000000007</v>
      </c>
      <c r="P51" s="75">
        <f t="shared" si="3"/>
        <v>141.5</v>
      </c>
      <c r="Q51" s="75">
        <f t="shared" si="4"/>
        <v>767.99999999999989</v>
      </c>
    </row>
    <row r="52" spans="1:33" ht="12.75">
      <c r="A52" s="75">
        <v>2011</v>
      </c>
      <c r="B52" s="75">
        <v>8</v>
      </c>
      <c r="C52" s="75">
        <v>7.2</v>
      </c>
      <c r="D52" s="75">
        <v>17.7</v>
      </c>
      <c r="E52" s="75">
        <v>35</v>
      </c>
      <c r="F52" s="75">
        <v>42.3</v>
      </c>
      <c r="G52" s="75">
        <v>213.4</v>
      </c>
      <c r="H52" s="75">
        <v>50.8</v>
      </c>
      <c r="I52" s="75">
        <v>57.7</v>
      </c>
      <c r="J52" s="75">
        <v>49.8</v>
      </c>
      <c r="K52" s="75">
        <v>119.2</v>
      </c>
      <c r="L52" s="75">
        <v>21.1</v>
      </c>
      <c r="M52" s="75">
        <v>19.8</v>
      </c>
      <c r="N52" s="75">
        <f t="shared" si="1"/>
        <v>67.900000000000006</v>
      </c>
      <c r="O52" s="75">
        <f t="shared" si="2"/>
        <v>414</v>
      </c>
      <c r="P52" s="75">
        <f t="shared" si="3"/>
        <v>160.10000000000002</v>
      </c>
      <c r="Q52" s="75">
        <f t="shared" si="4"/>
        <v>642</v>
      </c>
      <c r="R52" s="78"/>
      <c r="S52" s="78"/>
      <c r="T52" s="78"/>
      <c r="U52" s="78"/>
      <c r="V52" s="78"/>
      <c r="W52" s="78"/>
      <c r="X52" s="78"/>
      <c r="Y52" s="78"/>
      <c r="Z52" s="78"/>
      <c r="AA52" s="78"/>
      <c r="AB52" s="78"/>
      <c r="AC52" s="78"/>
      <c r="AD52" s="78"/>
      <c r="AE52" s="78"/>
      <c r="AF52" s="78"/>
      <c r="AG52" s="78"/>
    </row>
    <row r="53" spans="1:33" ht="12.75">
      <c r="A53" s="75">
        <v>2012</v>
      </c>
      <c r="B53" s="75">
        <v>14.2</v>
      </c>
      <c r="C53" s="75">
        <v>5.5</v>
      </c>
      <c r="D53" s="75">
        <v>20.8</v>
      </c>
      <c r="E53" s="75">
        <v>54.4</v>
      </c>
      <c r="F53" s="75">
        <v>146.30000000000001</v>
      </c>
      <c r="G53" s="75">
        <v>78.099999999999994</v>
      </c>
      <c r="H53" s="75">
        <v>92.3</v>
      </c>
      <c r="I53" s="75">
        <v>34.200000000000003</v>
      </c>
      <c r="J53" s="75">
        <v>98.3</v>
      </c>
      <c r="K53" s="75">
        <v>43</v>
      </c>
      <c r="L53" s="75">
        <v>9.9</v>
      </c>
      <c r="M53" s="75">
        <v>14.6</v>
      </c>
      <c r="N53" s="75">
        <f t="shared" si="1"/>
        <v>94.9</v>
      </c>
      <c r="O53" s="75">
        <f t="shared" si="2"/>
        <v>449.2</v>
      </c>
      <c r="P53" s="75">
        <f t="shared" si="3"/>
        <v>67.5</v>
      </c>
      <c r="Q53" s="75">
        <f t="shared" si="4"/>
        <v>611.6</v>
      </c>
      <c r="R53" s="78"/>
      <c r="S53" s="78"/>
      <c r="T53" s="78"/>
      <c r="U53" s="78"/>
      <c r="V53" s="78"/>
      <c r="W53" s="78"/>
      <c r="X53" s="78"/>
      <c r="Y53" s="78"/>
      <c r="Z53" s="78"/>
      <c r="AA53" s="78"/>
      <c r="AB53" s="78"/>
      <c r="AC53" s="78"/>
      <c r="AD53" s="78"/>
      <c r="AE53" s="78"/>
      <c r="AF53" s="78"/>
      <c r="AG53" s="78"/>
    </row>
    <row r="54" spans="1:33" ht="12.75">
      <c r="A54" s="75">
        <v>2013</v>
      </c>
      <c r="B54" s="75">
        <v>5.9</v>
      </c>
      <c r="C54" s="75">
        <v>11.8</v>
      </c>
      <c r="D54" s="75">
        <v>48.6</v>
      </c>
      <c r="E54" s="75">
        <v>61.4</v>
      </c>
      <c r="F54" s="75">
        <v>128.5</v>
      </c>
      <c r="G54" s="75">
        <v>97.3</v>
      </c>
      <c r="H54" s="75">
        <v>9.1</v>
      </c>
      <c r="I54" s="75">
        <v>156.9</v>
      </c>
      <c r="J54" s="75">
        <v>73.900000000000006</v>
      </c>
      <c r="K54" s="75">
        <v>40</v>
      </c>
      <c r="L54" s="75">
        <v>20.5</v>
      </c>
      <c r="M54" s="75">
        <v>3</v>
      </c>
      <c r="N54" s="75">
        <f t="shared" si="1"/>
        <v>127.70000000000002</v>
      </c>
      <c r="O54" s="75">
        <f t="shared" si="2"/>
        <v>465.70000000000005</v>
      </c>
      <c r="P54" s="75">
        <f t="shared" si="3"/>
        <v>63.5</v>
      </c>
      <c r="Q54" s="75">
        <f t="shared" si="4"/>
        <v>656.90000000000009</v>
      </c>
      <c r="R54" s="78"/>
      <c r="S54" s="78"/>
      <c r="T54" s="78"/>
      <c r="U54" s="78"/>
      <c r="V54" s="78"/>
      <c r="W54" s="78"/>
      <c r="X54" s="78"/>
      <c r="Y54" s="78"/>
      <c r="Z54" s="78"/>
      <c r="AA54" s="78"/>
      <c r="AB54" s="78"/>
      <c r="AC54" s="78"/>
      <c r="AD54" s="78"/>
      <c r="AE54" s="78"/>
      <c r="AF54" s="78"/>
      <c r="AG54" s="78"/>
    </row>
    <row r="55" spans="1:33">
      <c r="A55" s="75">
        <v>2014</v>
      </c>
      <c r="B55" s="107">
        <v>4</v>
      </c>
      <c r="C55" s="107">
        <v>12.5</v>
      </c>
      <c r="D55" s="107">
        <v>107.6</v>
      </c>
      <c r="E55" s="107">
        <v>46.6</v>
      </c>
      <c r="F55" s="107">
        <v>86.5</v>
      </c>
      <c r="G55" s="107">
        <v>140.80000000000001</v>
      </c>
      <c r="H55" s="107">
        <v>191.6</v>
      </c>
      <c r="I55" s="107">
        <v>227.2</v>
      </c>
      <c r="J55" s="107">
        <v>124.4</v>
      </c>
      <c r="K55" s="107">
        <v>108.6</v>
      </c>
      <c r="L55" s="107">
        <v>36.5</v>
      </c>
      <c r="M55" s="107">
        <v>5.4</v>
      </c>
      <c r="N55" s="75">
        <f t="shared" si="1"/>
        <v>170.7</v>
      </c>
      <c r="O55" s="75">
        <f t="shared" si="2"/>
        <v>770.49999999999989</v>
      </c>
      <c r="P55" s="75">
        <f t="shared" si="3"/>
        <v>150.5</v>
      </c>
      <c r="Q55" s="75">
        <f t="shared" si="4"/>
        <v>1091.7</v>
      </c>
    </row>
    <row r="56" spans="1:33">
      <c r="A56" s="75">
        <v>2015</v>
      </c>
      <c r="B56" s="107">
        <v>7.8</v>
      </c>
      <c r="C56" s="107">
        <v>5.2</v>
      </c>
      <c r="D56" s="107">
        <v>24.9</v>
      </c>
      <c r="E56" s="107">
        <v>52.3</v>
      </c>
      <c r="F56" s="107">
        <v>113.2</v>
      </c>
      <c r="G56" s="107">
        <v>97.2</v>
      </c>
      <c r="H56" s="107">
        <v>94.7</v>
      </c>
      <c r="I56" s="107">
        <v>154.1</v>
      </c>
      <c r="J56" s="107">
        <v>61.4</v>
      </c>
      <c r="K56" s="107">
        <v>47.5</v>
      </c>
      <c r="L56" s="107">
        <v>2.1</v>
      </c>
      <c r="M56" s="107">
        <v>17</v>
      </c>
      <c r="N56" s="75">
        <f t="shared" si="1"/>
        <v>90.199999999999989</v>
      </c>
      <c r="O56" s="75">
        <f t="shared" si="2"/>
        <v>520.6</v>
      </c>
      <c r="P56" s="75">
        <f t="shared" si="3"/>
        <v>66.599999999999994</v>
      </c>
      <c r="Q56" s="75">
        <f t="shared" si="4"/>
        <v>677.4</v>
      </c>
    </row>
    <row r="57" spans="1:33">
      <c r="A57" s="75">
        <v>2016</v>
      </c>
      <c r="B57" s="107">
        <v>29.9</v>
      </c>
      <c r="C57" s="107">
        <v>18.2</v>
      </c>
      <c r="D57" s="107">
        <v>58.3</v>
      </c>
      <c r="E57" s="107">
        <v>79.099999999999994</v>
      </c>
      <c r="F57" s="107">
        <v>110.3</v>
      </c>
      <c r="G57" s="107">
        <v>174.2</v>
      </c>
      <c r="H57" s="107">
        <v>66.8</v>
      </c>
      <c r="I57" s="107">
        <v>212.8</v>
      </c>
      <c r="J57" s="107">
        <v>87.8</v>
      </c>
      <c r="K57" s="107">
        <v>56.3</v>
      </c>
      <c r="L57" s="107">
        <v>23.7</v>
      </c>
      <c r="M57" s="107">
        <v>9.3000000000000007</v>
      </c>
      <c r="N57" s="75">
        <f>SUM(B57:E57)</f>
        <v>185.5</v>
      </c>
      <c r="O57" s="75">
        <f>SUM(F57:J57)</f>
        <v>651.9</v>
      </c>
      <c r="P57" s="75">
        <f>SUM(K57:M57)</f>
        <v>89.3</v>
      </c>
      <c r="Q57" s="75">
        <f>SUM(B57:M57)</f>
        <v>926.69999999999982</v>
      </c>
      <c r="R57" s="75">
        <f t="shared" ref="R57:AG57" si="5">100*(B57-B4)/B4</f>
        <v>94.666332790785049</v>
      </c>
      <c r="S57" s="75">
        <f t="shared" si="5"/>
        <v>28.134308150555096</v>
      </c>
      <c r="T57" s="75">
        <f t="shared" si="5"/>
        <v>80.742860549692949</v>
      </c>
      <c r="U57" s="75">
        <f t="shared" si="5"/>
        <v>32.958365658132898</v>
      </c>
      <c r="V57" s="75">
        <f t="shared" si="5"/>
        <v>6.3250778585199319</v>
      </c>
      <c r="W57" s="75">
        <f t="shared" si="5"/>
        <v>7.4862058736280055</v>
      </c>
      <c r="X57" s="75">
        <f t="shared" si="5"/>
        <v>-42.344974107024321</v>
      </c>
      <c r="Y57" s="75">
        <f t="shared" si="5"/>
        <v>101.93437716704996</v>
      </c>
      <c r="Z57" s="75">
        <f t="shared" si="5"/>
        <v>9.060506891527119</v>
      </c>
      <c r="AA57" s="75">
        <f t="shared" si="5"/>
        <v>-12.004809137360965</v>
      </c>
      <c r="AB57" s="75">
        <f t="shared" si="5"/>
        <v>-21.71758876961189</v>
      </c>
      <c r="AC57" s="75">
        <f t="shared" si="5"/>
        <v>-45.540540540540519</v>
      </c>
      <c r="AD57" s="75">
        <f t="shared" si="5"/>
        <v>52.91208268602773</v>
      </c>
      <c r="AE57" s="75">
        <f t="shared" si="5"/>
        <v>14.861348296332455</v>
      </c>
      <c r="AF57" s="75">
        <f t="shared" si="5"/>
        <v>-19.789957335083702</v>
      </c>
      <c r="AG57" s="75">
        <f t="shared" si="5"/>
        <v>15.808826180056364</v>
      </c>
    </row>
  </sheetData>
  <mergeCells count="6">
    <mergeCell ref="A1:A3"/>
    <mergeCell ref="B1:Q1"/>
    <mergeCell ref="B2:M2"/>
    <mergeCell ref="R1:AG1"/>
    <mergeCell ref="N2:Q2"/>
    <mergeCell ref="R2:AG2"/>
  </mergeCells>
  <phoneticPr fontId="2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AI59"/>
  <sheetViews>
    <sheetView topLeftCell="I1" zoomScale="85" zoomScaleNormal="85" workbookViewId="0">
      <pane ySplit="5" topLeftCell="A6" activePane="bottomLeft" state="frozen"/>
      <selection pane="bottomLeft" activeCell="AG60" sqref="AG60"/>
    </sheetView>
  </sheetViews>
  <sheetFormatPr defaultRowHeight="14.25"/>
  <cols>
    <col min="1" max="10" width="7.125" style="2" customWidth="1"/>
    <col min="11" max="11" width="7.125" style="37" customWidth="1"/>
    <col min="12" max="35" width="7.125" style="2" customWidth="1"/>
  </cols>
  <sheetData>
    <row r="1" spans="1:33" s="105" customFormat="1" ht="14.25" customHeight="1">
      <c r="A1" s="176" t="s">
        <v>0</v>
      </c>
      <c r="B1" s="176" t="s">
        <v>1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2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05" customFormat="1" ht="12.75">
      <c r="A2" s="176"/>
      <c r="B2" s="176" t="s">
        <v>3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32</v>
      </c>
      <c r="O2" s="176"/>
      <c r="P2" s="176"/>
      <c r="Q2" s="176"/>
      <c r="R2" s="176" t="s">
        <v>6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05" customFormat="1" ht="24">
      <c r="A3" s="176"/>
      <c r="B3" s="106" t="s">
        <v>39</v>
      </c>
      <c r="C3" s="106" t="s">
        <v>40</v>
      </c>
      <c r="D3" s="106" t="s">
        <v>9</v>
      </c>
      <c r="E3" s="106" t="s">
        <v>10</v>
      </c>
      <c r="F3" s="106" t="s">
        <v>11</v>
      </c>
      <c r="G3" s="106" t="s">
        <v>12</v>
      </c>
      <c r="H3" s="106" t="s">
        <v>13</v>
      </c>
      <c r="I3" s="106" t="s">
        <v>14</v>
      </c>
      <c r="J3" s="106" t="s">
        <v>15</v>
      </c>
      <c r="K3" s="106" t="s">
        <v>16</v>
      </c>
      <c r="L3" s="106" t="s">
        <v>17</v>
      </c>
      <c r="M3" s="106" t="s">
        <v>18</v>
      </c>
      <c r="N3" s="106" t="s">
        <v>162</v>
      </c>
      <c r="O3" s="106" t="s">
        <v>163</v>
      </c>
      <c r="P3" s="106" t="s">
        <v>164</v>
      </c>
      <c r="Q3" s="106" t="s">
        <v>165</v>
      </c>
      <c r="R3" s="106" t="s">
        <v>39</v>
      </c>
      <c r="S3" s="106" t="s">
        <v>40</v>
      </c>
      <c r="T3" s="106" t="s">
        <v>166</v>
      </c>
      <c r="U3" s="106" t="s">
        <v>167</v>
      </c>
      <c r="V3" s="106" t="s">
        <v>48</v>
      </c>
      <c r="W3" s="106" t="s">
        <v>24</v>
      </c>
      <c r="X3" s="106" t="s">
        <v>25</v>
      </c>
      <c r="Y3" s="106" t="s">
        <v>26</v>
      </c>
      <c r="Z3" s="106" t="s">
        <v>27</v>
      </c>
      <c r="AA3" s="106" t="s">
        <v>168</v>
      </c>
      <c r="AB3" s="106" t="s">
        <v>169</v>
      </c>
      <c r="AC3" s="106" t="s">
        <v>170</v>
      </c>
      <c r="AD3" s="106" t="s">
        <v>90</v>
      </c>
      <c r="AE3" s="106" t="s">
        <v>4</v>
      </c>
      <c r="AF3" s="106" t="s">
        <v>111</v>
      </c>
      <c r="AG3" s="106" t="s">
        <v>137</v>
      </c>
    </row>
    <row r="4" spans="1:33" s="105" customFormat="1" ht="12.75">
      <c r="A4" s="150" t="s">
        <v>261</v>
      </c>
      <c r="B4" s="150">
        <f t="shared" ref="B4:Q4" si="0">AVERAGE(B5:B58)</f>
        <v>14.087037037037035</v>
      </c>
      <c r="C4" s="150">
        <f t="shared" si="0"/>
        <v>13.592592592592597</v>
      </c>
      <c r="D4" s="150">
        <f t="shared" si="0"/>
        <v>37.090740740740749</v>
      </c>
      <c r="E4" s="150">
        <f t="shared" si="0"/>
        <v>80.801851851851836</v>
      </c>
      <c r="F4" s="150">
        <f t="shared" si="0"/>
        <v>143.4240740740741</v>
      </c>
      <c r="G4" s="150">
        <f t="shared" si="0"/>
        <v>176.88148148148144</v>
      </c>
      <c r="H4" s="150">
        <f t="shared" si="0"/>
        <v>138.05370370370363</v>
      </c>
      <c r="I4" s="150">
        <f t="shared" si="0"/>
        <v>130.27222222222221</v>
      </c>
      <c r="J4" s="150">
        <f t="shared" si="0"/>
        <v>96.809259259259221</v>
      </c>
      <c r="K4" s="150">
        <f t="shared" si="0"/>
        <v>83.331481481481461</v>
      </c>
      <c r="L4" s="150">
        <f t="shared" si="0"/>
        <v>40.566666666666656</v>
      </c>
      <c r="M4" s="150">
        <f t="shared" si="0"/>
        <v>17.890740740740743</v>
      </c>
      <c r="N4" s="150">
        <f t="shared" si="0"/>
        <v>145.57222222222222</v>
      </c>
      <c r="O4" s="150">
        <f t="shared" si="0"/>
        <v>685.44074074074069</v>
      </c>
      <c r="P4" s="150">
        <f t="shared" si="0"/>
        <v>141.78888888888892</v>
      </c>
      <c r="Q4" s="150">
        <f t="shared" si="0"/>
        <v>972.80185185185167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1962</v>
      </c>
      <c r="B5" s="102">
        <v>14.1</v>
      </c>
      <c r="C5" s="102">
        <v>4.5</v>
      </c>
      <c r="D5" s="102">
        <v>39.1</v>
      </c>
      <c r="E5" s="102">
        <v>27</v>
      </c>
      <c r="F5" s="102">
        <v>58.8</v>
      </c>
      <c r="G5" s="102">
        <v>266.7</v>
      </c>
      <c r="H5" s="102">
        <v>98.8</v>
      </c>
      <c r="I5" s="102">
        <v>51.2</v>
      </c>
      <c r="J5" s="102">
        <v>55.3</v>
      </c>
      <c r="K5" s="102">
        <v>120.8</v>
      </c>
      <c r="L5" s="102">
        <v>23.3</v>
      </c>
      <c r="M5" s="102">
        <v>11.4</v>
      </c>
      <c r="N5" s="102">
        <f>SUM(B5:E5)</f>
        <v>84.7</v>
      </c>
      <c r="O5" s="102">
        <f>SUM(F5:J5)</f>
        <v>530.79999999999995</v>
      </c>
      <c r="P5" s="102">
        <f>SUM(K5:M5)</f>
        <v>155.5</v>
      </c>
      <c r="Q5" s="102">
        <f>SUM(B5:M5)</f>
        <v>770.99999999999989</v>
      </c>
      <c r="R5" s="102"/>
      <c r="S5" s="102"/>
      <c r="T5" s="102"/>
      <c r="U5" s="102"/>
      <c r="V5" s="102"/>
      <c r="W5" s="102"/>
      <c r="X5" s="102"/>
      <c r="Y5" s="102"/>
      <c r="Z5" s="102"/>
      <c r="AA5" s="102"/>
      <c r="AB5" s="102"/>
      <c r="AC5" s="102"/>
      <c r="AD5" s="102"/>
      <c r="AE5" s="102"/>
      <c r="AF5" s="102"/>
      <c r="AG5" s="102"/>
    </row>
    <row r="6" spans="1:33">
      <c r="A6" s="102">
        <v>1963</v>
      </c>
      <c r="B6" s="102">
        <v>13.3</v>
      </c>
      <c r="C6" s="102">
        <v>9.6999999999999993</v>
      </c>
      <c r="D6" s="102">
        <v>25.2</v>
      </c>
      <c r="E6" s="102">
        <v>29.7</v>
      </c>
      <c r="F6" s="102">
        <v>126.1</v>
      </c>
      <c r="G6" s="102">
        <v>145.9</v>
      </c>
      <c r="H6" s="102">
        <v>35.700000000000003</v>
      </c>
      <c r="I6" s="102">
        <v>73</v>
      </c>
      <c r="J6" s="102">
        <v>84.7</v>
      </c>
      <c r="K6" s="102">
        <v>149.19999999999999</v>
      </c>
      <c r="L6" s="102">
        <v>103.6</v>
      </c>
      <c r="M6" s="102">
        <v>32.700000000000003</v>
      </c>
      <c r="N6" s="102">
        <f t="shared" ref="N6:N58" si="1">SUM(B6:E6)</f>
        <v>77.900000000000006</v>
      </c>
      <c r="O6" s="102">
        <f t="shared" ref="O6:O58" si="2">SUM(F6:J6)</f>
        <v>465.4</v>
      </c>
      <c r="P6" s="102">
        <f t="shared" ref="P6:P58" si="3">SUM(K6:M6)</f>
        <v>285.5</v>
      </c>
      <c r="Q6" s="102">
        <f t="shared" ref="Q6:Q58" si="4">SUM(B6:M6)</f>
        <v>828.80000000000007</v>
      </c>
      <c r="R6" s="102"/>
      <c r="S6" s="102"/>
      <c r="T6" s="102"/>
      <c r="U6" s="102"/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</row>
    <row r="7" spans="1:33">
      <c r="A7" s="102">
        <v>1964</v>
      </c>
      <c r="B7" s="102">
        <v>8.8000000000000007</v>
      </c>
      <c r="C7" s="102">
        <v>7.9</v>
      </c>
      <c r="D7" s="102">
        <v>17.5</v>
      </c>
      <c r="E7" s="102">
        <v>19.2</v>
      </c>
      <c r="F7" s="102">
        <v>57.1</v>
      </c>
      <c r="G7" s="102">
        <v>218.5</v>
      </c>
      <c r="H7" s="102">
        <v>113.3</v>
      </c>
      <c r="I7" s="102">
        <v>79.5</v>
      </c>
      <c r="J7" s="102">
        <v>67.3</v>
      </c>
      <c r="K7" s="102">
        <v>75.400000000000006</v>
      </c>
      <c r="L7" s="102">
        <v>38.6</v>
      </c>
      <c r="M7" s="102">
        <v>29.3</v>
      </c>
      <c r="N7" s="102">
        <f t="shared" si="1"/>
        <v>53.400000000000006</v>
      </c>
      <c r="O7" s="102">
        <f t="shared" si="2"/>
        <v>535.70000000000005</v>
      </c>
      <c r="P7" s="102">
        <f t="shared" si="3"/>
        <v>143.30000000000001</v>
      </c>
      <c r="Q7" s="102">
        <f t="shared" si="4"/>
        <v>732.39999999999986</v>
      </c>
      <c r="R7" s="102"/>
      <c r="S7" s="102"/>
      <c r="T7" s="102"/>
      <c r="U7" s="102"/>
      <c r="V7" s="102"/>
      <c r="W7" s="102"/>
      <c r="X7" s="102"/>
      <c r="Y7" s="102"/>
      <c r="Z7" s="102"/>
      <c r="AA7" s="102"/>
      <c r="AB7" s="102"/>
      <c r="AC7" s="102"/>
      <c r="AD7" s="102"/>
      <c r="AE7" s="102"/>
      <c r="AF7" s="102"/>
      <c r="AG7" s="102"/>
    </row>
    <row r="8" spans="1:33">
      <c r="A8" s="102">
        <v>1965</v>
      </c>
      <c r="B8" s="102">
        <v>6.1</v>
      </c>
      <c r="C8" s="102">
        <v>4.9000000000000004</v>
      </c>
      <c r="D8" s="102">
        <v>27</v>
      </c>
      <c r="E8" s="102">
        <v>32.6</v>
      </c>
      <c r="F8" s="102">
        <v>58.3</v>
      </c>
      <c r="G8" s="102">
        <v>289.10000000000002</v>
      </c>
      <c r="H8" s="102">
        <v>56.9</v>
      </c>
      <c r="I8" s="102">
        <v>65.5</v>
      </c>
      <c r="J8" s="102">
        <v>47.3</v>
      </c>
      <c r="K8" s="102">
        <v>105.8</v>
      </c>
      <c r="L8" s="102">
        <v>33.5</v>
      </c>
      <c r="M8" s="102">
        <v>16.5</v>
      </c>
      <c r="N8" s="102">
        <f t="shared" si="1"/>
        <v>70.599999999999994</v>
      </c>
      <c r="O8" s="102">
        <f t="shared" si="2"/>
        <v>517.1</v>
      </c>
      <c r="P8" s="102">
        <f t="shared" si="3"/>
        <v>155.80000000000001</v>
      </c>
      <c r="Q8" s="102">
        <f t="shared" si="4"/>
        <v>743.49999999999989</v>
      </c>
      <c r="R8" s="102"/>
      <c r="S8" s="102"/>
      <c r="T8" s="102"/>
      <c r="U8" s="102"/>
      <c r="V8" s="102"/>
      <c r="W8" s="102"/>
      <c r="X8" s="102"/>
      <c r="Y8" s="102"/>
      <c r="Z8" s="102"/>
      <c r="AA8" s="102"/>
      <c r="AB8" s="102"/>
      <c r="AC8" s="102"/>
      <c r="AD8" s="102"/>
      <c r="AE8" s="102"/>
      <c r="AF8" s="102"/>
      <c r="AG8" s="102"/>
    </row>
    <row r="9" spans="1:33">
      <c r="A9" s="102">
        <v>1966</v>
      </c>
      <c r="B9" s="102">
        <v>10.7</v>
      </c>
      <c r="C9" s="102">
        <v>11.1</v>
      </c>
      <c r="D9" s="102">
        <v>55.1</v>
      </c>
      <c r="E9" s="102">
        <v>39</v>
      </c>
      <c r="F9" s="102">
        <v>68.8</v>
      </c>
      <c r="G9" s="102">
        <v>240.4</v>
      </c>
      <c r="H9" s="102">
        <v>87.1</v>
      </c>
      <c r="I9" s="102">
        <v>76.599999999999994</v>
      </c>
      <c r="J9" s="102">
        <v>55.6</v>
      </c>
      <c r="K9" s="102">
        <v>169.8</v>
      </c>
      <c r="L9" s="102">
        <v>15.9</v>
      </c>
      <c r="M9" s="102">
        <v>3.1</v>
      </c>
      <c r="N9" s="102">
        <f t="shared" si="1"/>
        <v>115.9</v>
      </c>
      <c r="O9" s="102">
        <f t="shared" si="2"/>
        <v>528.5</v>
      </c>
      <c r="P9" s="102">
        <f t="shared" si="3"/>
        <v>188.8</v>
      </c>
      <c r="Q9" s="102">
        <f t="shared" si="4"/>
        <v>833.2</v>
      </c>
      <c r="R9" s="102"/>
      <c r="S9" s="102"/>
      <c r="T9" s="102"/>
      <c r="U9" s="102"/>
      <c r="V9" s="102"/>
      <c r="W9" s="102"/>
      <c r="X9" s="102"/>
      <c r="Y9" s="102"/>
      <c r="Z9" s="102"/>
      <c r="AA9" s="102"/>
      <c r="AB9" s="102"/>
      <c r="AC9" s="102"/>
      <c r="AD9" s="102"/>
      <c r="AE9" s="102"/>
      <c r="AF9" s="102"/>
      <c r="AG9" s="102"/>
    </row>
    <row r="10" spans="1:33">
      <c r="A10" s="102">
        <v>1967</v>
      </c>
      <c r="B10" s="102">
        <v>9</v>
      </c>
      <c r="C10" s="102">
        <v>5.5</v>
      </c>
      <c r="D10" s="102">
        <v>20.399999999999999</v>
      </c>
      <c r="E10" s="102">
        <v>34.5</v>
      </c>
      <c r="F10" s="102">
        <v>40.700000000000003</v>
      </c>
      <c r="G10" s="102">
        <v>143.9</v>
      </c>
      <c r="H10" s="102">
        <v>54.5</v>
      </c>
      <c r="I10" s="102">
        <v>71.5</v>
      </c>
      <c r="J10" s="102">
        <v>76.900000000000006</v>
      </c>
      <c r="K10" s="102">
        <v>57.7</v>
      </c>
      <c r="L10" s="102">
        <v>36.799999999999997</v>
      </c>
      <c r="M10" s="102">
        <v>12.6</v>
      </c>
      <c r="N10" s="102">
        <f t="shared" si="1"/>
        <v>69.400000000000006</v>
      </c>
      <c r="O10" s="102">
        <f t="shared" si="2"/>
        <v>387.5</v>
      </c>
      <c r="P10" s="102">
        <f t="shared" si="3"/>
        <v>107.1</v>
      </c>
      <c r="Q10" s="102">
        <f t="shared" si="4"/>
        <v>564</v>
      </c>
      <c r="R10" s="102"/>
      <c r="S10" s="102"/>
      <c r="T10" s="102"/>
      <c r="U10" s="102"/>
      <c r="V10" s="102"/>
      <c r="W10" s="102"/>
      <c r="X10" s="102"/>
      <c r="Y10" s="102"/>
      <c r="Z10" s="102"/>
      <c r="AA10" s="102"/>
      <c r="AB10" s="102"/>
      <c r="AC10" s="102"/>
      <c r="AD10" s="102"/>
      <c r="AE10" s="102"/>
      <c r="AF10" s="102"/>
      <c r="AG10" s="102"/>
    </row>
    <row r="11" spans="1:33">
      <c r="A11" s="102">
        <v>1968</v>
      </c>
      <c r="B11" s="102">
        <v>11.3</v>
      </c>
      <c r="C11" s="102">
        <v>10.6</v>
      </c>
      <c r="D11" s="102">
        <v>45.3</v>
      </c>
      <c r="E11" s="102">
        <v>40.799999999999997</v>
      </c>
      <c r="F11" s="102">
        <v>62.3</v>
      </c>
      <c r="G11" s="102">
        <v>170.5</v>
      </c>
      <c r="H11" s="102">
        <v>61.5</v>
      </c>
      <c r="I11" s="102">
        <v>172.1</v>
      </c>
      <c r="J11" s="102">
        <v>57.2</v>
      </c>
      <c r="K11" s="102">
        <v>54.2</v>
      </c>
      <c r="L11" s="102">
        <v>32.6</v>
      </c>
      <c r="M11" s="102">
        <v>15.3</v>
      </c>
      <c r="N11" s="102">
        <f t="shared" si="1"/>
        <v>107.99999999999999</v>
      </c>
      <c r="O11" s="102">
        <f t="shared" si="2"/>
        <v>523.6</v>
      </c>
      <c r="P11" s="102">
        <f t="shared" si="3"/>
        <v>102.10000000000001</v>
      </c>
      <c r="Q11" s="102">
        <f t="shared" si="4"/>
        <v>733.7</v>
      </c>
      <c r="R11" s="102"/>
      <c r="S11" s="102"/>
      <c r="T11" s="102"/>
      <c r="U11" s="102"/>
      <c r="V11" s="102"/>
      <c r="W11" s="102"/>
      <c r="X11" s="102"/>
      <c r="Y11" s="102"/>
      <c r="Z11" s="102"/>
      <c r="AA11" s="102"/>
      <c r="AB11" s="102"/>
      <c r="AC11" s="102"/>
      <c r="AD11" s="102"/>
      <c r="AE11" s="102"/>
      <c r="AF11" s="102"/>
      <c r="AG11" s="102"/>
    </row>
    <row r="12" spans="1:33">
      <c r="A12" s="102">
        <v>1969</v>
      </c>
      <c r="B12" s="102">
        <v>8.1</v>
      </c>
      <c r="C12" s="102">
        <v>17.3</v>
      </c>
      <c r="D12" s="102">
        <v>39.5</v>
      </c>
      <c r="E12" s="102">
        <v>36.5</v>
      </c>
      <c r="F12" s="102">
        <v>54.2</v>
      </c>
      <c r="G12" s="102">
        <v>227.4</v>
      </c>
      <c r="H12" s="102">
        <v>105.2</v>
      </c>
      <c r="I12" s="102">
        <v>62.8</v>
      </c>
      <c r="J12" s="102">
        <v>62.8</v>
      </c>
      <c r="K12" s="102">
        <v>140.30000000000001</v>
      </c>
      <c r="L12" s="102">
        <v>64.099999999999994</v>
      </c>
      <c r="M12" s="102">
        <v>13.3</v>
      </c>
      <c r="N12" s="102">
        <f t="shared" si="1"/>
        <v>101.4</v>
      </c>
      <c r="O12" s="102">
        <f t="shared" si="2"/>
        <v>512.4</v>
      </c>
      <c r="P12" s="102">
        <f t="shared" si="3"/>
        <v>217.70000000000002</v>
      </c>
      <c r="Q12" s="102">
        <f t="shared" si="4"/>
        <v>831.49999999999989</v>
      </c>
      <c r="R12" s="102"/>
      <c r="S12" s="102"/>
      <c r="T12" s="102"/>
      <c r="U12" s="102"/>
      <c r="V12" s="102"/>
      <c r="W12" s="102"/>
      <c r="X12" s="102"/>
      <c r="Y12" s="102"/>
      <c r="Z12" s="102"/>
      <c r="AA12" s="102"/>
      <c r="AB12" s="102"/>
      <c r="AC12" s="102"/>
      <c r="AD12" s="102"/>
      <c r="AE12" s="102"/>
      <c r="AF12" s="102"/>
      <c r="AG12" s="102"/>
    </row>
    <row r="13" spans="1:33">
      <c r="A13" s="102">
        <v>1970</v>
      </c>
      <c r="B13" s="102">
        <v>16.7</v>
      </c>
      <c r="C13" s="102">
        <v>3.9</v>
      </c>
      <c r="D13" s="102">
        <v>33.299999999999997</v>
      </c>
      <c r="E13" s="102">
        <v>25.5</v>
      </c>
      <c r="F13" s="102">
        <v>83.5</v>
      </c>
      <c r="G13" s="102">
        <v>222.8</v>
      </c>
      <c r="H13" s="102">
        <v>38.9</v>
      </c>
      <c r="I13" s="102">
        <v>56.4</v>
      </c>
      <c r="J13" s="102">
        <v>61.9</v>
      </c>
      <c r="K13" s="102">
        <v>54.1</v>
      </c>
      <c r="L13" s="102">
        <v>52.7</v>
      </c>
      <c r="M13" s="102">
        <v>33.799999999999997</v>
      </c>
      <c r="N13" s="102">
        <f t="shared" si="1"/>
        <v>79.399999999999991</v>
      </c>
      <c r="O13" s="102">
        <f t="shared" si="2"/>
        <v>463.49999999999994</v>
      </c>
      <c r="P13" s="102">
        <f t="shared" si="3"/>
        <v>140.60000000000002</v>
      </c>
      <c r="Q13" s="102">
        <f t="shared" si="4"/>
        <v>683.5</v>
      </c>
      <c r="R13" s="102"/>
      <c r="S13" s="102"/>
      <c r="T13" s="102"/>
      <c r="U13" s="102"/>
      <c r="V13" s="102"/>
      <c r="W13" s="102"/>
      <c r="X13" s="102"/>
      <c r="Y13" s="102"/>
      <c r="Z13" s="102"/>
      <c r="AA13" s="102"/>
      <c r="AB13" s="102"/>
      <c r="AC13" s="102"/>
      <c r="AD13" s="102"/>
      <c r="AE13" s="102"/>
      <c r="AF13" s="102"/>
      <c r="AG13" s="102"/>
    </row>
    <row r="14" spans="1:33">
      <c r="A14" s="102">
        <v>1971</v>
      </c>
      <c r="B14" s="102">
        <v>24.1</v>
      </c>
      <c r="C14" s="102">
        <v>7.5</v>
      </c>
      <c r="D14" s="102">
        <v>31.2</v>
      </c>
      <c r="E14" s="102">
        <v>38.799999999999997</v>
      </c>
      <c r="F14" s="102">
        <v>143.30000000000001</v>
      </c>
      <c r="G14" s="102">
        <v>195.8</v>
      </c>
      <c r="H14" s="102">
        <v>29.8</v>
      </c>
      <c r="I14" s="102">
        <v>18.7</v>
      </c>
      <c r="J14" s="102">
        <v>86.5</v>
      </c>
      <c r="K14" s="102">
        <v>79.5</v>
      </c>
      <c r="L14" s="102">
        <v>35.299999999999997</v>
      </c>
      <c r="M14" s="102">
        <v>30.6</v>
      </c>
      <c r="N14" s="102">
        <f t="shared" si="1"/>
        <v>101.6</v>
      </c>
      <c r="O14" s="102">
        <f t="shared" si="2"/>
        <v>474.1</v>
      </c>
      <c r="P14" s="102">
        <f t="shared" si="3"/>
        <v>145.4</v>
      </c>
      <c r="Q14" s="102">
        <f t="shared" si="4"/>
        <v>721.1</v>
      </c>
      <c r="R14" s="102"/>
      <c r="S14" s="102"/>
      <c r="T14" s="102"/>
      <c r="U14" s="102"/>
      <c r="V14" s="102"/>
      <c r="W14" s="102"/>
      <c r="X14" s="102"/>
      <c r="Y14" s="102"/>
      <c r="Z14" s="102"/>
      <c r="AA14" s="102"/>
      <c r="AB14" s="102"/>
      <c r="AC14" s="102"/>
      <c r="AD14" s="102"/>
      <c r="AE14" s="102"/>
      <c r="AF14" s="102"/>
      <c r="AG14" s="102"/>
    </row>
    <row r="15" spans="1:33">
      <c r="A15" s="102">
        <v>1972</v>
      </c>
      <c r="B15" s="102">
        <v>2.6</v>
      </c>
      <c r="C15" s="102">
        <v>4.5</v>
      </c>
      <c r="D15" s="102">
        <v>44.3</v>
      </c>
      <c r="E15" s="102">
        <v>128.19999999999999</v>
      </c>
      <c r="F15" s="102">
        <v>176.6</v>
      </c>
      <c r="G15" s="102">
        <v>131.30000000000001</v>
      </c>
      <c r="H15" s="102">
        <v>71.3</v>
      </c>
      <c r="I15" s="102">
        <v>95.2</v>
      </c>
      <c r="J15" s="102">
        <v>236</v>
      </c>
      <c r="K15" s="102">
        <v>137.4</v>
      </c>
      <c r="L15" s="102">
        <v>52</v>
      </c>
      <c r="M15" s="102">
        <v>27.9</v>
      </c>
      <c r="N15" s="102">
        <f t="shared" si="1"/>
        <v>179.6</v>
      </c>
      <c r="O15" s="102">
        <f t="shared" si="2"/>
        <v>710.4</v>
      </c>
      <c r="P15" s="102">
        <f t="shared" si="3"/>
        <v>217.3</v>
      </c>
      <c r="Q15" s="102">
        <f t="shared" si="4"/>
        <v>1107.3000000000002</v>
      </c>
      <c r="R15" s="102"/>
      <c r="S15" s="102"/>
      <c r="T15" s="102"/>
      <c r="U15" s="102"/>
      <c r="V15" s="102"/>
      <c r="W15" s="102"/>
      <c r="X15" s="102"/>
      <c r="Y15" s="102"/>
      <c r="Z15" s="102"/>
      <c r="AA15" s="102"/>
      <c r="AB15" s="102"/>
      <c r="AC15" s="102"/>
      <c r="AD15" s="102"/>
      <c r="AE15" s="102"/>
      <c r="AF15" s="102"/>
      <c r="AG15" s="102"/>
    </row>
    <row r="16" spans="1:33">
      <c r="A16" s="102">
        <v>1973</v>
      </c>
      <c r="B16" s="102">
        <v>7.4</v>
      </c>
      <c r="C16" s="102">
        <v>15.4</v>
      </c>
      <c r="D16" s="102">
        <v>48</v>
      </c>
      <c r="E16" s="102">
        <v>175.8</v>
      </c>
      <c r="F16" s="102">
        <v>217.6</v>
      </c>
      <c r="G16" s="102">
        <v>221.3</v>
      </c>
      <c r="H16" s="102">
        <v>111.9</v>
      </c>
      <c r="I16" s="102">
        <v>74.2</v>
      </c>
      <c r="J16" s="102">
        <v>247.9</v>
      </c>
      <c r="K16" s="102">
        <v>26.2</v>
      </c>
      <c r="L16" s="102">
        <v>40.299999999999997</v>
      </c>
      <c r="M16" s="102">
        <v>11.9</v>
      </c>
      <c r="N16" s="102">
        <f t="shared" si="1"/>
        <v>246.60000000000002</v>
      </c>
      <c r="O16" s="102">
        <f t="shared" si="2"/>
        <v>872.9</v>
      </c>
      <c r="P16" s="102">
        <f t="shared" si="3"/>
        <v>78.400000000000006</v>
      </c>
      <c r="Q16" s="102">
        <f t="shared" si="4"/>
        <v>1197.9000000000001</v>
      </c>
      <c r="R16" s="102"/>
      <c r="S16" s="102"/>
      <c r="T16" s="102"/>
      <c r="U16" s="102"/>
      <c r="V16" s="102"/>
      <c r="W16" s="102"/>
      <c r="X16" s="102"/>
      <c r="Y16" s="102"/>
      <c r="Z16" s="102"/>
      <c r="AA16" s="102"/>
      <c r="AB16" s="102"/>
      <c r="AC16" s="102"/>
      <c r="AD16" s="102"/>
      <c r="AE16" s="102"/>
      <c r="AF16" s="102"/>
      <c r="AG16" s="102"/>
    </row>
    <row r="17" spans="1:33">
      <c r="A17" s="102">
        <v>1974</v>
      </c>
      <c r="B17" s="102">
        <v>3.5</v>
      </c>
      <c r="C17" s="102">
        <v>7.4</v>
      </c>
      <c r="D17" s="102">
        <v>71.8</v>
      </c>
      <c r="E17" s="102">
        <v>90.6</v>
      </c>
      <c r="F17" s="102">
        <v>133.1</v>
      </c>
      <c r="G17" s="102">
        <v>134.80000000000001</v>
      </c>
      <c r="H17" s="102">
        <v>178.7</v>
      </c>
      <c r="I17" s="102">
        <v>300.3</v>
      </c>
      <c r="J17" s="102">
        <v>142.4</v>
      </c>
      <c r="K17" s="102">
        <v>52.4</v>
      </c>
      <c r="L17" s="102">
        <v>15.2</v>
      </c>
      <c r="M17" s="102">
        <v>13.2</v>
      </c>
      <c r="N17" s="102">
        <f t="shared" si="1"/>
        <v>173.3</v>
      </c>
      <c r="O17" s="102">
        <f t="shared" si="2"/>
        <v>889.3</v>
      </c>
      <c r="P17" s="102">
        <f t="shared" si="3"/>
        <v>80.8</v>
      </c>
      <c r="Q17" s="102">
        <f t="shared" si="4"/>
        <v>1143.4000000000003</v>
      </c>
      <c r="R17" s="102"/>
      <c r="S17" s="102"/>
      <c r="T17" s="102"/>
      <c r="U17" s="102"/>
      <c r="V17" s="102"/>
      <c r="W17" s="102"/>
      <c r="X17" s="102"/>
      <c r="Y17" s="102"/>
      <c r="Z17" s="102"/>
      <c r="AA17" s="102"/>
      <c r="AB17" s="102"/>
      <c r="AC17" s="102"/>
      <c r="AD17" s="102"/>
      <c r="AE17" s="102"/>
      <c r="AF17" s="102"/>
      <c r="AG17" s="102"/>
    </row>
    <row r="18" spans="1:33">
      <c r="A18" s="102">
        <v>1975</v>
      </c>
      <c r="B18" s="102">
        <v>27.3</v>
      </c>
      <c r="C18" s="102">
        <v>9.8000000000000007</v>
      </c>
      <c r="D18" s="102">
        <v>25.8</v>
      </c>
      <c r="E18" s="102">
        <v>117.1</v>
      </c>
      <c r="F18" s="102">
        <v>173</v>
      </c>
      <c r="G18" s="102">
        <v>187.3</v>
      </c>
      <c r="H18" s="102">
        <v>92.6</v>
      </c>
      <c r="I18" s="102">
        <v>154.9</v>
      </c>
      <c r="J18" s="102">
        <v>142.69999999999999</v>
      </c>
      <c r="K18" s="102">
        <v>60.1</v>
      </c>
      <c r="L18" s="102">
        <v>71.900000000000006</v>
      </c>
      <c r="M18" s="102">
        <v>5.0999999999999996</v>
      </c>
      <c r="N18" s="102">
        <f t="shared" si="1"/>
        <v>180</v>
      </c>
      <c r="O18" s="102">
        <f t="shared" si="2"/>
        <v>750.5</v>
      </c>
      <c r="P18" s="102">
        <f t="shared" si="3"/>
        <v>137.1</v>
      </c>
      <c r="Q18" s="102">
        <f t="shared" si="4"/>
        <v>1067.5999999999999</v>
      </c>
      <c r="R18" s="102"/>
      <c r="S18" s="102"/>
      <c r="T18" s="102"/>
      <c r="U18" s="102"/>
      <c r="V18" s="102"/>
      <c r="W18" s="102"/>
      <c r="X18" s="102"/>
      <c r="Y18" s="102"/>
      <c r="Z18" s="102"/>
      <c r="AA18" s="102"/>
      <c r="AB18" s="102"/>
      <c r="AC18" s="102"/>
      <c r="AD18" s="102"/>
      <c r="AE18" s="102"/>
      <c r="AF18" s="102"/>
      <c r="AG18" s="102"/>
    </row>
    <row r="19" spans="1:33">
      <c r="A19" s="102">
        <v>1976</v>
      </c>
      <c r="B19" s="102">
        <v>20.3</v>
      </c>
      <c r="C19" s="102">
        <v>18.2</v>
      </c>
      <c r="D19" s="102">
        <v>22.1</v>
      </c>
      <c r="E19" s="102">
        <v>77.7</v>
      </c>
      <c r="F19" s="102">
        <v>309.7</v>
      </c>
      <c r="G19" s="102">
        <v>147.30000000000001</v>
      </c>
      <c r="H19" s="102">
        <v>238.9</v>
      </c>
      <c r="I19" s="102">
        <v>88.3</v>
      </c>
      <c r="J19" s="102">
        <v>103</v>
      </c>
      <c r="K19" s="102">
        <v>76.3</v>
      </c>
      <c r="L19" s="102">
        <v>46.9</v>
      </c>
      <c r="M19" s="102">
        <v>14.2</v>
      </c>
      <c r="N19" s="102">
        <f t="shared" si="1"/>
        <v>138.30000000000001</v>
      </c>
      <c r="O19" s="102">
        <f t="shared" si="2"/>
        <v>887.19999999999993</v>
      </c>
      <c r="P19" s="102">
        <f t="shared" si="3"/>
        <v>137.39999999999998</v>
      </c>
      <c r="Q19" s="102">
        <f t="shared" si="4"/>
        <v>1162.9000000000001</v>
      </c>
      <c r="R19" s="102"/>
      <c r="S19" s="102"/>
      <c r="T19" s="102"/>
      <c r="U19" s="102"/>
      <c r="V19" s="102"/>
      <c r="W19" s="102"/>
      <c r="X19" s="102"/>
      <c r="Y19" s="102"/>
      <c r="Z19" s="102"/>
      <c r="AA19" s="102"/>
      <c r="AB19" s="102"/>
      <c r="AC19" s="102"/>
      <c r="AD19" s="102"/>
      <c r="AE19" s="102"/>
      <c r="AF19" s="102"/>
      <c r="AG19" s="102"/>
    </row>
    <row r="20" spans="1:33">
      <c r="A20" s="102">
        <v>1977</v>
      </c>
      <c r="B20" s="102">
        <v>7.8</v>
      </c>
      <c r="C20" s="102">
        <v>30.2</v>
      </c>
      <c r="D20" s="102">
        <v>53.5</v>
      </c>
      <c r="E20" s="102">
        <v>109.2</v>
      </c>
      <c r="F20" s="102">
        <v>169.7</v>
      </c>
      <c r="G20" s="102">
        <v>340.9</v>
      </c>
      <c r="H20" s="102">
        <v>189.6</v>
      </c>
      <c r="I20" s="102">
        <v>140.6</v>
      </c>
      <c r="J20" s="102">
        <v>115.5</v>
      </c>
      <c r="K20" s="102">
        <v>97.8</v>
      </c>
      <c r="L20" s="102">
        <v>54.2</v>
      </c>
      <c r="M20" s="102">
        <v>8.5</v>
      </c>
      <c r="N20" s="102">
        <f t="shared" si="1"/>
        <v>200.7</v>
      </c>
      <c r="O20" s="102">
        <f t="shared" si="2"/>
        <v>956.3</v>
      </c>
      <c r="P20" s="102">
        <f t="shared" si="3"/>
        <v>160.5</v>
      </c>
      <c r="Q20" s="102">
        <f t="shared" si="4"/>
        <v>1317.5</v>
      </c>
      <c r="R20" s="102"/>
      <c r="S20" s="102"/>
      <c r="T20" s="102"/>
      <c r="U20" s="102"/>
      <c r="V20" s="102"/>
      <c r="W20" s="102"/>
      <c r="X20" s="102"/>
      <c r="Y20" s="102"/>
      <c r="Z20" s="102"/>
      <c r="AA20" s="102"/>
      <c r="AB20" s="102"/>
      <c r="AC20" s="102"/>
      <c r="AD20" s="102"/>
      <c r="AE20" s="102"/>
      <c r="AF20" s="102"/>
      <c r="AG20" s="102"/>
    </row>
    <row r="21" spans="1:33">
      <c r="A21" s="102">
        <v>1978</v>
      </c>
      <c r="B21" s="102">
        <v>25.5</v>
      </c>
      <c r="C21" s="102">
        <v>12.3</v>
      </c>
      <c r="D21" s="102">
        <v>25.3</v>
      </c>
      <c r="E21" s="102">
        <v>73.3</v>
      </c>
      <c r="F21" s="102">
        <v>165</v>
      </c>
      <c r="G21" s="102">
        <v>126</v>
      </c>
      <c r="H21" s="102">
        <v>76.099999999999994</v>
      </c>
      <c r="I21" s="102">
        <v>52.9</v>
      </c>
      <c r="J21" s="102">
        <v>35.299999999999997</v>
      </c>
      <c r="K21" s="102">
        <v>99</v>
      </c>
      <c r="L21" s="102">
        <v>63.2</v>
      </c>
      <c r="M21" s="102">
        <v>1.1000000000000001</v>
      </c>
      <c r="N21" s="102">
        <f t="shared" si="1"/>
        <v>136.39999999999998</v>
      </c>
      <c r="O21" s="102">
        <f t="shared" si="2"/>
        <v>455.3</v>
      </c>
      <c r="P21" s="102">
        <f t="shared" si="3"/>
        <v>163.29999999999998</v>
      </c>
      <c r="Q21" s="102">
        <f t="shared" si="4"/>
        <v>755</v>
      </c>
      <c r="R21" s="102"/>
      <c r="S21" s="102"/>
      <c r="T21" s="102"/>
      <c r="U21" s="102"/>
      <c r="V21" s="102"/>
      <c r="W21" s="102"/>
      <c r="X21" s="102"/>
      <c r="Y21" s="102"/>
      <c r="Z21" s="102"/>
      <c r="AA21" s="102"/>
      <c r="AB21" s="102"/>
      <c r="AC21" s="102"/>
      <c r="AD21" s="102"/>
      <c r="AE21" s="102"/>
      <c r="AF21" s="102"/>
      <c r="AG21" s="102"/>
    </row>
    <row r="22" spans="1:33">
      <c r="A22" s="102">
        <v>1979</v>
      </c>
      <c r="B22" s="102">
        <v>7.7</v>
      </c>
      <c r="C22" s="102">
        <v>29.5</v>
      </c>
      <c r="D22" s="102">
        <v>53.3</v>
      </c>
      <c r="E22" s="102">
        <v>61.8</v>
      </c>
      <c r="F22" s="102">
        <v>119.8</v>
      </c>
      <c r="G22" s="102">
        <v>217</v>
      </c>
      <c r="H22" s="102">
        <v>149.9</v>
      </c>
      <c r="I22" s="102">
        <v>93.6</v>
      </c>
      <c r="J22" s="102">
        <v>141.80000000000001</v>
      </c>
      <c r="K22" s="102">
        <v>52.1</v>
      </c>
      <c r="L22" s="102">
        <v>26.1</v>
      </c>
      <c r="M22" s="102">
        <v>26.8</v>
      </c>
      <c r="N22" s="102">
        <f t="shared" si="1"/>
        <v>152.30000000000001</v>
      </c>
      <c r="O22" s="102">
        <f t="shared" si="2"/>
        <v>722.10000000000014</v>
      </c>
      <c r="P22" s="102">
        <f t="shared" si="3"/>
        <v>105</v>
      </c>
      <c r="Q22" s="102">
        <f t="shared" si="4"/>
        <v>979.40000000000009</v>
      </c>
      <c r="R22" s="102"/>
      <c r="S22" s="102"/>
      <c r="T22" s="102"/>
      <c r="U22" s="102"/>
      <c r="V22" s="102"/>
      <c r="W22" s="102"/>
      <c r="X22" s="102"/>
      <c r="Y22" s="102"/>
      <c r="Z22" s="102"/>
      <c r="AA22" s="102"/>
      <c r="AB22" s="102"/>
      <c r="AC22" s="102"/>
      <c r="AD22" s="102"/>
      <c r="AE22" s="102"/>
      <c r="AF22" s="102"/>
      <c r="AG22" s="102"/>
    </row>
    <row r="23" spans="1:33">
      <c r="A23" s="102">
        <v>1980</v>
      </c>
      <c r="B23" s="102">
        <v>11.8</v>
      </c>
      <c r="C23" s="102">
        <v>4</v>
      </c>
      <c r="D23" s="102">
        <v>21.9</v>
      </c>
      <c r="E23" s="102">
        <v>85.3</v>
      </c>
      <c r="F23" s="102">
        <v>143.80000000000001</v>
      </c>
      <c r="G23" s="102">
        <v>167</v>
      </c>
      <c r="H23" s="102">
        <v>265.3</v>
      </c>
      <c r="I23" s="102">
        <v>190.4</v>
      </c>
      <c r="J23" s="102">
        <v>66.599999999999994</v>
      </c>
      <c r="K23" s="102">
        <v>120.1</v>
      </c>
      <c r="L23" s="102">
        <v>29.4</v>
      </c>
      <c r="M23" s="102">
        <v>36.700000000000003</v>
      </c>
      <c r="N23" s="102">
        <f t="shared" si="1"/>
        <v>123</v>
      </c>
      <c r="O23" s="102">
        <f t="shared" si="2"/>
        <v>833.1</v>
      </c>
      <c r="P23" s="102">
        <f t="shared" si="3"/>
        <v>186.2</v>
      </c>
      <c r="Q23" s="102">
        <f t="shared" si="4"/>
        <v>1142.3000000000002</v>
      </c>
      <c r="R23" s="102"/>
      <c r="S23" s="102"/>
      <c r="T23" s="102"/>
      <c r="U23" s="102"/>
      <c r="V23" s="102"/>
      <c r="W23" s="102"/>
      <c r="X23" s="102"/>
      <c r="Y23" s="102"/>
      <c r="Z23" s="102"/>
      <c r="AA23" s="102"/>
      <c r="AB23" s="102"/>
      <c r="AC23" s="102"/>
      <c r="AD23" s="102"/>
      <c r="AE23" s="102"/>
      <c r="AF23" s="102"/>
      <c r="AG23" s="102"/>
    </row>
    <row r="24" spans="1:33">
      <c r="A24" s="102">
        <v>1981</v>
      </c>
      <c r="B24" s="102">
        <v>14.3</v>
      </c>
      <c r="C24" s="102">
        <v>3.8</v>
      </c>
      <c r="D24" s="102">
        <v>27.8</v>
      </c>
      <c r="E24" s="102">
        <v>48</v>
      </c>
      <c r="F24" s="102">
        <v>122.8</v>
      </c>
      <c r="G24" s="102">
        <v>125.6</v>
      </c>
      <c r="H24" s="102">
        <v>175.6</v>
      </c>
      <c r="I24" s="102">
        <v>143.5</v>
      </c>
      <c r="J24" s="102">
        <v>61.8</v>
      </c>
      <c r="K24" s="102">
        <v>49.8</v>
      </c>
      <c r="L24" s="102">
        <v>24.3</v>
      </c>
      <c r="M24" s="102">
        <v>5</v>
      </c>
      <c r="N24" s="102">
        <f t="shared" si="1"/>
        <v>93.9</v>
      </c>
      <c r="O24" s="102">
        <f t="shared" si="2"/>
        <v>629.29999999999995</v>
      </c>
      <c r="P24" s="102">
        <f t="shared" si="3"/>
        <v>79.099999999999994</v>
      </c>
      <c r="Q24" s="102">
        <f t="shared" si="4"/>
        <v>802.29999999999984</v>
      </c>
      <c r="R24" s="102"/>
      <c r="S24" s="102"/>
      <c r="T24" s="102"/>
      <c r="U24" s="102"/>
      <c r="V24" s="102"/>
      <c r="W24" s="102"/>
      <c r="X24" s="102"/>
      <c r="Y24" s="102"/>
      <c r="Z24" s="102"/>
      <c r="AA24" s="102"/>
      <c r="AB24" s="102"/>
      <c r="AC24" s="102"/>
      <c r="AD24" s="102"/>
      <c r="AE24" s="102"/>
      <c r="AF24" s="102"/>
      <c r="AG24" s="102"/>
    </row>
    <row r="25" spans="1:33">
      <c r="A25" s="102">
        <v>1982</v>
      </c>
      <c r="B25" s="102">
        <v>11.2</v>
      </c>
      <c r="C25" s="102">
        <v>13.3</v>
      </c>
      <c r="D25" s="102">
        <v>12.9</v>
      </c>
      <c r="E25" s="102">
        <v>75.599999999999994</v>
      </c>
      <c r="F25" s="102">
        <v>373.4</v>
      </c>
      <c r="G25" s="102">
        <v>179.3</v>
      </c>
      <c r="H25" s="102">
        <v>100.5</v>
      </c>
      <c r="I25" s="102">
        <v>248.2</v>
      </c>
      <c r="J25" s="102">
        <v>130.30000000000001</v>
      </c>
      <c r="K25" s="102">
        <v>82.7</v>
      </c>
      <c r="L25" s="102">
        <v>49.3</v>
      </c>
      <c r="M25" s="102">
        <v>30.1</v>
      </c>
      <c r="N25" s="102">
        <f t="shared" si="1"/>
        <v>113</v>
      </c>
      <c r="O25" s="102">
        <f t="shared" si="2"/>
        <v>1031.7</v>
      </c>
      <c r="P25" s="102">
        <f t="shared" si="3"/>
        <v>162.1</v>
      </c>
      <c r="Q25" s="102">
        <f t="shared" si="4"/>
        <v>1306.8</v>
      </c>
      <c r="R25" s="102"/>
      <c r="S25" s="102"/>
      <c r="T25" s="102"/>
      <c r="U25" s="102"/>
      <c r="V25" s="102"/>
      <c r="W25" s="102"/>
      <c r="X25" s="102"/>
      <c r="Y25" s="102"/>
      <c r="Z25" s="102"/>
      <c r="AA25" s="102"/>
      <c r="AB25" s="102"/>
      <c r="AC25" s="102"/>
      <c r="AD25" s="102"/>
      <c r="AE25" s="102"/>
      <c r="AF25" s="102"/>
      <c r="AG25" s="102"/>
    </row>
    <row r="26" spans="1:33">
      <c r="A26" s="102">
        <v>1983</v>
      </c>
      <c r="B26" s="102">
        <v>38.299999999999997</v>
      </c>
      <c r="C26" s="102">
        <v>28.9</v>
      </c>
      <c r="D26" s="102">
        <v>41.8</v>
      </c>
      <c r="E26" s="102">
        <v>92.5</v>
      </c>
      <c r="F26" s="102">
        <v>132.30000000000001</v>
      </c>
      <c r="G26" s="102">
        <v>164.5</v>
      </c>
      <c r="H26" s="102">
        <v>275.5</v>
      </c>
      <c r="I26" s="102">
        <v>118.8</v>
      </c>
      <c r="J26" s="102">
        <v>30.4</v>
      </c>
      <c r="K26" s="102">
        <v>65.8</v>
      </c>
      <c r="L26" s="102">
        <v>58.1</v>
      </c>
      <c r="M26" s="102">
        <v>17.3</v>
      </c>
      <c r="N26" s="102">
        <f t="shared" si="1"/>
        <v>201.5</v>
      </c>
      <c r="O26" s="102">
        <f t="shared" si="2"/>
        <v>721.49999999999989</v>
      </c>
      <c r="P26" s="102">
        <f t="shared" si="3"/>
        <v>141.20000000000002</v>
      </c>
      <c r="Q26" s="102">
        <f t="shared" si="4"/>
        <v>1064.1999999999998</v>
      </c>
      <c r="R26" s="102"/>
      <c r="S26" s="102"/>
      <c r="T26" s="102"/>
      <c r="U26" s="102"/>
      <c r="V26" s="102"/>
      <c r="W26" s="102"/>
      <c r="X26" s="102"/>
      <c r="Y26" s="102"/>
      <c r="Z26" s="102"/>
      <c r="AA26" s="102"/>
      <c r="AB26" s="102"/>
      <c r="AC26" s="102"/>
      <c r="AD26" s="102"/>
      <c r="AE26" s="102"/>
      <c r="AF26" s="102"/>
      <c r="AG26" s="102"/>
    </row>
    <row r="27" spans="1:33">
      <c r="A27" s="102">
        <v>1984</v>
      </c>
      <c r="B27" s="102">
        <v>15.2</v>
      </c>
      <c r="C27" s="102">
        <v>6.4</v>
      </c>
      <c r="D27" s="102">
        <v>27.7</v>
      </c>
      <c r="E27" s="102">
        <v>46</v>
      </c>
      <c r="F27" s="102">
        <v>149.1</v>
      </c>
      <c r="G27" s="102">
        <v>169.1</v>
      </c>
      <c r="H27" s="102">
        <v>175.4</v>
      </c>
      <c r="I27" s="102">
        <v>314.2</v>
      </c>
      <c r="J27" s="102">
        <v>112.9</v>
      </c>
      <c r="K27" s="102">
        <v>59.1</v>
      </c>
      <c r="L27" s="102">
        <v>21.7</v>
      </c>
      <c r="M27" s="102">
        <v>14.4</v>
      </c>
      <c r="N27" s="102">
        <f t="shared" si="1"/>
        <v>95.3</v>
      </c>
      <c r="O27" s="102">
        <f t="shared" si="2"/>
        <v>920.69999999999993</v>
      </c>
      <c r="P27" s="102">
        <f t="shared" si="3"/>
        <v>95.2</v>
      </c>
      <c r="Q27" s="102">
        <f t="shared" si="4"/>
        <v>1111.2</v>
      </c>
      <c r="R27" s="102"/>
      <c r="S27" s="102"/>
      <c r="T27" s="102"/>
      <c r="U27" s="102"/>
      <c r="V27" s="102"/>
      <c r="W27" s="102"/>
      <c r="X27" s="102"/>
      <c r="Y27" s="102"/>
      <c r="Z27" s="102"/>
      <c r="AA27" s="102"/>
      <c r="AB27" s="102"/>
      <c r="AC27" s="102"/>
      <c r="AD27" s="102"/>
      <c r="AE27" s="102"/>
      <c r="AF27" s="102"/>
      <c r="AG27" s="102"/>
    </row>
    <row r="28" spans="1:33">
      <c r="A28" s="102">
        <v>1985</v>
      </c>
      <c r="B28" s="102">
        <v>16.7</v>
      </c>
      <c r="C28" s="102">
        <v>13</v>
      </c>
      <c r="D28" s="102">
        <v>34.799999999999997</v>
      </c>
      <c r="E28" s="102">
        <v>74.599999999999994</v>
      </c>
      <c r="F28" s="102">
        <v>172.2</v>
      </c>
      <c r="G28" s="102">
        <v>182.3</v>
      </c>
      <c r="H28" s="102">
        <v>118.5</v>
      </c>
      <c r="I28" s="102">
        <v>111.9</v>
      </c>
      <c r="J28" s="102">
        <v>50</v>
      </c>
      <c r="K28" s="102">
        <v>81.900000000000006</v>
      </c>
      <c r="L28" s="102">
        <v>40.1</v>
      </c>
      <c r="M28" s="102">
        <v>17.8</v>
      </c>
      <c r="N28" s="102">
        <f t="shared" si="1"/>
        <v>139.1</v>
      </c>
      <c r="O28" s="102">
        <f t="shared" si="2"/>
        <v>634.9</v>
      </c>
      <c r="P28" s="102">
        <f t="shared" si="3"/>
        <v>139.80000000000001</v>
      </c>
      <c r="Q28" s="102">
        <f t="shared" si="4"/>
        <v>913.79999999999984</v>
      </c>
      <c r="R28" s="102"/>
      <c r="S28" s="102"/>
      <c r="T28" s="102"/>
      <c r="U28" s="102"/>
      <c r="V28" s="102"/>
      <c r="W28" s="102"/>
      <c r="X28" s="102"/>
      <c r="Y28" s="102"/>
      <c r="Z28" s="102"/>
      <c r="AA28" s="102"/>
      <c r="AB28" s="102"/>
      <c r="AC28" s="102"/>
      <c r="AD28" s="102"/>
      <c r="AE28" s="102"/>
      <c r="AF28" s="102"/>
      <c r="AG28" s="102"/>
    </row>
    <row r="29" spans="1:33">
      <c r="A29" s="102">
        <v>1986</v>
      </c>
      <c r="B29" s="102">
        <v>8.9</v>
      </c>
      <c r="C29" s="102">
        <v>17.3</v>
      </c>
      <c r="D29" s="102">
        <v>19.100000000000001</v>
      </c>
      <c r="E29" s="102">
        <v>44.4</v>
      </c>
      <c r="F29" s="102">
        <v>102.4</v>
      </c>
      <c r="G29" s="102">
        <v>176.3</v>
      </c>
      <c r="H29" s="102">
        <v>202.2</v>
      </c>
      <c r="I29" s="102">
        <v>119.5</v>
      </c>
      <c r="J29" s="102">
        <v>88</v>
      </c>
      <c r="K29" s="102">
        <v>23.3</v>
      </c>
      <c r="L29" s="102">
        <v>37.200000000000003</v>
      </c>
      <c r="M29" s="102">
        <v>5.7</v>
      </c>
      <c r="N29" s="102">
        <f t="shared" si="1"/>
        <v>89.7</v>
      </c>
      <c r="O29" s="102">
        <f t="shared" si="2"/>
        <v>688.40000000000009</v>
      </c>
      <c r="P29" s="102">
        <f t="shared" si="3"/>
        <v>66.2</v>
      </c>
      <c r="Q29" s="102">
        <f t="shared" si="4"/>
        <v>844.30000000000007</v>
      </c>
      <c r="R29" s="102"/>
      <c r="S29" s="102"/>
      <c r="T29" s="102"/>
      <c r="U29" s="102"/>
      <c r="V29" s="102"/>
      <c r="W29" s="102"/>
      <c r="X29" s="102"/>
      <c r="Y29" s="102"/>
      <c r="Z29" s="102"/>
      <c r="AA29" s="102"/>
      <c r="AB29" s="102"/>
      <c r="AC29" s="102"/>
      <c r="AD29" s="102"/>
      <c r="AE29" s="102"/>
      <c r="AF29" s="102"/>
      <c r="AG29" s="102"/>
    </row>
    <row r="30" spans="1:33">
      <c r="A30" s="102">
        <v>1987</v>
      </c>
      <c r="B30" s="102">
        <v>33.5</v>
      </c>
      <c r="C30" s="102">
        <v>12.6</v>
      </c>
      <c r="D30" s="102">
        <v>16.2</v>
      </c>
      <c r="E30" s="102">
        <v>49.7</v>
      </c>
      <c r="F30" s="102">
        <v>152.6</v>
      </c>
      <c r="G30" s="102">
        <v>148.19999999999999</v>
      </c>
      <c r="H30" s="102">
        <v>266</v>
      </c>
      <c r="I30" s="102">
        <v>161.30000000000001</v>
      </c>
      <c r="J30" s="102">
        <v>109.6</v>
      </c>
      <c r="K30" s="102">
        <v>107.6</v>
      </c>
      <c r="L30" s="102">
        <v>42.4</v>
      </c>
      <c r="M30" s="102">
        <v>8</v>
      </c>
      <c r="N30" s="102">
        <f t="shared" si="1"/>
        <v>112</v>
      </c>
      <c r="O30" s="102">
        <f t="shared" si="2"/>
        <v>837.69999999999993</v>
      </c>
      <c r="P30" s="102">
        <f t="shared" si="3"/>
        <v>158</v>
      </c>
      <c r="Q30" s="102">
        <f t="shared" si="4"/>
        <v>1107.7</v>
      </c>
      <c r="R30" s="102"/>
      <c r="S30" s="102"/>
      <c r="T30" s="102"/>
      <c r="U30" s="102"/>
      <c r="V30" s="102"/>
      <c r="W30" s="102"/>
      <c r="X30" s="102"/>
      <c r="Y30" s="102"/>
      <c r="Z30" s="102"/>
      <c r="AA30" s="102"/>
      <c r="AB30" s="102"/>
      <c r="AC30" s="102"/>
      <c r="AD30" s="102"/>
      <c r="AE30" s="102"/>
      <c r="AF30" s="102"/>
      <c r="AG30" s="102"/>
    </row>
    <row r="31" spans="1:33">
      <c r="A31" s="102">
        <v>1988</v>
      </c>
      <c r="B31" s="102">
        <v>20</v>
      </c>
      <c r="C31" s="102">
        <v>5.0999999999999996</v>
      </c>
      <c r="D31" s="102">
        <v>16.600000000000001</v>
      </c>
      <c r="E31" s="102">
        <v>115.5</v>
      </c>
      <c r="F31" s="102">
        <v>88.8</v>
      </c>
      <c r="G31" s="102">
        <v>126</v>
      </c>
      <c r="H31" s="102">
        <v>124.4</v>
      </c>
      <c r="I31" s="102">
        <v>139.1</v>
      </c>
      <c r="J31" s="102">
        <v>204.4</v>
      </c>
      <c r="K31" s="102">
        <v>72.8</v>
      </c>
      <c r="L31" s="102">
        <v>3</v>
      </c>
      <c r="M31" s="102">
        <v>14.7</v>
      </c>
      <c r="N31" s="102">
        <f t="shared" si="1"/>
        <v>157.19999999999999</v>
      </c>
      <c r="O31" s="102">
        <f t="shared" si="2"/>
        <v>682.7</v>
      </c>
      <c r="P31" s="102">
        <f t="shared" si="3"/>
        <v>90.5</v>
      </c>
      <c r="Q31" s="102">
        <f t="shared" si="4"/>
        <v>930.4</v>
      </c>
      <c r="R31" s="102"/>
      <c r="S31" s="102"/>
      <c r="T31" s="102"/>
      <c r="U31" s="102"/>
      <c r="V31" s="102"/>
      <c r="W31" s="102"/>
      <c r="X31" s="102"/>
      <c r="Y31" s="102"/>
      <c r="Z31" s="102"/>
      <c r="AA31" s="102"/>
      <c r="AB31" s="102"/>
      <c r="AC31" s="102"/>
      <c r="AD31" s="102"/>
      <c r="AE31" s="102"/>
      <c r="AF31" s="102"/>
      <c r="AG31" s="102"/>
    </row>
    <row r="32" spans="1:33">
      <c r="A32" s="102">
        <v>1989</v>
      </c>
      <c r="B32" s="102">
        <v>10.3</v>
      </c>
      <c r="C32" s="102">
        <v>11.6</v>
      </c>
      <c r="D32" s="102">
        <v>34.4</v>
      </c>
      <c r="E32" s="102">
        <v>205.6</v>
      </c>
      <c r="F32" s="102">
        <v>132</v>
      </c>
      <c r="G32" s="102">
        <v>105.3</v>
      </c>
      <c r="H32" s="102">
        <v>113</v>
      </c>
      <c r="I32" s="102">
        <v>93.5</v>
      </c>
      <c r="J32" s="102">
        <v>107.6</v>
      </c>
      <c r="K32" s="102">
        <v>81.900000000000006</v>
      </c>
      <c r="L32" s="102">
        <v>22.6</v>
      </c>
      <c r="M32" s="102">
        <v>34.4</v>
      </c>
      <c r="N32" s="102">
        <f t="shared" si="1"/>
        <v>261.89999999999998</v>
      </c>
      <c r="O32" s="102">
        <f t="shared" si="2"/>
        <v>551.4</v>
      </c>
      <c r="P32" s="102">
        <f t="shared" si="3"/>
        <v>138.9</v>
      </c>
      <c r="Q32" s="102">
        <f t="shared" si="4"/>
        <v>952.2</v>
      </c>
      <c r="R32" s="102"/>
      <c r="S32" s="102"/>
      <c r="T32" s="102"/>
      <c r="U32" s="102"/>
      <c r="V32" s="102"/>
      <c r="W32" s="102"/>
      <c r="X32" s="102"/>
      <c r="Y32" s="102"/>
      <c r="Z32" s="102"/>
      <c r="AA32" s="102"/>
      <c r="AB32" s="102"/>
      <c r="AC32" s="102"/>
      <c r="AD32" s="102"/>
      <c r="AE32" s="102"/>
      <c r="AF32" s="102"/>
      <c r="AG32" s="102"/>
    </row>
    <row r="33" spans="1:33">
      <c r="A33" s="102">
        <v>1990</v>
      </c>
      <c r="B33" s="102">
        <v>17.3</v>
      </c>
      <c r="C33" s="102">
        <v>14.7</v>
      </c>
      <c r="D33" s="102">
        <v>42.4</v>
      </c>
      <c r="E33" s="102">
        <v>69.099999999999994</v>
      </c>
      <c r="F33" s="102">
        <v>186.5</v>
      </c>
      <c r="G33" s="102">
        <v>130.6</v>
      </c>
      <c r="H33" s="102">
        <v>57.5</v>
      </c>
      <c r="I33" s="102">
        <v>61.1</v>
      </c>
      <c r="J33" s="102">
        <v>147.19999999999999</v>
      </c>
      <c r="K33" s="102">
        <v>76.3</v>
      </c>
      <c r="L33" s="102">
        <v>42.8</v>
      </c>
      <c r="M33" s="102">
        <v>3.8</v>
      </c>
      <c r="N33" s="102">
        <f t="shared" si="1"/>
        <v>143.5</v>
      </c>
      <c r="O33" s="102">
        <f t="shared" si="2"/>
        <v>582.90000000000009</v>
      </c>
      <c r="P33" s="102">
        <f t="shared" si="3"/>
        <v>122.89999999999999</v>
      </c>
      <c r="Q33" s="102">
        <f t="shared" si="4"/>
        <v>849.3</v>
      </c>
      <c r="R33" s="102"/>
      <c r="S33" s="102"/>
      <c r="T33" s="102"/>
      <c r="U33" s="102"/>
      <c r="V33" s="102"/>
      <c r="W33" s="102"/>
      <c r="X33" s="102"/>
      <c r="Y33" s="102"/>
      <c r="Z33" s="102"/>
      <c r="AA33" s="102"/>
      <c r="AB33" s="102"/>
      <c r="AC33" s="102"/>
      <c r="AD33" s="102"/>
      <c r="AE33" s="102"/>
      <c r="AF33" s="102"/>
      <c r="AG33" s="102"/>
    </row>
    <row r="34" spans="1:33">
      <c r="A34" s="102">
        <v>1991</v>
      </c>
      <c r="B34" s="102">
        <v>14.9</v>
      </c>
      <c r="C34" s="102">
        <v>11.2</v>
      </c>
      <c r="D34" s="102">
        <v>11.1</v>
      </c>
      <c r="E34" s="102">
        <v>66.900000000000006</v>
      </c>
      <c r="F34" s="102">
        <v>70.900000000000006</v>
      </c>
      <c r="G34" s="102">
        <v>109.8</v>
      </c>
      <c r="H34" s="102">
        <v>155.69999999999999</v>
      </c>
      <c r="I34" s="102">
        <v>103.5</v>
      </c>
      <c r="J34" s="102">
        <v>61.6</v>
      </c>
      <c r="K34" s="102">
        <v>98</v>
      </c>
      <c r="L34" s="102">
        <v>31.7</v>
      </c>
      <c r="M34" s="102">
        <v>33.299999999999997</v>
      </c>
      <c r="N34" s="102">
        <f t="shared" si="1"/>
        <v>104.10000000000001</v>
      </c>
      <c r="O34" s="102">
        <f t="shared" si="2"/>
        <v>501.5</v>
      </c>
      <c r="P34" s="102">
        <f t="shared" si="3"/>
        <v>163</v>
      </c>
      <c r="Q34" s="102">
        <f t="shared" si="4"/>
        <v>768.6</v>
      </c>
      <c r="R34" s="102"/>
      <c r="S34" s="102"/>
      <c r="T34" s="102"/>
      <c r="U34" s="102"/>
      <c r="V34" s="102"/>
      <c r="W34" s="102"/>
      <c r="X34" s="102"/>
      <c r="Y34" s="102"/>
      <c r="Z34" s="102"/>
      <c r="AA34" s="102"/>
      <c r="AB34" s="102"/>
      <c r="AC34" s="102"/>
      <c r="AD34" s="102"/>
      <c r="AE34" s="102"/>
      <c r="AF34" s="102"/>
      <c r="AG34" s="102"/>
    </row>
    <row r="35" spans="1:33">
      <c r="A35" s="102">
        <v>1992</v>
      </c>
      <c r="B35" s="102">
        <v>11.9</v>
      </c>
      <c r="C35" s="102">
        <v>39.9</v>
      </c>
      <c r="D35" s="102">
        <v>47.5</v>
      </c>
      <c r="E35" s="102">
        <v>98.3</v>
      </c>
      <c r="F35" s="102">
        <v>287.3</v>
      </c>
      <c r="G35" s="102">
        <v>204.2</v>
      </c>
      <c r="H35" s="102">
        <v>74</v>
      </c>
      <c r="I35" s="102">
        <v>23.6</v>
      </c>
      <c r="J35" s="102">
        <v>19.399999999999999</v>
      </c>
      <c r="K35" s="102">
        <v>102.1</v>
      </c>
      <c r="L35" s="102">
        <v>15.5</v>
      </c>
      <c r="M35" s="102">
        <v>20.6</v>
      </c>
      <c r="N35" s="102">
        <f t="shared" si="1"/>
        <v>197.6</v>
      </c>
      <c r="O35" s="102">
        <f t="shared" si="2"/>
        <v>608.5</v>
      </c>
      <c r="P35" s="102">
        <f t="shared" si="3"/>
        <v>138.19999999999999</v>
      </c>
      <c r="Q35" s="102">
        <f t="shared" si="4"/>
        <v>944.3</v>
      </c>
      <c r="R35" s="102"/>
      <c r="S35" s="102"/>
      <c r="T35" s="102"/>
      <c r="U35" s="102"/>
      <c r="V35" s="102"/>
      <c r="W35" s="102"/>
      <c r="X35" s="102"/>
      <c r="Y35" s="102"/>
      <c r="Z35" s="102"/>
      <c r="AA35" s="102"/>
      <c r="AB35" s="102"/>
      <c r="AC35" s="102"/>
      <c r="AD35" s="102"/>
      <c r="AE35" s="102"/>
      <c r="AF35" s="102"/>
      <c r="AG35" s="102"/>
    </row>
    <row r="36" spans="1:33">
      <c r="A36" s="102">
        <v>1993</v>
      </c>
      <c r="B36" s="102">
        <v>28.1</v>
      </c>
      <c r="C36" s="102">
        <v>32.1</v>
      </c>
      <c r="D36" s="102">
        <v>27.8</v>
      </c>
      <c r="E36" s="102">
        <v>92.1</v>
      </c>
      <c r="F36" s="102">
        <v>86.6</v>
      </c>
      <c r="G36" s="102">
        <v>101.4</v>
      </c>
      <c r="H36" s="102">
        <v>132.6</v>
      </c>
      <c r="I36" s="102">
        <v>157.9</v>
      </c>
      <c r="J36" s="102">
        <v>137</v>
      </c>
      <c r="K36" s="102">
        <v>66.099999999999994</v>
      </c>
      <c r="L36" s="102">
        <v>10.9</v>
      </c>
      <c r="M36" s="102">
        <v>7</v>
      </c>
      <c r="N36" s="102">
        <f t="shared" si="1"/>
        <v>180.1</v>
      </c>
      <c r="O36" s="102">
        <f t="shared" si="2"/>
        <v>615.5</v>
      </c>
      <c r="P36" s="102">
        <f t="shared" si="3"/>
        <v>84</v>
      </c>
      <c r="Q36" s="102">
        <f t="shared" si="4"/>
        <v>879.6</v>
      </c>
      <c r="R36" s="102"/>
      <c r="S36" s="102"/>
      <c r="T36" s="102"/>
      <c r="U36" s="102"/>
      <c r="V36" s="102"/>
      <c r="W36" s="102"/>
      <c r="X36" s="102"/>
      <c r="Y36" s="102"/>
      <c r="Z36" s="102"/>
      <c r="AA36" s="102"/>
      <c r="AB36" s="102"/>
      <c r="AC36" s="102"/>
      <c r="AD36" s="102"/>
      <c r="AE36" s="102"/>
      <c r="AF36" s="102"/>
      <c r="AG36" s="102"/>
    </row>
    <row r="37" spans="1:33">
      <c r="A37" s="102">
        <v>1994</v>
      </c>
      <c r="B37" s="102">
        <v>11.5</v>
      </c>
      <c r="C37" s="102">
        <v>6.1</v>
      </c>
      <c r="D37" s="102">
        <v>58.5</v>
      </c>
      <c r="E37" s="102">
        <v>26.6</v>
      </c>
      <c r="F37" s="102">
        <v>108.5</v>
      </c>
      <c r="G37" s="102">
        <v>112.2</v>
      </c>
      <c r="H37" s="102">
        <v>137.19999999999999</v>
      </c>
      <c r="I37" s="102">
        <v>99.8</v>
      </c>
      <c r="J37" s="102">
        <v>110.1</v>
      </c>
      <c r="K37" s="102">
        <v>97</v>
      </c>
      <c r="L37" s="102">
        <v>57.1</v>
      </c>
      <c r="M37" s="102">
        <v>31.5</v>
      </c>
      <c r="N37" s="102">
        <f t="shared" si="1"/>
        <v>102.69999999999999</v>
      </c>
      <c r="O37" s="102">
        <f t="shared" si="2"/>
        <v>567.79999999999995</v>
      </c>
      <c r="P37" s="102">
        <f t="shared" si="3"/>
        <v>185.6</v>
      </c>
      <c r="Q37" s="102">
        <f t="shared" si="4"/>
        <v>856.1</v>
      </c>
      <c r="R37" s="102"/>
      <c r="S37" s="102"/>
      <c r="T37" s="102"/>
      <c r="U37" s="102"/>
      <c r="V37" s="102"/>
      <c r="W37" s="102"/>
      <c r="X37" s="102"/>
      <c r="Y37" s="102"/>
      <c r="Z37" s="102"/>
      <c r="AA37" s="102"/>
      <c r="AB37" s="102"/>
      <c r="AC37" s="102"/>
      <c r="AD37" s="102"/>
      <c r="AE37" s="102"/>
      <c r="AF37" s="102"/>
      <c r="AG37" s="102"/>
    </row>
    <row r="38" spans="1:33">
      <c r="A38" s="102">
        <v>1995</v>
      </c>
      <c r="B38" s="102">
        <v>6.3</v>
      </c>
      <c r="C38" s="102">
        <v>4.9000000000000004</v>
      </c>
      <c r="D38" s="102">
        <v>42.8</v>
      </c>
      <c r="E38" s="102">
        <v>38.200000000000003</v>
      </c>
      <c r="F38" s="102">
        <v>183.2</v>
      </c>
      <c r="G38" s="102">
        <v>161.4</v>
      </c>
      <c r="H38" s="102">
        <v>269.7</v>
      </c>
      <c r="I38" s="102">
        <v>28.4</v>
      </c>
      <c r="J38" s="102">
        <v>50.6</v>
      </c>
      <c r="K38" s="102">
        <v>38.6</v>
      </c>
      <c r="L38" s="102">
        <v>127.8</v>
      </c>
      <c r="M38" s="102">
        <v>4.7</v>
      </c>
      <c r="N38" s="102">
        <f t="shared" si="1"/>
        <v>92.2</v>
      </c>
      <c r="O38" s="102">
        <f t="shared" si="2"/>
        <v>693.3</v>
      </c>
      <c r="P38" s="102">
        <f t="shared" si="3"/>
        <v>171.1</v>
      </c>
      <c r="Q38" s="102">
        <f t="shared" si="4"/>
        <v>956.6</v>
      </c>
      <c r="R38" s="102"/>
      <c r="S38" s="102"/>
      <c r="T38" s="102"/>
      <c r="U38" s="102"/>
      <c r="V38" s="102"/>
      <c r="W38" s="102"/>
      <c r="X38" s="102"/>
      <c r="Y38" s="102"/>
      <c r="Z38" s="102"/>
      <c r="AA38" s="102"/>
      <c r="AB38" s="102"/>
      <c r="AC38" s="102"/>
      <c r="AD38" s="102"/>
      <c r="AE38" s="102"/>
      <c r="AF38" s="102"/>
      <c r="AG38" s="102"/>
    </row>
    <row r="39" spans="1:33">
      <c r="A39" s="102">
        <v>1996</v>
      </c>
      <c r="B39" s="102">
        <v>6.3</v>
      </c>
      <c r="C39" s="102">
        <v>4.9000000000000004</v>
      </c>
      <c r="D39" s="102">
        <v>39.4</v>
      </c>
      <c r="E39" s="102">
        <v>42.1</v>
      </c>
      <c r="F39" s="102">
        <v>183.2</v>
      </c>
      <c r="G39" s="102">
        <v>161.4</v>
      </c>
      <c r="H39" s="102">
        <v>269.7</v>
      </c>
      <c r="I39" s="102">
        <v>28.4</v>
      </c>
      <c r="J39" s="102">
        <v>50.6</v>
      </c>
      <c r="K39" s="102">
        <v>38.6</v>
      </c>
      <c r="L39" s="102">
        <v>127.8</v>
      </c>
      <c r="M39" s="102">
        <v>4.7</v>
      </c>
      <c r="N39" s="102">
        <f t="shared" si="1"/>
        <v>92.699999999999989</v>
      </c>
      <c r="O39" s="102">
        <f t="shared" si="2"/>
        <v>693.3</v>
      </c>
      <c r="P39" s="102">
        <f t="shared" si="3"/>
        <v>171.1</v>
      </c>
      <c r="Q39" s="102">
        <f t="shared" si="4"/>
        <v>957.1</v>
      </c>
      <c r="R39" s="102"/>
      <c r="S39" s="102"/>
      <c r="T39" s="102"/>
      <c r="U39" s="102"/>
      <c r="V39" s="102"/>
      <c r="W39" s="102"/>
      <c r="X39" s="102"/>
      <c r="Y39" s="102"/>
      <c r="Z39" s="102"/>
      <c r="AA39" s="102"/>
      <c r="AB39" s="102"/>
      <c r="AC39" s="102"/>
      <c r="AD39" s="102"/>
      <c r="AE39" s="102"/>
      <c r="AF39" s="102"/>
      <c r="AG39" s="102"/>
    </row>
    <row r="40" spans="1:33">
      <c r="A40" s="102">
        <v>1997</v>
      </c>
      <c r="B40" s="102">
        <v>14.4</v>
      </c>
      <c r="C40" s="102">
        <v>25.9</v>
      </c>
      <c r="D40" s="102">
        <v>19.600000000000001</v>
      </c>
      <c r="E40" s="102">
        <v>115.7</v>
      </c>
      <c r="F40" s="102">
        <v>154.4</v>
      </c>
      <c r="G40" s="102">
        <v>138.19999999999999</v>
      </c>
      <c r="H40" s="102">
        <v>176.3</v>
      </c>
      <c r="I40" s="102">
        <v>117.5</v>
      </c>
      <c r="J40" s="102">
        <v>84</v>
      </c>
      <c r="K40" s="102">
        <v>63.3</v>
      </c>
      <c r="L40" s="102">
        <v>10.199999999999999</v>
      </c>
      <c r="M40" s="102">
        <v>24.7</v>
      </c>
      <c r="N40" s="102">
        <f t="shared" si="1"/>
        <v>175.6</v>
      </c>
      <c r="O40" s="102">
        <f t="shared" si="2"/>
        <v>670.40000000000009</v>
      </c>
      <c r="P40" s="102">
        <f t="shared" si="3"/>
        <v>98.2</v>
      </c>
      <c r="Q40" s="102">
        <f t="shared" si="4"/>
        <v>944.2</v>
      </c>
      <c r="R40" s="102"/>
      <c r="S40" s="102"/>
      <c r="T40" s="102"/>
      <c r="U40" s="102"/>
      <c r="V40" s="102"/>
      <c r="W40" s="102"/>
      <c r="X40" s="102"/>
      <c r="Y40" s="102"/>
      <c r="Z40" s="102"/>
      <c r="AA40" s="102"/>
      <c r="AB40" s="102"/>
      <c r="AC40" s="102"/>
      <c r="AD40" s="102"/>
      <c r="AE40" s="102"/>
      <c r="AF40" s="102"/>
      <c r="AG40" s="102"/>
    </row>
    <row r="41" spans="1:33">
      <c r="A41" s="102">
        <v>1998</v>
      </c>
      <c r="B41" s="102">
        <v>12.9</v>
      </c>
      <c r="C41" s="102">
        <v>9.9</v>
      </c>
      <c r="D41" s="102">
        <v>13.2</v>
      </c>
      <c r="E41" s="102">
        <v>121.4</v>
      </c>
      <c r="F41" s="102">
        <v>170.1</v>
      </c>
      <c r="G41" s="102">
        <v>237.2</v>
      </c>
      <c r="H41" s="102">
        <v>149.19999999999999</v>
      </c>
      <c r="I41" s="102">
        <v>514.9</v>
      </c>
      <c r="J41" s="102">
        <v>77.099999999999994</v>
      </c>
      <c r="K41" s="102">
        <v>61.6</v>
      </c>
      <c r="L41" s="102">
        <v>10.4</v>
      </c>
      <c r="M41" s="102">
        <v>9.5</v>
      </c>
      <c r="N41" s="102">
        <f t="shared" si="1"/>
        <v>157.4</v>
      </c>
      <c r="O41" s="102">
        <f t="shared" si="2"/>
        <v>1148.5</v>
      </c>
      <c r="P41" s="102">
        <f t="shared" si="3"/>
        <v>81.5</v>
      </c>
      <c r="Q41" s="102">
        <f t="shared" si="4"/>
        <v>1387.4</v>
      </c>
      <c r="R41" s="102"/>
      <c r="S41" s="102"/>
      <c r="T41" s="102"/>
      <c r="U41" s="102"/>
      <c r="V41" s="102"/>
      <c r="W41" s="102"/>
      <c r="X41" s="102"/>
      <c r="Y41" s="102"/>
      <c r="Z41" s="102"/>
      <c r="AA41" s="102"/>
      <c r="AB41" s="102"/>
      <c r="AC41" s="102"/>
      <c r="AD41" s="102"/>
      <c r="AE41" s="102"/>
      <c r="AF41" s="102"/>
      <c r="AG41" s="102"/>
    </row>
    <row r="42" spans="1:33">
      <c r="A42" s="102">
        <v>1999</v>
      </c>
      <c r="B42" s="102">
        <v>23.6</v>
      </c>
      <c r="C42" s="102">
        <v>8.5</v>
      </c>
      <c r="D42" s="102">
        <v>19.3</v>
      </c>
      <c r="E42" s="102">
        <v>94.9</v>
      </c>
      <c r="F42" s="102">
        <v>165.3</v>
      </c>
      <c r="G42" s="102">
        <v>253</v>
      </c>
      <c r="H42" s="102">
        <v>255.1</v>
      </c>
      <c r="I42" s="102">
        <v>231.2</v>
      </c>
      <c r="J42" s="102">
        <v>40.1</v>
      </c>
      <c r="K42" s="102">
        <v>68.900000000000006</v>
      </c>
      <c r="L42" s="102">
        <v>43.9</v>
      </c>
      <c r="M42" s="102">
        <v>13.8</v>
      </c>
      <c r="N42" s="102">
        <f t="shared" si="1"/>
        <v>146.30000000000001</v>
      </c>
      <c r="O42" s="102">
        <f t="shared" si="2"/>
        <v>944.69999999999993</v>
      </c>
      <c r="P42" s="102">
        <f t="shared" si="3"/>
        <v>126.60000000000001</v>
      </c>
      <c r="Q42" s="102">
        <f t="shared" si="4"/>
        <v>1217.6000000000001</v>
      </c>
      <c r="R42" s="102"/>
      <c r="S42" s="102"/>
      <c r="T42" s="102"/>
      <c r="U42" s="102"/>
      <c r="V42" s="102"/>
      <c r="W42" s="102"/>
      <c r="X42" s="102"/>
      <c r="Y42" s="102"/>
      <c r="Z42" s="102"/>
      <c r="AA42" s="102"/>
      <c r="AB42" s="102"/>
      <c r="AC42" s="102"/>
      <c r="AD42" s="102"/>
      <c r="AE42" s="102"/>
      <c r="AF42" s="102"/>
      <c r="AG42" s="102"/>
    </row>
    <row r="43" spans="1:33">
      <c r="A43" s="102">
        <v>2000</v>
      </c>
      <c r="B43" s="102">
        <v>5.8</v>
      </c>
      <c r="C43" s="102">
        <v>9.3000000000000007</v>
      </c>
      <c r="D43" s="102">
        <v>37.9</v>
      </c>
      <c r="E43" s="102">
        <v>114.3</v>
      </c>
      <c r="F43" s="102">
        <v>91.7</v>
      </c>
      <c r="G43" s="102">
        <v>153.1</v>
      </c>
      <c r="H43" s="102">
        <v>214.2</v>
      </c>
      <c r="I43" s="102">
        <v>163.1</v>
      </c>
      <c r="J43" s="102">
        <v>212.8</v>
      </c>
      <c r="K43" s="102">
        <v>83.7</v>
      </c>
      <c r="L43" s="102">
        <v>27.5</v>
      </c>
      <c r="M43" s="102">
        <v>19.100000000000001</v>
      </c>
      <c r="N43" s="102">
        <f t="shared" si="1"/>
        <v>167.3</v>
      </c>
      <c r="O43" s="102">
        <f t="shared" si="2"/>
        <v>834.90000000000009</v>
      </c>
      <c r="P43" s="102">
        <f t="shared" si="3"/>
        <v>130.30000000000001</v>
      </c>
      <c r="Q43" s="102">
        <f t="shared" si="4"/>
        <v>1132.5</v>
      </c>
      <c r="R43" s="102"/>
      <c r="S43" s="102"/>
      <c r="T43" s="102"/>
      <c r="U43" s="102"/>
      <c r="V43" s="102"/>
      <c r="W43" s="102"/>
      <c r="X43" s="102"/>
      <c r="Y43" s="102"/>
      <c r="Z43" s="102"/>
      <c r="AA43" s="102"/>
      <c r="AB43" s="102"/>
      <c r="AC43" s="102"/>
      <c r="AD43" s="102"/>
      <c r="AE43" s="102"/>
      <c r="AF43" s="102"/>
      <c r="AG43" s="102"/>
    </row>
    <row r="44" spans="1:33">
      <c r="A44" s="102">
        <v>2001</v>
      </c>
      <c r="B44" s="102">
        <v>13.6</v>
      </c>
      <c r="C44" s="102">
        <v>7.1</v>
      </c>
      <c r="D44" s="102">
        <v>39.5</v>
      </c>
      <c r="E44" s="102">
        <v>79.7</v>
      </c>
      <c r="F44" s="102">
        <v>131</v>
      </c>
      <c r="G44" s="102">
        <v>177</v>
      </c>
      <c r="H44" s="102">
        <v>60.7</v>
      </c>
      <c r="I44" s="102">
        <v>80.2</v>
      </c>
      <c r="J44" s="102">
        <v>32.200000000000003</v>
      </c>
      <c r="K44" s="102">
        <v>71</v>
      </c>
      <c r="L44" s="102">
        <v>24.2</v>
      </c>
      <c r="M44" s="102">
        <v>17.5</v>
      </c>
      <c r="N44" s="102">
        <f t="shared" si="1"/>
        <v>139.9</v>
      </c>
      <c r="O44" s="102">
        <f t="shared" si="2"/>
        <v>481.09999999999997</v>
      </c>
      <c r="P44" s="102">
        <f t="shared" si="3"/>
        <v>112.7</v>
      </c>
      <c r="Q44" s="102">
        <f t="shared" si="4"/>
        <v>733.7</v>
      </c>
      <c r="R44" s="102"/>
      <c r="S44" s="102"/>
      <c r="T44" s="102"/>
      <c r="U44" s="102"/>
      <c r="V44" s="102"/>
      <c r="W44" s="102"/>
      <c r="X44" s="102"/>
      <c r="Y44" s="102"/>
      <c r="Z44" s="102"/>
      <c r="AA44" s="102"/>
      <c r="AB44" s="102"/>
      <c r="AC44" s="102"/>
      <c r="AD44" s="102"/>
      <c r="AE44" s="102"/>
      <c r="AF44" s="102"/>
      <c r="AG44" s="102"/>
    </row>
    <row r="45" spans="1:33">
      <c r="A45" s="102">
        <v>2002</v>
      </c>
      <c r="B45" s="102">
        <v>25</v>
      </c>
      <c r="C45" s="102">
        <v>34.1</v>
      </c>
      <c r="D45" s="102">
        <v>56.5</v>
      </c>
      <c r="E45" s="102">
        <v>94.4</v>
      </c>
      <c r="F45" s="102">
        <v>143.4</v>
      </c>
      <c r="G45" s="102">
        <v>215.9</v>
      </c>
      <c r="H45" s="102">
        <v>124.7</v>
      </c>
      <c r="I45" s="102">
        <v>359.9</v>
      </c>
      <c r="J45" s="102">
        <v>58.1</v>
      </c>
      <c r="K45" s="102">
        <v>61</v>
      </c>
      <c r="L45" s="102">
        <v>35.1</v>
      </c>
      <c r="M45" s="102">
        <v>16.2</v>
      </c>
      <c r="N45" s="102">
        <f t="shared" si="1"/>
        <v>210</v>
      </c>
      <c r="O45" s="102">
        <f t="shared" si="2"/>
        <v>902</v>
      </c>
      <c r="P45" s="102">
        <f t="shared" si="3"/>
        <v>112.3</v>
      </c>
      <c r="Q45" s="102">
        <f t="shared" si="4"/>
        <v>1224.3</v>
      </c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  <c r="AC45" s="102"/>
      <c r="AD45" s="102"/>
      <c r="AE45" s="102"/>
      <c r="AF45" s="102"/>
      <c r="AG45" s="102"/>
    </row>
    <row r="46" spans="1:33">
      <c r="A46" s="102">
        <v>2003</v>
      </c>
      <c r="B46" s="102">
        <v>27.1</v>
      </c>
      <c r="C46" s="102">
        <v>19.7</v>
      </c>
      <c r="D46" s="102">
        <v>24.9</v>
      </c>
      <c r="E46" s="102">
        <v>73.7</v>
      </c>
      <c r="F46" s="102">
        <v>95.7</v>
      </c>
      <c r="G46" s="102">
        <v>226.1</v>
      </c>
      <c r="H46" s="102">
        <v>262.7</v>
      </c>
      <c r="I46" s="102">
        <v>35.200000000000003</v>
      </c>
      <c r="J46" s="102">
        <v>95.3</v>
      </c>
      <c r="K46" s="102">
        <v>39.5</v>
      </c>
      <c r="L46" s="102">
        <v>44.1</v>
      </c>
      <c r="M46" s="102">
        <v>30.8</v>
      </c>
      <c r="N46" s="102">
        <f t="shared" si="1"/>
        <v>145.39999999999998</v>
      </c>
      <c r="O46" s="102">
        <f t="shared" si="2"/>
        <v>715</v>
      </c>
      <c r="P46" s="102">
        <f t="shared" si="3"/>
        <v>114.39999999999999</v>
      </c>
      <c r="Q46" s="102">
        <f t="shared" si="4"/>
        <v>974.79999999999984</v>
      </c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  <c r="AC46" s="102"/>
      <c r="AD46" s="102"/>
      <c r="AE46" s="102"/>
      <c r="AF46" s="102"/>
      <c r="AG46" s="102"/>
    </row>
    <row r="47" spans="1:33">
      <c r="A47" s="102">
        <v>2004</v>
      </c>
      <c r="B47" s="103">
        <v>8.9</v>
      </c>
      <c r="C47" s="103">
        <v>48.6</v>
      </c>
      <c r="D47" s="103">
        <v>58.7</v>
      </c>
      <c r="E47" s="103">
        <v>142.4</v>
      </c>
      <c r="F47" s="103">
        <v>193.5</v>
      </c>
      <c r="G47" s="103">
        <v>145.30000000000001</v>
      </c>
      <c r="H47" s="103">
        <v>222.7</v>
      </c>
      <c r="I47" s="103">
        <v>193.9</v>
      </c>
      <c r="J47" s="103">
        <v>247.6</v>
      </c>
      <c r="K47" s="103">
        <v>40.700000000000003</v>
      </c>
      <c r="L47" s="103">
        <v>67.599999999999994</v>
      </c>
      <c r="M47" s="103">
        <v>11</v>
      </c>
      <c r="N47" s="102">
        <f t="shared" si="1"/>
        <v>258.60000000000002</v>
      </c>
      <c r="O47" s="102">
        <f t="shared" si="2"/>
        <v>1003</v>
      </c>
      <c r="P47" s="102">
        <f t="shared" si="3"/>
        <v>119.3</v>
      </c>
      <c r="Q47" s="102">
        <f t="shared" si="4"/>
        <v>1380.9</v>
      </c>
      <c r="R47" s="102"/>
      <c r="S47" s="102"/>
      <c r="T47" s="102"/>
      <c r="U47" s="102"/>
      <c r="V47" s="102"/>
      <c r="W47" s="102"/>
      <c r="X47" s="102"/>
      <c r="Y47" s="102"/>
      <c r="Z47" s="102"/>
      <c r="AA47" s="102"/>
      <c r="AB47" s="102"/>
      <c r="AC47" s="102"/>
      <c r="AD47" s="102"/>
      <c r="AE47" s="102"/>
      <c r="AF47" s="102"/>
      <c r="AG47" s="102"/>
    </row>
    <row r="48" spans="1:33">
      <c r="A48" s="102">
        <v>2005</v>
      </c>
      <c r="B48" s="102">
        <v>8.6</v>
      </c>
      <c r="C48" s="102">
        <v>15.7</v>
      </c>
      <c r="D48" s="102">
        <v>26.4</v>
      </c>
      <c r="E48" s="102">
        <v>126.7</v>
      </c>
      <c r="F48" s="102">
        <v>350.3</v>
      </c>
      <c r="G48" s="102">
        <v>117.6</v>
      </c>
      <c r="H48" s="102">
        <v>104.5</v>
      </c>
      <c r="I48" s="102">
        <v>108.2</v>
      </c>
      <c r="J48" s="102">
        <v>65.400000000000006</v>
      </c>
      <c r="K48" s="103">
        <v>78.5</v>
      </c>
      <c r="L48" s="103">
        <v>36.4</v>
      </c>
      <c r="M48" s="103">
        <v>7.8</v>
      </c>
      <c r="N48" s="102">
        <f t="shared" si="1"/>
        <v>177.4</v>
      </c>
      <c r="O48" s="102">
        <f t="shared" si="2"/>
        <v>746</v>
      </c>
      <c r="P48" s="102">
        <f t="shared" si="3"/>
        <v>122.7</v>
      </c>
      <c r="Q48" s="102">
        <f t="shared" si="4"/>
        <v>1046.1000000000001</v>
      </c>
      <c r="R48" s="102"/>
      <c r="S48" s="102"/>
      <c r="T48" s="102"/>
      <c r="U48" s="102"/>
      <c r="V48" s="102"/>
      <c r="W48" s="102"/>
      <c r="X48" s="102"/>
      <c r="Y48" s="102"/>
      <c r="Z48" s="102"/>
      <c r="AA48" s="102"/>
      <c r="AB48" s="102"/>
      <c r="AC48" s="102"/>
      <c r="AD48" s="102"/>
      <c r="AE48" s="102"/>
      <c r="AF48" s="102"/>
      <c r="AG48" s="102"/>
    </row>
    <row r="49" spans="1:35">
      <c r="A49" s="102">
        <v>2006</v>
      </c>
      <c r="B49" s="102">
        <v>9.3000000000000007</v>
      </c>
      <c r="C49" s="102">
        <v>38</v>
      </c>
      <c r="D49" s="102">
        <v>25.5</v>
      </c>
      <c r="E49" s="102">
        <v>90.5</v>
      </c>
      <c r="F49" s="102">
        <v>164.1</v>
      </c>
      <c r="G49" s="102">
        <v>138.9</v>
      </c>
      <c r="H49" s="102">
        <v>106.6</v>
      </c>
      <c r="I49" s="102">
        <v>46</v>
      </c>
      <c r="J49" s="102">
        <v>65.2</v>
      </c>
      <c r="K49" s="102">
        <v>163</v>
      </c>
      <c r="L49" s="102">
        <v>58.6</v>
      </c>
      <c r="M49" s="102">
        <v>16</v>
      </c>
      <c r="N49" s="102">
        <f t="shared" si="1"/>
        <v>163.30000000000001</v>
      </c>
      <c r="O49" s="102">
        <f t="shared" si="2"/>
        <v>520.80000000000007</v>
      </c>
      <c r="P49" s="102">
        <f t="shared" si="3"/>
        <v>237.6</v>
      </c>
      <c r="Q49" s="102">
        <f t="shared" si="4"/>
        <v>921.7</v>
      </c>
      <c r="R49" s="102"/>
      <c r="S49" s="102"/>
      <c r="T49" s="102"/>
      <c r="U49" s="102"/>
      <c r="V49" s="102"/>
      <c r="W49" s="102"/>
      <c r="X49" s="102"/>
      <c r="Y49" s="102"/>
      <c r="Z49" s="102"/>
      <c r="AA49" s="102"/>
      <c r="AB49" s="102"/>
      <c r="AC49" s="102"/>
      <c r="AD49" s="102"/>
      <c r="AE49" s="102"/>
      <c r="AF49" s="102"/>
      <c r="AG49" s="102"/>
    </row>
    <row r="50" spans="1:35">
      <c r="A50" s="102">
        <v>2007</v>
      </c>
      <c r="B50" s="102">
        <v>23.9</v>
      </c>
      <c r="C50" s="102">
        <v>13.1</v>
      </c>
      <c r="D50" s="102">
        <v>20.9</v>
      </c>
      <c r="E50" s="102">
        <v>169.5</v>
      </c>
      <c r="F50" s="102">
        <v>35.200000000000003</v>
      </c>
      <c r="G50" s="102">
        <v>264.39999999999998</v>
      </c>
      <c r="H50" s="102">
        <v>185.4</v>
      </c>
      <c r="I50" s="102">
        <v>116.9</v>
      </c>
      <c r="J50" s="102">
        <v>82.9</v>
      </c>
      <c r="K50" s="102">
        <v>93.3</v>
      </c>
      <c r="L50" s="102">
        <v>28.5</v>
      </c>
      <c r="M50" s="102">
        <v>17</v>
      </c>
      <c r="N50" s="102">
        <f t="shared" si="1"/>
        <v>227.4</v>
      </c>
      <c r="O50" s="102">
        <f t="shared" si="2"/>
        <v>684.8</v>
      </c>
      <c r="P50" s="102">
        <f t="shared" si="3"/>
        <v>138.80000000000001</v>
      </c>
      <c r="Q50" s="102">
        <f t="shared" si="4"/>
        <v>1051</v>
      </c>
      <c r="R50" s="102"/>
      <c r="S50" s="102"/>
      <c r="T50" s="102"/>
      <c r="U50" s="102"/>
      <c r="V50" s="102"/>
      <c r="W50" s="102"/>
      <c r="X50" s="102"/>
      <c r="Y50" s="102"/>
      <c r="Z50" s="102"/>
      <c r="AA50" s="102"/>
      <c r="AB50" s="102"/>
      <c r="AC50" s="102"/>
      <c r="AD50" s="102"/>
      <c r="AE50" s="102"/>
      <c r="AF50" s="102"/>
      <c r="AG50" s="102"/>
    </row>
    <row r="51" spans="1:35">
      <c r="A51" s="102">
        <v>2008</v>
      </c>
      <c r="B51" s="102">
        <v>6.3</v>
      </c>
      <c r="C51" s="102">
        <v>22</v>
      </c>
      <c r="D51" s="102">
        <v>70.599999999999994</v>
      </c>
      <c r="E51" s="102">
        <v>70.2</v>
      </c>
      <c r="F51" s="102">
        <v>108.3</v>
      </c>
      <c r="G51" s="102">
        <v>69.400000000000006</v>
      </c>
      <c r="H51" s="102">
        <v>114.2</v>
      </c>
      <c r="I51" s="102">
        <v>268.2</v>
      </c>
      <c r="J51" s="102">
        <v>60.2</v>
      </c>
      <c r="K51" s="102">
        <v>167.6</v>
      </c>
      <c r="L51" s="102">
        <v>49.4</v>
      </c>
      <c r="M51" s="102">
        <v>15.8</v>
      </c>
      <c r="N51" s="102">
        <f t="shared" si="1"/>
        <v>169.1</v>
      </c>
      <c r="O51" s="102">
        <f t="shared" si="2"/>
        <v>620.29999999999995</v>
      </c>
      <c r="P51" s="102">
        <f t="shared" si="3"/>
        <v>232.8</v>
      </c>
      <c r="Q51" s="102">
        <f t="shared" si="4"/>
        <v>1022.1999999999999</v>
      </c>
      <c r="R51" s="102"/>
      <c r="S51" s="102"/>
      <c r="T51" s="102"/>
      <c r="U51" s="102"/>
      <c r="V51" s="102"/>
      <c r="W51" s="102"/>
      <c r="X51" s="102"/>
      <c r="Y51" s="102"/>
      <c r="Z51" s="102"/>
      <c r="AA51" s="102"/>
      <c r="AB51" s="102"/>
      <c r="AC51" s="102"/>
      <c r="AD51" s="102"/>
      <c r="AE51" s="102"/>
      <c r="AF51" s="102"/>
      <c r="AG51" s="102"/>
    </row>
    <row r="52" spans="1:35">
      <c r="A52" s="102">
        <v>2009</v>
      </c>
      <c r="B52" s="102">
        <v>43.8</v>
      </c>
      <c r="C52" s="102">
        <v>12.8</v>
      </c>
      <c r="D52" s="102">
        <v>86.4</v>
      </c>
      <c r="E52" s="102">
        <v>162.19999999999999</v>
      </c>
      <c r="F52" s="102">
        <v>186.8</v>
      </c>
      <c r="G52" s="102">
        <v>262.8</v>
      </c>
      <c r="H52" s="102">
        <v>148.19999999999999</v>
      </c>
      <c r="I52" s="102">
        <v>267.39999999999998</v>
      </c>
      <c r="J52" s="102">
        <v>122.4</v>
      </c>
      <c r="K52" s="102">
        <v>77.2</v>
      </c>
      <c r="L52" s="102">
        <v>29.6</v>
      </c>
      <c r="M52" s="102">
        <v>38.4</v>
      </c>
      <c r="N52" s="102">
        <f t="shared" si="1"/>
        <v>305.2</v>
      </c>
      <c r="O52" s="102">
        <f t="shared" si="2"/>
        <v>987.59999999999991</v>
      </c>
      <c r="P52" s="102">
        <f t="shared" si="3"/>
        <v>145.20000000000002</v>
      </c>
      <c r="Q52" s="102">
        <f t="shared" si="4"/>
        <v>1438.0000000000002</v>
      </c>
      <c r="R52" s="102"/>
      <c r="S52" s="102"/>
      <c r="T52" s="102"/>
      <c r="U52" s="102"/>
      <c r="V52" s="102"/>
      <c r="W52" s="102"/>
      <c r="X52" s="102"/>
      <c r="Y52" s="102"/>
      <c r="Z52" s="102"/>
      <c r="AA52" s="102"/>
      <c r="AB52" s="102"/>
      <c r="AC52" s="102"/>
      <c r="AD52" s="102"/>
      <c r="AE52" s="102"/>
      <c r="AF52" s="102"/>
      <c r="AG52" s="102"/>
    </row>
    <row r="53" spans="1:35">
      <c r="A53" s="102">
        <v>2010</v>
      </c>
      <c r="B53" s="102">
        <v>3.2</v>
      </c>
      <c r="C53" s="102">
        <v>1.7</v>
      </c>
      <c r="D53" s="102">
        <v>31.1</v>
      </c>
      <c r="E53" s="102">
        <v>63.1</v>
      </c>
      <c r="F53" s="102">
        <v>195.1</v>
      </c>
      <c r="G53" s="102">
        <v>185.8</v>
      </c>
      <c r="H53" s="102">
        <v>149.4</v>
      </c>
      <c r="I53" s="102">
        <v>61.8</v>
      </c>
      <c r="J53" s="102">
        <v>99.9</v>
      </c>
      <c r="K53" s="102">
        <v>62.5</v>
      </c>
      <c r="L53" s="102">
        <v>34.4</v>
      </c>
      <c r="M53" s="102">
        <v>17.399999999999999</v>
      </c>
      <c r="N53" s="102">
        <f t="shared" si="1"/>
        <v>99.1</v>
      </c>
      <c r="O53" s="102">
        <f t="shared" si="2"/>
        <v>691.99999999999989</v>
      </c>
      <c r="P53" s="102">
        <f t="shared" si="3"/>
        <v>114.30000000000001</v>
      </c>
      <c r="Q53" s="102">
        <f t="shared" si="4"/>
        <v>905.39999999999986</v>
      </c>
      <c r="R53" s="102"/>
      <c r="S53" s="102"/>
      <c r="T53" s="102"/>
      <c r="U53" s="102"/>
      <c r="V53" s="102"/>
      <c r="W53" s="102"/>
      <c r="X53" s="102"/>
      <c r="Y53" s="102"/>
      <c r="Z53" s="102"/>
      <c r="AA53" s="102"/>
      <c r="AB53" s="102"/>
      <c r="AC53" s="102"/>
      <c r="AD53" s="102"/>
      <c r="AE53" s="102"/>
      <c r="AF53" s="102"/>
      <c r="AG53" s="102"/>
    </row>
    <row r="54" spans="1:35">
      <c r="A54" s="102">
        <v>2011</v>
      </c>
      <c r="B54" s="102">
        <v>6.1</v>
      </c>
      <c r="C54" s="102">
        <v>4.9000000000000004</v>
      </c>
      <c r="D54" s="102">
        <v>27</v>
      </c>
      <c r="E54" s="102">
        <v>32.6</v>
      </c>
      <c r="F54" s="102">
        <v>58.3</v>
      </c>
      <c r="G54" s="102">
        <v>289.10000000000002</v>
      </c>
      <c r="H54" s="102">
        <v>56.9</v>
      </c>
      <c r="I54" s="102">
        <v>65.5</v>
      </c>
      <c r="J54" s="102">
        <v>47.3</v>
      </c>
      <c r="K54" s="102">
        <v>113.3</v>
      </c>
      <c r="L54" s="102">
        <v>49.3</v>
      </c>
      <c r="M54" s="102">
        <v>26.7</v>
      </c>
      <c r="N54" s="102">
        <f t="shared" si="1"/>
        <v>70.599999999999994</v>
      </c>
      <c r="O54" s="102">
        <f t="shared" si="2"/>
        <v>517.1</v>
      </c>
      <c r="P54" s="102">
        <f t="shared" si="3"/>
        <v>189.29999999999998</v>
      </c>
      <c r="Q54" s="102">
        <f t="shared" si="4"/>
        <v>776.99999999999989</v>
      </c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</row>
    <row r="55" spans="1:35">
      <c r="A55" s="102">
        <v>2012</v>
      </c>
      <c r="B55" s="102">
        <v>8.3000000000000007</v>
      </c>
      <c r="C55" s="102">
        <v>2.5</v>
      </c>
      <c r="D55" s="102">
        <v>38.4</v>
      </c>
      <c r="E55" s="102">
        <v>86.2</v>
      </c>
      <c r="F55" s="102">
        <v>170.4</v>
      </c>
      <c r="G55" s="102">
        <v>110.3</v>
      </c>
      <c r="H55" s="102">
        <v>96.9</v>
      </c>
      <c r="I55" s="102">
        <v>51</v>
      </c>
      <c r="J55" s="102">
        <v>119.1</v>
      </c>
      <c r="K55" s="102">
        <v>69.7</v>
      </c>
      <c r="L55" s="102">
        <v>29.1</v>
      </c>
      <c r="M55" s="102">
        <v>15.5</v>
      </c>
      <c r="N55" s="102">
        <f t="shared" si="1"/>
        <v>135.4</v>
      </c>
      <c r="O55" s="102">
        <f t="shared" si="2"/>
        <v>547.70000000000005</v>
      </c>
      <c r="P55" s="102">
        <f t="shared" si="3"/>
        <v>114.30000000000001</v>
      </c>
      <c r="Q55" s="102">
        <f t="shared" si="4"/>
        <v>797.40000000000009</v>
      </c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  <c r="AD55" s="104"/>
      <c r="AE55" s="104"/>
      <c r="AF55" s="104"/>
      <c r="AG55" s="104"/>
    </row>
    <row r="56" spans="1:35">
      <c r="A56" s="102">
        <v>2013</v>
      </c>
      <c r="B56" s="102">
        <v>8.5</v>
      </c>
      <c r="C56" s="102">
        <v>3.6</v>
      </c>
      <c r="D56" s="102">
        <v>55.4</v>
      </c>
      <c r="E56" s="102">
        <v>128</v>
      </c>
      <c r="F56" s="102">
        <v>152.19999999999999</v>
      </c>
      <c r="G56" s="102">
        <v>97.2</v>
      </c>
      <c r="H56" s="102">
        <v>10.8</v>
      </c>
      <c r="I56" s="102">
        <v>114.1</v>
      </c>
      <c r="J56" s="102">
        <v>114.2</v>
      </c>
      <c r="K56" s="102">
        <v>59.9</v>
      </c>
      <c r="L56" s="102">
        <v>30</v>
      </c>
      <c r="M56" s="102">
        <v>22.9</v>
      </c>
      <c r="N56" s="102">
        <f t="shared" si="1"/>
        <v>195.5</v>
      </c>
      <c r="O56" s="102">
        <f t="shared" si="2"/>
        <v>488.49999999999994</v>
      </c>
      <c r="P56" s="102">
        <f t="shared" si="3"/>
        <v>112.80000000000001</v>
      </c>
      <c r="Q56" s="102">
        <f t="shared" si="4"/>
        <v>796.8</v>
      </c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</row>
    <row r="57" spans="1:35">
      <c r="A57" s="102">
        <v>2014</v>
      </c>
      <c r="B57" s="98">
        <v>4.9000000000000004</v>
      </c>
      <c r="C57" s="98">
        <v>10.1</v>
      </c>
      <c r="D57" s="98">
        <v>111.7</v>
      </c>
      <c r="E57" s="98">
        <v>74.5</v>
      </c>
      <c r="F57" s="98">
        <v>161.1</v>
      </c>
      <c r="G57" s="98">
        <v>198.9</v>
      </c>
      <c r="H57" s="98">
        <v>151.9</v>
      </c>
      <c r="I57" s="98">
        <v>266.2</v>
      </c>
      <c r="J57" s="98">
        <v>76.400000000000006</v>
      </c>
      <c r="K57" s="98">
        <v>202.2</v>
      </c>
      <c r="L57" s="98">
        <v>25.7</v>
      </c>
      <c r="M57" s="98">
        <v>13.6</v>
      </c>
      <c r="N57" s="102">
        <f t="shared" si="1"/>
        <v>201.2</v>
      </c>
      <c r="O57" s="102">
        <f t="shared" si="2"/>
        <v>854.49999999999989</v>
      </c>
      <c r="P57" s="102">
        <f t="shared" si="3"/>
        <v>241.49999999999997</v>
      </c>
      <c r="Q57" s="102">
        <f t="shared" si="4"/>
        <v>1297.2</v>
      </c>
      <c r="R57" s="102"/>
      <c r="S57" s="102"/>
      <c r="T57" s="102"/>
      <c r="U57" s="102"/>
      <c r="V57" s="102"/>
      <c r="W57" s="102"/>
      <c r="X57" s="102"/>
      <c r="Y57" s="102"/>
      <c r="Z57" s="102"/>
      <c r="AA57" s="102"/>
      <c r="AB57" s="102"/>
      <c r="AC57" s="102"/>
      <c r="AD57" s="102"/>
      <c r="AE57" s="102"/>
      <c r="AF57" s="102"/>
      <c r="AG57" s="102"/>
    </row>
    <row r="58" spans="1:35">
      <c r="A58" s="102">
        <v>2015</v>
      </c>
      <c r="B58" s="98">
        <v>5.7</v>
      </c>
      <c r="C58" s="98">
        <v>6.5</v>
      </c>
      <c r="D58" s="98">
        <v>39.5</v>
      </c>
      <c r="E58" s="98">
        <v>95.5</v>
      </c>
      <c r="F58" s="98">
        <v>124.8</v>
      </c>
      <c r="G58" s="98">
        <v>119.9</v>
      </c>
      <c r="H58" s="98">
        <v>161</v>
      </c>
      <c r="I58" s="98">
        <v>103.1</v>
      </c>
      <c r="J58" s="98">
        <v>169.3</v>
      </c>
      <c r="K58" s="98">
        <v>53.2</v>
      </c>
      <c r="L58" s="98">
        <v>8.6999999999999993</v>
      </c>
      <c r="M58" s="98">
        <v>35.4</v>
      </c>
      <c r="N58" s="102">
        <f t="shared" si="1"/>
        <v>147.19999999999999</v>
      </c>
      <c r="O58" s="102">
        <f t="shared" si="2"/>
        <v>678.09999999999991</v>
      </c>
      <c r="P58" s="102">
        <f t="shared" si="3"/>
        <v>97.300000000000011</v>
      </c>
      <c r="Q58" s="102">
        <f t="shared" si="4"/>
        <v>922.6</v>
      </c>
    </row>
    <row r="59" spans="1:35" s="70" customFormat="1">
      <c r="A59" s="108">
        <v>2016</v>
      </c>
      <c r="B59" s="99">
        <v>16.399999999999999</v>
      </c>
      <c r="C59" s="99">
        <v>14.1</v>
      </c>
      <c r="D59" s="99">
        <v>105.9</v>
      </c>
      <c r="E59" s="99">
        <v>144.6</v>
      </c>
      <c r="F59" s="99">
        <v>125.5</v>
      </c>
      <c r="G59" s="99">
        <v>279.10000000000002</v>
      </c>
      <c r="H59" s="99">
        <v>129.6</v>
      </c>
      <c r="I59" s="99">
        <v>180.6</v>
      </c>
      <c r="J59" s="99">
        <v>81.7</v>
      </c>
      <c r="K59" s="99">
        <v>68.8</v>
      </c>
      <c r="L59" s="99">
        <v>23.5</v>
      </c>
      <c r="M59" s="99">
        <v>7</v>
      </c>
      <c r="N59" s="108">
        <f>SUM(B59:E59)</f>
        <v>281</v>
      </c>
      <c r="O59" s="108">
        <f>SUM(F59:J59)</f>
        <v>796.50000000000011</v>
      </c>
      <c r="P59" s="108">
        <f>SUM(K59:M59)</f>
        <v>99.3</v>
      </c>
      <c r="Q59" s="108">
        <f>SUM(B59:M59)</f>
        <v>1176.8</v>
      </c>
      <c r="R59" s="69">
        <f t="shared" ref="R59:AG59" si="5">100*(B59-B4)/B4</f>
        <v>16.419087682397794</v>
      </c>
      <c r="S59" s="69">
        <f t="shared" si="5"/>
        <v>3.7329700272479203</v>
      </c>
      <c r="T59" s="69">
        <f t="shared" si="5"/>
        <v>185.51600179739373</v>
      </c>
      <c r="U59" s="69">
        <f t="shared" si="5"/>
        <v>78.956294547704744</v>
      </c>
      <c r="V59" s="69">
        <f t="shared" si="5"/>
        <v>-12.497256258957522</v>
      </c>
      <c r="W59" s="69">
        <f t="shared" si="5"/>
        <v>57.789270907491982</v>
      </c>
      <c r="X59" s="69">
        <f t="shared" si="5"/>
        <v>-6.1234892486820307</v>
      </c>
      <c r="Y59" s="69">
        <f t="shared" si="5"/>
        <v>38.632777517164918</v>
      </c>
      <c r="Z59" s="69">
        <f t="shared" si="5"/>
        <v>-15.607246016412535</v>
      </c>
      <c r="AA59" s="69">
        <f t="shared" si="5"/>
        <v>-17.43816529256204</v>
      </c>
      <c r="AB59" s="69">
        <f t="shared" si="5"/>
        <v>-42.070665571076404</v>
      </c>
      <c r="AC59" s="69">
        <f t="shared" si="5"/>
        <v>-60.873615567746619</v>
      </c>
      <c r="AD59" s="69">
        <f t="shared" si="5"/>
        <v>93.031332290195778</v>
      </c>
      <c r="AE59" s="69">
        <f t="shared" si="5"/>
        <v>16.202605514699947</v>
      </c>
      <c r="AF59" s="69">
        <f t="shared" si="5"/>
        <v>-29.966303581224061</v>
      </c>
      <c r="AG59" s="69">
        <f t="shared" si="5"/>
        <v>20.970164454334864</v>
      </c>
      <c r="AH59" s="69"/>
      <c r="AI59" s="69"/>
    </row>
  </sheetData>
  <mergeCells count="6">
    <mergeCell ref="A1:A3"/>
    <mergeCell ref="B1:Q1"/>
    <mergeCell ref="B2:M2"/>
    <mergeCell ref="R1:AG1"/>
    <mergeCell ref="N2:Q2"/>
    <mergeCell ref="R2:AG2"/>
  </mergeCells>
  <phoneticPr fontId="2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AH63"/>
  <sheetViews>
    <sheetView zoomScale="70" zoomScaleNormal="70" workbookViewId="0">
      <pane ySplit="5" topLeftCell="A6" activePane="bottomLeft" state="frozen"/>
      <selection pane="bottomLeft" activeCell="H66" sqref="H66"/>
    </sheetView>
  </sheetViews>
  <sheetFormatPr defaultRowHeight="14.25"/>
  <cols>
    <col min="1" max="10" width="7.125" style="22" customWidth="1"/>
    <col min="11" max="11" width="7.125" style="112" customWidth="1"/>
    <col min="12" max="34" width="7.125" style="22" customWidth="1"/>
    <col min="35" max="16384" width="9" style="82"/>
  </cols>
  <sheetData>
    <row r="1" spans="1:33" s="113" customFormat="1" ht="14.25" customHeight="1">
      <c r="A1" s="176" t="s">
        <v>0</v>
      </c>
      <c r="B1" s="176" t="s">
        <v>1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2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3" customFormat="1" ht="12.75">
      <c r="A2" s="176"/>
      <c r="B2" s="176" t="s">
        <v>3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32</v>
      </c>
      <c r="O2" s="176"/>
      <c r="P2" s="176"/>
      <c r="Q2" s="176"/>
      <c r="R2" s="176" t="s">
        <v>6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3" customFormat="1" ht="24">
      <c r="A3" s="176"/>
      <c r="B3" s="106" t="s">
        <v>7</v>
      </c>
      <c r="C3" s="106" t="s">
        <v>8</v>
      </c>
      <c r="D3" s="106" t="s">
        <v>9</v>
      </c>
      <c r="E3" s="106" t="s">
        <v>10</v>
      </c>
      <c r="F3" s="106" t="s">
        <v>11</v>
      </c>
      <c r="G3" s="106" t="s">
        <v>12</v>
      </c>
      <c r="H3" s="106" t="s">
        <v>13</v>
      </c>
      <c r="I3" s="106" t="s">
        <v>14</v>
      </c>
      <c r="J3" s="106" t="s">
        <v>15</v>
      </c>
      <c r="K3" s="106" t="s">
        <v>16</v>
      </c>
      <c r="L3" s="106" t="s">
        <v>17</v>
      </c>
      <c r="M3" s="106" t="s">
        <v>18</v>
      </c>
      <c r="N3" s="106" t="s">
        <v>145</v>
      </c>
      <c r="O3" s="106" t="s">
        <v>146</v>
      </c>
      <c r="P3" s="106" t="s">
        <v>147</v>
      </c>
      <c r="Q3" s="106" t="s">
        <v>148</v>
      </c>
      <c r="R3" s="106" t="s">
        <v>7</v>
      </c>
      <c r="S3" s="106" t="s">
        <v>8</v>
      </c>
      <c r="T3" s="106" t="s">
        <v>151</v>
      </c>
      <c r="U3" s="106" t="s">
        <v>152</v>
      </c>
      <c r="V3" s="106" t="s">
        <v>23</v>
      </c>
      <c r="W3" s="106" t="s">
        <v>24</v>
      </c>
      <c r="X3" s="106" t="s">
        <v>25</v>
      </c>
      <c r="Y3" s="106" t="s">
        <v>26</v>
      </c>
      <c r="Z3" s="106" t="s">
        <v>27</v>
      </c>
      <c r="AA3" s="106" t="s">
        <v>155</v>
      </c>
      <c r="AB3" s="106" t="s">
        <v>156</v>
      </c>
      <c r="AC3" s="106" t="s">
        <v>157</v>
      </c>
      <c r="AD3" s="106" t="s">
        <v>90</v>
      </c>
      <c r="AE3" s="106" t="s">
        <v>4</v>
      </c>
      <c r="AF3" s="106" t="s">
        <v>91</v>
      </c>
      <c r="AG3" s="106" t="s">
        <v>5</v>
      </c>
    </row>
    <row r="4" spans="1:33" s="113" customFormat="1" ht="12.75">
      <c r="A4" s="150" t="s">
        <v>261</v>
      </c>
      <c r="B4" s="150">
        <f t="shared" ref="B4:Q4" si="0">AVERAGE(B5:B62)</f>
        <v>18.648275862068964</v>
      </c>
      <c r="C4" s="150">
        <f t="shared" si="0"/>
        <v>16.206896551724139</v>
      </c>
      <c r="D4" s="150">
        <f t="shared" si="0"/>
        <v>33.643103448275859</v>
      </c>
      <c r="E4" s="150">
        <f t="shared" si="0"/>
        <v>75.817241379310332</v>
      </c>
      <c r="F4" s="150">
        <f t="shared" si="0"/>
        <v>130.25862068965517</v>
      </c>
      <c r="G4" s="150">
        <f t="shared" si="0"/>
        <v>186.1327586206896</v>
      </c>
      <c r="H4" s="150">
        <f t="shared" si="0"/>
        <v>134.71206896551723</v>
      </c>
      <c r="I4" s="150">
        <f t="shared" si="0"/>
        <v>107.02931034482756</v>
      </c>
      <c r="J4" s="150">
        <f t="shared" si="0"/>
        <v>82.417241379310312</v>
      </c>
      <c r="K4" s="150">
        <f t="shared" si="0"/>
        <v>83.667241379310326</v>
      </c>
      <c r="L4" s="150">
        <f t="shared" si="0"/>
        <v>39.331034482758632</v>
      </c>
      <c r="M4" s="150">
        <f t="shared" si="0"/>
        <v>19.413793103448278</v>
      </c>
      <c r="N4" s="150">
        <f t="shared" si="0"/>
        <v>144.3155172413793</v>
      </c>
      <c r="O4" s="150">
        <f t="shared" si="0"/>
        <v>640.55000000000007</v>
      </c>
      <c r="P4" s="150">
        <f t="shared" si="0"/>
        <v>142.41206896551722</v>
      </c>
      <c r="Q4" s="150">
        <f t="shared" si="0"/>
        <v>927.27758620689656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1958</v>
      </c>
      <c r="B5" s="102">
        <v>14.1</v>
      </c>
      <c r="C5" s="102">
        <v>4.5</v>
      </c>
      <c r="D5" s="102">
        <v>39.1</v>
      </c>
      <c r="E5" s="102">
        <v>27</v>
      </c>
      <c r="F5" s="102">
        <v>58.8</v>
      </c>
      <c r="G5" s="102">
        <v>266.7</v>
      </c>
      <c r="H5" s="102">
        <v>98.8</v>
      </c>
      <c r="I5" s="102">
        <v>51.2</v>
      </c>
      <c r="J5" s="102">
        <v>55.3</v>
      </c>
      <c r="K5" s="102">
        <v>82.3</v>
      </c>
      <c r="L5" s="102">
        <v>13.6</v>
      </c>
      <c r="M5" s="102">
        <v>14.6</v>
      </c>
      <c r="N5" s="102">
        <f>SUM(B5:E5)</f>
        <v>84.7</v>
      </c>
      <c r="O5" s="102">
        <f>SUM(F5:J5)</f>
        <v>530.79999999999995</v>
      </c>
      <c r="P5" s="102">
        <f>SUM(K5:M5)</f>
        <v>110.49999999999999</v>
      </c>
      <c r="Q5" s="102">
        <f>SUM(B5:M5)</f>
        <v>726</v>
      </c>
      <c r="R5" s="102"/>
      <c r="S5" s="102"/>
      <c r="T5" s="102"/>
      <c r="U5" s="102"/>
      <c r="V5" s="102"/>
      <c r="W5" s="102"/>
      <c r="X5" s="102"/>
      <c r="Y5" s="102"/>
      <c r="Z5" s="102"/>
      <c r="AA5" s="102"/>
      <c r="AB5" s="102"/>
      <c r="AC5" s="102"/>
      <c r="AD5" s="102"/>
      <c r="AE5" s="102"/>
      <c r="AF5" s="102"/>
      <c r="AG5" s="102"/>
    </row>
    <row r="6" spans="1:33">
      <c r="A6" s="102">
        <v>1959</v>
      </c>
      <c r="B6" s="102">
        <v>13.3</v>
      </c>
      <c r="C6" s="102">
        <v>9.6999999999999993</v>
      </c>
      <c r="D6" s="102">
        <v>25.2</v>
      </c>
      <c r="E6" s="102">
        <v>29.7</v>
      </c>
      <c r="F6" s="102">
        <v>126.1</v>
      </c>
      <c r="G6" s="102">
        <v>145.9</v>
      </c>
      <c r="H6" s="102">
        <v>35.700000000000003</v>
      </c>
      <c r="I6" s="102">
        <v>73</v>
      </c>
      <c r="J6" s="102">
        <v>84.7</v>
      </c>
      <c r="K6" s="102">
        <v>58.1</v>
      </c>
      <c r="L6" s="102">
        <v>25.6</v>
      </c>
      <c r="M6" s="102">
        <v>26.1</v>
      </c>
      <c r="N6" s="102">
        <f t="shared" ref="N6:N62" si="1">SUM(B6:E6)</f>
        <v>77.900000000000006</v>
      </c>
      <c r="O6" s="102">
        <f t="shared" ref="O6:O62" si="2">SUM(F6:J6)</f>
        <v>465.4</v>
      </c>
      <c r="P6" s="102">
        <f t="shared" ref="P6:P62" si="3">SUM(K6:M6)</f>
        <v>109.80000000000001</v>
      </c>
      <c r="Q6" s="102">
        <f t="shared" ref="Q6:Q62" si="4">SUM(B6:M6)</f>
        <v>653.1</v>
      </c>
      <c r="R6" s="102"/>
      <c r="S6" s="102"/>
      <c r="T6" s="102"/>
      <c r="U6" s="102"/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</row>
    <row r="7" spans="1:33">
      <c r="A7" s="102">
        <v>1960</v>
      </c>
      <c r="B7" s="102">
        <v>8.8000000000000007</v>
      </c>
      <c r="C7" s="102">
        <v>7.9</v>
      </c>
      <c r="D7" s="102">
        <v>17.5</v>
      </c>
      <c r="E7" s="102">
        <v>19.2</v>
      </c>
      <c r="F7" s="102">
        <v>57.1</v>
      </c>
      <c r="G7" s="102">
        <v>218.5</v>
      </c>
      <c r="H7" s="102">
        <v>113.3</v>
      </c>
      <c r="I7" s="102">
        <v>79.5</v>
      </c>
      <c r="J7" s="102">
        <v>67.3</v>
      </c>
      <c r="K7" s="102">
        <v>54.5</v>
      </c>
      <c r="L7" s="102">
        <v>28.3</v>
      </c>
      <c r="M7" s="102">
        <v>12.1</v>
      </c>
      <c r="N7" s="102">
        <f t="shared" si="1"/>
        <v>53.400000000000006</v>
      </c>
      <c r="O7" s="102">
        <f t="shared" si="2"/>
        <v>535.70000000000005</v>
      </c>
      <c r="P7" s="102">
        <f t="shared" si="3"/>
        <v>94.899999999999991</v>
      </c>
      <c r="Q7" s="102">
        <f t="shared" si="4"/>
        <v>683.99999999999989</v>
      </c>
      <c r="R7" s="102"/>
      <c r="S7" s="102"/>
      <c r="T7" s="102"/>
      <c r="U7" s="102"/>
      <c r="V7" s="102"/>
      <c r="W7" s="102"/>
      <c r="X7" s="102"/>
      <c r="Y7" s="102"/>
      <c r="Z7" s="102"/>
      <c r="AA7" s="102"/>
      <c r="AB7" s="102"/>
      <c r="AC7" s="102"/>
      <c r="AD7" s="102"/>
      <c r="AE7" s="102"/>
      <c r="AF7" s="102"/>
      <c r="AG7" s="102"/>
    </row>
    <row r="8" spans="1:33">
      <c r="A8" s="102">
        <v>1961</v>
      </c>
      <c r="B8" s="102">
        <v>6.1</v>
      </c>
      <c r="C8" s="102">
        <v>4.9000000000000004</v>
      </c>
      <c r="D8" s="102">
        <v>27</v>
      </c>
      <c r="E8" s="102">
        <v>32.6</v>
      </c>
      <c r="F8" s="102">
        <v>58.3</v>
      </c>
      <c r="G8" s="102">
        <v>289.10000000000002</v>
      </c>
      <c r="H8" s="102">
        <v>56.9</v>
      </c>
      <c r="I8" s="102">
        <v>65.5</v>
      </c>
      <c r="J8" s="102">
        <v>47.3</v>
      </c>
      <c r="K8" s="102">
        <v>144.69999999999999</v>
      </c>
      <c r="L8" s="102">
        <v>69.3</v>
      </c>
      <c r="M8" s="102">
        <v>54</v>
      </c>
      <c r="N8" s="102">
        <f t="shared" si="1"/>
        <v>70.599999999999994</v>
      </c>
      <c r="O8" s="102">
        <f t="shared" si="2"/>
        <v>517.1</v>
      </c>
      <c r="P8" s="102">
        <f t="shared" si="3"/>
        <v>268</v>
      </c>
      <c r="Q8" s="102">
        <f t="shared" si="4"/>
        <v>855.69999999999982</v>
      </c>
      <c r="R8" s="102"/>
      <c r="S8" s="102"/>
      <c r="T8" s="102"/>
      <c r="U8" s="102"/>
      <c r="V8" s="102"/>
      <c r="W8" s="102"/>
      <c r="X8" s="102"/>
      <c r="Y8" s="102"/>
      <c r="Z8" s="102"/>
      <c r="AA8" s="102"/>
      <c r="AB8" s="102"/>
      <c r="AC8" s="102"/>
      <c r="AD8" s="102"/>
      <c r="AE8" s="102"/>
      <c r="AF8" s="102"/>
      <c r="AG8" s="102"/>
    </row>
    <row r="9" spans="1:33">
      <c r="A9" s="102">
        <v>1962</v>
      </c>
      <c r="B9" s="102">
        <v>10.7</v>
      </c>
      <c r="C9" s="102">
        <v>11.1</v>
      </c>
      <c r="D9" s="102">
        <v>55.1</v>
      </c>
      <c r="E9" s="102">
        <v>39</v>
      </c>
      <c r="F9" s="102">
        <v>68.8</v>
      </c>
      <c r="G9" s="102">
        <v>240.4</v>
      </c>
      <c r="H9" s="102">
        <v>87.1</v>
      </c>
      <c r="I9" s="102">
        <v>76.599999999999994</v>
      </c>
      <c r="J9" s="102">
        <v>55.6</v>
      </c>
      <c r="K9" s="102">
        <v>97.6</v>
      </c>
      <c r="L9" s="102">
        <v>23.5</v>
      </c>
      <c r="M9" s="102">
        <v>12.1</v>
      </c>
      <c r="N9" s="102">
        <f t="shared" si="1"/>
        <v>115.9</v>
      </c>
      <c r="O9" s="102">
        <f t="shared" si="2"/>
        <v>528.5</v>
      </c>
      <c r="P9" s="102">
        <f t="shared" si="3"/>
        <v>133.19999999999999</v>
      </c>
      <c r="Q9" s="102">
        <f t="shared" si="4"/>
        <v>777.60000000000014</v>
      </c>
      <c r="R9" s="102"/>
      <c r="S9" s="102"/>
      <c r="T9" s="102"/>
      <c r="U9" s="102"/>
      <c r="V9" s="102"/>
      <c r="W9" s="102"/>
      <c r="X9" s="102"/>
      <c r="Y9" s="102"/>
      <c r="Z9" s="102"/>
      <c r="AA9" s="102"/>
      <c r="AB9" s="102"/>
      <c r="AC9" s="102"/>
      <c r="AD9" s="102"/>
      <c r="AE9" s="102"/>
      <c r="AF9" s="102"/>
      <c r="AG9" s="102"/>
    </row>
    <row r="10" spans="1:33">
      <c r="A10" s="102">
        <v>1963</v>
      </c>
      <c r="B10" s="102">
        <v>9</v>
      </c>
      <c r="C10" s="102">
        <v>5.5</v>
      </c>
      <c r="D10" s="102">
        <v>20.399999999999999</v>
      </c>
      <c r="E10" s="102">
        <v>34.5</v>
      </c>
      <c r="F10" s="102">
        <v>40.700000000000003</v>
      </c>
      <c r="G10" s="102">
        <v>143.9</v>
      </c>
      <c r="H10" s="102">
        <v>54.5</v>
      </c>
      <c r="I10" s="102">
        <v>71.5</v>
      </c>
      <c r="J10" s="102">
        <v>76.900000000000006</v>
      </c>
      <c r="K10" s="102">
        <v>107.8</v>
      </c>
      <c r="L10" s="102">
        <v>118</v>
      </c>
      <c r="M10" s="102">
        <v>24.7</v>
      </c>
      <c r="N10" s="102">
        <f t="shared" si="1"/>
        <v>69.400000000000006</v>
      </c>
      <c r="O10" s="102">
        <f t="shared" si="2"/>
        <v>387.5</v>
      </c>
      <c r="P10" s="102">
        <f t="shared" si="3"/>
        <v>250.5</v>
      </c>
      <c r="Q10" s="102">
        <f t="shared" si="4"/>
        <v>707.4</v>
      </c>
      <c r="R10" s="102"/>
      <c r="S10" s="102"/>
      <c r="T10" s="102"/>
      <c r="U10" s="102"/>
      <c r="V10" s="102"/>
      <c r="W10" s="102"/>
      <c r="X10" s="102"/>
      <c r="Y10" s="102"/>
      <c r="Z10" s="102"/>
      <c r="AA10" s="102"/>
      <c r="AB10" s="102"/>
      <c r="AC10" s="102"/>
      <c r="AD10" s="102"/>
      <c r="AE10" s="102"/>
      <c r="AF10" s="102"/>
      <c r="AG10" s="102"/>
    </row>
    <row r="11" spans="1:33">
      <c r="A11" s="102">
        <v>1964</v>
      </c>
      <c r="B11" s="102">
        <v>11.3</v>
      </c>
      <c r="C11" s="102">
        <v>10.6</v>
      </c>
      <c r="D11" s="102">
        <v>45.3</v>
      </c>
      <c r="E11" s="102">
        <v>40.799999999999997</v>
      </c>
      <c r="F11" s="102">
        <v>62.3</v>
      </c>
      <c r="G11" s="102">
        <v>170.5</v>
      </c>
      <c r="H11" s="102">
        <v>61.5</v>
      </c>
      <c r="I11" s="102">
        <v>172.1</v>
      </c>
      <c r="J11" s="102">
        <v>57.2</v>
      </c>
      <c r="K11" s="102">
        <v>69.2</v>
      </c>
      <c r="L11" s="102">
        <v>20.5</v>
      </c>
      <c r="M11" s="102">
        <v>29.5</v>
      </c>
      <c r="N11" s="102">
        <f t="shared" si="1"/>
        <v>107.99999999999999</v>
      </c>
      <c r="O11" s="102">
        <f t="shared" si="2"/>
        <v>523.6</v>
      </c>
      <c r="P11" s="102">
        <f t="shared" si="3"/>
        <v>119.2</v>
      </c>
      <c r="Q11" s="102">
        <f t="shared" si="4"/>
        <v>750.80000000000007</v>
      </c>
      <c r="R11" s="102"/>
      <c r="S11" s="102"/>
      <c r="T11" s="102"/>
      <c r="U11" s="102"/>
      <c r="V11" s="102"/>
      <c r="W11" s="102"/>
      <c r="X11" s="102"/>
      <c r="Y11" s="102"/>
      <c r="Z11" s="102"/>
      <c r="AA11" s="102"/>
      <c r="AB11" s="102"/>
      <c r="AC11" s="102"/>
      <c r="AD11" s="102"/>
      <c r="AE11" s="102"/>
      <c r="AF11" s="102"/>
      <c r="AG11" s="102"/>
    </row>
    <row r="12" spans="1:33">
      <c r="A12" s="102">
        <v>1965</v>
      </c>
      <c r="B12" s="102">
        <v>8.1</v>
      </c>
      <c r="C12" s="102">
        <v>17.3</v>
      </c>
      <c r="D12" s="102">
        <v>39.5</v>
      </c>
      <c r="E12" s="102">
        <v>36.5</v>
      </c>
      <c r="F12" s="102">
        <v>54.2</v>
      </c>
      <c r="G12" s="102">
        <v>227.4</v>
      </c>
      <c r="H12" s="102">
        <v>105.2</v>
      </c>
      <c r="I12" s="102">
        <v>62.8</v>
      </c>
      <c r="J12" s="102">
        <v>62.8</v>
      </c>
      <c r="K12" s="102">
        <v>79.2</v>
      </c>
      <c r="L12" s="102">
        <v>21.2</v>
      </c>
      <c r="M12" s="102">
        <v>24.2</v>
      </c>
      <c r="N12" s="102">
        <f t="shared" si="1"/>
        <v>101.4</v>
      </c>
      <c r="O12" s="102">
        <f t="shared" si="2"/>
        <v>512.4</v>
      </c>
      <c r="P12" s="102">
        <f t="shared" si="3"/>
        <v>124.60000000000001</v>
      </c>
      <c r="Q12" s="102">
        <f t="shared" si="4"/>
        <v>738.40000000000009</v>
      </c>
      <c r="R12" s="102"/>
      <c r="S12" s="102"/>
      <c r="T12" s="102"/>
      <c r="U12" s="102"/>
      <c r="V12" s="102"/>
      <c r="W12" s="102"/>
      <c r="X12" s="102"/>
      <c r="Y12" s="102"/>
      <c r="Z12" s="102"/>
      <c r="AA12" s="102"/>
      <c r="AB12" s="102"/>
      <c r="AC12" s="102"/>
      <c r="AD12" s="102"/>
      <c r="AE12" s="102"/>
      <c r="AF12" s="102"/>
      <c r="AG12" s="102"/>
    </row>
    <row r="13" spans="1:33">
      <c r="A13" s="102">
        <v>1966</v>
      </c>
      <c r="B13" s="102">
        <v>16.7</v>
      </c>
      <c r="C13" s="102">
        <v>3.9</v>
      </c>
      <c r="D13" s="102">
        <v>33.299999999999997</v>
      </c>
      <c r="E13" s="102">
        <v>25.5</v>
      </c>
      <c r="F13" s="102">
        <v>83.5</v>
      </c>
      <c r="G13" s="102">
        <v>222.8</v>
      </c>
      <c r="H13" s="102">
        <v>38.9</v>
      </c>
      <c r="I13" s="102">
        <v>56.4</v>
      </c>
      <c r="J13" s="102">
        <v>61.9</v>
      </c>
      <c r="K13" s="102">
        <v>71.7</v>
      </c>
      <c r="L13" s="102">
        <v>10.5</v>
      </c>
      <c r="M13" s="102">
        <v>13.5</v>
      </c>
      <c r="N13" s="102">
        <f t="shared" si="1"/>
        <v>79.399999999999991</v>
      </c>
      <c r="O13" s="102">
        <f t="shared" si="2"/>
        <v>463.49999999999994</v>
      </c>
      <c r="P13" s="102">
        <f t="shared" si="3"/>
        <v>95.7</v>
      </c>
      <c r="Q13" s="102">
        <f t="shared" si="4"/>
        <v>638.6</v>
      </c>
      <c r="R13" s="102"/>
      <c r="S13" s="102"/>
      <c r="T13" s="102"/>
      <c r="U13" s="102"/>
      <c r="V13" s="102"/>
      <c r="W13" s="102"/>
      <c r="X13" s="102"/>
      <c r="Y13" s="102"/>
      <c r="Z13" s="102"/>
      <c r="AA13" s="102"/>
      <c r="AB13" s="102"/>
      <c r="AC13" s="102"/>
      <c r="AD13" s="102"/>
      <c r="AE13" s="102"/>
      <c r="AF13" s="102"/>
      <c r="AG13" s="102"/>
    </row>
    <row r="14" spans="1:33">
      <c r="A14" s="102">
        <v>1967</v>
      </c>
      <c r="B14" s="102">
        <v>24.1</v>
      </c>
      <c r="C14" s="102">
        <v>7.5</v>
      </c>
      <c r="D14" s="102">
        <v>31.2</v>
      </c>
      <c r="E14" s="102">
        <v>38.799999999999997</v>
      </c>
      <c r="F14" s="102">
        <v>143.30000000000001</v>
      </c>
      <c r="G14" s="102">
        <v>195.8</v>
      </c>
      <c r="H14" s="102">
        <v>29.8</v>
      </c>
      <c r="I14" s="102">
        <v>18.7</v>
      </c>
      <c r="J14" s="102">
        <v>86.5</v>
      </c>
      <c r="K14" s="102">
        <v>56.3</v>
      </c>
      <c r="L14" s="102">
        <v>72</v>
      </c>
      <c r="M14" s="102">
        <v>18.2</v>
      </c>
      <c r="N14" s="102">
        <f t="shared" si="1"/>
        <v>101.6</v>
      </c>
      <c r="O14" s="102">
        <f t="shared" si="2"/>
        <v>474.1</v>
      </c>
      <c r="P14" s="102">
        <f t="shared" si="3"/>
        <v>146.5</v>
      </c>
      <c r="Q14" s="102">
        <f t="shared" si="4"/>
        <v>722.2</v>
      </c>
      <c r="R14" s="102"/>
      <c r="S14" s="102"/>
      <c r="T14" s="102"/>
      <c r="U14" s="102"/>
      <c r="V14" s="102"/>
      <c r="W14" s="102"/>
      <c r="X14" s="102"/>
      <c r="Y14" s="102"/>
      <c r="Z14" s="102"/>
      <c r="AA14" s="102"/>
      <c r="AB14" s="102"/>
      <c r="AC14" s="102"/>
      <c r="AD14" s="102"/>
      <c r="AE14" s="102"/>
      <c r="AF14" s="102"/>
      <c r="AG14" s="102"/>
    </row>
    <row r="15" spans="1:33">
      <c r="A15" s="102">
        <v>1968</v>
      </c>
      <c r="B15" s="102">
        <v>10.5</v>
      </c>
      <c r="C15" s="102">
        <v>19.5</v>
      </c>
      <c r="D15" s="102">
        <v>16.2</v>
      </c>
      <c r="E15" s="102">
        <v>103.1</v>
      </c>
      <c r="F15" s="102">
        <v>128.19999999999999</v>
      </c>
      <c r="G15" s="102">
        <v>149</v>
      </c>
      <c r="H15" s="102">
        <v>135.30000000000001</v>
      </c>
      <c r="I15" s="102">
        <v>88.9</v>
      </c>
      <c r="J15" s="102">
        <v>89.4</v>
      </c>
      <c r="K15" s="102">
        <v>67.599999999999994</v>
      </c>
      <c r="L15" s="102">
        <v>29.9</v>
      </c>
      <c r="M15" s="102">
        <v>8</v>
      </c>
      <c r="N15" s="102">
        <f t="shared" si="1"/>
        <v>149.30000000000001</v>
      </c>
      <c r="O15" s="102">
        <f t="shared" si="2"/>
        <v>590.79999999999995</v>
      </c>
      <c r="P15" s="102">
        <f t="shared" si="3"/>
        <v>105.5</v>
      </c>
      <c r="Q15" s="102">
        <f t="shared" si="4"/>
        <v>845.59999999999991</v>
      </c>
      <c r="R15" s="102"/>
      <c r="S15" s="102"/>
      <c r="T15" s="102"/>
      <c r="U15" s="102"/>
      <c r="V15" s="102"/>
      <c r="W15" s="102"/>
      <c r="X15" s="102"/>
      <c r="Y15" s="102"/>
      <c r="Z15" s="102"/>
      <c r="AA15" s="102"/>
      <c r="AB15" s="102"/>
      <c r="AC15" s="102"/>
      <c r="AD15" s="102"/>
      <c r="AE15" s="102"/>
      <c r="AF15" s="102"/>
      <c r="AG15" s="102"/>
    </row>
    <row r="16" spans="1:33">
      <c r="A16" s="102">
        <v>1969</v>
      </c>
      <c r="B16" s="102">
        <v>17.399999999999999</v>
      </c>
      <c r="C16" s="102">
        <v>5.9</v>
      </c>
      <c r="D16" s="102">
        <v>40</v>
      </c>
      <c r="E16" s="102">
        <v>58.5</v>
      </c>
      <c r="F16" s="102">
        <v>132.80000000000001</v>
      </c>
      <c r="G16" s="102">
        <v>346.4</v>
      </c>
      <c r="H16" s="102">
        <v>235.2</v>
      </c>
      <c r="I16" s="102">
        <v>219.4</v>
      </c>
      <c r="J16" s="102">
        <v>57.8</v>
      </c>
      <c r="K16" s="102">
        <v>79.900000000000006</v>
      </c>
      <c r="L16" s="102">
        <v>67.599999999999994</v>
      </c>
      <c r="M16" s="102">
        <v>8.1999999999999993</v>
      </c>
      <c r="N16" s="102">
        <f t="shared" si="1"/>
        <v>121.8</v>
      </c>
      <c r="O16" s="102">
        <f t="shared" si="2"/>
        <v>991.59999999999991</v>
      </c>
      <c r="P16" s="102">
        <f t="shared" si="3"/>
        <v>155.69999999999999</v>
      </c>
      <c r="Q16" s="102">
        <f t="shared" si="4"/>
        <v>1269.1000000000001</v>
      </c>
      <c r="R16" s="102"/>
      <c r="S16" s="102"/>
      <c r="T16" s="102"/>
      <c r="U16" s="102"/>
      <c r="V16" s="102"/>
      <c r="W16" s="102"/>
      <c r="X16" s="102"/>
      <c r="Y16" s="102"/>
      <c r="Z16" s="102"/>
      <c r="AA16" s="102"/>
      <c r="AB16" s="102"/>
      <c r="AC16" s="102"/>
      <c r="AD16" s="102"/>
      <c r="AE16" s="102"/>
      <c r="AF16" s="102"/>
      <c r="AG16" s="102"/>
    </row>
    <row r="17" spans="1:33">
      <c r="A17" s="102">
        <v>1970</v>
      </c>
      <c r="B17" s="102">
        <v>23.1</v>
      </c>
      <c r="C17" s="102">
        <v>19.600000000000001</v>
      </c>
      <c r="D17" s="102">
        <v>31.1</v>
      </c>
      <c r="E17" s="102">
        <v>95.2</v>
      </c>
      <c r="F17" s="102">
        <v>167.4</v>
      </c>
      <c r="G17" s="102">
        <v>72.8</v>
      </c>
      <c r="H17" s="102">
        <v>189.1</v>
      </c>
      <c r="I17" s="102">
        <v>44.8</v>
      </c>
      <c r="J17" s="102">
        <v>204.1</v>
      </c>
      <c r="K17" s="102">
        <v>65</v>
      </c>
      <c r="L17" s="102">
        <v>46</v>
      </c>
      <c r="M17" s="102">
        <v>51.4</v>
      </c>
      <c r="N17" s="102">
        <f t="shared" si="1"/>
        <v>169</v>
      </c>
      <c r="O17" s="102">
        <f t="shared" si="2"/>
        <v>678.19999999999993</v>
      </c>
      <c r="P17" s="102">
        <f t="shared" si="3"/>
        <v>162.4</v>
      </c>
      <c r="Q17" s="102">
        <f t="shared" si="4"/>
        <v>1009.5999999999999</v>
      </c>
      <c r="R17" s="102"/>
      <c r="S17" s="102"/>
      <c r="T17" s="102"/>
      <c r="U17" s="102"/>
      <c r="V17" s="102"/>
      <c r="W17" s="102"/>
      <c r="X17" s="102"/>
      <c r="Y17" s="102"/>
      <c r="Z17" s="102"/>
      <c r="AA17" s="102"/>
      <c r="AB17" s="102"/>
      <c r="AC17" s="102"/>
      <c r="AD17" s="102"/>
      <c r="AE17" s="102"/>
      <c r="AF17" s="102"/>
      <c r="AG17" s="102"/>
    </row>
    <row r="18" spans="1:33">
      <c r="A18" s="102">
        <v>1971</v>
      </c>
      <c r="B18" s="102">
        <v>17.3</v>
      </c>
      <c r="C18" s="102">
        <v>14.7</v>
      </c>
      <c r="D18" s="102">
        <v>25.1</v>
      </c>
      <c r="E18" s="102">
        <v>119.6</v>
      </c>
      <c r="F18" s="102">
        <v>183.1</v>
      </c>
      <c r="G18" s="102">
        <v>230.4</v>
      </c>
      <c r="H18" s="102">
        <v>124.2</v>
      </c>
      <c r="I18" s="102">
        <v>145.6</v>
      </c>
      <c r="J18" s="102">
        <v>185.9</v>
      </c>
      <c r="K18" s="102">
        <v>73.400000000000006</v>
      </c>
      <c r="L18" s="102">
        <v>34.4</v>
      </c>
      <c r="M18" s="102">
        <v>26.3</v>
      </c>
      <c r="N18" s="102">
        <f t="shared" si="1"/>
        <v>176.7</v>
      </c>
      <c r="O18" s="102">
        <f t="shared" si="2"/>
        <v>869.2</v>
      </c>
      <c r="P18" s="102">
        <f t="shared" si="3"/>
        <v>134.10000000000002</v>
      </c>
      <c r="Q18" s="102">
        <f t="shared" si="4"/>
        <v>1180.0000000000002</v>
      </c>
      <c r="R18" s="102"/>
      <c r="S18" s="102"/>
      <c r="T18" s="102"/>
      <c r="U18" s="102"/>
      <c r="V18" s="102"/>
      <c r="W18" s="102"/>
      <c r="X18" s="102"/>
      <c r="Y18" s="102"/>
      <c r="Z18" s="102"/>
      <c r="AA18" s="102"/>
      <c r="AB18" s="102"/>
      <c r="AC18" s="102"/>
      <c r="AD18" s="102"/>
      <c r="AE18" s="102"/>
      <c r="AF18" s="102"/>
      <c r="AG18" s="102"/>
    </row>
    <row r="19" spans="1:33">
      <c r="A19" s="102">
        <v>1972</v>
      </c>
      <c r="B19" s="102">
        <v>8.4</v>
      </c>
      <c r="C19" s="102">
        <v>16.3</v>
      </c>
      <c r="D19" s="102">
        <v>15.5</v>
      </c>
      <c r="E19" s="102">
        <v>63</v>
      </c>
      <c r="F19" s="102">
        <v>232.8</v>
      </c>
      <c r="G19" s="102">
        <v>155.1</v>
      </c>
      <c r="H19" s="102">
        <v>42.3</v>
      </c>
      <c r="I19" s="102">
        <v>41.8</v>
      </c>
      <c r="J19" s="102">
        <v>229</v>
      </c>
      <c r="K19" s="102">
        <v>96.4</v>
      </c>
      <c r="L19" s="102">
        <v>42.3</v>
      </c>
      <c r="M19" s="102">
        <v>19.3</v>
      </c>
      <c r="N19" s="102">
        <f t="shared" si="1"/>
        <v>103.2</v>
      </c>
      <c r="O19" s="102">
        <f t="shared" si="2"/>
        <v>701</v>
      </c>
      <c r="P19" s="102">
        <f t="shared" si="3"/>
        <v>158</v>
      </c>
      <c r="Q19" s="102">
        <f t="shared" si="4"/>
        <v>962.19999999999982</v>
      </c>
      <c r="R19" s="102"/>
      <c r="S19" s="102"/>
      <c r="T19" s="102"/>
      <c r="U19" s="102"/>
      <c r="V19" s="102"/>
      <c r="W19" s="102"/>
      <c r="X19" s="102"/>
      <c r="Y19" s="102"/>
      <c r="Z19" s="102"/>
      <c r="AA19" s="102"/>
      <c r="AB19" s="102"/>
      <c r="AC19" s="102"/>
      <c r="AD19" s="102"/>
      <c r="AE19" s="102"/>
      <c r="AF19" s="102"/>
      <c r="AG19" s="102"/>
    </row>
    <row r="20" spans="1:33">
      <c r="A20" s="102">
        <v>1973</v>
      </c>
      <c r="B20" s="102">
        <v>15.5</v>
      </c>
      <c r="C20" s="102">
        <v>12</v>
      </c>
      <c r="D20" s="102">
        <v>37.700000000000003</v>
      </c>
      <c r="E20" s="102">
        <v>70.3</v>
      </c>
      <c r="F20" s="102">
        <v>130.1</v>
      </c>
      <c r="G20" s="102">
        <v>323.60000000000002</v>
      </c>
      <c r="H20" s="102">
        <v>123</v>
      </c>
      <c r="I20" s="102">
        <v>74.900000000000006</v>
      </c>
      <c r="J20" s="102">
        <v>98.5</v>
      </c>
      <c r="K20" s="102">
        <v>65.400000000000006</v>
      </c>
      <c r="L20" s="102">
        <v>72.7</v>
      </c>
      <c r="M20" s="102">
        <v>10.6</v>
      </c>
      <c r="N20" s="102">
        <f t="shared" si="1"/>
        <v>135.5</v>
      </c>
      <c r="O20" s="102">
        <f t="shared" si="2"/>
        <v>750.1</v>
      </c>
      <c r="P20" s="102">
        <f t="shared" si="3"/>
        <v>148.70000000000002</v>
      </c>
      <c r="Q20" s="102">
        <f t="shared" si="4"/>
        <v>1034.3</v>
      </c>
      <c r="R20" s="102"/>
      <c r="S20" s="102"/>
      <c r="T20" s="102"/>
      <c r="U20" s="102"/>
      <c r="V20" s="102"/>
      <c r="W20" s="102"/>
      <c r="X20" s="102"/>
      <c r="Y20" s="102"/>
      <c r="Z20" s="102"/>
      <c r="AA20" s="102"/>
      <c r="AB20" s="102"/>
      <c r="AC20" s="102"/>
      <c r="AD20" s="102"/>
      <c r="AE20" s="102"/>
      <c r="AF20" s="102"/>
      <c r="AG20" s="102"/>
    </row>
    <row r="21" spans="1:33">
      <c r="A21" s="102">
        <v>1974</v>
      </c>
      <c r="B21" s="102">
        <v>23.9</v>
      </c>
      <c r="C21" s="102">
        <v>4.5</v>
      </c>
      <c r="D21" s="102">
        <v>54.3</v>
      </c>
      <c r="E21" s="102">
        <v>196.4</v>
      </c>
      <c r="F21" s="102">
        <v>111.2</v>
      </c>
      <c r="G21" s="102">
        <v>198.2</v>
      </c>
      <c r="H21" s="102">
        <v>52.7</v>
      </c>
      <c r="I21" s="102">
        <v>221.3</v>
      </c>
      <c r="J21" s="102">
        <v>110.1</v>
      </c>
      <c r="K21" s="102">
        <v>47.3</v>
      </c>
      <c r="L21" s="102">
        <v>16.100000000000001</v>
      </c>
      <c r="M21" s="102">
        <v>18.5</v>
      </c>
      <c r="N21" s="102">
        <f t="shared" si="1"/>
        <v>279.10000000000002</v>
      </c>
      <c r="O21" s="102">
        <f t="shared" si="2"/>
        <v>693.5</v>
      </c>
      <c r="P21" s="102">
        <f t="shared" si="3"/>
        <v>81.900000000000006</v>
      </c>
      <c r="Q21" s="102">
        <f t="shared" si="4"/>
        <v>1054.5</v>
      </c>
      <c r="R21" s="102"/>
      <c r="S21" s="102"/>
      <c r="T21" s="102"/>
      <c r="U21" s="102"/>
      <c r="V21" s="102"/>
      <c r="W21" s="102"/>
      <c r="X21" s="102"/>
      <c r="Y21" s="102"/>
      <c r="Z21" s="102"/>
      <c r="AA21" s="102"/>
      <c r="AB21" s="102"/>
      <c r="AC21" s="102"/>
      <c r="AD21" s="102"/>
      <c r="AE21" s="102"/>
      <c r="AF21" s="102"/>
      <c r="AG21" s="102"/>
    </row>
    <row r="22" spans="1:33">
      <c r="A22" s="102">
        <v>1975</v>
      </c>
      <c r="B22" s="102">
        <v>30.7</v>
      </c>
      <c r="C22" s="102">
        <v>14.1</v>
      </c>
      <c r="D22" s="102">
        <v>26.6</v>
      </c>
      <c r="E22" s="102">
        <v>193.2</v>
      </c>
      <c r="F22" s="102">
        <v>159.19999999999999</v>
      </c>
      <c r="G22" s="102">
        <v>118.6</v>
      </c>
      <c r="H22" s="102">
        <v>21.3</v>
      </c>
      <c r="I22" s="102">
        <v>156.4</v>
      </c>
      <c r="J22" s="102">
        <v>85.4</v>
      </c>
      <c r="K22" s="102">
        <v>63.4</v>
      </c>
      <c r="L22" s="102">
        <v>91.7</v>
      </c>
      <c r="M22" s="102">
        <v>5.5</v>
      </c>
      <c r="N22" s="102">
        <f t="shared" si="1"/>
        <v>264.60000000000002</v>
      </c>
      <c r="O22" s="102">
        <f t="shared" si="2"/>
        <v>540.9</v>
      </c>
      <c r="P22" s="102">
        <f t="shared" si="3"/>
        <v>160.6</v>
      </c>
      <c r="Q22" s="102">
        <f t="shared" si="4"/>
        <v>966.09999999999991</v>
      </c>
      <c r="R22" s="102"/>
      <c r="S22" s="102"/>
      <c r="T22" s="102"/>
      <c r="U22" s="102"/>
      <c r="V22" s="102"/>
      <c r="W22" s="102"/>
      <c r="X22" s="102"/>
      <c r="Y22" s="102"/>
      <c r="Z22" s="102"/>
      <c r="AA22" s="102"/>
      <c r="AB22" s="102"/>
      <c r="AC22" s="102"/>
      <c r="AD22" s="102"/>
      <c r="AE22" s="102"/>
      <c r="AF22" s="102"/>
      <c r="AG22" s="102"/>
    </row>
    <row r="23" spans="1:33">
      <c r="A23" s="102">
        <v>1976</v>
      </c>
      <c r="B23" s="102">
        <v>24.4</v>
      </c>
      <c r="C23" s="102">
        <v>11.2</v>
      </c>
      <c r="D23" s="102">
        <v>24.9</v>
      </c>
      <c r="E23" s="102">
        <v>130.4</v>
      </c>
      <c r="F23" s="102">
        <v>190.6</v>
      </c>
      <c r="G23" s="102">
        <v>290.3</v>
      </c>
      <c r="H23" s="102">
        <v>171</v>
      </c>
      <c r="I23" s="102">
        <v>88.1</v>
      </c>
      <c r="J23" s="102">
        <v>94.5</v>
      </c>
      <c r="K23" s="102">
        <v>135</v>
      </c>
      <c r="L23" s="102">
        <v>31</v>
      </c>
      <c r="M23" s="102">
        <v>22.2</v>
      </c>
      <c r="N23" s="102">
        <f t="shared" si="1"/>
        <v>190.9</v>
      </c>
      <c r="O23" s="102">
        <f t="shared" si="2"/>
        <v>834.5</v>
      </c>
      <c r="P23" s="102">
        <f t="shared" si="3"/>
        <v>188.2</v>
      </c>
      <c r="Q23" s="102">
        <f t="shared" si="4"/>
        <v>1213.6000000000001</v>
      </c>
      <c r="R23" s="102"/>
      <c r="S23" s="102"/>
      <c r="T23" s="102"/>
      <c r="U23" s="102"/>
      <c r="V23" s="102"/>
      <c r="W23" s="102"/>
      <c r="X23" s="102"/>
      <c r="Y23" s="102"/>
      <c r="Z23" s="102"/>
      <c r="AA23" s="102"/>
      <c r="AB23" s="102"/>
      <c r="AC23" s="102"/>
      <c r="AD23" s="102"/>
      <c r="AE23" s="102"/>
      <c r="AF23" s="102"/>
      <c r="AG23" s="102"/>
    </row>
    <row r="24" spans="1:33">
      <c r="A24" s="102">
        <v>1977</v>
      </c>
      <c r="B24" s="102">
        <v>14.9</v>
      </c>
      <c r="C24" s="102">
        <v>43.4</v>
      </c>
      <c r="D24" s="102">
        <v>71.8</v>
      </c>
      <c r="E24" s="102">
        <v>75.099999999999994</v>
      </c>
      <c r="F24" s="102">
        <v>180.2</v>
      </c>
      <c r="G24" s="102">
        <v>265.60000000000002</v>
      </c>
      <c r="H24" s="102">
        <v>151.69999999999999</v>
      </c>
      <c r="I24" s="102">
        <v>83.6</v>
      </c>
      <c r="J24" s="102">
        <v>92.2</v>
      </c>
      <c r="K24" s="102">
        <v>178.7</v>
      </c>
      <c r="L24" s="102">
        <v>39.1</v>
      </c>
      <c r="M24" s="102">
        <v>6.2</v>
      </c>
      <c r="N24" s="102">
        <f t="shared" si="1"/>
        <v>205.2</v>
      </c>
      <c r="O24" s="102">
        <f t="shared" si="2"/>
        <v>773.30000000000007</v>
      </c>
      <c r="P24" s="102">
        <f t="shared" si="3"/>
        <v>223.99999999999997</v>
      </c>
      <c r="Q24" s="102">
        <f t="shared" si="4"/>
        <v>1202.5</v>
      </c>
      <c r="R24" s="102"/>
      <c r="S24" s="102"/>
      <c r="T24" s="102"/>
      <c r="U24" s="102"/>
      <c r="V24" s="102"/>
      <c r="W24" s="102"/>
      <c r="X24" s="102"/>
      <c r="Y24" s="102"/>
      <c r="Z24" s="102"/>
      <c r="AA24" s="102"/>
      <c r="AB24" s="102"/>
      <c r="AC24" s="102"/>
      <c r="AD24" s="102"/>
      <c r="AE24" s="102"/>
      <c r="AF24" s="102"/>
      <c r="AG24" s="102"/>
    </row>
    <row r="25" spans="1:33">
      <c r="A25" s="102">
        <v>1978</v>
      </c>
      <c r="B25" s="102">
        <v>14.1</v>
      </c>
      <c r="C25" s="102">
        <v>3.2</v>
      </c>
      <c r="D25" s="102">
        <v>11.5</v>
      </c>
      <c r="E25" s="102">
        <v>82</v>
      </c>
      <c r="F25" s="102">
        <v>185.4</v>
      </c>
      <c r="G25" s="102">
        <v>202.6</v>
      </c>
      <c r="H25" s="102">
        <v>99.8</v>
      </c>
      <c r="I25" s="102">
        <v>99</v>
      </c>
      <c r="J25" s="102">
        <v>67.099999999999994</v>
      </c>
      <c r="K25" s="102">
        <v>129.5</v>
      </c>
      <c r="L25" s="102">
        <v>69.5</v>
      </c>
      <c r="M25" s="102">
        <v>6.1</v>
      </c>
      <c r="N25" s="102">
        <f t="shared" si="1"/>
        <v>110.8</v>
      </c>
      <c r="O25" s="102">
        <f t="shared" si="2"/>
        <v>653.9</v>
      </c>
      <c r="P25" s="102">
        <f t="shared" si="3"/>
        <v>205.1</v>
      </c>
      <c r="Q25" s="102">
        <f t="shared" si="4"/>
        <v>969.8</v>
      </c>
      <c r="R25" s="102"/>
      <c r="S25" s="102"/>
      <c r="T25" s="102"/>
      <c r="U25" s="102"/>
      <c r="V25" s="102"/>
      <c r="W25" s="102"/>
      <c r="X25" s="102"/>
      <c r="Y25" s="102"/>
      <c r="Z25" s="102"/>
      <c r="AA25" s="102"/>
      <c r="AB25" s="102"/>
      <c r="AC25" s="102"/>
      <c r="AD25" s="102"/>
      <c r="AE25" s="102"/>
      <c r="AF25" s="102"/>
      <c r="AG25" s="102"/>
    </row>
    <row r="26" spans="1:33">
      <c r="A26" s="102">
        <v>1979</v>
      </c>
      <c r="B26" s="102">
        <v>5.6</v>
      </c>
      <c r="C26" s="102">
        <v>2.2000000000000002</v>
      </c>
      <c r="D26" s="102">
        <v>35.700000000000003</v>
      </c>
      <c r="E26" s="102">
        <v>35.200000000000003</v>
      </c>
      <c r="F26" s="102">
        <v>81.900000000000006</v>
      </c>
      <c r="G26" s="102">
        <v>147.9</v>
      </c>
      <c r="H26" s="102">
        <v>187.2</v>
      </c>
      <c r="I26" s="102">
        <v>186.2</v>
      </c>
      <c r="J26" s="102">
        <v>122.1</v>
      </c>
      <c r="K26" s="102">
        <v>43.5</v>
      </c>
      <c r="L26" s="102">
        <v>15.1</v>
      </c>
      <c r="M26" s="102">
        <v>41.3</v>
      </c>
      <c r="N26" s="102">
        <f t="shared" si="1"/>
        <v>78.7</v>
      </c>
      <c r="O26" s="102">
        <f t="shared" si="2"/>
        <v>725.30000000000007</v>
      </c>
      <c r="P26" s="102">
        <f t="shared" si="3"/>
        <v>99.9</v>
      </c>
      <c r="Q26" s="102">
        <f t="shared" si="4"/>
        <v>903.9</v>
      </c>
      <c r="R26" s="102"/>
      <c r="S26" s="102"/>
      <c r="T26" s="102"/>
      <c r="U26" s="102"/>
      <c r="V26" s="102"/>
      <c r="W26" s="102"/>
      <c r="X26" s="102"/>
      <c r="Y26" s="102"/>
      <c r="Z26" s="102"/>
      <c r="AA26" s="102"/>
      <c r="AB26" s="102"/>
      <c r="AC26" s="102"/>
      <c r="AD26" s="102"/>
      <c r="AE26" s="102"/>
      <c r="AF26" s="102"/>
      <c r="AG26" s="102"/>
    </row>
    <row r="27" spans="1:33">
      <c r="A27" s="102">
        <v>1980</v>
      </c>
      <c r="B27" s="102">
        <v>17.2</v>
      </c>
      <c r="C27" s="102">
        <v>9</v>
      </c>
      <c r="D27" s="102">
        <v>41.9</v>
      </c>
      <c r="E27" s="102">
        <v>60.8</v>
      </c>
      <c r="F27" s="102">
        <v>131.80000000000001</v>
      </c>
      <c r="G27" s="102">
        <v>175</v>
      </c>
      <c r="H27" s="102">
        <v>112.3</v>
      </c>
      <c r="I27" s="102">
        <v>143.30000000000001</v>
      </c>
      <c r="J27" s="102">
        <v>73.8</v>
      </c>
      <c r="K27" s="102">
        <v>112.9</v>
      </c>
      <c r="L27" s="102">
        <v>44.1</v>
      </c>
      <c r="M27" s="102">
        <v>24.4</v>
      </c>
      <c r="N27" s="102">
        <f t="shared" si="1"/>
        <v>128.89999999999998</v>
      </c>
      <c r="O27" s="102">
        <f t="shared" si="2"/>
        <v>636.20000000000005</v>
      </c>
      <c r="P27" s="102">
        <f t="shared" si="3"/>
        <v>181.4</v>
      </c>
      <c r="Q27" s="102">
        <f t="shared" si="4"/>
        <v>946.49999999999989</v>
      </c>
      <c r="R27" s="102"/>
      <c r="S27" s="102"/>
      <c r="T27" s="102"/>
      <c r="U27" s="102"/>
      <c r="V27" s="102"/>
      <c r="W27" s="102"/>
      <c r="X27" s="102"/>
      <c r="Y27" s="102"/>
      <c r="Z27" s="102"/>
      <c r="AA27" s="102"/>
      <c r="AB27" s="102"/>
      <c r="AC27" s="102"/>
      <c r="AD27" s="102"/>
      <c r="AE27" s="102"/>
      <c r="AF27" s="102"/>
      <c r="AG27" s="102"/>
    </row>
    <row r="28" spans="1:33">
      <c r="A28" s="102">
        <v>1981</v>
      </c>
      <c r="B28" s="102">
        <v>22.9</v>
      </c>
      <c r="C28" s="102">
        <v>6.8</v>
      </c>
      <c r="D28" s="102">
        <v>17.100000000000001</v>
      </c>
      <c r="E28" s="102">
        <v>161.1</v>
      </c>
      <c r="F28" s="102">
        <v>123.8</v>
      </c>
      <c r="G28" s="102">
        <v>67.599999999999994</v>
      </c>
      <c r="H28" s="102">
        <v>79.400000000000006</v>
      </c>
      <c r="I28" s="102">
        <v>27.1</v>
      </c>
      <c r="J28" s="102">
        <v>72</v>
      </c>
      <c r="K28" s="102">
        <v>60</v>
      </c>
      <c r="L28" s="102">
        <v>29</v>
      </c>
      <c r="M28" s="102">
        <v>5.2</v>
      </c>
      <c r="N28" s="102">
        <f t="shared" si="1"/>
        <v>207.89999999999998</v>
      </c>
      <c r="O28" s="102">
        <f t="shared" si="2"/>
        <v>369.9</v>
      </c>
      <c r="P28" s="102">
        <f t="shared" si="3"/>
        <v>94.2</v>
      </c>
      <c r="Q28" s="102">
        <f t="shared" si="4"/>
        <v>672</v>
      </c>
      <c r="R28" s="102"/>
      <c r="S28" s="102"/>
      <c r="T28" s="102"/>
      <c r="U28" s="102"/>
      <c r="V28" s="102"/>
      <c r="W28" s="102"/>
      <c r="X28" s="102"/>
      <c r="Y28" s="102"/>
      <c r="Z28" s="102"/>
      <c r="AA28" s="102"/>
      <c r="AB28" s="102"/>
      <c r="AC28" s="102"/>
      <c r="AD28" s="102"/>
      <c r="AE28" s="102"/>
      <c r="AF28" s="102"/>
      <c r="AG28" s="102"/>
    </row>
    <row r="29" spans="1:33">
      <c r="A29" s="102">
        <v>1982</v>
      </c>
      <c r="B29" s="102">
        <v>14.8</v>
      </c>
      <c r="C29" s="102">
        <v>34.799999999999997</v>
      </c>
      <c r="D29" s="102">
        <v>7.3</v>
      </c>
      <c r="E29" s="102">
        <v>133.1</v>
      </c>
      <c r="F29" s="102">
        <v>124.2</v>
      </c>
      <c r="G29" s="102">
        <v>166.6</v>
      </c>
      <c r="H29" s="102">
        <v>193.9</v>
      </c>
      <c r="I29" s="102">
        <v>121.6</v>
      </c>
      <c r="J29" s="102">
        <v>132.69999999999999</v>
      </c>
      <c r="K29" s="102">
        <v>32.799999999999997</v>
      </c>
      <c r="L29" s="102">
        <v>65.8</v>
      </c>
      <c r="M29" s="102">
        <v>18.899999999999999</v>
      </c>
      <c r="N29" s="102">
        <f t="shared" si="1"/>
        <v>190</v>
      </c>
      <c r="O29" s="102">
        <f t="shared" si="2"/>
        <v>739</v>
      </c>
      <c r="P29" s="102">
        <f t="shared" si="3"/>
        <v>117.5</v>
      </c>
      <c r="Q29" s="102">
        <f t="shared" si="4"/>
        <v>1046.5</v>
      </c>
      <c r="R29" s="102"/>
      <c r="S29" s="102"/>
      <c r="T29" s="102"/>
      <c r="U29" s="102"/>
      <c r="V29" s="102"/>
      <c r="W29" s="102"/>
      <c r="X29" s="102"/>
      <c r="Y29" s="102"/>
      <c r="Z29" s="102"/>
      <c r="AA29" s="102"/>
      <c r="AB29" s="102"/>
      <c r="AC29" s="102"/>
      <c r="AD29" s="102"/>
      <c r="AE29" s="102"/>
      <c r="AF29" s="102"/>
      <c r="AG29" s="102"/>
    </row>
    <row r="30" spans="1:33">
      <c r="A30" s="102">
        <v>1983</v>
      </c>
      <c r="B30" s="102">
        <v>34.4</v>
      </c>
      <c r="C30" s="102">
        <v>26.2</v>
      </c>
      <c r="D30" s="102">
        <v>39.5</v>
      </c>
      <c r="E30" s="102">
        <v>101.1</v>
      </c>
      <c r="F30" s="102">
        <v>120.6</v>
      </c>
      <c r="G30" s="102">
        <v>146.9</v>
      </c>
      <c r="H30" s="102">
        <v>163.4</v>
      </c>
      <c r="I30" s="102">
        <v>115.1</v>
      </c>
      <c r="J30" s="102">
        <v>71.2</v>
      </c>
      <c r="K30" s="102">
        <v>83.7</v>
      </c>
      <c r="L30" s="102">
        <v>49.8</v>
      </c>
      <c r="M30" s="102">
        <v>20.7</v>
      </c>
      <c r="N30" s="102">
        <f t="shared" si="1"/>
        <v>201.2</v>
      </c>
      <c r="O30" s="102">
        <f t="shared" si="2"/>
        <v>617.20000000000005</v>
      </c>
      <c r="P30" s="102">
        <f t="shared" si="3"/>
        <v>154.19999999999999</v>
      </c>
      <c r="Q30" s="102">
        <f t="shared" si="4"/>
        <v>972.6</v>
      </c>
      <c r="R30" s="102"/>
      <c r="S30" s="102"/>
      <c r="T30" s="102"/>
      <c r="U30" s="102"/>
      <c r="V30" s="102"/>
      <c r="W30" s="102"/>
      <c r="X30" s="102"/>
      <c r="Y30" s="102"/>
      <c r="Z30" s="102"/>
      <c r="AA30" s="102"/>
      <c r="AB30" s="102"/>
      <c r="AC30" s="102"/>
      <c r="AD30" s="102"/>
      <c r="AE30" s="102"/>
      <c r="AF30" s="102"/>
      <c r="AG30" s="102"/>
    </row>
    <row r="31" spans="1:33">
      <c r="A31" s="102">
        <v>1984</v>
      </c>
      <c r="B31" s="102">
        <v>8</v>
      </c>
      <c r="C31" s="102">
        <v>17.5</v>
      </c>
      <c r="D31" s="102">
        <v>21.4</v>
      </c>
      <c r="E31" s="102">
        <v>74.7</v>
      </c>
      <c r="F31" s="102">
        <v>212</v>
      </c>
      <c r="G31" s="102">
        <v>245.4</v>
      </c>
      <c r="H31" s="102">
        <v>170.5</v>
      </c>
      <c r="I31" s="102">
        <v>214.4</v>
      </c>
      <c r="J31" s="102">
        <v>122</v>
      </c>
      <c r="K31" s="102">
        <v>74.099999999999994</v>
      </c>
      <c r="L31" s="102">
        <v>8</v>
      </c>
      <c r="M31" s="102">
        <v>21.4</v>
      </c>
      <c r="N31" s="102">
        <f t="shared" si="1"/>
        <v>121.6</v>
      </c>
      <c r="O31" s="102">
        <f t="shared" si="2"/>
        <v>964.3</v>
      </c>
      <c r="P31" s="102">
        <f t="shared" si="3"/>
        <v>103.5</v>
      </c>
      <c r="Q31" s="102">
        <f t="shared" si="4"/>
        <v>1189.4000000000001</v>
      </c>
      <c r="R31" s="102"/>
      <c r="S31" s="102"/>
      <c r="T31" s="102"/>
      <c r="U31" s="102"/>
      <c r="V31" s="102"/>
      <c r="W31" s="102"/>
      <c r="X31" s="102"/>
      <c r="Y31" s="102"/>
      <c r="Z31" s="102"/>
      <c r="AA31" s="102"/>
      <c r="AB31" s="102"/>
      <c r="AC31" s="102"/>
      <c r="AD31" s="102"/>
      <c r="AE31" s="102"/>
      <c r="AF31" s="102"/>
      <c r="AG31" s="102"/>
    </row>
    <row r="32" spans="1:33">
      <c r="A32" s="102">
        <v>1985</v>
      </c>
      <c r="B32" s="102">
        <v>6</v>
      </c>
      <c r="C32" s="102">
        <v>12.3</v>
      </c>
      <c r="D32" s="102">
        <v>43.7</v>
      </c>
      <c r="E32" s="102">
        <v>139</v>
      </c>
      <c r="F32" s="102">
        <v>90.1</v>
      </c>
      <c r="G32" s="102">
        <v>158.5</v>
      </c>
      <c r="H32" s="102">
        <v>65.2</v>
      </c>
      <c r="I32" s="102">
        <v>151.69999999999999</v>
      </c>
      <c r="J32" s="102">
        <v>44.8</v>
      </c>
      <c r="K32" s="102">
        <v>36.6</v>
      </c>
      <c r="L32" s="102">
        <v>40.200000000000003</v>
      </c>
      <c r="M32" s="102">
        <v>17.899999999999999</v>
      </c>
      <c r="N32" s="102">
        <f t="shared" si="1"/>
        <v>201</v>
      </c>
      <c r="O32" s="102">
        <f t="shared" si="2"/>
        <v>510.3</v>
      </c>
      <c r="P32" s="102">
        <f t="shared" si="3"/>
        <v>94.700000000000017</v>
      </c>
      <c r="Q32" s="102">
        <f t="shared" si="4"/>
        <v>806</v>
      </c>
      <c r="R32" s="102"/>
      <c r="S32" s="102"/>
      <c r="T32" s="102"/>
      <c r="U32" s="102"/>
      <c r="V32" s="102"/>
      <c r="W32" s="102"/>
      <c r="X32" s="102"/>
      <c r="Y32" s="102"/>
      <c r="Z32" s="102"/>
      <c r="AA32" s="102"/>
      <c r="AB32" s="102"/>
      <c r="AC32" s="102"/>
      <c r="AD32" s="102"/>
      <c r="AE32" s="102"/>
      <c r="AF32" s="102"/>
      <c r="AG32" s="102"/>
    </row>
    <row r="33" spans="1:33">
      <c r="A33" s="102">
        <v>1986</v>
      </c>
      <c r="B33" s="102">
        <v>11.3</v>
      </c>
      <c r="C33" s="102">
        <v>14.7</v>
      </c>
      <c r="D33" s="102">
        <v>24.3</v>
      </c>
      <c r="E33" s="102">
        <v>46.2</v>
      </c>
      <c r="F33" s="102">
        <v>92.1</v>
      </c>
      <c r="G33" s="102">
        <v>188.1</v>
      </c>
      <c r="H33" s="102">
        <v>189.8</v>
      </c>
      <c r="I33" s="102">
        <v>100.4</v>
      </c>
      <c r="J33" s="102">
        <v>50.7</v>
      </c>
      <c r="K33" s="102">
        <v>45.4</v>
      </c>
      <c r="L33" s="102">
        <v>37.700000000000003</v>
      </c>
      <c r="M33" s="102">
        <v>2.7</v>
      </c>
      <c r="N33" s="102">
        <f t="shared" si="1"/>
        <v>96.5</v>
      </c>
      <c r="O33" s="102">
        <f t="shared" si="2"/>
        <v>621.1</v>
      </c>
      <c r="P33" s="102">
        <f t="shared" si="3"/>
        <v>85.8</v>
      </c>
      <c r="Q33" s="102">
        <f t="shared" si="4"/>
        <v>803.40000000000009</v>
      </c>
      <c r="R33" s="102"/>
      <c r="S33" s="102"/>
      <c r="T33" s="102"/>
      <c r="U33" s="102"/>
      <c r="V33" s="102"/>
      <c r="W33" s="102"/>
      <c r="X33" s="102"/>
      <c r="Y33" s="102"/>
      <c r="Z33" s="102"/>
      <c r="AA33" s="102"/>
      <c r="AB33" s="102"/>
      <c r="AC33" s="102"/>
      <c r="AD33" s="102"/>
      <c r="AE33" s="102"/>
      <c r="AF33" s="102"/>
      <c r="AG33" s="102"/>
    </row>
    <row r="34" spans="1:33">
      <c r="A34" s="102">
        <v>1987</v>
      </c>
      <c r="B34" s="102">
        <v>30</v>
      </c>
      <c r="C34" s="102">
        <v>14.7</v>
      </c>
      <c r="D34" s="102">
        <v>29</v>
      </c>
      <c r="E34" s="102">
        <v>72</v>
      </c>
      <c r="F34" s="102">
        <v>145.30000000000001</v>
      </c>
      <c r="G34" s="102">
        <v>141.5</v>
      </c>
      <c r="H34" s="102">
        <v>124.3</v>
      </c>
      <c r="I34" s="102">
        <v>201.8</v>
      </c>
      <c r="J34" s="102">
        <v>81.900000000000006</v>
      </c>
      <c r="K34" s="102">
        <v>63.7</v>
      </c>
      <c r="L34" s="102">
        <v>42.8</v>
      </c>
      <c r="M34" s="102">
        <v>4.9000000000000004</v>
      </c>
      <c r="N34" s="102">
        <f t="shared" si="1"/>
        <v>145.69999999999999</v>
      </c>
      <c r="O34" s="102">
        <f t="shared" si="2"/>
        <v>694.80000000000007</v>
      </c>
      <c r="P34" s="102">
        <f t="shared" si="3"/>
        <v>111.4</v>
      </c>
      <c r="Q34" s="102">
        <f t="shared" si="4"/>
        <v>951.89999999999986</v>
      </c>
      <c r="R34" s="102"/>
      <c r="S34" s="102"/>
      <c r="T34" s="102"/>
      <c r="U34" s="102"/>
      <c r="V34" s="102"/>
      <c r="W34" s="102"/>
      <c r="X34" s="102"/>
      <c r="Y34" s="102"/>
      <c r="Z34" s="102"/>
      <c r="AA34" s="102"/>
      <c r="AB34" s="102"/>
      <c r="AC34" s="102"/>
      <c r="AD34" s="102"/>
      <c r="AE34" s="102"/>
      <c r="AF34" s="102"/>
      <c r="AG34" s="102"/>
    </row>
    <row r="35" spans="1:33">
      <c r="A35" s="102">
        <v>1988</v>
      </c>
      <c r="B35" s="102">
        <v>16.899999999999999</v>
      </c>
      <c r="C35" s="102">
        <v>11.6</v>
      </c>
      <c r="D35" s="102">
        <v>7.4</v>
      </c>
      <c r="E35" s="102">
        <v>58.8</v>
      </c>
      <c r="F35" s="102">
        <v>95.2</v>
      </c>
      <c r="G35" s="102">
        <v>218.9</v>
      </c>
      <c r="H35" s="102">
        <v>95.8</v>
      </c>
      <c r="I35" s="102">
        <v>172</v>
      </c>
      <c r="J35" s="102">
        <v>97.8</v>
      </c>
      <c r="K35" s="102">
        <v>57.3</v>
      </c>
      <c r="L35" s="102">
        <v>8.1</v>
      </c>
      <c r="M35" s="102">
        <v>11.8</v>
      </c>
      <c r="N35" s="102">
        <f t="shared" si="1"/>
        <v>94.699999999999989</v>
      </c>
      <c r="O35" s="102">
        <f t="shared" si="2"/>
        <v>679.7</v>
      </c>
      <c r="P35" s="102">
        <f t="shared" si="3"/>
        <v>77.199999999999989</v>
      </c>
      <c r="Q35" s="102">
        <f t="shared" si="4"/>
        <v>851.5999999999998</v>
      </c>
      <c r="R35" s="102"/>
      <c r="S35" s="102"/>
      <c r="T35" s="102"/>
      <c r="U35" s="102"/>
      <c r="V35" s="102"/>
      <c r="W35" s="102"/>
      <c r="X35" s="102"/>
      <c r="Y35" s="102"/>
      <c r="Z35" s="102"/>
      <c r="AA35" s="102"/>
      <c r="AB35" s="102"/>
      <c r="AC35" s="102"/>
      <c r="AD35" s="102"/>
      <c r="AE35" s="102"/>
      <c r="AF35" s="102"/>
      <c r="AG35" s="102"/>
    </row>
    <row r="36" spans="1:33">
      <c r="A36" s="102">
        <v>1989</v>
      </c>
      <c r="B36" s="102">
        <v>12.8</v>
      </c>
      <c r="C36" s="102">
        <v>29.3</v>
      </c>
      <c r="D36" s="102">
        <v>35.200000000000003</v>
      </c>
      <c r="E36" s="102">
        <v>90.2</v>
      </c>
      <c r="F36" s="102">
        <v>63.1</v>
      </c>
      <c r="G36" s="102">
        <v>253.3</v>
      </c>
      <c r="H36" s="102">
        <v>118.7</v>
      </c>
      <c r="I36" s="102">
        <v>61.6</v>
      </c>
      <c r="J36" s="102">
        <v>84.5</v>
      </c>
      <c r="K36" s="102">
        <v>55.6</v>
      </c>
      <c r="L36" s="102">
        <v>21.6</v>
      </c>
      <c r="M36" s="102">
        <v>24.8</v>
      </c>
      <c r="N36" s="102">
        <f t="shared" si="1"/>
        <v>167.5</v>
      </c>
      <c r="O36" s="102">
        <f t="shared" si="2"/>
        <v>581.20000000000005</v>
      </c>
      <c r="P36" s="102">
        <f t="shared" si="3"/>
        <v>102</v>
      </c>
      <c r="Q36" s="102">
        <f t="shared" si="4"/>
        <v>850.7</v>
      </c>
      <c r="R36" s="102"/>
      <c r="S36" s="102"/>
      <c r="T36" s="102"/>
      <c r="U36" s="102"/>
      <c r="V36" s="102"/>
      <c r="W36" s="102"/>
      <c r="X36" s="102"/>
      <c r="Y36" s="102"/>
      <c r="Z36" s="102"/>
      <c r="AA36" s="102"/>
      <c r="AB36" s="102"/>
      <c r="AC36" s="102"/>
      <c r="AD36" s="102"/>
      <c r="AE36" s="102"/>
      <c r="AF36" s="102"/>
      <c r="AG36" s="102"/>
    </row>
    <row r="37" spans="1:33">
      <c r="A37" s="102">
        <v>1990</v>
      </c>
      <c r="B37" s="102">
        <v>16.7</v>
      </c>
      <c r="C37" s="102">
        <v>10.8</v>
      </c>
      <c r="D37" s="102">
        <v>97.5</v>
      </c>
      <c r="E37" s="102">
        <v>56.4</v>
      </c>
      <c r="F37" s="102">
        <v>116.9</v>
      </c>
      <c r="G37" s="102">
        <v>141.4</v>
      </c>
      <c r="H37" s="102">
        <v>23.9</v>
      </c>
      <c r="I37" s="102">
        <v>28</v>
      </c>
      <c r="J37" s="102">
        <v>47.7</v>
      </c>
      <c r="K37" s="102">
        <v>90.5</v>
      </c>
      <c r="L37" s="102">
        <v>36.4</v>
      </c>
      <c r="M37" s="102">
        <v>7.3</v>
      </c>
      <c r="N37" s="102">
        <f t="shared" si="1"/>
        <v>181.4</v>
      </c>
      <c r="O37" s="102">
        <f t="shared" si="2"/>
        <v>357.9</v>
      </c>
      <c r="P37" s="102">
        <f t="shared" si="3"/>
        <v>134.20000000000002</v>
      </c>
      <c r="Q37" s="102">
        <f t="shared" si="4"/>
        <v>673.5</v>
      </c>
      <c r="R37" s="102"/>
      <c r="S37" s="102"/>
      <c r="T37" s="102"/>
      <c r="U37" s="102"/>
      <c r="V37" s="102"/>
      <c r="W37" s="102"/>
      <c r="X37" s="102"/>
      <c r="Y37" s="102"/>
      <c r="Z37" s="102"/>
      <c r="AA37" s="102"/>
      <c r="AB37" s="102"/>
      <c r="AC37" s="102"/>
      <c r="AD37" s="102"/>
      <c r="AE37" s="102"/>
      <c r="AF37" s="102"/>
      <c r="AG37" s="102"/>
    </row>
    <row r="38" spans="1:33">
      <c r="A38" s="102">
        <v>1991</v>
      </c>
      <c r="B38" s="102">
        <v>40</v>
      </c>
      <c r="C38" s="102">
        <v>20.6</v>
      </c>
      <c r="D38" s="102">
        <v>24.8</v>
      </c>
      <c r="E38" s="102">
        <v>54.6</v>
      </c>
      <c r="F38" s="102">
        <v>74.3</v>
      </c>
      <c r="G38" s="102">
        <v>270.5</v>
      </c>
      <c r="H38" s="102">
        <v>444.3</v>
      </c>
      <c r="I38" s="102">
        <v>77.7</v>
      </c>
      <c r="J38" s="102">
        <v>46.1</v>
      </c>
      <c r="K38" s="102">
        <v>63.6</v>
      </c>
      <c r="L38" s="102">
        <v>60.8</v>
      </c>
      <c r="M38" s="102">
        <v>19.2</v>
      </c>
      <c r="N38" s="102">
        <f t="shared" si="1"/>
        <v>140</v>
      </c>
      <c r="O38" s="102">
        <f t="shared" si="2"/>
        <v>912.90000000000009</v>
      </c>
      <c r="P38" s="102">
        <f t="shared" si="3"/>
        <v>143.6</v>
      </c>
      <c r="Q38" s="102">
        <f t="shared" si="4"/>
        <v>1196.5</v>
      </c>
      <c r="R38" s="102"/>
      <c r="S38" s="102"/>
      <c r="T38" s="102"/>
      <c r="U38" s="102"/>
      <c r="V38" s="102"/>
      <c r="W38" s="102"/>
      <c r="X38" s="102"/>
      <c r="Y38" s="102"/>
      <c r="Z38" s="102"/>
      <c r="AA38" s="102"/>
      <c r="AB38" s="102"/>
      <c r="AC38" s="102"/>
      <c r="AD38" s="102"/>
      <c r="AE38" s="102"/>
      <c r="AF38" s="102"/>
      <c r="AG38" s="102"/>
    </row>
    <row r="39" spans="1:33">
      <c r="A39" s="102">
        <v>1992</v>
      </c>
      <c r="B39" s="102">
        <v>22.1</v>
      </c>
      <c r="C39" s="102">
        <v>36.5</v>
      </c>
      <c r="D39" s="102">
        <v>27.1</v>
      </c>
      <c r="E39" s="102">
        <v>115.6</v>
      </c>
      <c r="F39" s="102">
        <v>211.9</v>
      </c>
      <c r="G39" s="102">
        <v>213</v>
      </c>
      <c r="H39" s="102">
        <v>106.2</v>
      </c>
      <c r="I39" s="102">
        <v>83.5</v>
      </c>
      <c r="J39" s="102">
        <v>23.4</v>
      </c>
      <c r="K39" s="102">
        <v>135.1</v>
      </c>
      <c r="L39" s="102">
        <v>26.9</v>
      </c>
      <c r="M39" s="102">
        <v>24.1</v>
      </c>
      <c r="N39" s="102">
        <f t="shared" si="1"/>
        <v>201.3</v>
      </c>
      <c r="O39" s="102">
        <f t="shared" si="2"/>
        <v>638</v>
      </c>
      <c r="P39" s="102">
        <f t="shared" si="3"/>
        <v>186.1</v>
      </c>
      <c r="Q39" s="102">
        <f t="shared" si="4"/>
        <v>1025.4000000000001</v>
      </c>
      <c r="R39" s="102"/>
      <c r="S39" s="102"/>
      <c r="T39" s="102"/>
      <c r="U39" s="102"/>
      <c r="V39" s="102"/>
      <c r="W39" s="102"/>
      <c r="X39" s="102"/>
      <c r="Y39" s="102"/>
      <c r="Z39" s="102"/>
      <c r="AA39" s="102"/>
      <c r="AB39" s="102"/>
      <c r="AC39" s="102"/>
      <c r="AD39" s="102"/>
      <c r="AE39" s="102"/>
      <c r="AF39" s="102"/>
      <c r="AG39" s="102"/>
    </row>
    <row r="40" spans="1:33">
      <c r="A40" s="102">
        <v>1993</v>
      </c>
      <c r="B40" s="102">
        <v>31.3</v>
      </c>
      <c r="C40" s="102">
        <v>45.5</v>
      </c>
      <c r="D40" s="102">
        <v>10</v>
      </c>
      <c r="E40" s="102">
        <v>36</v>
      </c>
      <c r="F40" s="102">
        <v>183.4</v>
      </c>
      <c r="G40" s="102">
        <v>115.9</v>
      </c>
      <c r="H40" s="102">
        <v>341.5</v>
      </c>
      <c r="I40" s="102">
        <v>167.3</v>
      </c>
      <c r="J40" s="102">
        <v>115.2</v>
      </c>
      <c r="K40" s="102">
        <v>51.9</v>
      </c>
      <c r="L40" s="102">
        <v>46.7</v>
      </c>
      <c r="M40" s="102">
        <v>10.5</v>
      </c>
      <c r="N40" s="102">
        <f t="shared" si="1"/>
        <v>122.8</v>
      </c>
      <c r="O40" s="102">
        <f t="shared" si="2"/>
        <v>923.3</v>
      </c>
      <c r="P40" s="102">
        <f t="shared" si="3"/>
        <v>109.1</v>
      </c>
      <c r="Q40" s="102">
        <f t="shared" si="4"/>
        <v>1155.2000000000003</v>
      </c>
      <c r="R40" s="102"/>
      <c r="S40" s="102"/>
      <c r="T40" s="102"/>
      <c r="U40" s="102"/>
      <c r="V40" s="102"/>
      <c r="W40" s="102"/>
      <c r="X40" s="102"/>
      <c r="Y40" s="102"/>
      <c r="Z40" s="102"/>
      <c r="AA40" s="102"/>
      <c r="AB40" s="102"/>
      <c r="AC40" s="102"/>
      <c r="AD40" s="102"/>
      <c r="AE40" s="102"/>
      <c r="AF40" s="102"/>
      <c r="AG40" s="102"/>
    </row>
    <row r="41" spans="1:33">
      <c r="A41" s="102">
        <v>1994</v>
      </c>
      <c r="B41" s="102">
        <v>15.9</v>
      </c>
      <c r="C41" s="102">
        <v>16</v>
      </c>
      <c r="D41" s="102">
        <v>78.599999999999994</v>
      </c>
      <c r="E41" s="102">
        <v>54.1</v>
      </c>
      <c r="F41" s="102">
        <v>215.8</v>
      </c>
      <c r="G41" s="102">
        <v>151.69999999999999</v>
      </c>
      <c r="H41" s="102">
        <v>53.4</v>
      </c>
      <c r="I41" s="102">
        <v>54.4</v>
      </c>
      <c r="J41" s="102">
        <v>104.4</v>
      </c>
      <c r="K41" s="102">
        <v>151.69999999999999</v>
      </c>
      <c r="L41" s="102">
        <v>62.7</v>
      </c>
      <c r="M41" s="102">
        <v>33</v>
      </c>
      <c r="N41" s="102">
        <f t="shared" si="1"/>
        <v>164.6</v>
      </c>
      <c r="O41" s="102">
        <f t="shared" si="2"/>
        <v>579.69999999999993</v>
      </c>
      <c r="P41" s="102">
        <f t="shared" si="3"/>
        <v>247.39999999999998</v>
      </c>
      <c r="Q41" s="102">
        <f t="shared" si="4"/>
        <v>991.69999999999982</v>
      </c>
      <c r="R41" s="102"/>
      <c r="S41" s="102"/>
      <c r="T41" s="102"/>
      <c r="U41" s="102"/>
      <c r="V41" s="102"/>
      <c r="W41" s="102"/>
      <c r="X41" s="102"/>
      <c r="Y41" s="102"/>
      <c r="Z41" s="102"/>
      <c r="AA41" s="102"/>
      <c r="AB41" s="102"/>
      <c r="AC41" s="102"/>
      <c r="AD41" s="102"/>
      <c r="AE41" s="102"/>
      <c r="AF41" s="102"/>
      <c r="AG41" s="102"/>
    </row>
    <row r="42" spans="1:33">
      <c r="A42" s="102">
        <v>1995</v>
      </c>
      <c r="B42" s="102">
        <v>28.2</v>
      </c>
      <c r="C42" s="102">
        <v>45.3</v>
      </c>
      <c r="D42" s="102">
        <v>39.4</v>
      </c>
      <c r="E42" s="102">
        <v>32.5</v>
      </c>
      <c r="F42" s="102">
        <v>191.6</v>
      </c>
      <c r="G42" s="102">
        <v>214.7</v>
      </c>
      <c r="H42" s="102">
        <v>93.7</v>
      </c>
      <c r="I42" s="102">
        <v>60.2</v>
      </c>
      <c r="J42" s="102">
        <v>67.8</v>
      </c>
      <c r="K42" s="102">
        <v>110.1</v>
      </c>
      <c r="L42" s="102">
        <v>38</v>
      </c>
      <c r="M42" s="102">
        <v>7.6</v>
      </c>
      <c r="N42" s="102">
        <f t="shared" si="1"/>
        <v>145.4</v>
      </c>
      <c r="O42" s="102">
        <f t="shared" si="2"/>
        <v>627.99999999999989</v>
      </c>
      <c r="P42" s="102">
        <f t="shared" si="3"/>
        <v>155.69999999999999</v>
      </c>
      <c r="Q42" s="102">
        <f t="shared" si="4"/>
        <v>929.10000000000014</v>
      </c>
      <c r="R42" s="102"/>
      <c r="S42" s="102"/>
      <c r="T42" s="102"/>
      <c r="U42" s="102"/>
      <c r="V42" s="102"/>
      <c r="W42" s="102"/>
      <c r="X42" s="102"/>
      <c r="Y42" s="102"/>
      <c r="Z42" s="102"/>
      <c r="AA42" s="102"/>
      <c r="AB42" s="102"/>
      <c r="AC42" s="102"/>
      <c r="AD42" s="102"/>
      <c r="AE42" s="102"/>
      <c r="AF42" s="102"/>
      <c r="AG42" s="102"/>
    </row>
    <row r="43" spans="1:33">
      <c r="A43" s="102">
        <v>1996</v>
      </c>
      <c r="B43" s="102">
        <v>19.100000000000001</v>
      </c>
      <c r="C43" s="102">
        <v>1.1000000000000001</v>
      </c>
      <c r="D43" s="102">
        <v>30.6</v>
      </c>
      <c r="E43" s="102">
        <v>42.9</v>
      </c>
      <c r="F43" s="102">
        <v>190.3</v>
      </c>
      <c r="G43" s="102">
        <v>323.39999999999998</v>
      </c>
      <c r="H43" s="102">
        <v>345.8</v>
      </c>
      <c r="I43" s="102">
        <v>91</v>
      </c>
      <c r="J43" s="102">
        <v>54.2</v>
      </c>
      <c r="K43" s="102">
        <v>50.1</v>
      </c>
      <c r="L43" s="102">
        <v>69.900000000000006</v>
      </c>
      <c r="M43" s="102">
        <v>9.8000000000000007</v>
      </c>
      <c r="N43" s="102">
        <f t="shared" si="1"/>
        <v>93.7</v>
      </c>
      <c r="O43" s="102">
        <f t="shared" si="2"/>
        <v>1004.7</v>
      </c>
      <c r="P43" s="102">
        <f t="shared" si="3"/>
        <v>129.80000000000001</v>
      </c>
      <c r="Q43" s="102">
        <f t="shared" si="4"/>
        <v>1228.2</v>
      </c>
      <c r="R43" s="102"/>
      <c r="S43" s="102"/>
      <c r="T43" s="102"/>
      <c r="U43" s="102"/>
      <c r="V43" s="102"/>
      <c r="W43" s="102"/>
      <c r="X43" s="102"/>
      <c r="Y43" s="102"/>
      <c r="Z43" s="102"/>
      <c r="AA43" s="102"/>
      <c r="AB43" s="102"/>
      <c r="AC43" s="102"/>
      <c r="AD43" s="102"/>
      <c r="AE43" s="102"/>
      <c r="AF43" s="102"/>
      <c r="AG43" s="102"/>
    </row>
    <row r="44" spans="1:33">
      <c r="A44" s="102">
        <v>1997</v>
      </c>
      <c r="B44" s="102">
        <v>44.7</v>
      </c>
      <c r="C44" s="102">
        <v>22.4</v>
      </c>
      <c r="D44" s="102">
        <v>22.3</v>
      </c>
      <c r="E44" s="102">
        <v>109.2</v>
      </c>
      <c r="F44" s="102">
        <v>154.30000000000001</v>
      </c>
      <c r="G44" s="102">
        <v>115.6</v>
      </c>
      <c r="H44" s="102">
        <v>195.7</v>
      </c>
      <c r="I44" s="102">
        <v>54.7</v>
      </c>
      <c r="J44" s="102">
        <v>128.4</v>
      </c>
      <c r="K44" s="102">
        <v>113</v>
      </c>
      <c r="L44" s="102">
        <v>6.5</v>
      </c>
      <c r="M44" s="102">
        <v>26.1</v>
      </c>
      <c r="N44" s="102">
        <f t="shared" si="1"/>
        <v>198.6</v>
      </c>
      <c r="O44" s="102">
        <f t="shared" si="2"/>
        <v>648.69999999999993</v>
      </c>
      <c r="P44" s="102">
        <f t="shared" si="3"/>
        <v>145.6</v>
      </c>
      <c r="Q44" s="102">
        <f t="shared" si="4"/>
        <v>992.90000000000009</v>
      </c>
      <c r="R44" s="102"/>
      <c r="S44" s="102"/>
      <c r="T44" s="102"/>
      <c r="U44" s="102"/>
      <c r="V44" s="102"/>
      <c r="W44" s="102"/>
      <c r="X44" s="102"/>
      <c r="Y44" s="102"/>
      <c r="Z44" s="102"/>
      <c r="AA44" s="102"/>
      <c r="AB44" s="102"/>
      <c r="AC44" s="102"/>
      <c r="AD44" s="102"/>
      <c r="AE44" s="102"/>
      <c r="AF44" s="102"/>
      <c r="AG44" s="102"/>
    </row>
    <row r="45" spans="1:33">
      <c r="A45" s="102">
        <v>1998</v>
      </c>
      <c r="B45" s="102">
        <v>19.100000000000001</v>
      </c>
      <c r="C45" s="102">
        <v>6.3</v>
      </c>
      <c r="D45" s="102">
        <v>35.9</v>
      </c>
      <c r="E45" s="102">
        <v>56.4</v>
      </c>
      <c r="F45" s="102">
        <v>72.3</v>
      </c>
      <c r="G45" s="102">
        <v>134.4</v>
      </c>
      <c r="H45" s="102">
        <v>168.5</v>
      </c>
      <c r="I45" s="102">
        <v>105.7</v>
      </c>
      <c r="J45" s="102">
        <v>28.4</v>
      </c>
      <c r="K45" s="102">
        <v>55.6</v>
      </c>
      <c r="L45" s="102">
        <v>22</v>
      </c>
      <c r="M45" s="102">
        <v>22.2</v>
      </c>
      <c r="N45" s="102">
        <f t="shared" si="1"/>
        <v>117.69999999999999</v>
      </c>
      <c r="O45" s="102">
        <f t="shared" si="2"/>
        <v>509.29999999999995</v>
      </c>
      <c r="P45" s="102">
        <f t="shared" si="3"/>
        <v>99.8</v>
      </c>
      <c r="Q45" s="102">
        <f t="shared" si="4"/>
        <v>726.80000000000007</v>
      </c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  <c r="AC45" s="102"/>
      <c r="AD45" s="102"/>
      <c r="AE45" s="102"/>
      <c r="AF45" s="102"/>
      <c r="AG45" s="102"/>
    </row>
    <row r="46" spans="1:33">
      <c r="A46" s="102">
        <v>1999</v>
      </c>
      <c r="B46" s="102">
        <v>38.5</v>
      </c>
      <c r="C46" s="102">
        <v>19.600000000000001</v>
      </c>
      <c r="D46" s="102">
        <v>17.7</v>
      </c>
      <c r="E46" s="102">
        <v>100.2</v>
      </c>
      <c r="F46" s="102">
        <v>180.6</v>
      </c>
      <c r="G46" s="102">
        <v>234.4</v>
      </c>
      <c r="H46" s="102">
        <v>240.3</v>
      </c>
      <c r="I46" s="102">
        <v>227.7</v>
      </c>
      <c r="J46" s="102">
        <v>88</v>
      </c>
      <c r="K46" s="102">
        <v>72</v>
      </c>
      <c r="L46" s="102">
        <v>28</v>
      </c>
      <c r="M46" s="102">
        <v>7.5</v>
      </c>
      <c r="N46" s="102">
        <f t="shared" si="1"/>
        <v>176</v>
      </c>
      <c r="O46" s="102">
        <f t="shared" si="2"/>
        <v>971</v>
      </c>
      <c r="P46" s="102">
        <f t="shared" si="3"/>
        <v>107.5</v>
      </c>
      <c r="Q46" s="102">
        <f t="shared" si="4"/>
        <v>1254.5</v>
      </c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  <c r="AC46" s="102"/>
      <c r="AD46" s="102"/>
      <c r="AE46" s="102"/>
      <c r="AF46" s="102"/>
      <c r="AG46" s="102"/>
    </row>
    <row r="47" spans="1:33">
      <c r="A47" s="102">
        <v>2000</v>
      </c>
      <c r="B47" s="102">
        <v>25.3</v>
      </c>
      <c r="C47" s="102">
        <v>18.600000000000001</v>
      </c>
      <c r="D47" s="102">
        <v>44</v>
      </c>
      <c r="E47" s="102">
        <v>102.9</v>
      </c>
      <c r="F47" s="102">
        <v>92.7</v>
      </c>
      <c r="G47" s="102">
        <v>145.4</v>
      </c>
      <c r="H47" s="102">
        <v>173.3</v>
      </c>
      <c r="I47" s="102">
        <v>210.3</v>
      </c>
      <c r="J47" s="102">
        <v>131.80000000000001</v>
      </c>
      <c r="K47" s="102">
        <v>107.7</v>
      </c>
      <c r="L47" s="102">
        <v>37.4</v>
      </c>
      <c r="M47" s="102">
        <v>20.399999999999999</v>
      </c>
      <c r="N47" s="102">
        <f t="shared" si="1"/>
        <v>190.8</v>
      </c>
      <c r="O47" s="102">
        <f t="shared" si="2"/>
        <v>753.5</v>
      </c>
      <c r="P47" s="102">
        <f t="shared" si="3"/>
        <v>165.5</v>
      </c>
      <c r="Q47" s="102">
        <f t="shared" si="4"/>
        <v>1109.8000000000002</v>
      </c>
      <c r="R47" s="102"/>
      <c r="S47" s="102"/>
      <c r="T47" s="102"/>
      <c r="U47" s="102"/>
      <c r="V47" s="102"/>
      <c r="W47" s="102"/>
      <c r="X47" s="102"/>
      <c r="Y47" s="102"/>
      <c r="Z47" s="102"/>
      <c r="AA47" s="102"/>
      <c r="AB47" s="102"/>
      <c r="AC47" s="102"/>
      <c r="AD47" s="102"/>
      <c r="AE47" s="102"/>
      <c r="AF47" s="102"/>
      <c r="AG47" s="102"/>
    </row>
    <row r="48" spans="1:33">
      <c r="A48" s="102">
        <v>2001</v>
      </c>
      <c r="B48" s="102">
        <v>22.5</v>
      </c>
      <c r="C48" s="102">
        <v>18.100000000000001</v>
      </c>
      <c r="D48" s="102">
        <v>56</v>
      </c>
      <c r="E48" s="102">
        <v>85.1</v>
      </c>
      <c r="F48" s="102">
        <v>170.7</v>
      </c>
      <c r="G48" s="102">
        <v>164.1</v>
      </c>
      <c r="H48" s="102">
        <v>154.19999999999999</v>
      </c>
      <c r="I48" s="102">
        <v>74.099999999999994</v>
      </c>
      <c r="J48" s="102">
        <v>47.4</v>
      </c>
      <c r="K48" s="102">
        <v>164.2</v>
      </c>
      <c r="L48" s="102">
        <v>16.8</v>
      </c>
      <c r="M48" s="102">
        <v>14.8</v>
      </c>
      <c r="N48" s="102">
        <f t="shared" si="1"/>
        <v>181.7</v>
      </c>
      <c r="O48" s="102">
        <f t="shared" si="2"/>
        <v>610.49999999999989</v>
      </c>
      <c r="P48" s="102">
        <f t="shared" si="3"/>
        <v>195.8</v>
      </c>
      <c r="Q48" s="102">
        <f t="shared" si="4"/>
        <v>988</v>
      </c>
      <c r="R48" s="102"/>
      <c r="S48" s="102"/>
      <c r="T48" s="102"/>
      <c r="U48" s="102"/>
      <c r="V48" s="102"/>
      <c r="W48" s="102"/>
      <c r="X48" s="102"/>
      <c r="Y48" s="102"/>
      <c r="Z48" s="102"/>
      <c r="AA48" s="102"/>
      <c r="AB48" s="102"/>
      <c r="AC48" s="102"/>
      <c r="AD48" s="102"/>
      <c r="AE48" s="102"/>
      <c r="AF48" s="102"/>
      <c r="AG48" s="102"/>
    </row>
    <row r="49" spans="1:34">
      <c r="A49" s="102">
        <v>2002</v>
      </c>
      <c r="B49" s="102">
        <v>17.3</v>
      </c>
      <c r="C49" s="102">
        <v>32.700000000000003</v>
      </c>
      <c r="D49" s="102">
        <v>21</v>
      </c>
      <c r="E49" s="102">
        <v>74.8</v>
      </c>
      <c r="F49" s="102">
        <v>157.4</v>
      </c>
      <c r="G49" s="102">
        <v>181</v>
      </c>
      <c r="H49" s="102">
        <v>175.4</v>
      </c>
      <c r="I49" s="102">
        <v>263.7</v>
      </c>
      <c r="J49" s="102">
        <v>33.799999999999997</v>
      </c>
      <c r="K49" s="102">
        <v>103.5</v>
      </c>
      <c r="L49" s="102">
        <v>23.3</v>
      </c>
      <c r="M49" s="102">
        <v>16.2</v>
      </c>
      <c r="N49" s="102">
        <f t="shared" si="1"/>
        <v>145.80000000000001</v>
      </c>
      <c r="O49" s="102">
        <f t="shared" si="2"/>
        <v>811.3</v>
      </c>
      <c r="P49" s="102">
        <f t="shared" si="3"/>
        <v>143</v>
      </c>
      <c r="Q49" s="102">
        <f t="shared" si="4"/>
        <v>1100.0999999999999</v>
      </c>
      <c r="R49" s="102"/>
      <c r="S49" s="102"/>
      <c r="T49" s="102"/>
      <c r="U49" s="102"/>
      <c r="V49" s="102"/>
      <c r="W49" s="102"/>
      <c r="X49" s="102"/>
      <c r="Y49" s="102"/>
      <c r="Z49" s="102"/>
      <c r="AA49" s="102"/>
      <c r="AB49" s="102"/>
      <c r="AC49" s="102"/>
      <c r="AD49" s="102"/>
      <c r="AE49" s="102"/>
      <c r="AF49" s="102"/>
      <c r="AG49" s="102"/>
    </row>
    <row r="50" spans="1:34">
      <c r="A50" s="102">
        <v>2003</v>
      </c>
      <c r="B50" s="102">
        <v>20.8</v>
      </c>
      <c r="C50" s="102">
        <v>9.1</v>
      </c>
      <c r="D50" s="102">
        <v>9.8000000000000007</v>
      </c>
      <c r="E50" s="102">
        <v>76.8</v>
      </c>
      <c r="F50" s="102">
        <v>133</v>
      </c>
      <c r="G50" s="102">
        <v>233.3</v>
      </c>
      <c r="H50" s="102">
        <v>119.4</v>
      </c>
      <c r="I50" s="102">
        <v>31.8</v>
      </c>
      <c r="J50" s="102">
        <v>83.7</v>
      </c>
      <c r="K50" s="102">
        <v>41.7</v>
      </c>
      <c r="L50" s="102">
        <v>15.4</v>
      </c>
      <c r="M50" s="102">
        <v>63.9</v>
      </c>
      <c r="N50" s="102">
        <f t="shared" si="1"/>
        <v>116.5</v>
      </c>
      <c r="O50" s="102">
        <f t="shared" si="2"/>
        <v>601.20000000000005</v>
      </c>
      <c r="P50" s="102">
        <f t="shared" si="3"/>
        <v>121</v>
      </c>
      <c r="Q50" s="102">
        <f t="shared" si="4"/>
        <v>838.7</v>
      </c>
      <c r="R50" s="102"/>
      <c r="S50" s="102"/>
      <c r="T50" s="102"/>
      <c r="U50" s="102"/>
      <c r="V50" s="102"/>
      <c r="W50" s="102"/>
      <c r="X50" s="102"/>
      <c r="Y50" s="102"/>
      <c r="Z50" s="102"/>
      <c r="AA50" s="102"/>
      <c r="AB50" s="102"/>
      <c r="AC50" s="102"/>
      <c r="AD50" s="102"/>
      <c r="AE50" s="102"/>
      <c r="AF50" s="102"/>
      <c r="AG50" s="102"/>
    </row>
    <row r="51" spans="1:34">
      <c r="A51" s="102">
        <v>2004</v>
      </c>
      <c r="B51" s="103">
        <v>30.3</v>
      </c>
      <c r="C51" s="103">
        <v>36</v>
      </c>
      <c r="D51" s="103">
        <v>28.8</v>
      </c>
      <c r="E51" s="103">
        <v>75.7</v>
      </c>
      <c r="F51" s="103">
        <v>158.6</v>
      </c>
      <c r="G51" s="103">
        <v>104.2</v>
      </c>
      <c r="H51" s="103">
        <v>350.1</v>
      </c>
      <c r="I51" s="103">
        <v>94.6</v>
      </c>
      <c r="J51" s="103">
        <v>56.2</v>
      </c>
      <c r="K51" s="103">
        <v>29.2</v>
      </c>
      <c r="L51" s="103">
        <v>53.8</v>
      </c>
      <c r="M51" s="103">
        <v>15.8</v>
      </c>
      <c r="N51" s="102">
        <f t="shared" si="1"/>
        <v>170.8</v>
      </c>
      <c r="O51" s="102">
        <f t="shared" si="2"/>
        <v>763.70000000000016</v>
      </c>
      <c r="P51" s="102">
        <f t="shared" si="3"/>
        <v>98.8</v>
      </c>
      <c r="Q51" s="102">
        <f t="shared" si="4"/>
        <v>1033.3000000000002</v>
      </c>
      <c r="R51" s="102"/>
      <c r="S51" s="102"/>
      <c r="T51" s="102"/>
      <c r="U51" s="102"/>
      <c r="V51" s="102"/>
      <c r="W51" s="102"/>
      <c r="X51" s="102"/>
      <c r="Y51" s="102"/>
      <c r="Z51" s="102"/>
      <c r="AA51" s="102"/>
      <c r="AB51" s="102"/>
      <c r="AC51" s="102"/>
      <c r="AD51" s="102"/>
      <c r="AE51" s="102"/>
      <c r="AF51" s="102"/>
      <c r="AG51" s="102"/>
    </row>
    <row r="52" spans="1:34">
      <c r="A52" s="102">
        <v>2005</v>
      </c>
      <c r="B52" s="102">
        <v>20.7</v>
      </c>
      <c r="C52" s="102">
        <v>6.2</v>
      </c>
      <c r="D52" s="102">
        <v>34.1</v>
      </c>
      <c r="E52" s="102">
        <v>84.4</v>
      </c>
      <c r="F52" s="102">
        <v>161.4</v>
      </c>
      <c r="G52" s="102">
        <v>61.1</v>
      </c>
      <c r="H52" s="102">
        <v>131.4</v>
      </c>
      <c r="I52" s="102">
        <v>52.7</v>
      </c>
      <c r="J52" s="102">
        <v>41.5</v>
      </c>
      <c r="K52" s="103">
        <v>92.4</v>
      </c>
      <c r="L52" s="103">
        <v>25.5</v>
      </c>
      <c r="M52" s="103">
        <v>18.2</v>
      </c>
      <c r="N52" s="102">
        <f t="shared" si="1"/>
        <v>145.4</v>
      </c>
      <c r="O52" s="102">
        <f t="shared" si="2"/>
        <v>448.09999999999997</v>
      </c>
      <c r="P52" s="102">
        <f t="shared" si="3"/>
        <v>136.1</v>
      </c>
      <c r="Q52" s="102">
        <f t="shared" si="4"/>
        <v>729.60000000000014</v>
      </c>
      <c r="R52" s="102"/>
      <c r="S52" s="102"/>
      <c r="T52" s="102"/>
      <c r="U52" s="102"/>
      <c r="V52" s="102"/>
      <c r="W52" s="102"/>
      <c r="X52" s="102"/>
      <c r="Y52" s="102"/>
      <c r="Z52" s="102"/>
      <c r="AA52" s="102"/>
      <c r="AB52" s="102"/>
      <c r="AC52" s="102"/>
      <c r="AD52" s="102"/>
      <c r="AE52" s="102"/>
      <c r="AF52" s="102"/>
      <c r="AG52" s="102"/>
    </row>
    <row r="53" spans="1:34">
      <c r="A53" s="102">
        <v>2006</v>
      </c>
      <c r="B53" s="102">
        <v>12.8</v>
      </c>
      <c r="C53" s="102">
        <v>37.5</v>
      </c>
      <c r="D53" s="102">
        <v>28.3</v>
      </c>
      <c r="E53" s="102">
        <v>82.7</v>
      </c>
      <c r="F53" s="102">
        <v>164.5</v>
      </c>
      <c r="G53" s="102">
        <v>71</v>
      </c>
      <c r="H53" s="102">
        <v>43.6</v>
      </c>
      <c r="I53" s="102">
        <v>57.3</v>
      </c>
      <c r="J53" s="102">
        <v>65.900000000000006</v>
      </c>
      <c r="K53" s="102">
        <v>106.4</v>
      </c>
      <c r="L53" s="102">
        <v>47.9</v>
      </c>
      <c r="M53" s="102">
        <v>30.1</v>
      </c>
      <c r="N53" s="102">
        <f t="shared" si="1"/>
        <v>161.30000000000001</v>
      </c>
      <c r="O53" s="102">
        <f t="shared" si="2"/>
        <v>402.30000000000007</v>
      </c>
      <c r="P53" s="102">
        <f t="shared" si="3"/>
        <v>184.4</v>
      </c>
      <c r="Q53" s="102">
        <f t="shared" si="4"/>
        <v>748</v>
      </c>
      <c r="R53" s="102"/>
      <c r="S53" s="102"/>
      <c r="T53" s="102"/>
      <c r="U53" s="102"/>
      <c r="V53" s="102"/>
      <c r="W53" s="102"/>
      <c r="X53" s="102"/>
      <c r="Y53" s="102"/>
      <c r="Z53" s="102"/>
      <c r="AA53" s="102"/>
      <c r="AB53" s="102"/>
      <c r="AC53" s="102"/>
      <c r="AD53" s="102"/>
      <c r="AE53" s="102"/>
      <c r="AF53" s="102"/>
      <c r="AG53" s="102"/>
    </row>
    <row r="54" spans="1:34">
      <c r="A54" s="102">
        <v>2007</v>
      </c>
      <c r="B54" s="102">
        <v>25.5</v>
      </c>
      <c r="C54" s="102">
        <v>12.8</v>
      </c>
      <c r="D54" s="102">
        <v>20.3</v>
      </c>
      <c r="E54" s="102">
        <v>120.7</v>
      </c>
      <c r="F54" s="102">
        <v>63.8</v>
      </c>
      <c r="G54" s="102">
        <v>264.10000000000002</v>
      </c>
      <c r="H54" s="102">
        <v>185.7</v>
      </c>
      <c r="I54" s="102">
        <v>144.80000000000001</v>
      </c>
      <c r="J54" s="102">
        <v>91.7</v>
      </c>
      <c r="K54" s="102">
        <v>57.7</v>
      </c>
      <c r="L54" s="102">
        <v>10.6</v>
      </c>
      <c r="M54" s="102">
        <v>15.6</v>
      </c>
      <c r="N54" s="102">
        <f t="shared" si="1"/>
        <v>179.3</v>
      </c>
      <c r="O54" s="102">
        <f t="shared" si="2"/>
        <v>750.10000000000014</v>
      </c>
      <c r="P54" s="102">
        <f t="shared" si="3"/>
        <v>83.899999999999991</v>
      </c>
      <c r="Q54" s="102">
        <f t="shared" si="4"/>
        <v>1013.3000000000002</v>
      </c>
      <c r="R54" s="102"/>
      <c r="S54" s="102"/>
      <c r="T54" s="102"/>
      <c r="U54" s="102"/>
      <c r="V54" s="102"/>
      <c r="W54" s="102"/>
      <c r="X54" s="102"/>
      <c r="Y54" s="102"/>
      <c r="Z54" s="102"/>
      <c r="AA54" s="102"/>
      <c r="AB54" s="102"/>
      <c r="AC54" s="102"/>
      <c r="AD54" s="102"/>
      <c r="AE54" s="102"/>
      <c r="AF54" s="102"/>
      <c r="AG54" s="102"/>
    </row>
    <row r="55" spans="1:34">
      <c r="A55" s="102">
        <v>2008</v>
      </c>
      <c r="B55" s="102">
        <v>13.2</v>
      </c>
      <c r="C55" s="102">
        <v>17.5</v>
      </c>
      <c r="D55" s="102">
        <v>46.2</v>
      </c>
      <c r="E55" s="102">
        <v>65.599999999999994</v>
      </c>
      <c r="F55" s="102">
        <v>186.9</v>
      </c>
      <c r="G55" s="102">
        <v>45.9</v>
      </c>
      <c r="H55" s="102">
        <v>191.2</v>
      </c>
      <c r="I55" s="102">
        <v>192.4</v>
      </c>
      <c r="J55" s="102">
        <v>64.900000000000006</v>
      </c>
      <c r="K55" s="102">
        <v>148.69999999999999</v>
      </c>
      <c r="L55" s="102">
        <v>112.9</v>
      </c>
      <c r="M55" s="102">
        <v>14.4</v>
      </c>
      <c r="N55" s="102">
        <f t="shared" si="1"/>
        <v>142.5</v>
      </c>
      <c r="O55" s="102">
        <f t="shared" si="2"/>
        <v>681.3</v>
      </c>
      <c r="P55" s="102">
        <f t="shared" si="3"/>
        <v>276</v>
      </c>
      <c r="Q55" s="102">
        <f t="shared" si="4"/>
        <v>1099.8000000000002</v>
      </c>
      <c r="R55" s="102"/>
      <c r="S55" s="102"/>
      <c r="T55" s="102"/>
      <c r="U55" s="102"/>
      <c r="V55" s="102"/>
      <c r="W55" s="102"/>
      <c r="X55" s="102"/>
      <c r="Y55" s="102"/>
      <c r="Z55" s="102"/>
      <c r="AA55" s="102"/>
      <c r="AB55" s="102"/>
      <c r="AC55" s="102"/>
      <c r="AD55" s="102"/>
      <c r="AE55" s="102"/>
      <c r="AF55" s="102"/>
      <c r="AG55" s="102"/>
    </row>
    <row r="56" spans="1:34">
      <c r="A56" s="102">
        <v>2009</v>
      </c>
      <c r="B56" s="102">
        <v>25</v>
      </c>
      <c r="C56" s="102">
        <v>19.8</v>
      </c>
      <c r="D56" s="102">
        <v>28.6</v>
      </c>
      <c r="E56" s="102">
        <v>100.2</v>
      </c>
      <c r="F56" s="102">
        <v>116</v>
      </c>
      <c r="G56" s="102">
        <v>143.5</v>
      </c>
      <c r="H56" s="102">
        <v>68.2</v>
      </c>
      <c r="I56" s="102">
        <v>115.4</v>
      </c>
      <c r="J56" s="102">
        <v>48.9</v>
      </c>
      <c r="K56" s="102">
        <v>54.7</v>
      </c>
      <c r="L56" s="102">
        <v>9.1999999999999993</v>
      </c>
      <c r="M56" s="102">
        <v>18.7</v>
      </c>
      <c r="N56" s="102">
        <f t="shared" si="1"/>
        <v>173.60000000000002</v>
      </c>
      <c r="O56" s="102">
        <f t="shared" si="2"/>
        <v>492</v>
      </c>
      <c r="P56" s="102">
        <f t="shared" si="3"/>
        <v>82.600000000000009</v>
      </c>
      <c r="Q56" s="102">
        <f t="shared" si="4"/>
        <v>748.20000000000016</v>
      </c>
      <c r="R56" s="102"/>
      <c r="S56" s="102"/>
      <c r="T56" s="102"/>
      <c r="U56" s="102"/>
      <c r="V56" s="102"/>
      <c r="W56" s="102"/>
      <c r="X56" s="102"/>
      <c r="Y56" s="102"/>
      <c r="Z56" s="102"/>
      <c r="AA56" s="102"/>
      <c r="AB56" s="102"/>
      <c r="AC56" s="102"/>
      <c r="AD56" s="102"/>
      <c r="AE56" s="102"/>
      <c r="AF56" s="102"/>
      <c r="AG56" s="102"/>
    </row>
    <row r="57" spans="1:34">
      <c r="A57" s="102">
        <v>2010</v>
      </c>
      <c r="B57" s="102">
        <v>5.4</v>
      </c>
      <c r="C57" s="102">
        <v>1.9</v>
      </c>
      <c r="D57" s="102">
        <v>41.2</v>
      </c>
      <c r="E57" s="102">
        <v>70.900000000000006</v>
      </c>
      <c r="F57" s="102">
        <v>133.9</v>
      </c>
      <c r="G57" s="102">
        <v>180.8</v>
      </c>
      <c r="H57" s="102">
        <v>160.30000000000001</v>
      </c>
      <c r="I57" s="102">
        <v>113.4</v>
      </c>
      <c r="J57" s="102">
        <v>102.7</v>
      </c>
      <c r="K57" s="102">
        <v>118.2</v>
      </c>
      <c r="L57" s="102">
        <v>33.299999999999997</v>
      </c>
      <c r="M57" s="102">
        <v>19.3</v>
      </c>
      <c r="N57" s="102">
        <f t="shared" si="1"/>
        <v>119.4</v>
      </c>
      <c r="O57" s="102">
        <f t="shared" si="2"/>
        <v>691.10000000000014</v>
      </c>
      <c r="P57" s="102">
        <f t="shared" si="3"/>
        <v>170.8</v>
      </c>
      <c r="Q57" s="102">
        <f t="shared" si="4"/>
        <v>981.30000000000007</v>
      </c>
      <c r="R57" s="102"/>
      <c r="S57" s="102"/>
      <c r="T57" s="102"/>
      <c r="U57" s="102"/>
      <c r="V57" s="102"/>
      <c r="W57" s="102"/>
      <c r="X57" s="102"/>
      <c r="Y57" s="102"/>
      <c r="Z57" s="102"/>
      <c r="AA57" s="102"/>
      <c r="AB57" s="102"/>
      <c r="AC57" s="102"/>
      <c r="AD57" s="102"/>
      <c r="AE57" s="102"/>
      <c r="AF57" s="102"/>
      <c r="AG57" s="102"/>
    </row>
    <row r="58" spans="1:34">
      <c r="A58" s="102">
        <v>2011</v>
      </c>
      <c r="B58" s="102">
        <v>9</v>
      </c>
      <c r="C58" s="102">
        <v>5.5</v>
      </c>
      <c r="D58" s="102">
        <v>20.399999999999999</v>
      </c>
      <c r="E58" s="102">
        <v>34.5</v>
      </c>
      <c r="F58" s="102">
        <v>40.700000000000003</v>
      </c>
      <c r="G58" s="102">
        <v>143.9</v>
      </c>
      <c r="H58" s="102">
        <v>54.5</v>
      </c>
      <c r="I58" s="102">
        <v>71.5</v>
      </c>
      <c r="J58" s="102">
        <v>76.900000000000006</v>
      </c>
      <c r="K58" s="102">
        <v>126</v>
      </c>
      <c r="L58" s="102">
        <v>72.8</v>
      </c>
      <c r="M58" s="102">
        <v>24</v>
      </c>
      <c r="N58" s="102">
        <f t="shared" si="1"/>
        <v>69.400000000000006</v>
      </c>
      <c r="O58" s="102">
        <f t="shared" si="2"/>
        <v>387.5</v>
      </c>
      <c r="P58" s="102">
        <f t="shared" si="3"/>
        <v>222.8</v>
      </c>
      <c r="Q58" s="102">
        <f t="shared" si="4"/>
        <v>679.69999999999993</v>
      </c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</row>
    <row r="59" spans="1:34">
      <c r="A59" s="102">
        <v>2012</v>
      </c>
      <c r="B59" s="102">
        <v>15.4</v>
      </c>
      <c r="C59" s="102">
        <v>16.7</v>
      </c>
      <c r="D59" s="102">
        <v>36.4</v>
      </c>
      <c r="E59" s="102">
        <v>35.200000000000003</v>
      </c>
      <c r="F59" s="102">
        <v>148.80000000000001</v>
      </c>
      <c r="G59" s="102">
        <v>271</v>
      </c>
      <c r="H59" s="102">
        <v>203.9</v>
      </c>
      <c r="I59" s="102">
        <v>89.7</v>
      </c>
      <c r="J59" s="102">
        <v>87.9</v>
      </c>
      <c r="K59" s="102">
        <v>57.2</v>
      </c>
      <c r="L59" s="102">
        <v>25.9</v>
      </c>
      <c r="M59" s="102">
        <v>15.1</v>
      </c>
      <c r="N59" s="102">
        <f t="shared" si="1"/>
        <v>103.7</v>
      </c>
      <c r="O59" s="102">
        <f t="shared" si="2"/>
        <v>801.30000000000007</v>
      </c>
      <c r="P59" s="102">
        <f t="shared" si="3"/>
        <v>98.199999999999989</v>
      </c>
      <c r="Q59" s="102">
        <f t="shared" si="4"/>
        <v>1003.2</v>
      </c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</row>
    <row r="60" spans="1:34">
      <c r="A60" s="102">
        <v>2013</v>
      </c>
      <c r="B60" s="102">
        <v>9.6999999999999993</v>
      </c>
      <c r="C60" s="102">
        <v>19.3</v>
      </c>
      <c r="D60" s="102">
        <v>66.5</v>
      </c>
      <c r="E60" s="102">
        <v>96.3</v>
      </c>
      <c r="F60" s="102">
        <v>161.30000000000001</v>
      </c>
      <c r="G60" s="102">
        <v>125</v>
      </c>
      <c r="H60" s="102">
        <v>8.6</v>
      </c>
      <c r="I60" s="102">
        <v>111.6</v>
      </c>
      <c r="J60" s="102">
        <v>79.5</v>
      </c>
      <c r="K60" s="102">
        <v>117.3</v>
      </c>
      <c r="L60" s="102">
        <v>25.1</v>
      </c>
      <c r="M60" s="102">
        <v>13.5</v>
      </c>
      <c r="N60" s="102">
        <f t="shared" si="1"/>
        <v>191.8</v>
      </c>
      <c r="O60" s="102">
        <f t="shared" si="2"/>
        <v>486</v>
      </c>
      <c r="P60" s="102">
        <f t="shared" si="3"/>
        <v>155.9</v>
      </c>
      <c r="Q60" s="102">
        <f t="shared" si="4"/>
        <v>833.7</v>
      </c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  <c r="AD60" s="104"/>
      <c r="AE60" s="104"/>
      <c r="AF60" s="104"/>
      <c r="AG60" s="104"/>
    </row>
    <row r="61" spans="1:34">
      <c r="A61" s="102">
        <v>2014</v>
      </c>
      <c r="B61" s="114">
        <v>19.100000000000001</v>
      </c>
      <c r="C61" s="114">
        <v>29.5</v>
      </c>
      <c r="D61" s="114">
        <v>80.7</v>
      </c>
      <c r="E61" s="114">
        <v>100.8</v>
      </c>
      <c r="F61" s="114">
        <v>103.8</v>
      </c>
      <c r="G61" s="114">
        <v>152.30000000000001</v>
      </c>
      <c r="H61" s="114">
        <v>188</v>
      </c>
      <c r="I61" s="114">
        <v>63.9</v>
      </c>
      <c r="J61" s="114">
        <v>49.9</v>
      </c>
      <c r="K61" s="114">
        <v>63.6</v>
      </c>
      <c r="L61" s="114">
        <v>52.4</v>
      </c>
      <c r="M61" s="114">
        <v>12.5</v>
      </c>
      <c r="N61" s="102">
        <f t="shared" si="1"/>
        <v>230.10000000000002</v>
      </c>
      <c r="O61" s="102">
        <f t="shared" si="2"/>
        <v>557.9</v>
      </c>
      <c r="P61" s="102">
        <f t="shared" si="3"/>
        <v>128.5</v>
      </c>
      <c r="Q61" s="102">
        <f t="shared" si="4"/>
        <v>916.5</v>
      </c>
      <c r="R61" s="102"/>
      <c r="S61" s="102"/>
      <c r="T61" s="102"/>
      <c r="U61" s="102"/>
      <c r="V61" s="102"/>
      <c r="W61" s="102"/>
      <c r="X61" s="102"/>
      <c r="Y61" s="102"/>
      <c r="Z61" s="102"/>
      <c r="AA61" s="102"/>
      <c r="AB61" s="102"/>
      <c r="AC61" s="102"/>
      <c r="AD61" s="102"/>
      <c r="AE61" s="102"/>
      <c r="AF61" s="102"/>
      <c r="AG61" s="102"/>
    </row>
    <row r="62" spans="1:34">
      <c r="A62" s="102">
        <v>2015</v>
      </c>
      <c r="B62" s="114">
        <v>31.7</v>
      </c>
      <c r="C62" s="114">
        <v>8.3000000000000007</v>
      </c>
      <c r="D62" s="114">
        <v>14.3</v>
      </c>
      <c r="E62" s="114">
        <v>50.3</v>
      </c>
      <c r="F62" s="114">
        <v>135.9</v>
      </c>
      <c r="G62" s="114">
        <v>210.8</v>
      </c>
      <c r="H62" s="114">
        <v>64.400000000000006</v>
      </c>
      <c r="I62" s="114">
        <v>84</v>
      </c>
      <c r="J62" s="114">
        <v>90.9</v>
      </c>
      <c r="K62" s="114">
        <v>82</v>
      </c>
      <c r="L62" s="114">
        <v>16</v>
      </c>
      <c r="M62" s="114">
        <v>40.9</v>
      </c>
      <c r="N62" s="102">
        <f t="shared" si="1"/>
        <v>104.6</v>
      </c>
      <c r="O62" s="102">
        <f t="shared" si="2"/>
        <v>586</v>
      </c>
      <c r="P62" s="102">
        <f t="shared" si="3"/>
        <v>138.9</v>
      </c>
      <c r="Q62" s="102">
        <f t="shared" si="4"/>
        <v>829.5</v>
      </c>
      <c r="R62" s="102"/>
      <c r="S62" s="102"/>
      <c r="T62" s="102"/>
      <c r="U62" s="102"/>
      <c r="V62" s="102"/>
      <c r="W62" s="102"/>
      <c r="X62" s="102"/>
      <c r="Y62" s="102"/>
      <c r="Z62" s="102"/>
      <c r="AA62" s="102"/>
      <c r="AB62" s="102"/>
      <c r="AC62" s="102"/>
      <c r="AD62" s="102"/>
      <c r="AE62" s="102"/>
      <c r="AF62" s="102"/>
      <c r="AG62" s="102"/>
    </row>
    <row r="63" spans="1:34" s="116" customFormat="1">
      <c r="A63" s="108">
        <v>2016</v>
      </c>
      <c r="B63" s="115">
        <v>30.5</v>
      </c>
      <c r="C63" s="115">
        <v>14.8</v>
      </c>
      <c r="D63" s="115">
        <v>84.9</v>
      </c>
      <c r="E63" s="115">
        <v>142.4</v>
      </c>
      <c r="F63" s="115">
        <v>72.3</v>
      </c>
      <c r="G63" s="115">
        <v>189.7</v>
      </c>
      <c r="H63" s="115">
        <v>77.8</v>
      </c>
      <c r="I63" s="115">
        <v>173.1</v>
      </c>
      <c r="J63" s="115">
        <v>12.3</v>
      </c>
      <c r="K63" s="115">
        <v>102.8</v>
      </c>
      <c r="L63" s="115">
        <v>56.7</v>
      </c>
      <c r="M63" s="115">
        <v>11.9</v>
      </c>
      <c r="N63" s="108">
        <f>SUM(B63:E63)</f>
        <v>272.60000000000002</v>
      </c>
      <c r="O63" s="108">
        <f>SUM(F63:J63)</f>
        <v>525.19999999999993</v>
      </c>
      <c r="P63" s="108">
        <f>SUM(K63:M63)</f>
        <v>171.4</v>
      </c>
      <c r="Q63" s="108">
        <f>SUM(B63:M63)</f>
        <v>969.19999999999993</v>
      </c>
      <c r="R63" s="100">
        <f t="shared" ref="R63:AG63" si="5">100*(B63-B4)/B4</f>
        <v>63.553994082840255</v>
      </c>
      <c r="S63" s="100">
        <f t="shared" si="5"/>
        <v>-8.6808510638297882</v>
      </c>
      <c r="T63" s="100">
        <f t="shared" si="5"/>
        <v>152.35484036283509</v>
      </c>
      <c r="U63" s="100">
        <f t="shared" si="5"/>
        <v>87.820075499158634</v>
      </c>
      <c r="V63" s="100">
        <f t="shared" si="5"/>
        <v>-44.495036399735284</v>
      </c>
      <c r="W63" s="100">
        <f t="shared" si="5"/>
        <v>1.9165037931769371</v>
      </c>
      <c r="X63" s="100">
        <f t="shared" si="5"/>
        <v>-42.247193887345937</v>
      </c>
      <c r="Y63" s="100">
        <f t="shared" si="5"/>
        <v>61.731398102356778</v>
      </c>
      <c r="Z63" s="100">
        <f t="shared" si="5"/>
        <v>-85.07593824526171</v>
      </c>
      <c r="AA63" s="100">
        <f t="shared" si="5"/>
        <v>22.867681909040353</v>
      </c>
      <c r="AB63" s="100">
        <f t="shared" si="5"/>
        <v>44.160967911625427</v>
      </c>
      <c r="AC63" s="100">
        <f t="shared" si="5"/>
        <v>-38.703374777975135</v>
      </c>
      <c r="AD63" s="100">
        <f t="shared" si="5"/>
        <v>88.891676522944252</v>
      </c>
      <c r="AE63" s="100">
        <f t="shared" si="5"/>
        <v>-18.007961907735559</v>
      </c>
      <c r="AF63" s="100">
        <f t="shared" si="5"/>
        <v>20.354967977820575</v>
      </c>
      <c r="AG63" s="100">
        <f t="shared" si="5"/>
        <v>4.521020934474473</v>
      </c>
      <c r="AH63" s="100"/>
    </row>
  </sheetData>
  <mergeCells count="6">
    <mergeCell ref="A1:A3"/>
    <mergeCell ref="B1:Q1"/>
    <mergeCell ref="B2:M2"/>
    <mergeCell ref="R1:AG1"/>
    <mergeCell ref="N2:Q2"/>
    <mergeCell ref="R2:AG2"/>
  </mergeCells>
  <phoneticPr fontId="2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AG38"/>
  <sheetViews>
    <sheetView zoomScale="70" zoomScaleNormal="70" workbookViewId="0">
      <pane ySplit="5" topLeftCell="A6" activePane="bottomLeft" state="frozen"/>
      <selection pane="bottomLeft" activeCell="X37" sqref="X37"/>
    </sheetView>
  </sheetViews>
  <sheetFormatPr defaultRowHeight="14.25"/>
  <cols>
    <col min="1" max="1" width="6.625" customWidth="1"/>
    <col min="2" max="10" width="6.625" style="2" customWidth="1"/>
    <col min="11" max="11" width="6.625" style="37" customWidth="1"/>
    <col min="12" max="33" width="6.625" style="2" customWidth="1"/>
    <col min="34" max="42" width="6.625" customWidth="1"/>
  </cols>
  <sheetData>
    <row r="1" spans="1:33" s="105" customFormat="1" ht="14.25" customHeight="1">
      <c r="A1" s="106" t="s">
        <v>0</v>
      </c>
      <c r="B1" s="106" t="s">
        <v>1</v>
      </c>
      <c r="C1" s="106"/>
      <c r="D1" s="106"/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 t="s">
        <v>2</v>
      </c>
      <c r="S1" s="106"/>
      <c r="T1" s="106"/>
      <c r="U1" s="106"/>
      <c r="V1" s="106"/>
      <c r="W1" s="106"/>
      <c r="X1" s="106"/>
      <c r="Y1" s="106"/>
      <c r="Z1" s="106"/>
      <c r="AA1" s="106"/>
      <c r="AB1" s="106"/>
      <c r="AC1" s="106"/>
      <c r="AD1" s="106"/>
      <c r="AE1" s="106"/>
      <c r="AF1" s="106"/>
      <c r="AG1" s="106"/>
    </row>
    <row r="2" spans="1:33" s="105" customFormat="1" ht="12.75">
      <c r="A2" s="106"/>
      <c r="B2" s="106" t="s">
        <v>3</v>
      </c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 t="s">
        <v>32</v>
      </c>
      <c r="O2" s="106"/>
      <c r="P2" s="106"/>
      <c r="Q2" s="106"/>
      <c r="R2" s="106" t="s">
        <v>6</v>
      </c>
      <c r="S2" s="106"/>
      <c r="T2" s="106"/>
      <c r="U2" s="106"/>
      <c r="V2" s="106"/>
      <c r="W2" s="106"/>
      <c r="X2" s="106"/>
      <c r="Y2" s="106"/>
      <c r="Z2" s="106"/>
      <c r="AA2" s="106"/>
      <c r="AB2" s="106"/>
      <c r="AC2" s="106"/>
      <c r="AD2" s="106"/>
      <c r="AE2" s="106"/>
      <c r="AF2" s="106"/>
      <c r="AG2" s="106"/>
    </row>
    <row r="3" spans="1:33" s="105" customFormat="1" ht="24">
      <c r="A3" s="106"/>
      <c r="B3" s="106" t="s">
        <v>7</v>
      </c>
      <c r="C3" s="106" t="s">
        <v>8</v>
      </c>
      <c r="D3" s="106" t="s">
        <v>9</v>
      </c>
      <c r="E3" s="106" t="s">
        <v>10</v>
      </c>
      <c r="F3" s="106" t="s">
        <v>11</v>
      </c>
      <c r="G3" s="106" t="s">
        <v>12</v>
      </c>
      <c r="H3" s="106" t="s">
        <v>13</v>
      </c>
      <c r="I3" s="106" t="s">
        <v>14</v>
      </c>
      <c r="J3" s="106" t="s">
        <v>15</v>
      </c>
      <c r="K3" s="106" t="s">
        <v>16</v>
      </c>
      <c r="L3" s="106" t="s">
        <v>17</v>
      </c>
      <c r="M3" s="106" t="s">
        <v>18</v>
      </c>
      <c r="N3" s="106" t="s">
        <v>145</v>
      </c>
      <c r="O3" s="106" t="s">
        <v>146</v>
      </c>
      <c r="P3" s="106" t="s">
        <v>147</v>
      </c>
      <c r="Q3" s="106" t="s">
        <v>148</v>
      </c>
      <c r="R3" s="106" t="s">
        <v>7</v>
      </c>
      <c r="S3" s="106" t="s">
        <v>8</v>
      </c>
      <c r="T3" s="106" t="s">
        <v>151</v>
      </c>
      <c r="U3" s="106" t="s">
        <v>152</v>
      </c>
      <c r="V3" s="106" t="s">
        <v>23</v>
      </c>
      <c r="W3" s="106" t="s">
        <v>24</v>
      </c>
      <c r="X3" s="106" t="s">
        <v>25</v>
      </c>
      <c r="Y3" s="106" t="s">
        <v>26</v>
      </c>
      <c r="Z3" s="106" t="s">
        <v>27</v>
      </c>
      <c r="AA3" s="106" t="s">
        <v>155</v>
      </c>
      <c r="AB3" s="106" t="s">
        <v>156</v>
      </c>
      <c r="AC3" s="106" t="s">
        <v>157</v>
      </c>
      <c r="AD3" s="106" t="s">
        <v>90</v>
      </c>
      <c r="AE3" s="106" t="s">
        <v>4</v>
      </c>
      <c r="AF3" s="106" t="s">
        <v>91</v>
      </c>
      <c r="AG3" s="106" t="s">
        <v>5</v>
      </c>
    </row>
    <row r="4" spans="1:33" s="105" customFormat="1" ht="12.75">
      <c r="A4" s="150" t="s">
        <v>261</v>
      </c>
      <c r="B4" s="150">
        <f t="shared" ref="B4:Q4" si="0">AVERAGE(B5:B36)</f>
        <v>19.334374999999998</v>
      </c>
      <c r="C4" s="150">
        <f t="shared" si="0"/>
        <v>16.212500000000002</v>
      </c>
      <c r="D4" s="150">
        <f t="shared" si="0"/>
        <v>36.368750000000006</v>
      </c>
      <c r="E4" s="150">
        <f t="shared" si="0"/>
        <v>60.428124999999987</v>
      </c>
      <c r="F4" s="150">
        <f t="shared" si="0"/>
        <v>116.83437499999998</v>
      </c>
      <c r="G4" s="150">
        <f t="shared" si="0"/>
        <v>207.96875</v>
      </c>
      <c r="H4" s="150">
        <f t="shared" si="0"/>
        <v>125.44374999999999</v>
      </c>
      <c r="I4" s="150">
        <f t="shared" si="0"/>
        <v>102.54374999999999</v>
      </c>
      <c r="J4" s="150">
        <f t="shared" si="0"/>
        <v>79.2</v>
      </c>
      <c r="K4" s="150">
        <f t="shared" si="0"/>
        <v>90.537500000000023</v>
      </c>
      <c r="L4" s="150">
        <f t="shared" si="0"/>
        <v>38.53125</v>
      </c>
      <c r="M4" s="150">
        <f t="shared" si="0"/>
        <v>20.796774193548394</v>
      </c>
      <c r="N4" s="150">
        <f t="shared" si="0"/>
        <v>132.34374999999997</v>
      </c>
      <c r="O4" s="150">
        <f t="shared" si="0"/>
        <v>631.99062500000014</v>
      </c>
      <c r="P4" s="150">
        <f t="shared" si="0"/>
        <v>149.21562499999996</v>
      </c>
      <c r="Q4" s="150">
        <f t="shared" si="0"/>
        <v>913.55000000000007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3">
        <v>1984</v>
      </c>
      <c r="B5" s="103">
        <v>9.3000000000000007</v>
      </c>
      <c r="C5" s="103">
        <v>7.3</v>
      </c>
      <c r="D5" s="103">
        <v>31.9</v>
      </c>
      <c r="E5" s="103">
        <v>29.9</v>
      </c>
      <c r="F5" s="103">
        <v>87.3</v>
      </c>
      <c r="G5" s="103">
        <v>266.39999999999998</v>
      </c>
      <c r="H5" s="103">
        <v>15.1</v>
      </c>
      <c r="I5" s="103">
        <v>97.1</v>
      </c>
      <c r="J5" s="103">
        <v>59.3</v>
      </c>
      <c r="K5" s="103">
        <v>72.400000000000006</v>
      </c>
      <c r="L5" s="103">
        <v>15.2</v>
      </c>
      <c r="M5" s="103">
        <v>32.5</v>
      </c>
      <c r="N5" s="103">
        <f>SUM(B5:E5)</f>
        <v>78.400000000000006</v>
      </c>
      <c r="O5" s="103">
        <f>SUM(F5:J5)</f>
        <v>525.19999999999993</v>
      </c>
      <c r="P5" s="103">
        <f>SUM(K5:M5)</f>
        <v>120.10000000000001</v>
      </c>
      <c r="Q5" s="103">
        <f>SUM(B5:M5)</f>
        <v>723.69999999999993</v>
      </c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</row>
    <row r="6" spans="1:33">
      <c r="A6" s="103">
        <v>1985</v>
      </c>
      <c r="B6" s="103">
        <v>14.1</v>
      </c>
      <c r="C6" s="103">
        <v>4.5</v>
      </c>
      <c r="D6" s="103">
        <v>39.1</v>
      </c>
      <c r="E6" s="103">
        <v>27</v>
      </c>
      <c r="F6" s="103">
        <v>58.8</v>
      </c>
      <c r="G6" s="103">
        <v>266.7</v>
      </c>
      <c r="H6" s="103">
        <v>98.8</v>
      </c>
      <c r="I6" s="103">
        <v>51.2</v>
      </c>
      <c r="J6" s="103">
        <v>55.3</v>
      </c>
      <c r="K6" s="103">
        <v>60.1</v>
      </c>
      <c r="L6" s="103">
        <v>37.6</v>
      </c>
      <c r="M6" s="103">
        <v>22.7</v>
      </c>
      <c r="N6" s="103">
        <f t="shared" ref="N6:N36" si="1">SUM(B6:E6)</f>
        <v>84.7</v>
      </c>
      <c r="O6" s="103">
        <f t="shared" ref="O6:O36" si="2">SUM(F6:J6)</f>
        <v>530.79999999999995</v>
      </c>
      <c r="P6" s="103">
        <f t="shared" ref="P6:P36" si="3">SUM(K6:M6)</f>
        <v>120.4</v>
      </c>
      <c r="Q6" s="103">
        <f t="shared" ref="Q6:Q36" si="4">SUM(B6:M6)</f>
        <v>735.90000000000009</v>
      </c>
      <c r="R6" s="103"/>
      <c r="S6" s="103"/>
      <c r="T6" s="103"/>
      <c r="U6" s="103"/>
      <c r="V6" s="103"/>
      <c r="W6" s="103"/>
      <c r="X6" s="103"/>
      <c r="Y6" s="103"/>
      <c r="Z6" s="103"/>
      <c r="AA6" s="103"/>
      <c r="AB6" s="103"/>
      <c r="AC6" s="103"/>
      <c r="AD6" s="103"/>
      <c r="AE6" s="103"/>
      <c r="AF6" s="103"/>
      <c r="AG6" s="103"/>
    </row>
    <row r="7" spans="1:33">
      <c r="A7" s="103">
        <v>1986</v>
      </c>
      <c r="B7" s="103">
        <v>13.3</v>
      </c>
      <c r="C7" s="103">
        <v>9.6999999999999993</v>
      </c>
      <c r="D7" s="103">
        <v>25.2</v>
      </c>
      <c r="E7" s="103">
        <v>29.7</v>
      </c>
      <c r="F7" s="103">
        <v>126.1</v>
      </c>
      <c r="G7" s="103">
        <v>145.9</v>
      </c>
      <c r="H7" s="103">
        <v>35.700000000000003</v>
      </c>
      <c r="I7" s="103">
        <v>73</v>
      </c>
      <c r="J7" s="103">
        <v>84.7</v>
      </c>
      <c r="K7" s="103">
        <v>47.1</v>
      </c>
      <c r="L7" s="103">
        <v>50</v>
      </c>
      <c r="M7" s="103">
        <v>6.5</v>
      </c>
      <c r="N7" s="103">
        <f t="shared" si="1"/>
        <v>77.900000000000006</v>
      </c>
      <c r="O7" s="103">
        <f t="shared" si="2"/>
        <v>465.4</v>
      </c>
      <c r="P7" s="103">
        <f t="shared" si="3"/>
        <v>103.6</v>
      </c>
      <c r="Q7" s="103">
        <f t="shared" si="4"/>
        <v>646.9</v>
      </c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</row>
    <row r="8" spans="1:33">
      <c r="A8" s="103">
        <v>1987</v>
      </c>
      <c r="B8" s="103">
        <v>8.8000000000000007</v>
      </c>
      <c r="C8" s="103">
        <v>7.9</v>
      </c>
      <c r="D8" s="103">
        <v>17.5</v>
      </c>
      <c r="E8" s="103">
        <v>19.2</v>
      </c>
      <c r="F8" s="103">
        <v>57.1</v>
      </c>
      <c r="G8" s="103">
        <v>218.5</v>
      </c>
      <c r="H8" s="103">
        <v>113.3</v>
      </c>
      <c r="I8" s="103">
        <v>79.5</v>
      </c>
      <c r="J8" s="103">
        <v>67.3</v>
      </c>
      <c r="K8" s="103">
        <v>123.3</v>
      </c>
      <c r="L8" s="103">
        <v>42.6</v>
      </c>
      <c r="M8" s="103">
        <v>9.1</v>
      </c>
      <c r="N8" s="103">
        <f t="shared" si="1"/>
        <v>53.400000000000006</v>
      </c>
      <c r="O8" s="103">
        <f t="shared" si="2"/>
        <v>535.70000000000005</v>
      </c>
      <c r="P8" s="103">
        <f t="shared" si="3"/>
        <v>175</v>
      </c>
      <c r="Q8" s="103">
        <f t="shared" si="4"/>
        <v>764.09999999999991</v>
      </c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</row>
    <row r="9" spans="1:33">
      <c r="A9" s="103">
        <v>1988</v>
      </c>
      <c r="B9" s="103">
        <v>6.1</v>
      </c>
      <c r="C9" s="103">
        <v>4.9000000000000004</v>
      </c>
      <c r="D9" s="103">
        <v>27</v>
      </c>
      <c r="E9" s="103">
        <v>32.6</v>
      </c>
      <c r="F9" s="103">
        <v>58.3</v>
      </c>
      <c r="G9" s="103">
        <v>289.10000000000002</v>
      </c>
      <c r="H9" s="103">
        <v>56.9</v>
      </c>
      <c r="I9" s="103">
        <v>65.5</v>
      </c>
      <c r="J9" s="103">
        <v>47.3</v>
      </c>
      <c r="K9" s="103">
        <v>49.4</v>
      </c>
      <c r="L9" s="103">
        <v>1.5</v>
      </c>
      <c r="M9" s="103">
        <v>9.6</v>
      </c>
      <c r="N9" s="103">
        <f t="shared" si="1"/>
        <v>70.599999999999994</v>
      </c>
      <c r="O9" s="103">
        <f t="shared" si="2"/>
        <v>517.1</v>
      </c>
      <c r="P9" s="103">
        <f t="shared" si="3"/>
        <v>60.5</v>
      </c>
      <c r="Q9" s="103">
        <f t="shared" si="4"/>
        <v>648.19999999999993</v>
      </c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</row>
    <row r="10" spans="1:33">
      <c r="A10" s="103">
        <v>1989</v>
      </c>
      <c r="B10" s="103">
        <v>10.7</v>
      </c>
      <c r="C10" s="103">
        <v>11.1</v>
      </c>
      <c r="D10" s="103">
        <v>55.1</v>
      </c>
      <c r="E10" s="103">
        <v>39</v>
      </c>
      <c r="F10" s="103">
        <v>68.8</v>
      </c>
      <c r="G10" s="103">
        <v>240.4</v>
      </c>
      <c r="H10" s="103">
        <v>87.1</v>
      </c>
      <c r="I10" s="103">
        <v>76.599999999999994</v>
      </c>
      <c r="J10" s="103">
        <v>55.6</v>
      </c>
      <c r="K10" s="103">
        <v>77.099999999999994</v>
      </c>
      <c r="L10" s="103">
        <v>37</v>
      </c>
      <c r="M10" s="103">
        <v>22.7</v>
      </c>
      <c r="N10" s="103">
        <f t="shared" si="1"/>
        <v>115.9</v>
      </c>
      <c r="O10" s="103">
        <f t="shared" si="2"/>
        <v>528.5</v>
      </c>
      <c r="P10" s="103">
        <f t="shared" si="3"/>
        <v>136.79999999999998</v>
      </c>
      <c r="Q10" s="103">
        <f t="shared" si="4"/>
        <v>781.20000000000016</v>
      </c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</row>
    <row r="11" spans="1:33">
      <c r="A11" s="103">
        <v>1990</v>
      </c>
      <c r="B11" s="103">
        <v>9</v>
      </c>
      <c r="C11" s="103">
        <v>5.5</v>
      </c>
      <c r="D11" s="103">
        <v>20.399999999999999</v>
      </c>
      <c r="E11" s="103">
        <v>34.5</v>
      </c>
      <c r="F11" s="103">
        <v>40.700000000000003</v>
      </c>
      <c r="G11" s="103">
        <v>143.9</v>
      </c>
      <c r="H11" s="103">
        <v>54.5</v>
      </c>
      <c r="I11" s="103">
        <v>71.5</v>
      </c>
      <c r="J11" s="103">
        <v>76.900000000000006</v>
      </c>
      <c r="K11" s="103">
        <v>115.2</v>
      </c>
      <c r="L11" s="103">
        <v>32</v>
      </c>
      <c r="M11" s="103">
        <v>9.6999999999999993</v>
      </c>
      <c r="N11" s="103">
        <f t="shared" si="1"/>
        <v>69.400000000000006</v>
      </c>
      <c r="O11" s="103">
        <f t="shared" si="2"/>
        <v>387.5</v>
      </c>
      <c r="P11" s="103">
        <f t="shared" si="3"/>
        <v>156.89999999999998</v>
      </c>
      <c r="Q11" s="103">
        <f t="shared" si="4"/>
        <v>613.80000000000007</v>
      </c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</row>
    <row r="12" spans="1:33">
      <c r="A12" s="103">
        <v>1991</v>
      </c>
      <c r="B12" s="103">
        <v>11.3</v>
      </c>
      <c r="C12" s="103">
        <v>10.6</v>
      </c>
      <c r="D12" s="103">
        <v>45.3</v>
      </c>
      <c r="E12" s="103">
        <v>40.799999999999997</v>
      </c>
      <c r="F12" s="103">
        <v>62.3</v>
      </c>
      <c r="G12" s="103">
        <v>170.5</v>
      </c>
      <c r="H12" s="103">
        <v>61.5</v>
      </c>
      <c r="I12" s="103">
        <v>172.1</v>
      </c>
      <c r="J12" s="103">
        <v>57.2</v>
      </c>
      <c r="K12" s="103">
        <v>92.1</v>
      </c>
      <c r="L12" s="103">
        <v>32.9</v>
      </c>
      <c r="M12" s="103">
        <v>25</v>
      </c>
      <c r="N12" s="103">
        <f t="shared" si="1"/>
        <v>107.99999999999999</v>
      </c>
      <c r="O12" s="103">
        <f t="shared" si="2"/>
        <v>523.6</v>
      </c>
      <c r="P12" s="103">
        <f t="shared" si="3"/>
        <v>150</v>
      </c>
      <c r="Q12" s="103">
        <f t="shared" si="4"/>
        <v>781.6</v>
      </c>
      <c r="R12" s="103"/>
      <c r="S12" s="103"/>
      <c r="T12" s="103"/>
      <c r="U12" s="103"/>
      <c r="V12" s="103"/>
      <c r="W12" s="103"/>
      <c r="X12" s="103"/>
      <c r="Y12" s="103"/>
      <c r="Z12" s="103"/>
      <c r="AA12" s="103"/>
      <c r="AB12" s="103"/>
      <c r="AC12" s="103"/>
      <c r="AD12" s="103"/>
      <c r="AE12" s="103"/>
      <c r="AF12" s="103"/>
      <c r="AG12" s="103"/>
    </row>
    <row r="13" spans="1:33">
      <c r="A13" s="103">
        <v>1992</v>
      </c>
      <c r="B13" s="103">
        <v>8.1</v>
      </c>
      <c r="C13" s="103">
        <v>17.3</v>
      </c>
      <c r="D13" s="103">
        <v>39.5</v>
      </c>
      <c r="E13" s="103">
        <v>36.5</v>
      </c>
      <c r="F13" s="103">
        <v>54.2</v>
      </c>
      <c r="G13" s="103">
        <v>227.4</v>
      </c>
      <c r="H13" s="103">
        <v>105.2</v>
      </c>
      <c r="I13" s="103">
        <v>62.8</v>
      </c>
      <c r="J13" s="103">
        <v>62.8</v>
      </c>
      <c r="K13" s="103">
        <v>104.6</v>
      </c>
      <c r="L13" s="103">
        <v>9.8000000000000007</v>
      </c>
      <c r="M13" s="103">
        <v>36.5</v>
      </c>
      <c r="N13" s="103">
        <f t="shared" si="1"/>
        <v>101.4</v>
      </c>
      <c r="O13" s="103">
        <f t="shared" si="2"/>
        <v>512.4</v>
      </c>
      <c r="P13" s="103">
        <f t="shared" si="3"/>
        <v>150.89999999999998</v>
      </c>
      <c r="Q13" s="103">
        <f t="shared" si="4"/>
        <v>764.69999999999993</v>
      </c>
      <c r="R13" s="103"/>
      <c r="S13" s="103"/>
      <c r="T13" s="103"/>
      <c r="U13" s="103"/>
      <c r="V13" s="103"/>
      <c r="W13" s="103"/>
      <c r="X13" s="103"/>
      <c r="Y13" s="103"/>
      <c r="Z13" s="103"/>
      <c r="AA13" s="103"/>
      <c r="AB13" s="103"/>
      <c r="AC13" s="103"/>
      <c r="AD13" s="103"/>
      <c r="AE13" s="103"/>
      <c r="AF13" s="103"/>
      <c r="AG13" s="103"/>
    </row>
    <row r="14" spans="1:33">
      <c r="A14" s="103">
        <v>1993</v>
      </c>
      <c r="B14" s="103">
        <v>16.7</v>
      </c>
      <c r="C14" s="103">
        <v>3.9</v>
      </c>
      <c r="D14" s="103">
        <v>33.299999999999997</v>
      </c>
      <c r="E14" s="103">
        <v>25.5</v>
      </c>
      <c r="F14" s="103">
        <v>83.5</v>
      </c>
      <c r="G14" s="103">
        <v>222.8</v>
      </c>
      <c r="H14" s="103">
        <v>38.9</v>
      </c>
      <c r="I14" s="103">
        <v>56.4</v>
      </c>
      <c r="J14" s="103">
        <v>61.9</v>
      </c>
      <c r="K14" s="103">
        <v>101.9</v>
      </c>
      <c r="L14" s="103">
        <v>34.799999999999997</v>
      </c>
      <c r="M14" s="103">
        <v>8.1</v>
      </c>
      <c r="N14" s="103">
        <f t="shared" si="1"/>
        <v>79.399999999999991</v>
      </c>
      <c r="O14" s="103">
        <f t="shared" si="2"/>
        <v>463.49999999999994</v>
      </c>
      <c r="P14" s="103">
        <f t="shared" si="3"/>
        <v>144.79999999999998</v>
      </c>
      <c r="Q14" s="103">
        <f t="shared" si="4"/>
        <v>687.69999999999993</v>
      </c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</row>
    <row r="15" spans="1:33">
      <c r="A15" s="103">
        <v>1994</v>
      </c>
      <c r="B15" s="103">
        <v>24.1</v>
      </c>
      <c r="C15" s="103">
        <v>7.5</v>
      </c>
      <c r="D15" s="103">
        <v>31.2</v>
      </c>
      <c r="E15" s="103">
        <v>38.799999999999997</v>
      </c>
      <c r="F15" s="103">
        <v>143.30000000000001</v>
      </c>
      <c r="G15" s="103">
        <v>195.8</v>
      </c>
      <c r="H15" s="103">
        <v>29.8</v>
      </c>
      <c r="I15" s="103">
        <v>18.7</v>
      </c>
      <c r="J15" s="103">
        <v>86.5</v>
      </c>
      <c r="K15" s="103">
        <v>163.1</v>
      </c>
      <c r="L15" s="103">
        <v>63.2</v>
      </c>
      <c r="M15" s="103">
        <v>33.1</v>
      </c>
      <c r="N15" s="103">
        <f t="shared" si="1"/>
        <v>101.6</v>
      </c>
      <c r="O15" s="103">
        <f t="shared" si="2"/>
        <v>474.1</v>
      </c>
      <c r="P15" s="103">
        <f t="shared" si="3"/>
        <v>259.40000000000003</v>
      </c>
      <c r="Q15" s="103">
        <f t="shared" si="4"/>
        <v>835.10000000000014</v>
      </c>
      <c r="R15" s="103"/>
      <c r="S15" s="103"/>
      <c r="T15" s="103"/>
      <c r="U15" s="103"/>
      <c r="V15" s="103"/>
      <c r="W15" s="103"/>
      <c r="X15" s="103"/>
      <c r="Y15" s="103"/>
      <c r="Z15" s="103"/>
      <c r="AA15" s="103"/>
      <c r="AB15" s="103"/>
      <c r="AC15" s="103"/>
      <c r="AD15" s="103"/>
      <c r="AE15" s="103"/>
      <c r="AF15" s="103"/>
      <c r="AG15" s="103"/>
    </row>
    <row r="16" spans="1:33">
      <c r="A16" s="103">
        <v>1995</v>
      </c>
      <c r="B16" s="103">
        <v>35.700000000000003</v>
      </c>
      <c r="C16" s="103">
        <v>19.5</v>
      </c>
      <c r="D16" s="103">
        <v>42.8</v>
      </c>
      <c r="E16" s="103">
        <v>38.200000000000003</v>
      </c>
      <c r="F16" s="103">
        <v>173.6</v>
      </c>
      <c r="G16" s="103">
        <v>485.1</v>
      </c>
      <c r="H16" s="103">
        <v>73.599999999999994</v>
      </c>
      <c r="I16" s="103">
        <v>166.4</v>
      </c>
      <c r="J16" s="103">
        <v>81.3</v>
      </c>
      <c r="K16" s="103">
        <v>84.3</v>
      </c>
      <c r="L16" s="103">
        <v>39.5</v>
      </c>
      <c r="M16" s="103">
        <v>6.3</v>
      </c>
      <c r="N16" s="103">
        <f t="shared" si="1"/>
        <v>136.19999999999999</v>
      </c>
      <c r="O16" s="103">
        <f t="shared" si="2"/>
        <v>980</v>
      </c>
      <c r="P16" s="103">
        <f t="shared" si="3"/>
        <v>130.1</v>
      </c>
      <c r="Q16" s="103">
        <f t="shared" si="4"/>
        <v>1246.3</v>
      </c>
      <c r="R16" s="103"/>
      <c r="S16" s="103"/>
      <c r="T16" s="103"/>
      <c r="U16" s="103"/>
      <c r="V16" s="103"/>
      <c r="W16" s="103"/>
      <c r="X16" s="103"/>
      <c r="Y16" s="103"/>
      <c r="Z16" s="103"/>
      <c r="AA16" s="103"/>
      <c r="AB16" s="103"/>
      <c r="AC16" s="103"/>
      <c r="AD16" s="103"/>
      <c r="AE16" s="103"/>
      <c r="AF16" s="103"/>
      <c r="AG16" s="103"/>
    </row>
    <row r="17" spans="1:33">
      <c r="A17" s="103">
        <v>1996</v>
      </c>
      <c r="B17" s="103">
        <v>39.4</v>
      </c>
      <c r="C17" s="103">
        <v>1.6</v>
      </c>
      <c r="D17" s="103">
        <v>39.700000000000003</v>
      </c>
      <c r="E17" s="103">
        <v>65.099999999999994</v>
      </c>
      <c r="F17" s="103">
        <v>133.6</v>
      </c>
      <c r="G17" s="103">
        <v>233.6</v>
      </c>
      <c r="H17" s="103">
        <v>278.10000000000002</v>
      </c>
      <c r="I17" s="103">
        <v>139.69999999999999</v>
      </c>
      <c r="J17" s="103">
        <v>69.400000000000006</v>
      </c>
      <c r="K17" s="103">
        <v>29.8</v>
      </c>
      <c r="L17" s="103">
        <v>92.7</v>
      </c>
      <c r="M17" s="103">
        <v>9.3000000000000007</v>
      </c>
      <c r="N17" s="103">
        <f t="shared" si="1"/>
        <v>145.80000000000001</v>
      </c>
      <c r="O17" s="103">
        <f t="shared" si="2"/>
        <v>854.4</v>
      </c>
      <c r="P17" s="103">
        <f t="shared" si="3"/>
        <v>131.80000000000001</v>
      </c>
      <c r="Q17" s="103">
        <f t="shared" si="4"/>
        <v>1132</v>
      </c>
      <c r="R17" s="103"/>
      <c r="S17" s="103"/>
      <c r="T17" s="103"/>
      <c r="U17" s="103"/>
      <c r="V17" s="103"/>
      <c r="W17" s="103"/>
      <c r="X17" s="103"/>
      <c r="Y17" s="103"/>
      <c r="Z17" s="103"/>
      <c r="AA17" s="103"/>
      <c r="AB17" s="103"/>
      <c r="AC17" s="103"/>
      <c r="AD17" s="103"/>
      <c r="AE17" s="103"/>
      <c r="AF17" s="103"/>
      <c r="AG17" s="103"/>
    </row>
    <row r="18" spans="1:33">
      <c r="A18" s="103">
        <v>1997</v>
      </c>
      <c r="B18" s="103">
        <v>40.200000000000003</v>
      </c>
      <c r="C18" s="103">
        <v>34.200000000000003</v>
      </c>
      <c r="D18" s="103">
        <v>20</v>
      </c>
      <c r="E18" s="103">
        <v>117.4</v>
      </c>
      <c r="F18" s="103">
        <v>113.5</v>
      </c>
      <c r="G18" s="103">
        <v>200.8</v>
      </c>
      <c r="H18" s="103">
        <v>218.5</v>
      </c>
      <c r="I18" s="103">
        <v>41.9</v>
      </c>
      <c r="J18" s="103">
        <v>100.5</v>
      </c>
      <c r="K18" s="103">
        <v>89.4</v>
      </c>
      <c r="L18" s="103">
        <v>4.0999999999999996</v>
      </c>
      <c r="M18" s="103">
        <v>26.1</v>
      </c>
      <c r="N18" s="103">
        <f t="shared" si="1"/>
        <v>211.8</v>
      </c>
      <c r="O18" s="103">
        <f t="shared" si="2"/>
        <v>675.19999999999993</v>
      </c>
      <c r="P18" s="103">
        <f t="shared" si="3"/>
        <v>119.6</v>
      </c>
      <c r="Q18" s="103">
        <f t="shared" si="4"/>
        <v>1006.6</v>
      </c>
      <c r="R18" s="103"/>
      <c r="S18" s="103"/>
      <c r="T18" s="103"/>
      <c r="U18" s="103"/>
      <c r="V18" s="103"/>
      <c r="W18" s="103"/>
      <c r="X18" s="103"/>
      <c r="Y18" s="103"/>
      <c r="Z18" s="103"/>
      <c r="AA18" s="103"/>
      <c r="AB18" s="103"/>
      <c r="AC18" s="103"/>
      <c r="AD18" s="103"/>
      <c r="AE18" s="103"/>
      <c r="AF18" s="103"/>
      <c r="AG18" s="103"/>
    </row>
    <row r="19" spans="1:33">
      <c r="A19" s="103">
        <v>1998</v>
      </c>
      <c r="B19" s="103">
        <v>17.399999999999999</v>
      </c>
      <c r="C19" s="103">
        <v>15.1</v>
      </c>
      <c r="D19" s="103">
        <v>13.6</v>
      </c>
      <c r="E19" s="103">
        <v>95.8</v>
      </c>
      <c r="F19" s="103">
        <v>142.1</v>
      </c>
      <c r="G19" s="103">
        <v>195.4</v>
      </c>
      <c r="H19" s="103">
        <v>84</v>
      </c>
      <c r="I19" s="103">
        <v>237.4</v>
      </c>
      <c r="J19" s="103">
        <v>43</v>
      </c>
      <c r="K19" s="103">
        <v>151.30000000000001</v>
      </c>
      <c r="L19" s="103">
        <v>33.299999999999997</v>
      </c>
      <c r="M19" s="103">
        <v>19.3</v>
      </c>
      <c r="N19" s="103">
        <f t="shared" si="1"/>
        <v>141.9</v>
      </c>
      <c r="O19" s="103">
        <f t="shared" si="2"/>
        <v>701.9</v>
      </c>
      <c r="P19" s="103">
        <f t="shared" si="3"/>
        <v>203.90000000000003</v>
      </c>
      <c r="Q19" s="103">
        <f t="shared" si="4"/>
        <v>1047.6999999999998</v>
      </c>
      <c r="R19" s="103"/>
      <c r="S19" s="103"/>
      <c r="T19" s="103"/>
      <c r="U19" s="103"/>
      <c r="V19" s="103"/>
      <c r="W19" s="103"/>
      <c r="X19" s="103"/>
      <c r="Y19" s="103"/>
      <c r="Z19" s="103"/>
      <c r="AA19" s="103"/>
      <c r="AB19" s="103"/>
      <c r="AC19" s="103"/>
      <c r="AD19" s="103"/>
      <c r="AE19" s="103"/>
      <c r="AF19" s="103"/>
      <c r="AG19" s="103"/>
    </row>
    <row r="20" spans="1:33">
      <c r="A20" s="103">
        <v>1999</v>
      </c>
      <c r="B20" s="103">
        <v>47.8</v>
      </c>
      <c r="C20" s="103">
        <v>10.199999999999999</v>
      </c>
      <c r="D20" s="103">
        <v>14</v>
      </c>
      <c r="E20" s="103">
        <v>73.400000000000006</v>
      </c>
      <c r="F20" s="103">
        <v>171</v>
      </c>
      <c r="G20" s="103">
        <v>160.4</v>
      </c>
      <c r="H20" s="103">
        <v>256.8</v>
      </c>
      <c r="I20" s="103">
        <v>134.1</v>
      </c>
      <c r="J20" s="103">
        <v>56.6</v>
      </c>
      <c r="K20" s="103">
        <v>72.5</v>
      </c>
      <c r="L20" s="103">
        <v>41.2</v>
      </c>
      <c r="M20" s="103">
        <v>8.3000000000000007</v>
      </c>
      <c r="N20" s="103">
        <f t="shared" si="1"/>
        <v>145.4</v>
      </c>
      <c r="O20" s="103">
        <f t="shared" si="2"/>
        <v>778.90000000000009</v>
      </c>
      <c r="P20" s="103">
        <f t="shared" si="3"/>
        <v>122</v>
      </c>
      <c r="Q20" s="103">
        <f t="shared" si="4"/>
        <v>1046.3</v>
      </c>
      <c r="R20" s="103"/>
      <c r="S20" s="103"/>
      <c r="T20" s="103"/>
      <c r="U20" s="103"/>
      <c r="V20" s="103"/>
      <c r="W20" s="103"/>
      <c r="X20" s="103"/>
      <c r="Y20" s="103"/>
      <c r="Z20" s="103"/>
      <c r="AA20" s="103"/>
      <c r="AB20" s="103"/>
      <c r="AC20" s="103"/>
      <c r="AD20" s="103"/>
      <c r="AE20" s="103"/>
      <c r="AF20" s="103"/>
      <c r="AG20" s="103"/>
    </row>
    <row r="21" spans="1:33">
      <c r="A21" s="103">
        <v>2000</v>
      </c>
      <c r="B21" s="103">
        <v>32.299999999999997</v>
      </c>
      <c r="C21" s="103">
        <v>19.2</v>
      </c>
      <c r="D21" s="103">
        <v>27</v>
      </c>
      <c r="E21" s="103">
        <v>105.9</v>
      </c>
      <c r="F21" s="103">
        <v>89.8</v>
      </c>
      <c r="G21" s="103">
        <v>351.3</v>
      </c>
      <c r="H21" s="103">
        <v>132</v>
      </c>
      <c r="I21" s="103">
        <v>164.6</v>
      </c>
      <c r="J21" s="103">
        <v>147.4</v>
      </c>
      <c r="K21" s="103">
        <v>95.2</v>
      </c>
      <c r="L21" s="103">
        <v>44.7</v>
      </c>
      <c r="M21" s="103">
        <v>12.1</v>
      </c>
      <c r="N21" s="103">
        <f t="shared" si="1"/>
        <v>184.4</v>
      </c>
      <c r="O21" s="103">
        <f t="shared" si="2"/>
        <v>885.1</v>
      </c>
      <c r="P21" s="103">
        <f t="shared" si="3"/>
        <v>152</v>
      </c>
      <c r="Q21" s="103">
        <f t="shared" si="4"/>
        <v>1221.5</v>
      </c>
      <c r="R21" s="103"/>
      <c r="S21" s="103"/>
      <c r="T21" s="103"/>
      <c r="U21" s="103"/>
      <c r="V21" s="103"/>
      <c r="W21" s="103"/>
      <c r="X21" s="103"/>
      <c r="Y21" s="103"/>
      <c r="Z21" s="103"/>
      <c r="AA21" s="103"/>
      <c r="AB21" s="103"/>
      <c r="AC21" s="103"/>
      <c r="AD21" s="103"/>
      <c r="AE21" s="103"/>
      <c r="AF21" s="103"/>
      <c r="AG21" s="103"/>
    </row>
    <row r="22" spans="1:33">
      <c r="A22" s="103">
        <v>2001</v>
      </c>
      <c r="B22" s="103">
        <v>10.1</v>
      </c>
      <c r="C22" s="103">
        <v>23.5</v>
      </c>
      <c r="D22" s="103">
        <v>33.6</v>
      </c>
      <c r="E22" s="103">
        <v>106.8</v>
      </c>
      <c r="F22" s="103">
        <v>116.3</v>
      </c>
      <c r="G22" s="103">
        <v>215.7</v>
      </c>
      <c r="H22" s="103">
        <v>107.4</v>
      </c>
      <c r="I22" s="103">
        <v>42.6</v>
      </c>
      <c r="J22" s="103">
        <v>76.400000000000006</v>
      </c>
      <c r="K22" s="103">
        <v>156.4</v>
      </c>
      <c r="L22" s="103">
        <v>19</v>
      </c>
      <c r="M22" s="103">
        <v>15.5</v>
      </c>
      <c r="N22" s="103">
        <f t="shared" si="1"/>
        <v>174</v>
      </c>
      <c r="O22" s="103">
        <f t="shared" si="2"/>
        <v>558.4</v>
      </c>
      <c r="P22" s="103">
        <f t="shared" si="3"/>
        <v>190.9</v>
      </c>
      <c r="Q22" s="103">
        <f t="shared" si="4"/>
        <v>923.3</v>
      </c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  <c r="AC22" s="103"/>
      <c r="AD22" s="103"/>
      <c r="AE22" s="103"/>
      <c r="AF22" s="103"/>
      <c r="AG22" s="103"/>
    </row>
    <row r="23" spans="1:33">
      <c r="A23" s="103">
        <v>2002</v>
      </c>
      <c r="B23" s="103">
        <v>25</v>
      </c>
      <c r="C23" s="103">
        <v>32.1</v>
      </c>
      <c r="D23" s="103">
        <v>53.6</v>
      </c>
      <c r="E23" s="103">
        <v>117.2</v>
      </c>
      <c r="F23" s="103">
        <v>187.8</v>
      </c>
      <c r="G23" s="103">
        <v>283.2</v>
      </c>
      <c r="H23" s="103">
        <v>212.5</v>
      </c>
      <c r="I23" s="103">
        <v>231.6</v>
      </c>
      <c r="J23" s="103">
        <v>50.1</v>
      </c>
      <c r="K23" s="103">
        <v>125.9</v>
      </c>
      <c r="L23" s="103">
        <v>25</v>
      </c>
      <c r="M23" s="103">
        <v>36.700000000000003</v>
      </c>
      <c r="N23" s="103">
        <f t="shared" si="1"/>
        <v>227.9</v>
      </c>
      <c r="O23" s="103">
        <f t="shared" si="2"/>
        <v>965.2</v>
      </c>
      <c r="P23" s="103">
        <f t="shared" si="3"/>
        <v>187.60000000000002</v>
      </c>
      <c r="Q23" s="103">
        <f t="shared" si="4"/>
        <v>1380.7</v>
      </c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  <c r="AC23" s="103"/>
      <c r="AD23" s="103"/>
      <c r="AE23" s="103"/>
      <c r="AF23" s="103"/>
      <c r="AG23" s="103"/>
    </row>
    <row r="24" spans="1:33">
      <c r="A24" s="103">
        <v>2003</v>
      </c>
      <c r="B24" s="103">
        <v>15</v>
      </c>
      <c r="C24" s="103">
        <v>6.9</v>
      </c>
      <c r="D24" s="103">
        <v>20.6</v>
      </c>
      <c r="E24" s="103">
        <v>73.7</v>
      </c>
      <c r="F24" s="103">
        <v>150.69999999999999</v>
      </c>
      <c r="G24" s="103">
        <v>193</v>
      </c>
      <c r="H24" s="103">
        <v>288.89999999999998</v>
      </c>
      <c r="I24" s="103">
        <v>35.700000000000003</v>
      </c>
      <c r="J24" s="103">
        <v>134.6</v>
      </c>
      <c r="K24" s="103">
        <v>34.799999999999997</v>
      </c>
      <c r="L24" s="103">
        <v>40.9</v>
      </c>
      <c r="M24" s="103">
        <v>52.8</v>
      </c>
      <c r="N24" s="103">
        <f t="shared" si="1"/>
        <v>116.2</v>
      </c>
      <c r="O24" s="103">
        <f t="shared" si="2"/>
        <v>802.9</v>
      </c>
      <c r="P24" s="103">
        <f t="shared" si="3"/>
        <v>128.5</v>
      </c>
      <c r="Q24" s="103">
        <f t="shared" si="4"/>
        <v>1047.5999999999999</v>
      </c>
      <c r="R24" s="103"/>
      <c r="S24" s="103"/>
      <c r="T24" s="103"/>
      <c r="U24" s="103"/>
      <c r="V24" s="103"/>
      <c r="W24" s="103"/>
      <c r="X24" s="103"/>
      <c r="Y24" s="103"/>
      <c r="Z24" s="103"/>
      <c r="AA24" s="103"/>
      <c r="AB24" s="103"/>
      <c r="AC24" s="103"/>
      <c r="AD24" s="103"/>
      <c r="AE24" s="103"/>
      <c r="AF24" s="103"/>
      <c r="AG24" s="103"/>
    </row>
    <row r="25" spans="1:33">
      <c r="A25" s="103">
        <v>2004</v>
      </c>
      <c r="B25" s="103">
        <v>39.9</v>
      </c>
      <c r="C25" s="103">
        <v>44.5</v>
      </c>
      <c r="D25" s="103">
        <v>29</v>
      </c>
      <c r="E25" s="103">
        <v>57.6</v>
      </c>
      <c r="F25" s="103">
        <v>135.6</v>
      </c>
      <c r="G25" s="103">
        <v>158.19999999999999</v>
      </c>
      <c r="H25" s="103">
        <v>252.6</v>
      </c>
      <c r="I25" s="103">
        <v>148.5</v>
      </c>
      <c r="J25" s="103">
        <v>120.7</v>
      </c>
      <c r="K25" s="103">
        <v>41.9</v>
      </c>
      <c r="L25" s="103">
        <v>42.6</v>
      </c>
      <c r="M25" s="103">
        <v>8.6999999999999993</v>
      </c>
      <c r="N25" s="103">
        <f t="shared" si="1"/>
        <v>171</v>
      </c>
      <c r="O25" s="103">
        <f t="shared" si="2"/>
        <v>815.6</v>
      </c>
      <c r="P25" s="103">
        <f t="shared" si="3"/>
        <v>93.2</v>
      </c>
      <c r="Q25" s="103">
        <f t="shared" si="4"/>
        <v>1079.8</v>
      </c>
      <c r="R25" s="103"/>
      <c r="S25" s="103"/>
      <c r="T25" s="103"/>
      <c r="U25" s="103"/>
      <c r="V25" s="103"/>
      <c r="W25" s="103"/>
      <c r="X25" s="103"/>
      <c r="Y25" s="103"/>
      <c r="Z25" s="103"/>
      <c r="AA25" s="103"/>
      <c r="AB25" s="103"/>
      <c r="AC25" s="103"/>
      <c r="AD25" s="103"/>
      <c r="AE25" s="103"/>
      <c r="AF25" s="103"/>
      <c r="AG25" s="103"/>
    </row>
    <row r="26" spans="1:33">
      <c r="A26" s="103">
        <v>2005</v>
      </c>
      <c r="B26" s="103">
        <v>20.399999999999999</v>
      </c>
      <c r="C26" s="103">
        <v>10.1</v>
      </c>
      <c r="D26" s="103">
        <v>37.700000000000003</v>
      </c>
      <c r="E26" s="103">
        <v>70.900000000000006</v>
      </c>
      <c r="F26" s="103">
        <v>274.8</v>
      </c>
      <c r="G26" s="103">
        <v>45</v>
      </c>
      <c r="H26" s="103">
        <v>141.6</v>
      </c>
      <c r="I26" s="103">
        <v>70.2</v>
      </c>
      <c r="J26" s="103">
        <v>59.6</v>
      </c>
      <c r="K26" s="103">
        <v>114.2</v>
      </c>
      <c r="L26" s="103">
        <v>25.6</v>
      </c>
      <c r="M26" s="103">
        <v>21.3</v>
      </c>
      <c r="N26" s="103">
        <f t="shared" si="1"/>
        <v>139.10000000000002</v>
      </c>
      <c r="O26" s="103">
        <f t="shared" si="2"/>
        <v>591.20000000000005</v>
      </c>
      <c r="P26" s="103">
        <f t="shared" si="3"/>
        <v>161.10000000000002</v>
      </c>
      <c r="Q26" s="103">
        <f t="shared" si="4"/>
        <v>891.40000000000009</v>
      </c>
      <c r="R26" s="103"/>
      <c r="S26" s="103"/>
      <c r="T26" s="103"/>
      <c r="U26" s="103"/>
      <c r="V26" s="103"/>
      <c r="W26" s="103"/>
      <c r="X26" s="103"/>
      <c r="Y26" s="103"/>
      <c r="Z26" s="103"/>
      <c r="AA26" s="103"/>
      <c r="AB26" s="103"/>
      <c r="AC26" s="103"/>
      <c r="AD26" s="103"/>
      <c r="AE26" s="103"/>
      <c r="AF26" s="103"/>
      <c r="AG26" s="103"/>
    </row>
    <row r="27" spans="1:33">
      <c r="A27" s="103">
        <v>2006</v>
      </c>
      <c r="B27" s="103">
        <v>10.8</v>
      </c>
      <c r="C27" s="103">
        <v>45.9</v>
      </c>
      <c r="D27" s="103">
        <v>35.6</v>
      </c>
      <c r="E27" s="103">
        <v>37.200000000000003</v>
      </c>
      <c r="F27" s="103">
        <v>123</v>
      </c>
      <c r="G27" s="103">
        <v>103.8</v>
      </c>
      <c r="H27" s="103">
        <v>26.1</v>
      </c>
      <c r="I27" s="103">
        <v>21.4</v>
      </c>
      <c r="J27" s="103">
        <v>57.4</v>
      </c>
      <c r="K27" s="103">
        <v>96.3</v>
      </c>
      <c r="L27" s="103">
        <v>69.7</v>
      </c>
      <c r="M27" s="103">
        <v>27.7</v>
      </c>
      <c r="N27" s="103">
        <f t="shared" si="1"/>
        <v>129.5</v>
      </c>
      <c r="O27" s="103">
        <f t="shared" si="2"/>
        <v>331.7</v>
      </c>
      <c r="P27" s="103">
        <f t="shared" si="3"/>
        <v>193.7</v>
      </c>
      <c r="Q27" s="103">
        <f t="shared" si="4"/>
        <v>654.90000000000009</v>
      </c>
      <c r="R27" s="103"/>
      <c r="S27" s="103"/>
      <c r="T27" s="103"/>
      <c r="U27" s="103"/>
      <c r="V27" s="103"/>
      <c r="W27" s="103"/>
      <c r="X27" s="103"/>
      <c r="Y27" s="103"/>
      <c r="Z27" s="103"/>
      <c r="AA27" s="103"/>
      <c r="AB27" s="103"/>
      <c r="AC27" s="103"/>
      <c r="AD27" s="103"/>
      <c r="AE27" s="103"/>
      <c r="AF27" s="103"/>
      <c r="AG27" s="103"/>
    </row>
    <row r="28" spans="1:33">
      <c r="A28" s="103">
        <v>2007</v>
      </c>
      <c r="B28" s="103">
        <v>27.9</v>
      </c>
      <c r="C28" s="103">
        <v>16</v>
      </c>
      <c r="D28" s="103">
        <v>32.5</v>
      </c>
      <c r="E28" s="103">
        <v>153.69999999999999</v>
      </c>
      <c r="F28" s="103">
        <v>55.5</v>
      </c>
      <c r="G28" s="103">
        <v>152.30000000000001</v>
      </c>
      <c r="H28" s="103">
        <v>159.30000000000001</v>
      </c>
      <c r="I28" s="103">
        <v>176.4</v>
      </c>
      <c r="J28" s="103">
        <v>99.7</v>
      </c>
      <c r="K28" s="103">
        <v>70.7</v>
      </c>
      <c r="L28" s="103">
        <v>10.4</v>
      </c>
      <c r="M28" s="103">
        <v>15.1</v>
      </c>
      <c r="N28" s="103">
        <f t="shared" si="1"/>
        <v>230.1</v>
      </c>
      <c r="O28" s="103">
        <f t="shared" si="2"/>
        <v>643.20000000000005</v>
      </c>
      <c r="P28" s="103">
        <f t="shared" si="3"/>
        <v>96.2</v>
      </c>
      <c r="Q28" s="103">
        <f t="shared" si="4"/>
        <v>969.50000000000011</v>
      </c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</row>
    <row r="29" spans="1:33">
      <c r="A29" s="103">
        <v>2008</v>
      </c>
      <c r="B29" s="103">
        <v>11.4</v>
      </c>
      <c r="C29" s="103">
        <v>19.8</v>
      </c>
      <c r="D29" s="103">
        <v>76.2</v>
      </c>
      <c r="E29" s="103">
        <v>50.3</v>
      </c>
      <c r="F29" s="103">
        <v>114.1</v>
      </c>
      <c r="G29" s="103">
        <v>63.5</v>
      </c>
      <c r="H29" s="103">
        <v>229</v>
      </c>
      <c r="I29" s="103">
        <v>160</v>
      </c>
      <c r="J29" s="103">
        <v>70.7</v>
      </c>
      <c r="K29" s="103">
        <v>151.30000000000001</v>
      </c>
      <c r="L29" s="103">
        <v>83.9</v>
      </c>
      <c r="M29" s="103">
        <v>20.100000000000001</v>
      </c>
      <c r="N29" s="103">
        <f t="shared" si="1"/>
        <v>157.69999999999999</v>
      </c>
      <c r="O29" s="103">
        <f t="shared" si="2"/>
        <v>637.30000000000007</v>
      </c>
      <c r="P29" s="103">
        <f t="shared" si="3"/>
        <v>255.3</v>
      </c>
      <c r="Q29" s="103">
        <f t="shared" si="4"/>
        <v>1050.3</v>
      </c>
      <c r="R29" s="103"/>
      <c r="S29" s="103"/>
      <c r="T29" s="103"/>
      <c r="U29" s="103"/>
      <c r="V29" s="103"/>
      <c r="W29" s="103"/>
      <c r="X29" s="103"/>
      <c r="Y29" s="103"/>
      <c r="Z29" s="103"/>
      <c r="AA29" s="103"/>
      <c r="AB29" s="103"/>
      <c r="AC29" s="103"/>
      <c r="AD29" s="103"/>
      <c r="AE29" s="103"/>
      <c r="AF29" s="103"/>
      <c r="AG29" s="103"/>
    </row>
    <row r="30" spans="1:33">
      <c r="A30" s="103">
        <v>2009</v>
      </c>
      <c r="B30" s="103">
        <v>19.600000000000001</v>
      </c>
      <c r="C30" s="103">
        <v>28.1</v>
      </c>
      <c r="D30" s="103">
        <v>39.299999999999997</v>
      </c>
      <c r="E30" s="103">
        <v>75.099999999999994</v>
      </c>
      <c r="F30" s="103">
        <v>132.9</v>
      </c>
      <c r="G30" s="103">
        <v>135.80000000000001</v>
      </c>
      <c r="H30" s="103">
        <v>57.7</v>
      </c>
      <c r="I30" s="103">
        <v>169.3</v>
      </c>
      <c r="J30" s="103">
        <v>28.1</v>
      </c>
      <c r="K30" s="103">
        <v>42.1</v>
      </c>
      <c r="L30" s="103">
        <v>12.9</v>
      </c>
      <c r="M30" s="103">
        <v>26.5</v>
      </c>
      <c r="N30" s="103">
        <f t="shared" si="1"/>
        <v>162.1</v>
      </c>
      <c r="O30" s="103">
        <f t="shared" si="2"/>
        <v>523.80000000000007</v>
      </c>
      <c r="P30" s="103">
        <f t="shared" si="3"/>
        <v>81.5</v>
      </c>
      <c r="Q30" s="103">
        <f t="shared" si="4"/>
        <v>767.4</v>
      </c>
      <c r="R30" s="103"/>
      <c r="S30" s="103"/>
      <c r="T30" s="103"/>
      <c r="U30" s="103"/>
      <c r="V30" s="103"/>
      <c r="W30" s="103"/>
      <c r="X30" s="103"/>
      <c r="Y30" s="103"/>
      <c r="Z30" s="103"/>
      <c r="AA30" s="103"/>
      <c r="AB30" s="103"/>
      <c r="AC30" s="103"/>
      <c r="AD30" s="103"/>
      <c r="AE30" s="103"/>
      <c r="AF30" s="103"/>
      <c r="AG30" s="103"/>
    </row>
    <row r="31" spans="1:33">
      <c r="A31" s="103">
        <v>2010</v>
      </c>
      <c r="B31" s="103">
        <v>9.8000000000000007</v>
      </c>
      <c r="C31" s="103">
        <v>3.2</v>
      </c>
      <c r="D31" s="103">
        <v>44.3</v>
      </c>
      <c r="E31" s="103">
        <v>54</v>
      </c>
      <c r="F31" s="103">
        <v>123.2</v>
      </c>
      <c r="G31" s="103">
        <v>253.9</v>
      </c>
      <c r="H31" s="103">
        <v>172.8</v>
      </c>
      <c r="I31" s="103">
        <v>12.5</v>
      </c>
      <c r="J31" s="103">
        <v>175.4</v>
      </c>
      <c r="K31" s="103">
        <v>175.4</v>
      </c>
      <c r="L31" s="103">
        <v>117.5</v>
      </c>
      <c r="M31" s="103"/>
      <c r="N31" s="103">
        <f t="shared" si="1"/>
        <v>111.3</v>
      </c>
      <c r="O31" s="103">
        <f t="shared" si="2"/>
        <v>737.80000000000007</v>
      </c>
      <c r="P31" s="103">
        <f t="shared" si="3"/>
        <v>292.89999999999998</v>
      </c>
      <c r="Q31" s="103">
        <f t="shared" si="4"/>
        <v>1142</v>
      </c>
      <c r="R31" s="103"/>
      <c r="S31" s="103"/>
      <c r="T31" s="103"/>
      <c r="U31" s="103"/>
      <c r="V31" s="103"/>
      <c r="W31" s="103"/>
      <c r="X31" s="103"/>
      <c r="Y31" s="103"/>
      <c r="Z31" s="103"/>
      <c r="AA31" s="103"/>
      <c r="AB31" s="103"/>
      <c r="AC31" s="103"/>
      <c r="AD31" s="103"/>
      <c r="AE31" s="103"/>
      <c r="AF31" s="103"/>
      <c r="AG31" s="103"/>
    </row>
    <row r="32" spans="1:33">
      <c r="A32" s="103">
        <v>2011</v>
      </c>
      <c r="B32" s="103">
        <v>14.1</v>
      </c>
      <c r="C32" s="103">
        <v>4.5</v>
      </c>
      <c r="D32" s="103">
        <v>39.1</v>
      </c>
      <c r="E32" s="103">
        <v>27</v>
      </c>
      <c r="F32" s="103">
        <v>58.8</v>
      </c>
      <c r="G32" s="103">
        <v>266.7</v>
      </c>
      <c r="H32" s="103">
        <v>98.8</v>
      </c>
      <c r="I32" s="103">
        <v>51.2</v>
      </c>
      <c r="J32" s="103">
        <v>55.3</v>
      </c>
      <c r="K32" s="103">
        <v>132.9</v>
      </c>
      <c r="L32" s="103">
        <v>45.5</v>
      </c>
      <c r="M32" s="103">
        <v>28.7</v>
      </c>
      <c r="N32" s="103">
        <f t="shared" si="1"/>
        <v>84.7</v>
      </c>
      <c r="O32" s="103">
        <f t="shared" si="2"/>
        <v>530.79999999999995</v>
      </c>
      <c r="P32" s="103">
        <f t="shared" si="3"/>
        <v>207.1</v>
      </c>
      <c r="Q32" s="103">
        <f t="shared" si="4"/>
        <v>822.6</v>
      </c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</row>
    <row r="33" spans="1:33">
      <c r="A33" s="103">
        <v>2012</v>
      </c>
      <c r="B33" s="103">
        <v>22.7</v>
      </c>
      <c r="C33" s="103">
        <v>18.8</v>
      </c>
      <c r="D33" s="103">
        <v>29.2</v>
      </c>
      <c r="E33" s="103">
        <v>82.5</v>
      </c>
      <c r="F33" s="103">
        <v>109.6</v>
      </c>
      <c r="G33" s="103">
        <v>182.9</v>
      </c>
      <c r="H33" s="103">
        <v>204.5</v>
      </c>
      <c r="I33" s="103">
        <v>83.5</v>
      </c>
      <c r="J33" s="103">
        <v>78.900000000000006</v>
      </c>
      <c r="K33" s="103">
        <v>45.6</v>
      </c>
      <c r="L33" s="103">
        <v>33</v>
      </c>
      <c r="M33" s="103">
        <v>22.8</v>
      </c>
      <c r="N33" s="103">
        <f t="shared" si="1"/>
        <v>153.19999999999999</v>
      </c>
      <c r="O33" s="103">
        <f t="shared" si="2"/>
        <v>659.4</v>
      </c>
      <c r="P33" s="103">
        <f t="shared" si="3"/>
        <v>101.39999999999999</v>
      </c>
      <c r="Q33" s="103">
        <f t="shared" si="4"/>
        <v>913.99999999999989</v>
      </c>
      <c r="R33" s="103"/>
      <c r="S33" s="103"/>
      <c r="T33" s="103"/>
      <c r="U33" s="103"/>
      <c r="V33" s="103"/>
      <c r="W33" s="103"/>
      <c r="X33" s="103"/>
      <c r="Y33" s="103"/>
      <c r="Z33" s="103"/>
      <c r="AA33" s="103"/>
      <c r="AB33" s="103"/>
      <c r="AC33" s="103"/>
      <c r="AD33" s="103"/>
      <c r="AE33" s="103"/>
      <c r="AF33" s="103"/>
      <c r="AG33" s="103"/>
    </row>
    <row r="34" spans="1:33">
      <c r="A34" s="103">
        <v>2013</v>
      </c>
      <c r="B34" s="103">
        <v>9.6</v>
      </c>
      <c r="C34" s="103">
        <v>23.5</v>
      </c>
      <c r="D34" s="103">
        <v>41.3</v>
      </c>
      <c r="E34" s="103">
        <v>71.8</v>
      </c>
      <c r="F34" s="103">
        <v>151.6</v>
      </c>
      <c r="G34" s="103">
        <v>172.3</v>
      </c>
      <c r="H34" s="103">
        <v>1.4</v>
      </c>
      <c r="I34" s="103">
        <v>65.099999999999994</v>
      </c>
      <c r="J34" s="103">
        <v>97.5</v>
      </c>
      <c r="K34" s="103">
        <v>76</v>
      </c>
      <c r="L34" s="103">
        <v>21.7</v>
      </c>
      <c r="M34" s="103">
        <v>20.6</v>
      </c>
      <c r="N34" s="103">
        <f t="shared" si="1"/>
        <v>146.19999999999999</v>
      </c>
      <c r="O34" s="103">
        <f t="shared" si="2"/>
        <v>487.9</v>
      </c>
      <c r="P34" s="103">
        <f t="shared" si="3"/>
        <v>118.30000000000001</v>
      </c>
      <c r="Q34" s="103">
        <f t="shared" si="4"/>
        <v>752.4</v>
      </c>
      <c r="R34" s="103"/>
      <c r="S34" s="103"/>
      <c r="T34" s="103"/>
      <c r="U34" s="103"/>
      <c r="V34" s="103"/>
      <c r="W34" s="103"/>
      <c r="X34" s="103"/>
      <c r="Y34" s="103"/>
      <c r="Z34" s="103"/>
      <c r="AA34" s="103"/>
      <c r="AB34" s="103"/>
      <c r="AC34" s="103"/>
      <c r="AD34" s="103"/>
      <c r="AE34" s="103"/>
      <c r="AF34" s="103"/>
      <c r="AG34" s="103"/>
    </row>
    <row r="35" spans="1:33">
      <c r="A35" s="103">
        <v>2014</v>
      </c>
      <c r="B35" s="114">
        <v>17.3</v>
      </c>
      <c r="C35" s="114">
        <v>32.200000000000003</v>
      </c>
      <c r="D35" s="114">
        <v>91.7</v>
      </c>
      <c r="E35" s="114">
        <v>67.8</v>
      </c>
      <c r="F35" s="114">
        <v>157.69999999999999</v>
      </c>
      <c r="G35" s="114">
        <v>177.2</v>
      </c>
      <c r="H35" s="114">
        <v>251.7</v>
      </c>
      <c r="I35" s="114">
        <v>73.900000000000006</v>
      </c>
      <c r="J35" s="114">
        <v>53.5</v>
      </c>
      <c r="K35" s="114">
        <v>58.6</v>
      </c>
      <c r="L35" s="114">
        <v>43.1</v>
      </c>
      <c r="M35" s="114">
        <v>18.2</v>
      </c>
      <c r="N35" s="103">
        <f t="shared" si="1"/>
        <v>209</v>
      </c>
      <c r="O35" s="103">
        <f t="shared" si="2"/>
        <v>713.99999999999989</v>
      </c>
      <c r="P35" s="103">
        <f t="shared" si="3"/>
        <v>119.9</v>
      </c>
      <c r="Q35" s="103">
        <f t="shared" si="4"/>
        <v>1042.8999999999999</v>
      </c>
      <c r="R35" s="103"/>
      <c r="S35" s="103"/>
      <c r="T35" s="103"/>
      <c r="U35" s="103"/>
      <c r="V35" s="103"/>
      <c r="W35" s="103"/>
      <c r="X35" s="103"/>
      <c r="Y35" s="103"/>
      <c r="Z35" s="103"/>
      <c r="AA35" s="103"/>
      <c r="AB35" s="103"/>
      <c r="AC35" s="103"/>
      <c r="AD35" s="103"/>
      <c r="AE35" s="103"/>
      <c r="AF35" s="103"/>
      <c r="AG35" s="103"/>
    </row>
    <row r="36" spans="1:33">
      <c r="A36" s="103">
        <v>2015</v>
      </c>
      <c r="B36" s="114">
        <v>20.8</v>
      </c>
      <c r="C36" s="114">
        <v>19.7</v>
      </c>
      <c r="D36" s="114">
        <v>37.5</v>
      </c>
      <c r="E36" s="114">
        <v>38.799999999999997</v>
      </c>
      <c r="F36" s="114">
        <v>183.1</v>
      </c>
      <c r="G36" s="114">
        <v>237.5</v>
      </c>
      <c r="H36" s="114">
        <v>70.099999999999994</v>
      </c>
      <c r="I36" s="114">
        <v>231</v>
      </c>
      <c r="J36" s="114">
        <v>163.5</v>
      </c>
      <c r="K36" s="114">
        <v>46.3</v>
      </c>
      <c r="L36" s="114">
        <v>30.1</v>
      </c>
      <c r="M36" s="114">
        <v>33.1</v>
      </c>
      <c r="N36" s="103">
        <f t="shared" si="1"/>
        <v>116.8</v>
      </c>
      <c r="O36" s="103">
        <f t="shared" si="2"/>
        <v>885.2</v>
      </c>
      <c r="P36" s="103">
        <f t="shared" si="3"/>
        <v>109.5</v>
      </c>
      <c r="Q36" s="103">
        <f t="shared" si="4"/>
        <v>1111.4999999999998</v>
      </c>
      <c r="R36" s="103"/>
      <c r="S36" s="103"/>
      <c r="T36" s="103"/>
      <c r="U36" s="103"/>
      <c r="V36" s="103"/>
      <c r="W36" s="103"/>
      <c r="X36" s="103"/>
      <c r="Y36" s="103"/>
      <c r="Z36" s="103"/>
      <c r="AA36" s="103"/>
      <c r="AB36" s="103"/>
      <c r="AC36" s="103"/>
      <c r="AD36" s="103"/>
      <c r="AE36" s="103"/>
      <c r="AF36" s="103"/>
      <c r="AG36" s="103"/>
    </row>
    <row r="37" spans="1:33" s="70" customFormat="1">
      <c r="A37" s="117">
        <v>2016</v>
      </c>
      <c r="B37" s="115">
        <v>32.4</v>
      </c>
      <c r="C37" s="115">
        <v>10.7</v>
      </c>
      <c r="D37" s="115">
        <v>76</v>
      </c>
      <c r="E37" s="115">
        <v>114.3</v>
      </c>
      <c r="F37" s="115">
        <v>99.3</v>
      </c>
      <c r="G37" s="115">
        <v>143.69999999999999</v>
      </c>
      <c r="H37" s="115">
        <v>124.6</v>
      </c>
      <c r="I37" s="115">
        <v>165.3</v>
      </c>
      <c r="J37" s="115">
        <v>28.7</v>
      </c>
      <c r="K37" s="115">
        <v>58.6</v>
      </c>
      <c r="L37" s="115">
        <v>46.3</v>
      </c>
      <c r="M37" s="115">
        <v>17.399999999999999</v>
      </c>
      <c r="N37" s="117">
        <f>SUM(B37:E37)</f>
        <v>233.39999999999998</v>
      </c>
      <c r="O37" s="117">
        <f>SUM(F37:J37)</f>
        <v>561.60000000000014</v>
      </c>
      <c r="P37" s="117">
        <f>SUM(K37:M37)</f>
        <v>122.30000000000001</v>
      </c>
      <c r="Q37" s="117">
        <f>SUM(B37:M37)</f>
        <v>917.3</v>
      </c>
      <c r="R37" s="117">
        <f t="shared" ref="R37:AG37" si="5">100*(B37-B4)/B4</f>
        <v>67.577177953774054</v>
      </c>
      <c r="S37" s="117">
        <f t="shared" si="5"/>
        <v>-34.001542020046273</v>
      </c>
      <c r="T37" s="117">
        <f t="shared" si="5"/>
        <v>108.97061350747548</v>
      </c>
      <c r="U37" s="117">
        <f t="shared" si="5"/>
        <v>89.150333557428795</v>
      </c>
      <c r="V37" s="117">
        <f t="shared" si="5"/>
        <v>-15.00789044320217</v>
      </c>
      <c r="W37" s="117">
        <f t="shared" si="5"/>
        <v>-30.903080390683701</v>
      </c>
      <c r="X37" s="117">
        <f t="shared" si="5"/>
        <v>-0.67261222659558573</v>
      </c>
      <c r="Y37" s="117">
        <f t="shared" si="5"/>
        <v>61.199488023404669</v>
      </c>
      <c r="Z37" s="117">
        <f t="shared" si="5"/>
        <v>-63.762626262626263</v>
      </c>
      <c r="AA37" s="117">
        <f t="shared" si="5"/>
        <v>-35.275438354273106</v>
      </c>
      <c r="AB37" s="117">
        <f t="shared" si="5"/>
        <v>20.162206001622053</v>
      </c>
      <c r="AC37" s="117">
        <f t="shared" si="5"/>
        <v>-16.333178222429073</v>
      </c>
      <c r="AD37" s="117">
        <f t="shared" si="5"/>
        <v>76.358913813459282</v>
      </c>
      <c r="AE37" s="117">
        <f t="shared" si="5"/>
        <v>-11.137922338642284</v>
      </c>
      <c r="AF37" s="117">
        <f t="shared" si="5"/>
        <v>-18.038074095792552</v>
      </c>
      <c r="AG37" s="117">
        <f t="shared" si="5"/>
        <v>0.41048656340647871</v>
      </c>
    </row>
    <row r="38" spans="1:33">
      <c r="A38" s="103"/>
      <c r="N38" s="103"/>
      <c r="O38" s="103"/>
      <c r="P38" s="103"/>
      <c r="Q38" s="103"/>
      <c r="R38" s="103"/>
      <c r="S38" s="103"/>
      <c r="T38" s="103"/>
      <c r="U38" s="103"/>
      <c r="V38" s="103"/>
      <c r="W38" s="103"/>
      <c r="X38" s="103"/>
      <c r="Y38" s="103"/>
      <c r="Z38" s="103"/>
      <c r="AA38" s="103"/>
      <c r="AB38" s="103"/>
      <c r="AC38" s="103"/>
      <c r="AD38" s="103"/>
      <c r="AE38" s="103"/>
      <c r="AF38" s="103"/>
      <c r="AG38" s="103"/>
    </row>
  </sheetData>
  <phoneticPr fontId="2" type="noConversion"/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/>
  <dimension ref="A1:AG37"/>
  <sheetViews>
    <sheetView zoomScaleNormal="100" workbookViewId="0">
      <pane ySplit="5" topLeftCell="A6" activePane="bottomLeft" state="frozen"/>
      <selection pane="bottomLeft" activeCell="M40" sqref="M40"/>
    </sheetView>
  </sheetViews>
  <sheetFormatPr defaultRowHeight="14.25"/>
  <cols>
    <col min="1" max="1" width="6.625" customWidth="1"/>
    <col min="2" max="10" width="6.625" style="2" customWidth="1"/>
    <col min="11" max="11" width="6.625" style="37" customWidth="1"/>
    <col min="12" max="33" width="6.625" style="2" customWidth="1"/>
    <col min="34" max="42" width="6.625" customWidth="1"/>
  </cols>
  <sheetData>
    <row r="1" spans="1:33" s="105" customFormat="1" ht="14.25" customHeight="1">
      <c r="A1" s="106" t="s">
        <v>0</v>
      </c>
      <c r="B1" s="106" t="s">
        <v>1</v>
      </c>
      <c r="C1" s="106"/>
      <c r="D1" s="106"/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 t="s">
        <v>2</v>
      </c>
      <c r="S1" s="106"/>
      <c r="T1" s="106"/>
      <c r="U1" s="106"/>
      <c r="V1" s="106"/>
      <c r="W1" s="106"/>
      <c r="X1" s="106"/>
      <c r="Y1" s="106"/>
      <c r="Z1" s="106"/>
      <c r="AA1" s="106"/>
      <c r="AB1" s="106"/>
      <c r="AC1" s="106"/>
      <c r="AD1" s="106"/>
      <c r="AE1" s="106"/>
      <c r="AF1" s="106"/>
      <c r="AG1" s="106"/>
    </row>
    <row r="2" spans="1:33" s="105" customFormat="1" ht="12.75">
      <c r="A2" s="106"/>
      <c r="B2" s="106" t="s">
        <v>3</v>
      </c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 t="s">
        <v>32</v>
      </c>
      <c r="O2" s="106"/>
      <c r="P2" s="106"/>
      <c r="Q2" s="106"/>
      <c r="R2" s="106" t="s">
        <v>6</v>
      </c>
      <c r="S2" s="106"/>
      <c r="T2" s="106"/>
      <c r="U2" s="106"/>
      <c r="V2" s="106"/>
      <c r="W2" s="106"/>
      <c r="X2" s="106"/>
      <c r="Y2" s="106"/>
      <c r="Z2" s="106"/>
      <c r="AA2" s="106"/>
      <c r="AB2" s="106"/>
      <c r="AC2" s="106"/>
      <c r="AD2" s="106"/>
      <c r="AE2" s="106"/>
      <c r="AF2" s="106"/>
      <c r="AG2" s="106"/>
    </row>
    <row r="3" spans="1:33" s="105" customFormat="1" ht="24">
      <c r="A3" s="106"/>
      <c r="B3" s="106" t="s">
        <v>7</v>
      </c>
      <c r="C3" s="106" t="s">
        <v>8</v>
      </c>
      <c r="D3" s="106" t="s">
        <v>9</v>
      </c>
      <c r="E3" s="106" t="s">
        <v>10</v>
      </c>
      <c r="F3" s="106" t="s">
        <v>11</v>
      </c>
      <c r="G3" s="106" t="s">
        <v>12</v>
      </c>
      <c r="H3" s="106" t="s">
        <v>13</v>
      </c>
      <c r="I3" s="106" t="s">
        <v>14</v>
      </c>
      <c r="J3" s="106" t="s">
        <v>15</v>
      </c>
      <c r="K3" s="106" t="s">
        <v>16</v>
      </c>
      <c r="L3" s="106" t="s">
        <v>17</v>
      </c>
      <c r="M3" s="106" t="s">
        <v>18</v>
      </c>
      <c r="N3" s="106" t="s">
        <v>145</v>
      </c>
      <c r="O3" s="106" t="s">
        <v>146</v>
      </c>
      <c r="P3" s="106" t="s">
        <v>147</v>
      </c>
      <c r="Q3" s="106" t="s">
        <v>148</v>
      </c>
      <c r="R3" s="106" t="s">
        <v>7</v>
      </c>
      <c r="S3" s="106" t="s">
        <v>8</v>
      </c>
      <c r="T3" s="106" t="s">
        <v>151</v>
      </c>
      <c r="U3" s="106" t="s">
        <v>152</v>
      </c>
      <c r="V3" s="106" t="s">
        <v>23</v>
      </c>
      <c r="W3" s="106" t="s">
        <v>24</v>
      </c>
      <c r="X3" s="106" t="s">
        <v>25</v>
      </c>
      <c r="Y3" s="106" t="s">
        <v>26</v>
      </c>
      <c r="Z3" s="106" t="s">
        <v>27</v>
      </c>
      <c r="AA3" s="106" t="s">
        <v>155</v>
      </c>
      <c r="AB3" s="106" t="s">
        <v>156</v>
      </c>
      <c r="AC3" s="106" t="s">
        <v>157</v>
      </c>
      <c r="AD3" s="106" t="s">
        <v>90</v>
      </c>
      <c r="AE3" s="106" t="s">
        <v>4</v>
      </c>
      <c r="AF3" s="106" t="s">
        <v>91</v>
      </c>
      <c r="AG3" s="106" t="s">
        <v>5</v>
      </c>
    </row>
    <row r="4" spans="1:33" s="105" customFormat="1" ht="12.75">
      <c r="A4" s="150" t="s">
        <v>261</v>
      </c>
      <c r="B4" s="150">
        <f t="shared" ref="B4:Q4" si="0">AVERAGE(B5:B36)</f>
        <v>19.453125</v>
      </c>
      <c r="C4" s="150">
        <f t="shared" si="0"/>
        <v>16.993749999999999</v>
      </c>
      <c r="D4" s="150">
        <f t="shared" si="0"/>
        <v>38.762500000000003</v>
      </c>
      <c r="E4" s="150">
        <f t="shared" si="0"/>
        <v>61.912499999999994</v>
      </c>
      <c r="F4" s="150">
        <f t="shared" si="0"/>
        <v>120.371875</v>
      </c>
      <c r="G4" s="150">
        <f t="shared" si="0"/>
        <v>206.24375000000003</v>
      </c>
      <c r="H4" s="150">
        <f t="shared" si="0"/>
        <v>123.66875</v>
      </c>
      <c r="I4" s="150">
        <f t="shared" si="0"/>
        <v>105.13750000000002</v>
      </c>
      <c r="J4" s="150">
        <f t="shared" si="0"/>
        <v>79.009374999999991</v>
      </c>
      <c r="K4" s="150">
        <f t="shared" si="0"/>
        <v>91.250000000000014</v>
      </c>
      <c r="L4" s="150">
        <f t="shared" si="0"/>
        <v>38.793750000000003</v>
      </c>
      <c r="M4" s="150">
        <f t="shared" si="0"/>
        <v>22.49677419354839</v>
      </c>
      <c r="N4" s="150">
        <f t="shared" si="0"/>
        <v>137.12187500000002</v>
      </c>
      <c r="O4" s="150">
        <f t="shared" si="0"/>
        <v>634.4312500000002</v>
      </c>
      <c r="P4" s="150">
        <f t="shared" si="0"/>
        <v>151.83750000000003</v>
      </c>
      <c r="Q4" s="150">
        <f t="shared" si="0"/>
        <v>923.39062499999989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3">
        <v>1984</v>
      </c>
      <c r="B5" s="103">
        <v>14.1</v>
      </c>
      <c r="C5" s="103">
        <v>4.5</v>
      </c>
      <c r="D5" s="103">
        <v>39.1</v>
      </c>
      <c r="E5" s="103">
        <v>27</v>
      </c>
      <c r="F5" s="103">
        <v>58.8</v>
      </c>
      <c r="G5" s="103">
        <v>266.7</v>
      </c>
      <c r="H5" s="103">
        <v>98.8</v>
      </c>
      <c r="I5" s="103">
        <v>51.2</v>
      </c>
      <c r="J5" s="103">
        <v>55.3</v>
      </c>
      <c r="K5" s="103">
        <v>70.599999999999994</v>
      </c>
      <c r="L5" s="103">
        <v>17</v>
      </c>
      <c r="M5" s="103">
        <v>28</v>
      </c>
      <c r="N5" s="103">
        <f>SUM(B5:E5)</f>
        <v>84.7</v>
      </c>
      <c r="O5" s="103">
        <f>SUM(F5:J5)</f>
        <v>530.79999999999995</v>
      </c>
      <c r="P5" s="103">
        <f>SUM(K5:M5)</f>
        <v>115.6</v>
      </c>
      <c r="Q5" s="103">
        <f>SUM(B5:M5)</f>
        <v>731.1</v>
      </c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</row>
    <row r="6" spans="1:33">
      <c r="A6" s="103">
        <v>1985</v>
      </c>
      <c r="B6" s="103">
        <v>13.3</v>
      </c>
      <c r="C6" s="103">
        <v>9.6999999999999993</v>
      </c>
      <c r="D6" s="103">
        <v>25.2</v>
      </c>
      <c r="E6" s="103">
        <v>29.7</v>
      </c>
      <c r="F6" s="103">
        <v>126.1</v>
      </c>
      <c r="G6" s="103">
        <v>145.9</v>
      </c>
      <c r="H6" s="103">
        <v>35.700000000000003</v>
      </c>
      <c r="I6" s="103">
        <v>73</v>
      </c>
      <c r="J6" s="103">
        <v>84.7</v>
      </c>
      <c r="K6" s="103">
        <v>56.7</v>
      </c>
      <c r="L6" s="103">
        <v>36.4</v>
      </c>
      <c r="M6" s="103">
        <v>23.2</v>
      </c>
      <c r="N6" s="103">
        <f t="shared" ref="N6:N36" si="1">SUM(B6:E6)</f>
        <v>77.900000000000006</v>
      </c>
      <c r="O6" s="103">
        <f t="shared" ref="O6:O36" si="2">SUM(F6:J6)</f>
        <v>465.4</v>
      </c>
      <c r="P6" s="103">
        <f t="shared" ref="P6:P36" si="3">SUM(K6:M6)</f>
        <v>116.3</v>
      </c>
      <c r="Q6" s="103">
        <f t="shared" ref="Q6:Q36" si="4">SUM(B6:M6)</f>
        <v>659.6</v>
      </c>
      <c r="R6" s="103"/>
      <c r="S6" s="103"/>
      <c r="T6" s="103"/>
      <c r="U6" s="103"/>
      <c r="V6" s="103"/>
      <c r="W6" s="103"/>
      <c r="X6" s="103"/>
      <c r="Y6" s="103"/>
      <c r="Z6" s="103"/>
      <c r="AA6" s="103"/>
      <c r="AB6" s="103"/>
      <c r="AC6" s="103"/>
      <c r="AD6" s="103"/>
      <c r="AE6" s="103"/>
      <c r="AF6" s="103"/>
      <c r="AG6" s="103"/>
    </row>
    <row r="7" spans="1:33">
      <c r="A7" s="103">
        <v>1986</v>
      </c>
      <c r="B7" s="103">
        <v>8.8000000000000007</v>
      </c>
      <c r="C7" s="103">
        <v>7.9</v>
      </c>
      <c r="D7" s="103">
        <v>17.5</v>
      </c>
      <c r="E7" s="103">
        <v>19.2</v>
      </c>
      <c r="F7" s="103">
        <v>57.1</v>
      </c>
      <c r="G7" s="103">
        <v>218.5</v>
      </c>
      <c r="H7" s="103">
        <v>113.3</v>
      </c>
      <c r="I7" s="103">
        <v>79.5</v>
      </c>
      <c r="J7" s="103">
        <v>67.3</v>
      </c>
      <c r="K7" s="103">
        <v>52.1</v>
      </c>
      <c r="L7" s="103">
        <v>54.5</v>
      </c>
      <c r="M7" s="103">
        <v>5.3</v>
      </c>
      <c r="N7" s="103">
        <f t="shared" si="1"/>
        <v>53.400000000000006</v>
      </c>
      <c r="O7" s="103">
        <f t="shared" si="2"/>
        <v>535.70000000000005</v>
      </c>
      <c r="P7" s="103">
        <f t="shared" si="3"/>
        <v>111.89999999999999</v>
      </c>
      <c r="Q7" s="103">
        <f t="shared" si="4"/>
        <v>700.99999999999989</v>
      </c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</row>
    <row r="8" spans="1:33">
      <c r="A8" s="103">
        <v>1987</v>
      </c>
      <c r="B8" s="103">
        <v>6.1</v>
      </c>
      <c r="C8" s="103">
        <v>4.9000000000000004</v>
      </c>
      <c r="D8" s="103">
        <v>27</v>
      </c>
      <c r="E8" s="103">
        <v>32.6</v>
      </c>
      <c r="F8" s="103">
        <v>58.3</v>
      </c>
      <c r="G8" s="103">
        <v>289.10000000000002</v>
      </c>
      <c r="H8" s="103">
        <v>56.9</v>
      </c>
      <c r="I8" s="103">
        <v>65.5</v>
      </c>
      <c r="J8" s="103">
        <v>47.3</v>
      </c>
      <c r="K8" s="103">
        <v>135.30000000000001</v>
      </c>
      <c r="L8" s="103">
        <v>41.1</v>
      </c>
      <c r="M8" s="103">
        <v>8</v>
      </c>
      <c r="N8" s="103">
        <f t="shared" si="1"/>
        <v>70.599999999999994</v>
      </c>
      <c r="O8" s="103">
        <f t="shared" si="2"/>
        <v>517.1</v>
      </c>
      <c r="P8" s="103">
        <f t="shared" si="3"/>
        <v>184.4</v>
      </c>
      <c r="Q8" s="103">
        <f t="shared" si="4"/>
        <v>772.1</v>
      </c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</row>
    <row r="9" spans="1:33">
      <c r="A9" s="103">
        <v>1988</v>
      </c>
      <c r="B9" s="103">
        <v>10.7</v>
      </c>
      <c r="C9" s="103">
        <v>11.1</v>
      </c>
      <c r="D9" s="103">
        <v>55.1</v>
      </c>
      <c r="E9" s="103">
        <v>39</v>
      </c>
      <c r="F9" s="103">
        <v>68.8</v>
      </c>
      <c r="G9" s="103">
        <v>240.4</v>
      </c>
      <c r="H9" s="103">
        <v>87.1</v>
      </c>
      <c r="I9" s="103">
        <v>76.599999999999994</v>
      </c>
      <c r="J9" s="103">
        <v>55.6</v>
      </c>
      <c r="K9" s="103">
        <v>48</v>
      </c>
      <c r="L9" s="103">
        <v>1.3</v>
      </c>
      <c r="M9" s="103">
        <v>9.8000000000000007</v>
      </c>
      <c r="N9" s="103">
        <f t="shared" si="1"/>
        <v>115.9</v>
      </c>
      <c r="O9" s="103">
        <f t="shared" si="2"/>
        <v>528.5</v>
      </c>
      <c r="P9" s="103">
        <f t="shared" si="3"/>
        <v>59.099999999999994</v>
      </c>
      <c r="Q9" s="103">
        <f t="shared" si="4"/>
        <v>703.5</v>
      </c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</row>
    <row r="10" spans="1:33">
      <c r="A10" s="103">
        <v>1989</v>
      </c>
      <c r="B10" s="103">
        <v>9</v>
      </c>
      <c r="C10" s="103">
        <v>5.5</v>
      </c>
      <c r="D10" s="103">
        <v>20.399999999999999</v>
      </c>
      <c r="E10" s="103">
        <v>34.5</v>
      </c>
      <c r="F10" s="103">
        <v>40.700000000000003</v>
      </c>
      <c r="G10" s="103">
        <v>143.9</v>
      </c>
      <c r="H10" s="103">
        <v>54.5</v>
      </c>
      <c r="I10" s="103">
        <v>71.5</v>
      </c>
      <c r="J10" s="103">
        <v>76.900000000000006</v>
      </c>
      <c r="K10" s="103">
        <v>76.400000000000006</v>
      </c>
      <c r="L10" s="103">
        <v>25</v>
      </c>
      <c r="M10" s="103">
        <v>39.6</v>
      </c>
      <c r="N10" s="103">
        <f t="shared" si="1"/>
        <v>69.400000000000006</v>
      </c>
      <c r="O10" s="103">
        <f t="shared" si="2"/>
        <v>387.5</v>
      </c>
      <c r="P10" s="103">
        <f t="shared" si="3"/>
        <v>141</v>
      </c>
      <c r="Q10" s="103">
        <f t="shared" si="4"/>
        <v>597.9</v>
      </c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</row>
    <row r="11" spans="1:33">
      <c r="A11" s="103">
        <v>1990</v>
      </c>
      <c r="B11" s="103">
        <v>11.3</v>
      </c>
      <c r="C11" s="103">
        <v>10.6</v>
      </c>
      <c r="D11" s="103">
        <v>45.3</v>
      </c>
      <c r="E11" s="103">
        <v>40.799999999999997</v>
      </c>
      <c r="F11" s="103">
        <v>62.3</v>
      </c>
      <c r="G11" s="103">
        <v>170.5</v>
      </c>
      <c r="H11" s="103">
        <v>61.5</v>
      </c>
      <c r="I11" s="103">
        <v>172.1</v>
      </c>
      <c r="J11" s="103">
        <v>57.2</v>
      </c>
      <c r="K11" s="103">
        <v>114.4</v>
      </c>
      <c r="L11" s="103">
        <v>40.5</v>
      </c>
      <c r="M11" s="103">
        <v>8.3000000000000007</v>
      </c>
      <c r="N11" s="103">
        <f t="shared" si="1"/>
        <v>107.99999999999999</v>
      </c>
      <c r="O11" s="103">
        <f t="shared" si="2"/>
        <v>523.6</v>
      </c>
      <c r="P11" s="103">
        <f t="shared" si="3"/>
        <v>163.20000000000002</v>
      </c>
      <c r="Q11" s="103">
        <f t="shared" si="4"/>
        <v>794.8</v>
      </c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</row>
    <row r="12" spans="1:33">
      <c r="A12" s="103">
        <v>1991</v>
      </c>
      <c r="B12" s="103">
        <v>8.1</v>
      </c>
      <c r="C12" s="103">
        <v>17.3</v>
      </c>
      <c r="D12" s="103">
        <v>39.5</v>
      </c>
      <c r="E12" s="103">
        <v>36.5</v>
      </c>
      <c r="F12" s="103">
        <v>54.2</v>
      </c>
      <c r="G12" s="103">
        <v>227.4</v>
      </c>
      <c r="H12" s="103">
        <v>105.2</v>
      </c>
      <c r="I12" s="103">
        <v>62.8</v>
      </c>
      <c r="J12" s="103">
        <v>62.8</v>
      </c>
      <c r="K12" s="103">
        <v>95.7</v>
      </c>
      <c r="L12" s="103">
        <v>30.9</v>
      </c>
      <c r="M12" s="103">
        <v>24.4</v>
      </c>
      <c r="N12" s="103">
        <f t="shared" si="1"/>
        <v>101.4</v>
      </c>
      <c r="O12" s="103">
        <f t="shared" si="2"/>
        <v>512.4</v>
      </c>
      <c r="P12" s="103">
        <f t="shared" si="3"/>
        <v>151</v>
      </c>
      <c r="Q12" s="103">
        <f t="shared" si="4"/>
        <v>764.8</v>
      </c>
      <c r="R12" s="103"/>
      <c r="S12" s="103"/>
      <c r="T12" s="103"/>
      <c r="U12" s="103"/>
      <c r="V12" s="103"/>
      <c r="W12" s="103"/>
      <c r="X12" s="103"/>
      <c r="Y12" s="103"/>
      <c r="Z12" s="103"/>
      <c r="AA12" s="103"/>
      <c r="AB12" s="103"/>
      <c r="AC12" s="103"/>
      <c r="AD12" s="103"/>
      <c r="AE12" s="103"/>
      <c r="AF12" s="103"/>
      <c r="AG12" s="103"/>
    </row>
    <row r="13" spans="1:33">
      <c r="A13" s="103">
        <v>1992</v>
      </c>
      <c r="B13" s="103">
        <v>16.7</v>
      </c>
      <c r="C13" s="103">
        <v>3.9</v>
      </c>
      <c r="D13" s="103">
        <v>33.299999999999997</v>
      </c>
      <c r="E13" s="103">
        <v>25.5</v>
      </c>
      <c r="F13" s="103">
        <v>83.5</v>
      </c>
      <c r="G13" s="103">
        <v>222.8</v>
      </c>
      <c r="H13" s="103">
        <v>38.9</v>
      </c>
      <c r="I13" s="103">
        <v>56.4</v>
      </c>
      <c r="J13" s="103">
        <v>61.9</v>
      </c>
      <c r="K13" s="103">
        <v>96.6</v>
      </c>
      <c r="L13" s="103">
        <v>16.2</v>
      </c>
      <c r="M13" s="103">
        <v>40.9</v>
      </c>
      <c r="N13" s="103">
        <f t="shared" si="1"/>
        <v>79.399999999999991</v>
      </c>
      <c r="O13" s="103">
        <f t="shared" si="2"/>
        <v>463.49999999999994</v>
      </c>
      <c r="P13" s="103">
        <f t="shared" si="3"/>
        <v>153.69999999999999</v>
      </c>
      <c r="Q13" s="103">
        <f t="shared" si="4"/>
        <v>696.6</v>
      </c>
      <c r="R13" s="103"/>
      <c r="S13" s="103"/>
      <c r="T13" s="103"/>
      <c r="U13" s="103"/>
      <c r="V13" s="103"/>
      <c r="W13" s="103"/>
      <c r="X13" s="103"/>
      <c r="Y13" s="103"/>
      <c r="Z13" s="103"/>
      <c r="AA13" s="103"/>
      <c r="AB13" s="103"/>
      <c r="AC13" s="103"/>
      <c r="AD13" s="103"/>
      <c r="AE13" s="103"/>
      <c r="AF13" s="103"/>
      <c r="AG13" s="103"/>
    </row>
    <row r="14" spans="1:33">
      <c r="A14" s="103">
        <v>1993</v>
      </c>
      <c r="B14" s="103">
        <v>24.1</v>
      </c>
      <c r="C14" s="103">
        <v>7.5</v>
      </c>
      <c r="D14" s="103">
        <v>31.2</v>
      </c>
      <c r="E14" s="103">
        <v>38.799999999999997</v>
      </c>
      <c r="F14" s="103">
        <v>143.30000000000001</v>
      </c>
      <c r="G14" s="103">
        <v>195.8</v>
      </c>
      <c r="H14" s="103">
        <v>29.8</v>
      </c>
      <c r="I14" s="103">
        <v>18.7</v>
      </c>
      <c r="J14" s="103">
        <v>86.5</v>
      </c>
      <c r="K14" s="103">
        <v>104.1</v>
      </c>
      <c r="L14" s="103">
        <v>34.9</v>
      </c>
      <c r="M14" s="103">
        <v>8.3000000000000007</v>
      </c>
      <c r="N14" s="103">
        <f t="shared" si="1"/>
        <v>101.6</v>
      </c>
      <c r="O14" s="103">
        <f t="shared" si="2"/>
        <v>474.1</v>
      </c>
      <c r="P14" s="103">
        <f t="shared" si="3"/>
        <v>147.30000000000001</v>
      </c>
      <c r="Q14" s="103">
        <f t="shared" si="4"/>
        <v>723</v>
      </c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</row>
    <row r="15" spans="1:33">
      <c r="A15" s="103">
        <v>1994</v>
      </c>
      <c r="B15" s="103">
        <v>21.1</v>
      </c>
      <c r="C15" s="103">
        <v>17.899999999999999</v>
      </c>
      <c r="D15" s="103">
        <v>77</v>
      </c>
      <c r="E15" s="103">
        <v>56.9</v>
      </c>
      <c r="F15" s="103">
        <v>139.69999999999999</v>
      </c>
      <c r="G15" s="103">
        <v>182.1</v>
      </c>
      <c r="H15" s="103">
        <v>76.7</v>
      </c>
      <c r="I15" s="103">
        <v>106.7</v>
      </c>
      <c r="J15" s="103">
        <v>120.7</v>
      </c>
      <c r="K15" s="103">
        <v>165.3</v>
      </c>
      <c r="L15" s="103">
        <v>58.9</v>
      </c>
      <c r="M15" s="103">
        <v>25.6</v>
      </c>
      <c r="N15" s="103">
        <f t="shared" si="1"/>
        <v>172.9</v>
      </c>
      <c r="O15" s="103">
        <f t="shared" si="2"/>
        <v>625.9</v>
      </c>
      <c r="P15" s="103">
        <f t="shared" si="3"/>
        <v>249.8</v>
      </c>
      <c r="Q15" s="103">
        <f t="shared" si="4"/>
        <v>1048.6000000000001</v>
      </c>
      <c r="R15" s="103"/>
      <c r="S15" s="103"/>
      <c r="T15" s="103"/>
      <c r="U15" s="103"/>
      <c r="V15" s="103"/>
      <c r="W15" s="103"/>
      <c r="X15" s="103"/>
      <c r="Y15" s="103"/>
      <c r="Z15" s="103"/>
      <c r="AA15" s="103"/>
      <c r="AB15" s="103"/>
      <c r="AC15" s="103"/>
      <c r="AD15" s="103"/>
      <c r="AE15" s="103"/>
      <c r="AF15" s="103"/>
      <c r="AG15" s="103"/>
    </row>
    <row r="16" spans="1:33">
      <c r="A16" s="103">
        <v>1995</v>
      </c>
      <c r="B16" s="103">
        <v>35.299999999999997</v>
      </c>
      <c r="C16" s="103">
        <v>37.200000000000003</v>
      </c>
      <c r="D16" s="103">
        <v>48.6</v>
      </c>
      <c r="E16" s="103">
        <v>37</v>
      </c>
      <c r="F16" s="103">
        <v>147.1</v>
      </c>
      <c r="G16" s="103">
        <v>479.8</v>
      </c>
      <c r="H16" s="103">
        <v>63.5</v>
      </c>
      <c r="I16" s="103">
        <v>165</v>
      </c>
      <c r="J16" s="103">
        <v>87.9</v>
      </c>
      <c r="K16" s="103">
        <v>68.8</v>
      </c>
      <c r="L16" s="103">
        <v>44.6</v>
      </c>
      <c r="M16" s="103">
        <v>5.7</v>
      </c>
      <c r="N16" s="103">
        <f t="shared" si="1"/>
        <v>158.1</v>
      </c>
      <c r="O16" s="103">
        <f t="shared" si="2"/>
        <v>943.3</v>
      </c>
      <c r="P16" s="103">
        <f t="shared" si="3"/>
        <v>119.10000000000001</v>
      </c>
      <c r="Q16" s="103">
        <f t="shared" si="4"/>
        <v>1220.5</v>
      </c>
      <c r="R16" s="103"/>
      <c r="S16" s="103"/>
      <c r="T16" s="103"/>
      <c r="U16" s="103"/>
      <c r="V16" s="103"/>
      <c r="W16" s="103"/>
      <c r="X16" s="103"/>
      <c r="Y16" s="103"/>
      <c r="Z16" s="103"/>
      <c r="AA16" s="103"/>
      <c r="AB16" s="103"/>
      <c r="AC16" s="103"/>
      <c r="AD16" s="103"/>
      <c r="AE16" s="103"/>
      <c r="AF16" s="103"/>
      <c r="AG16" s="103"/>
    </row>
    <row r="17" spans="1:33">
      <c r="A17" s="103">
        <v>1996</v>
      </c>
      <c r="B17" s="103">
        <v>22.8</v>
      </c>
      <c r="C17" s="103">
        <v>1.7</v>
      </c>
      <c r="D17" s="103">
        <v>40.700000000000003</v>
      </c>
      <c r="E17" s="103">
        <v>62.6</v>
      </c>
      <c r="F17" s="103">
        <v>148.4</v>
      </c>
      <c r="G17" s="103">
        <v>236.6</v>
      </c>
      <c r="H17" s="103">
        <v>283.39999999999998</v>
      </c>
      <c r="I17" s="103">
        <v>160.4</v>
      </c>
      <c r="J17" s="103">
        <v>65.900000000000006</v>
      </c>
      <c r="K17" s="103">
        <v>34.299999999999997</v>
      </c>
      <c r="L17" s="103">
        <v>93.1</v>
      </c>
      <c r="M17" s="103">
        <v>9.8000000000000007</v>
      </c>
      <c r="N17" s="103">
        <f t="shared" si="1"/>
        <v>127.80000000000001</v>
      </c>
      <c r="O17" s="103">
        <f t="shared" si="2"/>
        <v>894.69999999999993</v>
      </c>
      <c r="P17" s="103">
        <f t="shared" si="3"/>
        <v>137.19999999999999</v>
      </c>
      <c r="Q17" s="103">
        <f t="shared" si="4"/>
        <v>1159.6999999999998</v>
      </c>
      <c r="R17" s="103"/>
      <c r="S17" s="103"/>
      <c r="T17" s="103"/>
      <c r="U17" s="103"/>
      <c r="V17" s="103"/>
      <c r="W17" s="103"/>
      <c r="X17" s="103"/>
      <c r="Y17" s="103"/>
      <c r="Z17" s="103"/>
      <c r="AA17" s="103"/>
      <c r="AB17" s="103"/>
      <c r="AC17" s="103"/>
      <c r="AD17" s="103"/>
      <c r="AE17" s="103"/>
      <c r="AF17" s="103"/>
      <c r="AG17" s="103"/>
    </row>
    <row r="18" spans="1:33">
      <c r="A18" s="103">
        <v>1997</v>
      </c>
      <c r="B18" s="103">
        <v>38.299999999999997</v>
      </c>
      <c r="C18" s="103">
        <v>32.5</v>
      </c>
      <c r="D18" s="103">
        <v>20.3</v>
      </c>
      <c r="E18" s="103">
        <v>123.2</v>
      </c>
      <c r="F18" s="103">
        <v>131.9</v>
      </c>
      <c r="G18" s="103">
        <v>231.1</v>
      </c>
      <c r="H18" s="103">
        <v>205</v>
      </c>
      <c r="I18" s="103">
        <v>37.700000000000003</v>
      </c>
      <c r="J18" s="103">
        <v>111.9</v>
      </c>
      <c r="K18" s="103">
        <v>93.9</v>
      </c>
      <c r="L18" s="103">
        <v>6.7</v>
      </c>
      <c r="M18" s="103">
        <v>22.4</v>
      </c>
      <c r="N18" s="103">
        <f t="shared" si="1"/>
        <v>214.3</v>
      </c>
      <c r="O18" s="103">
        <f t="shared" si="2"/>
        <v>717.6</v>
      </c>
      <c r="P18" s="103">
        <f t="shared" si="3"/>
        <v>123</v>
      </c>
      <c r="Q18" s="103">
        <f t="shared" si="4"/>
        <v>1054.9000000000003</v>
      </c>
      <c r="R18" s="103"/>
      <c r="S18" s="103"/>
      <c r="T18" s="103"/>
      <c r="U18" s="103"/>
      <c r="V18" s="103"/>
      <c r="W18" s="103"/>
      <c r="X18" s="103"/>
      <c r="Y18" s="103"/>
      <c r="Z18" s="103"/>
      <c r="AA18" s="103"/>
      <c r="AB18" s="103"/>
      <c r="AC18" s="103"/>
      <c r="AD18" s="103"/>
      <c r="AE18" s="103"/>
      <c r="AF18" s="103"/>
      <c r="AG18" s="103"/>
    </row>
    <row r="19" spans="1:33">
      <c r="A19" s="103">
        <v>1998</v>
      </c>
      <c r="B19" s="103">
        <v>14.5</v>
      </c>
      <c r="C19" s="103">
        <v>16.8</v>
      </c>
      <c r="D19" s="103">
        <v>15.9</v>
      </c>
      <c r="E19" s="103">
        <v>92.6</v>
      </c>
      <c r="F19" s="103">
        <v>131.80000000000001</v>
      </c>
      <c r="G19" s="103">
        <v>233.1</v>
      </c>
      <c r="H19" s="103">
        <v>81.400000000000006</v>
      </c>
      <c r="I19" s="103">
        <v>226.2</v>
      </c>
      <c r="J19" s="103">
        <v>46.2</v>
      </c>
      <c r="K19" s="103">
        <v>166.2</v>
      </c>
      <c r="L19" s="103">
        <v>34.299999999999997</v>
      </c>
      <c r="M19" s="103">
        <v>20.100000000000001</v>
      </c>
      <c r="N19" s="103">
        <f t="shared" si="1"/>
        <v>139.80000000000001</v>
      </c>
      <c r="O19" s="103">
        <f t="shared" si="2"/>
        <v>718.7</v>
      </c>
      <c r="P19" s="103">
        <f t="shared" si="3"/>
        <v>220.6</v>
      </c>
      <c r="Q19" s="103">
        <f t="shared" si="4"/>
        <v>1079.0999999999999</v>
      </c>
      <c r="R19" s="103"/>
      <c r="S19" s="103"/>
      <c r="T19" s="103"/>
      <c r="U19" s="103"/>
      <c r="V19" s="103"/>
      <c r="W19" s="103"/>
      <c r="X19" s="103"/>
      <c r="Y19" s="103"/>
      <c r="Z19" s="103"/>
      <c r="AA19" s="103"/>
      <c r="AB19" s="103"/>
      <c r="AC19" s="103"/>
      <c r="AD19" s="103"/>
      <c r="AE19" s="103"/>
      <c r="AF19" s="103"/>
      <c r="AG19" s="103"/>
    </row>
    <row r="20" spans="1:33">
      <c r="A20" s="103">
        <v>1999</v>
      </c>
      <c r="B20" s="103">
        <v>41.5</v>
      </c>
      <c r="C20" s="103">
        <v>14.4</v>
      </c>
      <c r="D20" s="103">
        <v>11.3</v>
      </c>
      <c r="E20" s="103">
        <v>85.3</v>
      </c>
      <c r="F20" s="103">
        <v>171.9</v>
      </c>
      <c r="G20" s="103">
        <v>168.2</v>
      </c>
      <c r="H20" s="103">
        <v>249.8</v>
      </c>
      <c r="I20" s="103">
        <v>157.19999999999999</v>
      </c>
      <c r="J20" s="103">
        <v>64.8</v>
      </c>
      <c r="K20" s="103">
        <v>75</v>
      </c>
      <c r="L20" s="103">
        <v>48</v>
      </c>
      <c r="M20" s="103">
        <v>9.8000000000000007</v>
      </c>
      <c r="N20" s="103">
        <f t="shared" si="1"/>
        <v>152.5</v>
      </c>
      <c r="O20" s="103">
        <f t="shared" si="2"/>
        <v>811.90000000000009</v>
      </c>
      <c r="P20" s="103">
        <f t="shared" si="3"/>
        <v>132.80000000000001</v>
      </c>
      <c r="Q20" s="103">
        <f t="shared" si="4"/>
        <v>1097.1999999999998</v>
      </c>
      <c r="R20" s="103"/>
      <c r="S20" s="103"/>
      <c r="T20" s="103"/>
      <c r="U20" s="103"/>
      <c r="V20" s="103"/>
      <c r="W20" s="103"/>
      <c r="X20" s="103"/>
      <c r="Y20" s="103"/>
      <c r="Z20" s="103"/>
      <c r="AA20" s="103"/>
      <c r="AB20" s="103"/>
      <c r="AC20" s="103"/>
      <c r="AD20" s="103"/>
      <c r="AE20" s="103"/>
      <c r="AF20" s="103"/>
      <c r="AG20" s="103"/>
    </row>
    <row r="21" spans="1:33">
      <c r="A21" s="103">
        <v>2000</v>
      </c>
      <c r="B21" s="103">
        <v>27.8</v>
      </c>
      <c r="C21" s="103">
        <v>15.1</v>
      </c>
      <c r="D21" s="103">
        <v>30.1</v>
      </c>
      <c r="E21" s="103">
        <v>115.9</v>
      </c>
      <c r="F21" s="103">
        <v>91.3</v>
      </c>
      <c r="G21" s="103">
        <v>344.5</v>
      </c>
      <c r="H21" s="103">
        <v>162.69999999999999</v>
      </c>
      <c r="I21" s="103">
        <v>183.8</v>
      </c>
      <c r="J21" s="103">
        <v>121.1</v>
      </c>
      <c r="K21" s="103">
        <v>110.8</v>
      </c>
      <c r="L21" s="103">
        <v>40.4</v>
      </c>
      <c r="M21" s="103">
        <v>22.6</v>
      </c>
      <c r="N21" s="103">
        <f t="shared" si="1"/>
        <v>188.9</v>
      </c>
      <c r="O21" s="103">
        <f t="shared" si="2"/>
        <v>903.4</v>
      </c>
      <c r="P21" s="103">
        <f t="shared" si="3"/>
        <v>173.79999999999998</v>
      </c>
      <c r="Q21" s="103">
        <f t="shared" si="4"/>
        <v>1266.0999999999999</v>
      </c>
      <c r="R21" s="103"/>
      <c r="S21" s="103"/>
      <c r="T21" s="103"/>
      <c r="U21" s="103"/>
      <c r="V21" s="103"/>
      <c r="W21" s="103"/>
      <c r="X21" s="103"/>
      <c r="Y21" s="103"/>
      <c r="Z21" s="103"/>
      <c r="AA21" s="103"/>
      <c r="AB21" s="103"/>
      <c r="AC21" s="103"/>
      <c r="AD21" s="103"/>
      <c r="AE21" s="103"/>
      <c r="AF21" s="103"/>
      <c r="AG21" s="103"/>
    </row>
    <row r="22" spans="1:33">
      <c r="A22" s="103">
        <v>2001</v>
      </c>
      <c r="B22" s="103">
        <v>24.5</v>
      </c>
      <c r="C22" s="103">
        <v>22.9</v>
      </c>
      <c r="D22" s="103">
        <v>32.5</v>
      </c>
      <c r="E22" s="103">
        <v>114.1</v>
      </c>
      <c r="F22" s="103">
        <v>130.69999999999999</v>
      </c>
      <c r="G22" s="103">
        <v>208.1</v>
      </c>
      <c r="H22" s="103">
        <v>108.3</v>
      </c>
      <c r="I22" s="103">
        <v>36.4</v>
      </c>
      <c r="J22" s="103">
        <v>85.4</v>
      </c>
      <c r="K22" s="103">
        <v>155.80000000000001</v>
      </c>
      <c r="L22" s="103">
        <v>21.2</v>
      </c>
      <c r="M22" s="103">
        <v>20.9</v>
      </c>
      <c r="N22" s="103">
        <f t="shared" si="1"/>
        <v>194</v>
      </c>
      <c r="O22" s="103">
        <f t="shared" si="2"/>
        <v>568.9</v>
      </c>
      <c r="P22" s="103">
        <f t="shared" si="3"/>
        <v>197.9</v>
      </c>
      <c r="Q22" s="103">
        <f t="shared" si="4"/>
        <v>960.79999999999984</v>
      </c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  <c r="AC22" s="103"/>
      <c r="AD22" s="103"/>
      <c r="AE22" s="103"/>
      <c r="AF22" s="103"/>
      <c r="AG22" s="103"/>
    </row>
    <row r="23" spans="1:33">
      <c r="A23" s="103">
        <v>2002</v>
      </c>
      <c r="B23" s="103">
        <v>24.1</v>
      </c>
      <c r="C23" s="103">
        <v>34.200000000000003</v>
      </c>
      <c r="D23" s="103">
        <v>55.4</v>
      </c>
      <c r="E23" s="103">
        <v>90.5</v>
      </c>
      <c r="F23" s="103">
        <v>220.2</v>
      </c>
      <c r="G23" s="103">
        <v>242.7</v>
      </c>
      <c r="H23" s="103">
        <v>232.2</v>
      </c>
      <c r="I23" s="103">
        <v>206.5</v>
      </c>
      <c r="J23" s="103">
        <v>56.9</v>
      </c>
      <c r="K23" s="103">
        <v>102.6</v>
      </c>
      <c r="L23" s="103">
        <v>32.4</v>
      </c>
      <c r="M23" s="103">
        <v>37.5</v>
      </c>
      <c r="N23" s="103">
        <f t="shared" si="1"/>
        <v>204.2</v>
      </c>
      <c r="O23" s="103">
        <f t="shared" si="2"/>
        <v>958.49999999999989</v>
      </c>
      <c r="P23" s="103">
        <f t="shared" si="3"/>
        <v>172.5</v>
      </c>
      <c r="Q23" s="103">
        <f t="shared" si="4"/>
        <v>1335.2</v>
      </c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  <c r="AC23" s="103"/>
      <c r="AD23" s="103"/>
      <c r="AE23" s="103"/>
      <c r="AF23" s="103"/>
      <c r="AG23" s="103"/>
    </row>
    <row r="24" spans="1:33">
      <c r="A24" s="103">
        <v>2003</v>
      </c>
      <c r="B24" s="103">
        <v>21.4</v>
      </c>
      <c r="C24" s="103">
        <v>5.5</v>
      </c>
      <c r="D24" s="103">
        <v>18.600000000000001</v>
      </c>
      <c r="E24" s="103">
        <v>69.8</v>
      </c>
      <c r="F24" s="103">
        <v>130</v>
      </c>
      <c r="G24" s="103">
        <v>195.3</v>
      </c>
      <c r="H24" s="103">
        <v>241.7</v>
      </c>
      <c r="I24" s="103">
        <v>43.4</v>
      </c>
      <c r="J24" s="103">
        <v>127.6</v>
      </c>
      <c r="K24" s="103">
        <v>35.4</v>
      </c>
      <c r="L24" s="103">
        <v>38.799999999999997</v>
      </c>
      <c r="M24" s="103">
        <v>53.3</v>
      </c>
      <c r="N24" s="103">
        <f t="shared" si="1"/>
        <v>115.3</v>
      </c>
      <c r="O24" s="103">
        <f t="shared" si="2"/>
        <v>738</v>
      </c>
      <c r="P24" s="103">
        <f t="shared" si="3"/>
        <v>127.49999999999999</v>
      </c>
      <c r="Q24" s="103">
        <f t="shared" si="4"/>
        <v>980.79999999999984</v>
      </c>
      <c r="R24" s="103"/>
      <c r="S24" s="103"/>
      <c r="T24" s="103"/>
      <c r="U24" s="103"/>
      <c r="V24" s="103"/>
      <c r="W24" s="103"/>
      <c r="X24" s="103"/>
      <c r="Y24" s="103"/>
      <c r="Z24" s="103"/>
      <c r="AA24" s="103"/>
      <c r="AB24" s="103"/>
      <c r="AC24" s="103"/>
      <c r="AD24" s="103"/>
      <c r="AE24" s="103"/>
      <c r="AF24" s="103"/>
      <c r="AG24" s="103"/>
    </row>
    <row r="25" spans="1:33">
      <c r="A25" s="103">
        <v>2004</v>
      </c>
      <c r="B25" s="103">
        <v>38.799999999999997</v>
      </c>
      <c r="C25" s="103">
        <v>39.799999999999997</v>
      </c>
      <c r="D25" s="103">
        <v>27.2</v>
      </c>
      <c r="E25" s="103">
        <v>59.8</v>
      </c>
      <c r="F25" s="103">
        <v>131</v>
      </c>
      <c r="G25" s="103">
        <v>159.9</v>
      </c>
      <c r="H25" s="103">
        <v>243.8</v>
      </c>
      <c r="I25" s="103">
        <v>145.4</v>
      </c>
      <c r="J25" s="103">
        <v>106.8</v>
      </c>
      <c r="K25" s="103">
        <v>34.6</v>
      </c>
      <c r="L25" s="103">
        <v>57.9</v>
      </c>
      <c r="M25" s="103">
        <v>28.5</v>
      </c>
      <c r="N25" s="103">
        <f t="shared" si="1"/>
        <v>165.6</v>
      </c>
      <c r="O25" s="103">
        <f t="shared" si="2"/>
        <v>786.9</v>
      </c>
      <c r="P25" s="103">
        <f t="shared" si="3"/>
        <v>121</v>
      </c>
      <c r="Q25" s="103">
        <f t="shared" si="4"/>
        <v>1073.5</v>
      </c>
      <c r="R25" s="103"/>
      <c r="S25" s="103"/>
      <c r="T25" s="103"/>
      <c r="U25" s="103"/>
      <c r="V25" s="103"/>
      <c r="W25" s="103"/>
      <c r="X25" s="103"/>
      <c r="Y25" s="103"/>
      <c r="Z25" s="103"/>
      <c r="AA25" s="103"/>
      <c r="AB25" s="103"/>
      <c r="AC25" s="103"/>
      <c r="AD25" s="103"/>
      <c r="AE25" s="103"/>
      <c r="AF25" s="103"/>
      <c r="AG25" s="103"/>
    </row>
    <row r="26" spans="1:33">
      <c r="A26" s="103">
        <v>2005</v>
      </c>
      <c r="B26" s="103">
        <v>31.2</v>
      </c>
      <c r="C26" s="103">
        <v>10</v>
      </c>
      <c r="D26" s="103">
        <v>43.2</v>
      </c>
      <c r="E26" s="103">
        <v>71.5</v>
      </c>
      <c r="F26" s="103">
        <v>248</v>
      </c>
      <c r="G26" s="103">
        <v>45.5</v>
      </c>
      <c r="H26" s="103">
        <v>144.4</v>
      </c>
      <c r="I26" s="103">
        <v>70.5</v>
      </c>
      <c r="J26" s="103">
        <v>77.3</v>
      </c>
      <c r="K26" s="103">
        <v>127.7</v>
      </c>
      <c r="L26" s="103">
        <v>25.5</v>
      </c>
      <c r="M26" s="103">
        <v>20.7</v>
      </c>
      <c r="N26" s="103">
        <f t="shared" si="1"/>
        <v>155.9</v>
      </c>
      <c r="O26" s="103">
        <f t="shared" si="2"/>
        <v>585.69999999999993</v>
      </c>
      <c r="P26" s="103">
        <f t="shared" si="3"/>
        <v>173.89999999999998</v>
      </c>
      <c r="Q26" s="103">
        <f t="shared" si="4"/>
        <v>915.5</v>
      </c>
      <c r="R26" s="103"/>
      <c r="S26" s="103"/>
      <c r="T26" s="103"/>
      <c r="U26" s="103"/>
      <c r="V26" s="103"/>
      <c r="W26" s="103"/>
      <c r="X26" s="103"/>
      <c r="Y26" s="103"/>
      <c r="Z26" s="103"/>
      <c r="AA26" s="103"/>
      <c r="AB26" s="103"/>
      <c r="AC26" s="103"/>
      <c r="AD26" s="103"/>
      <c r="AE26" s="103"/>
      <c r="AF26" s="103"/>
      <c r="AG26" s="103"/>
    </row>
    <row r="27" spans="1:33">
      <c r="A27" s="103">
        <v>2006</v>
      </c>
      <c r="B27" s="103">
        <v>9.5</v>
      </c>
      <c r="C27" s="103">
        <v>49.2</v>
      </c>
      <c r="D27" s="103">
        <v>38.4</v>
      </c>
      <c r="E27" s="103">
        <v>39.1</v>
      </c>
      <c r="F27" s="103">
        <v>124</v>
      </c>
      <c r="G27" s="103">
        <v>102</v>
      </c>
      <c r="H27" s="103">
        <v>43.7</v>
      </c>
      <c r="I27" s="103">
        <v>20</v>
      </c>
      <c r="J27" s="103">
        <v>62.6</v>
      </c>
      <c r="K27" s="103">
        <v>102.2</v>
      </c>
      <c r="L27" s="103">
        <v>66.099999999999994</v>
      </c>
      <c r="M27" s="103">
        <v>29.3</v>
      </c>
      <c r="N27" s="103">
        <f t="shared" si="1"/>
        <v>136.19999999999999</v>
      </c>
      <c r="O27" s="103">
        <f t="shared" si="2"/>
        <v>352.3</v>
      </c>
      <c r="P27" s="103">
        <f t="shared" si="3"/>
        <v>197.60000000000002</v>
      </c>
      <c r="Q27" s="103">
        <f t="shared" si="4"/>
        <v>686.1</v>
      </c>
      <c r="R27" s="103"/>
      <c r="S27" s="103"/>
      <c r="T27" s="103"/>
      <c r="U27" s="103"/>
      <c r="V27" s="103"/>
      <c r="W27" s="103"/>
      <c r="X27" s="103"/>
      <c r="Y27" s="103"/>
      <c r="Z27" s="103"/>
      <c r="AA27" s="103"/>
      <c r="AB27" s="103"/>
      <c r="AC27" s="103"/>
      <c r="AD27" s="103"/>
      <c r="AE27" s="103"/>
      <c r="AF27" s="103"/>
      <c r="AG27" s="103"/>
    </row>
    <row r="28" spans="1:33">
      <c r="A28" s="103">
        <v>2007</v>
      </c>
      <c r="B28" s="103">
        <v>29.4</v>
      </c>
      <c r="C28" s="103">
        <v>16.2</v>
      </c>
      <c r="D28" s="103">
        <v>31.8</v>
      </c>
      <c r="E28" s="103">
        <v>147.1</v>
      </c>
      <c r="F28" s="103">
        <v>67.2</v>
      </c>
      <c r="G28" s="103">
        <v>148.1</v>
      </c>
      <c r="H28" s="103">
        <v>147.30000000000001</v>
      </c>
      <c r="I28" s="103">
        <v>216.5</v>
      </c>
      <c r="J28" s="103">
        <v>105.1</v>
      </c>
      <c r="K28" s="103">
        <v>68.3</v>
      </c>
      <c r="L28" s="103">
        <v>9.6999999999999993</v>
      </c>
      <c r="M28" s="103">
        <v>15.8</v>
      </c>
      <c r="N28" s="103">
        <f t="shared" si="1"/>
        <v>224.5</v>
      </c>
      <c r="O28" s="103">
        <f t="shared" si="2"/>
        <v>684.2</v>
      </c>
      <c r="P28" s="103">
        <f t="shared" si="3"/>
        <v>93.8</v>
      </c>
      <c r="Q28" s="103">
        <f t="shared" si="4"/>
        <v>1002.4999999999999</v>
      </c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</row>
    <row r="29" spans="1:33">
      <c r="A29" s="103">
        <v>2008</v>
      </c>
      <c r="B29" s="103">
        <v>15.5</v>
      </c>
      <c r="C29" s="103">
        <v>18.899999999999999</v>
      </c>
      <c r="D29" s="103">
        <v>62.7</v>
      </c>
      <c r="E29" s="103">
        <v>51.3</v>
      </c>
      <c r="F29" s="103">
        <v>119.1</v>
      </c>
      <c r="G29" s="103">
        <v>66.7</v>
      </c>
      <c r="H29" s="103">
        <v>232.2</v>
      </c>
      <c r="I29" s="103">
        <v>171.2</v>
      </c>
      <c r="J29" s="103">
        <v>59.9</v>
      </c>
      <c r="K29" s="103">
        <v>158.1</v>
      </c>
      <c r="L29" s="103">
        <v>87.7</v>
      </c>
      <c r="M29" s="103">
        <v>19.100000000000001</v>
      </c>
      <c r="N29" s="103">
        <f t="shared" si="1"/>
        <v>148.39999999999998</v>
      </c>
      <c r="O29" s="103">
        <f t="shared" si="2"/>
        <v>649.1</v>
      </c>
      <c r="P29" s="103">
        <f t="shared" si="3"/>
        <v>264.90000000000003</v>
      </c>
      <c r="Q29" s="103">
        <f t="shared" si="4"/>
        <v>1062.3999999999999</v>
      </c>
      <c r="R29" s="103"/>
      <c r="S29" s="103"/>
      <c r="T29" s="103"/>
      <c r="U29" s="103"/>
      <c r="V29" s="103"/>
      <c r="W29" s="103"/>
      <c r="X29" s="103"/>
      <c r="Y29" s="103"/>
      <c r="Z29" s="103"/>
      <c r="AA29" s="103"/>
      <c r="AB29" s="103"/>
      <c r="AC29" s="103"/>
      <c r="AD29" s="103"/>
      <c r="AE29" s="103"/>
      <c r="AF29" s="103"/>
      <c r="AG29" s="103"/>
    </row>
    <row r="30" spans="1:33">
      <c r="A30" s="103">
        <v>2009</v>
      </c>
      <c r="B30" s="103">
        <v>21</v>
      </c>
      <c r="C30" s="103">
        <v>26</v>
      </c>
      <c r="D30" s="103">
        <v>43</v>
      </c>
      <c r="E30" s="103">
        <v>67.7</v>
      </c>
      <c r="F30" s="103">
        <v>132.4</v>
      </c>
      <c r="G30" s="103">
        <v>142.6</v>
      </c>
      <c r="H30" s="103">
        <v>55.6</v>
      </c>
      <c r="I30" s="103">
        <v>154.4</v>
      </c>
      <c r="J30" s="103">
        <v>38.200000000000003</v>
      </c>
      <c r="K30" s="103">
        <v>52</v>
      </c>
      <c r="L30" s="103">
        <v>13.9</v>
      </c>
      <c r="M30" s="103">
        <v>29.2</v>
      </c>
      <c r="N30" s="103">
        <f t="shared" si="1"/>
        <v>157.69999999999999</v>
      </c>
      <c r="O30" s="103">
        <f t="shared" si="2"/>
        <v>523.20000000000005</v>
      </c>
      <c r="P30" s="103">
        <f t="shared" si="3"/>
        <v>95.100000000000009</v>
      </c>
      <c r="Q30" s="103">
        <f t="shared" si="4"/>
        <v>776.00000000000011</v>
      </c>
      <c r="R30" s="103"/>
      <c r="S30" s="103"/>
      <c r="T30" s="103"/>
      <c r="U30" s="103"/>
      <c r="V30" s="103"/>
      <c r="W30" s="103"/>
      <c r="X30" s="103"/>
      <c r="Y30" s="103"/>
      <c r="Z30" s="103"/>
      <c r="AA30" s="103"/>
      <c r="AB30" s="103"/>
      <c r="AC30" s="103"/>
      <c r="AD30" s="103"/>
      <c r="AE30" s="103"/>
      <c r="AF30" s="103"/>
      <c r="AG30" s="103"/>
    </row>
    <row r="31" spans="1:33">
      <c r="A31" s="103">
        <v>2010</v>
      </c>
      <c r="B31" s="103">
        <v>8.6</v>
      </c>
      <c r="C31" s="103">
        <v>3.1</v>
      </c>
      <c r="D31" s="103">
        <v>91.3</v>
      </c>
      <c r="E31" s="103">
        <v>81.400000000000006</v>
      </c>
      <c r="F31" s="103">
        <v>194.2</v>
      </c>
      <c r="G31" s="103">
        <v>281</v>
      </c>
      <c r="H31" s="103">
        <v>103.9</v>
      </c>
      <c r="I31" s="103">
        <v>77.900000000000006</v>
      </c>
      <c r="J31" s="103">
        <v>107.9</v>
      </c>
      <c r="K31" s="103">
        <v>165.9</v>
      </c>
      <c r="L31" s="103">
        <v>113.3</v>
      </c>
      <c r="M31" s="103"/>
      <c r="N31" s="103">
        <f t="shared" si="1"/>
        <v>184.4</v>
      </c>
      <c r="O31" s="103">
        <f t="shared" si="2"/>
        <v>764.9</v>
      </c>
      <c r="P31" s="103">
        <f t="shared" si="3"/>
        <v>279.2</v>
      </c>
      <c r="Q31" s="103">
        <f t="shared" si="4"/>
        <v>1228.5</v>
      </c>
      <c r="R31" s="103"/>
      <c r="S31" s="103"/>
      <c r="T31" s="103"/>
      <c r="U31" s="103"/>
      <c r="V31" s="103"/>
      <c r="W31" s="103"/>
      <c r="X31" s="103"/>
      <c r="Y31" s="103"/>
      <c r="Z31" s="103"/>
      <c r="AA31" s="103"/>
      <c r="AB31" s="103"/>
      <c r="AC31" s="103"/>
      <c r="AD31" s="103"/>
      <c r="AE31" s="103"/>
      <c r="AF31" s="103"/>
      <c r="AG31" s="103"/>
    </row>
    <row r="32" spans="1:33">
      <c r="A32" s="103">
        <v>2011</v>
      </c>
      <c r="B32" s="103">
        <v>11.5</v>
      </c>
      <c r="C32" s="103">
        <v>4.0999999999999996</v>
      </c>
      <c r="D32" s="103">
        <v>33</v>
      </c>
      <c r="E32" s="103">
        <v>26.5</v>
      </c>
      <c r="F32" s="103">
        <v>62.3</v>
      </c>
      <c r="G32" s="103">
        <v>287.2</v>
      </c>
      <c r="H32" s="103">
        <v>104.9</v>
      </c>
      <c r="I32" s="103">
        <v>49.4</v>
      </c>
      <c r="J32" s="103">
        <v>59.1</v>
      </c>
      <c r="K32" s="103">
        <v>116.1</v>
      </c>
      <c r="L32" s="103">
        <v>44.7</v>
      </c>
      <c r="M32" s="103">
        <v>28.8</v>
      </c>
      <c r="N32" s="103">
        <f t="shared" si="1"/>
        <v>75.099999999999994</v>
      </c>
      <c r="O32" s="103">
        <f t="shared" si="2"/>
        <v>562.9</v>
      </c>
      <c r="P32" s="103">
        <f t="shared" si="3"/>
        <v>189.60000000000002</v>
      </c>
      <c r="Q32" s="103">
        <f t="shared" si="4"/>
        <v>827.6</v>
      </c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</row>
    <row r="33" spans="1:33">
      <c r="A33" s="103">
        <v>2012</v>
      </c>
      <c r="B33" s="103">
        <v>19.100000000000001</v>
      </c>
      <c r="C33" s="103">
        <v>17.3</v>
      </c>
      <c r="D33" s="103">
        <v>25.9</v>
      </c>
      <c r="E33" s="103">
        <v>85.6</v>
      </c>
      <c r="F33" s="103">
        <v>110.9</v>
      </c>
      <c r="G33" s="103">
        <v>195.6</v>
      </c>
      <c r="H33" s="103">
        <v>180.3</v>
      </c>
      <c r="I33" s="103">
        <v>80.2</v>
      </c>
      <c r="J33" s="103">
        <v>67.900000000000006</v>
      </c>
      <c r="K33" s="103">
        <v>47.9</v>
      </c>
      <c r="L33" s="103">
        <v>29.7</v>
      </c>
      <c r="M33" s="103">
        <v>19.8</v>
      </c>
      <c r="N33" s="103">
        <f t="shared" si="1"/>
        <v>147.9</v>
      </c>
      <c r="O33" s="103">
        <f t="shared" si="2"/>
        <v>634.9</v>
      </c>
      <c r="P33" s="103">
        <f t="shared" si="3"/>
        <v>97.399999999999991</v>
      </c>
      <c r="Q33" s="103">
        <f t="shared" si="4"/>
        <v>880.2</v>
      </c>
      <c r="R33" s="103"/>
      <c r="S33" s="103"/>
      <c r="T33" s="103"/>
      <c r="U33" s="103"/>
      <c r="V33" s="103"/>
      <c r="W33" s="103"/>
      <c r="X33" s="103"/>
      <c r="Y33" s="103"/>
      <c r="Z33" s="103"/>
      <c r="AA33" s="103"/>
      <c r="AB33" s="103"/>
      <c r="AC33" s="103"/>
      <c r="AD33" s="103"/>
      <c r="AE33" s="103"/>
      <c r="AF33" s="103"/>
      <c r="AG33" s="103"/>
    </row>
    <row r="34" spans="1:33">
      <c r="A34" s="103">
        <v>2013</v>
      </c>
      <c r="B34" s="103">
        <v>7.9</v>
      </c>
      <c r="C34" s="103">
        <v>22.9</v>
      </c>
      <c r="D34" s="103">
        <v>37.299999999999997</v>
      </c>
      <c r="E34" s="103">
        <v>70.8</v>
      </c>
      <c r="F34" s="103">
        <v>148.6</v>
      </c>
      <c r="G34" s="103">
        <v>168.1</v>
      </c>
      <c r="H34" s="103">
        <v>2.2999999999999998</v>
      </c>
      <c r="I34" s="103">
        <v>54.6</v>
      </c>
      <c r="J34" s="103">
        <v>94</v>
      </c>
      <c r="K34" s="103">
        <v>89.8</v>
      </c>
      <c r="L34" s="103">
        <v>20.8</v>
      </c>
      <c r="M34" s="103">
        <v>22</v>
      </c>
      <c r="N34" s="103">
        <f t="shared" si="1"/>
        <v>138.89999999999998</v>
      </c>
      <c r="O34" s="103">
        <f t="shared" si="2"/>
        <v>467.6</v>
      </c>
      <c r="P34" s="103">
        <f t="shared" si="3"/>
        <v>132.6</v>
      </c>
      <c r="Q34" s="103">
        <f t="shared" si="4"/>
        <v>739.09999999999991</v>
      </c>
      <c r="R34" s="103"/>
      <c r="S34" s="103"/>
      <c r="T34" s="103"/>
      <c r="U34" s="103"/>
      <c r="V34" s="103"/>
      <c r="W34" s="103"/>
      <c r="X34" s="103"/>
      <c r="Y34" s="103"/>
      <c r="Z34" s="103"/>
      <c r="AA34" s="103"/>
      <c r="AB34" s="103"/>
      <c r="AC34" s="103"/>
      <c r="AD34" s="103"/>
      <c r="AE34" s="103"/>
      <c r="AF34" s="103"/>
      <c r="AG34" s="103"/>
    </row>
    <row r="35" spans="1:33">
      <c r="A35" s="103">
        <v>2014</v>
      </c>
      <c r="B35" s="114">
        <v>16.2</v>
      </c>
      <c r="C35" s="114">
        <v>31.3</v>
      </c>
      <c r="D35" s="114">
        <v>88.4</v>
      </c>
      <c r="E35" s="114">
        <v>69.7</v>
      </c>
      <c r="F35" s="114">
        <v>169.3</v>
      </c>
      <c r="G35" s="114">
        <v>142</v>
      </c>
      <c r="H35" s="114">
        <v>244.5</v>
      </c>
      <c r="I35" s="114">
        <v>61.9</v>
      </c>
      <c r="J35" s="114">
        <v>50.7</v>
      </c>
      <c r="K35" s="114">
        <v>55.5</v>
      </c>
      <c r="L35" s="114">
        <v>41.9</v>
      </c>
      <c r="M35" s="114">
        <v>16.100000000000001</v>
      </c>
      <c r="N35" s="103">
        <f t="shared" si="1"/>
        <v>205.60000000000002</v>
      </c>
      <c r="O35" s="103">
        <f t="shared" si="2"/>
        <v>668.4</v>
      </c>
      <c r="P35" s="103">
        <f t="shared" si="3"/>
        <v>113.5</v>
      </c>
      <c r="Q35" s="103">
        <f t="shared" si="4"/>
        <v>987.50000000000011</v>
      </c>
      <c r="R35" s="103"/>
      <c r="S35" s="103"/>
      <c r="T35" s="103"/>
      <c r="U35" s="103"/>
      <c r="V35" s="103"/>
      <c r="W35" s="103"/>
      <c r="X35" s="103"/>
      <c r="Y35" s="103"/>
      <c r="Z35" s="103"/>
      <c r="AA35" s="103"/>
      <c r="AB35" s="103"/>
      <c r="AC35" s="103"/>
      <c r="AD35" s="103"/>
      <c r="AE35" s="103"/>
      <c r="AF35" s="103"/>
      <c r="AG35" s="103"/>
    </row>
    <row r="36" spans="1:33">
      <c r="A36" s="103">
        <v>2015</v>
      </c>
      <c r="B36" s="114">
        <v>20.3</v>
      </c>
      <c r="C36" s="114">
        <v>23.9</v>
      </c>
      <c r="D36" s="114">
        <v>34.200000000000003</v>
      </c>
      <c r="E36" s="114">
        <v>39.200000000000003</v>
      </c>
      <c r="F36" s="114">
        <v>148.80000000000001</v>
      </c>
      <c r="G36" s="114">
        <v>218.6</v>
      </c>
      <c r="H36" s="114">
        <v>68.099999999999994</v>
      </c>
      <c r="I36" s="114">
        <v>211.8</v>
      </c>
      <c r="J36" s="114">
        <v>154.9</v>
      </c>
      <c r="K36" s="114">
        <v>43.9</v>
      </c>
      <c r="L36" s="114">
        <v>14</v>
      </c>
      <c r="M36" s="114">
        <v>44.6</v>
      </c>
      <c r="N36" s="103">
        <f t="shared" si="1"/>
        <v>117.60000000000001</v>
      </c>
      <c r="O36" s="103">
        <f t="shared" si="2"/>
        <v>802.19999999999993</v>
      </c>
      <c r="P36" s="103">
        <f t="shared" si="3"/>
        <v>102.5</v>
      </c>
      <c r="Q36" s="103">
        <f t="shared" si="4"/>
        <v>1022.3000000000001</v>
      </c>
      <c r="R36" s="103"/>
      <c r="S36" s="103"/>
      <c r="T36" s="103"/>
      <c r="U36" s="103"/>
      <c r="V36" s="103"/>
      <c r="W36" s="103"/>
      <c r="X36" s="103"/>
      <c r="Y36" s="103"/>
      <c r="Z36" s="103"/>
      <c r="AA36" s="103"/>
      <c r="AB36" s="103"/>
      <c r="AC36" s="103"/>
      <c r="AD36" s="103"/>
      <c r="AE36" s="103"/>
      <c r="AF36" s="103"/>
      <c r="AG36" s="103"/>
    </row>
    <row r="37" spans="1:33" s="70" customFormat="1">
      <c r="A37" s="117">
        <v>2016</v>
      </c>
      <c r="B37" s="115">
        <v>34.799999999999997</v>
      </c>
      <c r="C37" s="115">
        <v>11</v>
      </c>
      <c r="D37" s="115">
        <v>76.900000000000006</v>
      </c>
      <c r="E37" s="115">
        <v>120.1</v>
      </c>
      <c r="F37" s="115">
        <v>87</v>
      </c>
      <c r="G37" s="115">
        <v>149.4</v>
      </c>
      <c r="H37" s="115">
        <v>108</v>
      </c>
      <c r="I37" s="115">
        <v>177.9</v>
      </c>
      <c r="J37" s="115">
        <v>30.7</v>
      </c>
      <c r="K37" s="115">
        <v>61.4</v>
      </c>
      <c r="L37" s="115">
        <v>43.8</v>
      </c>
      <c r="M37" s="115">
        <v>16.7</v>
      </c>
      <c r="N37" s="117">
        <f>SUM(B37:E37)</f>
        <v>242.8</v>
      </c>
      <c r="O37" s="117">
        <f>SUM(F37:J37)</f>
        <v>553</v>
      </c>
      <c r="P37" s="117">
        <f>SUM(K37:M37)</f>
        <v>121.89999999999999</v>
      </c>
      <c r="Q37" s="117">
        <f>SUM(B37:M37)</f>
        <v>917.7</v>
      </c>
      <c r="R37" s="117">
        <f t="shared" ref="R37:AG37" si="5">100*(B37-B4)/B4</f>
        <v>78.891566265060234</v>
      </c>
      <c r="S37" s="117">
        <f t="shared" si="5"/>
        <v>-35.270319970577411</v>
      </c>
      <c r="T37" s="117">
        <f t="shared" si="5"/>
        <v>98.387616897774919</v>
      </c>
      <c r="U37" s="117">
        <f t="shared" si="5"/>
        <v>93.983444377145176</v>
      </c>
      <c r="V37" s="117">
        <f t="shared" si="5"/>
        <v>-27.723980373322259</v>
      </c>
      <c r="W37" s="117">
        <f t="shared" si="5"/>
        <v>-27.561441255795639</v>
      </c>
      <c r="X37" s="117">
        <f t="shared" si="5"/>
        <v>-12.6699348056805</v>
      </c>
      <c r="Y37" s="117">
        <f t="shared" si="5"/>
        <v>69.206990845321585</v>
      </c>
      <c r="Z37" s="117">
        <f t="shared" si="5"/>
        <v>-61.143851599889246</v>
      </c>
      <c r="AA37" s="117">
        <f t="shared" si="5"/>
        <v>-32.712328767123296</v>
      </c>
      <c r="AB37" s="117">
        <f t="shared" si="5"/>
        <v>12.904784920251313</v>
      </c>
      <c r="AC37" s="117">
        <f t="shared" si="5"/>
        <v>-25.767135073128777</v>
      </c>
      <c r="AD37" s="117">
        <f t="shared" si="5"/>
        <v>77.068757264294987</v>
      </c>
      <c r="AE37" s="117">
        <f t="shared" si="5"/>
        <v>-12.835315095213259</v>
      </c>
      <c r="AF37" s="117">
        <f t="shared" si="5"/>
        <v>-19.716802502675581</v>
      </c>
      <c r="AG37" s="117">
        <f t="shared" si="5"/>
        <v>-0.61627493781408504</v>
      </c>
    </row>
  </sheetData>
  <phoneticPr fontId="2" type="noConversion"/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5"/>
  <dimension ref="A1:AG44"/>
  <sheetViews>
    <sheetView zoomScale="85" zoomScaleNormal="85" workbookViewId="0">
      <pane ySplit="3" topLeftCell="A4" activePane="bottomLeft" state="frozen"/>
      <selection pane="bottomLeft" activeCell="B9" sqref="B9"/>
    </sheetView>
  </sheetViews>
  <sheetFormatPr defaultRowHeight="12"/>
  <cols>
    <col min="1" max="29" width="6.625" style="102" customWidth="1"/>
    <col min="30" max="30" width="7.25" style="102" customWidth="1"/>
    <col min="31" max="42" width="6.625" style="102" customWidth="1"/>
    <col min="43" max="16384" width="9" style="102"/>
  </cols>
  <sheetData>
    <row r="1" spans="1:33" s="118" customFormat="1" ht="14.25" customHeight="1">
      <c r="A1" s="176" t="s">
        <v>0</v>
      </c>
      <c r="B1" s="176" t="s">
        <v>1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2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3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32</v>
      </c>
      <c r="O2" s="176"/>
      <c r="P2" s="176"/>
      <c r="Q2" s="176"/>
      <c r="R2" s="176" t="s">
        <v>6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 ht="24">
      <c r="A3" s="176"/>
      <c r="B3" s="106" t="s">
        <v>7</v>
      </c>
      <c r="C3" s="106" t="s">
        <v>8</v>
      </c>
      <c r="D3" s="106" t="s">
        <v>9</v>
      </c>
      <c r="E3" s="106" t="s">
        <v>10</v>
      </c>
      <c r="F3" s="106" t="s">
        <v>11</v>
      </c>
      <c r="G3" s="106" t="s">
        <v>12</v>
      </c>
      <c r="H3" s="106" t="s">
        <v>13</v>
      </c>
      <c r="I3" s="106" t="s">
        <v>14</v>
      </c>
      <c r="J3" s="106" t="s">
        <v>15</v>
      </c>
      <c r="K3" s="106" t="s">
        <v>16</v>
      </c>
      <c r="L3" s="106" t="s">
        <v>17</v>
      </c>
      <c r="M3" s="106" t="s">
        <v>18</v>
      </c>
      <c r="N3" s="106" t="s">
        <v>145</v>
      </c>
      <c r="O3" s="106" t="s">
        <v>146</v>
      </c>
      <c r="P3" s="106" t="s">
        <v>147</v>
      </c>
      <c r="Q3" s="106" t="s">
        <v>148</v>
      </c>
      <c r="R3" s="106" t="s">
        <v>7</v>
      </c>
      <c r="S3" s="106" t="s">
        <v>8</v>
      </c>
      <c r="T3" s="106" t="s">
        <v>151</v>
      </c>
      <c r="U3" s="106" t="s">
        <v>152</v>
      </c>
      <c r="V3" s="106" t="s">
        <v>23</v>
      </c>
      <c r="W3" s="106" t="s">
        <v>24</v>
      </c>
      <c r="X3" s="106" t="s">
        <v>25</v>
      </c>
      <c r="Y3" s="106" t="s">
        <v>26</v>
      </c>
      <c r="Z3" s="106" t="s">
        <v>27</v>
      </c>
      <c r="AA3" s="106" t="s">
        <v>155</v>
      </c>
      <c r="AB3" s="106" t="s">
        <v>156</v>
      </c>
      <c r="AC3" s="106" t="s">
        <v>157</v>
      </c>
      <c r="AD3" s="106" t="s">
        <v>90</v>
      </c>
      <c r="AE3" s="106" t="s">
        <v>4</v>
      </c>
      <c r="AF3" s="106" t="s">
        <v>91</v>
      </c>
      <c r="AG3" s="106" t="s">
        <v>5</v>
      </c>
    </row>
    <row r="4" spans="1:33" s="118" customFormat="1">
      <c r="A4" s="150" t="s">
        <v>261</v>
      </c>
      <c r="B4" s="150">
        <f t="shared" ref="B4:Q4" si="0">AVERAGE(B5:B43)</f>
        <v>22.141025641025646</v>
      </c>
      <c r="C4" s="150">
        <f t="shared" si="0"/>
        <v>19.928205128205128</v>
      </c>
      <c r="D4" s="150">
        <f t="shared" si="0"/>
        <v>39.635897435897441</v>
      </c>
      <c r="E4" s="150">
        <f t="shared" si="0"/>
        <v>66.661538461538456</v>
      </c>
      <c r="F4" s="150">
        <f t="shared" si="0"/>
        <v>124.02307692307691</v>
      </c>
      <c r="G4" s="150">
        <f t="shared" si="0"/>
        <v>201.28461538461536</v>
      </c>
      <c r="H4" s="150">
        <f t="shared" si="0"/>
        <v>137.9153846153846</v>
      </c>
      <c r="I4" s="150">
        <f t="shared" si="0"/>
        <v>103.88205128205129</v>
      </c>
      <c r="J4" s="150">
        <f t="shared" si="0"/>
        <v>83.117948717948721</v>
      </c>
      <c r="K4" s="150">
        <f t="shared" si="0"/>
        <v>94.841025641025638</v>
      </c>
      <c r="L4" s="150">
        <f t="shared" si="0"/>
        <v>40.146153846153844</v>
      </c>
      <c r="M4" s="150">
        <f t="shared" si="0"/>
        <v>24.202564102564104</v>
      </c>
      <c r="N4" s="150">
        <f t="shared" si="0"/>
        <v>148.36666666666667</v>
      </c>
      <c r="O4" s="150">
        <f t="shared" si="0"/>
        <v>650.22307692307697</v>
      </c>
      <c r="P4" s="150">
        <f t="shared" si="0"/>
        <v>159.18974358974361</v>
      </c>
      <c r="Q4" s="150">
        <f t="shared" si="0"/>
        <v>957.77948717948721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1977</v>
      </c>
      <c r="B5" s="102">
        <v>14.1</v>
      </c>
      <c r="C5" s="102">
        <v>4.5</v>
      </c>
      <c r="D5" s="102">
        <v>39.1</v>
      </c>
      <c r="E5" s="102">
        <v>27</v>
      </c>
      <c r="F5" s="102">
        <v>58.8</v>
      </c>
      <c r="G5" s="102">
        <v>266.7</v>
      </c>
      <c r="H5" s="102">
        <v>98.8</v>
      </c>
      <c r="I5" s="102">
        <v>51.2</v>
      </c>
      <c r="J5" s="102">
        <v>55.3</v>
      </c>
      <c r="K5" s="102">
        <v>109.3</v>
      </c>
      <c r="L5" s="102">
        <v>71.099999999999994</v>
      </c>
      <c r="M5" s="102">
        <v>7.2</v>
      </c>
      <c r="N5" s="102">
        <f>SUM(B5:E5)</f>
        <v>84.7</v>
      </c>
      <c r="O5" s="102">
        <f>SUM(F5:J5)</f>
        <v>530.79999999999995</v>
      </c>
      <c r="P5" s="102">
        <f>SUM(K5:M5)</f>
        <v>187.59999999999997</v>
      </c>
      <c r="Q5" s="102">
        <f>SUM(B5:M5)</f>
        <v>803.1</v>
      </c>
    </row>
    <row r="6" spans="1:33">
      <c r="A6" s="102">
        <v>1978</v>
      </c>
      <c r="B6" s="102">
        <v>13.3</v>
      </c>
      <c r="C6" s="102">
        <v>9.6999999999999993</v>
      </c>
      <c r="D6" s="102">
        <v>25.2</v>
      </c>
      <c r="E6" s="102">
        <v>29.7</v>
      </c>
      <c r="F6" s="102">
        <v>126.1</v>
      </c>
      <c r="G6" s="102">
        <v>145.9</v>
      </c>
      <c r="H6" s="102">
        <v>35.700000000000003</v>
      </c>
      <c r="I6" s="102">
        <v>73</v>
      </c>
      <c r="J6" s="102">
        <v>84.7</v>
      </c>
      <c r="K6" s="102">
        <v>160.5</v>
      </c>
      <c r="L6" s="102">
        <v>80</v>
      </c>
      <c r="M6" s="102">
        <v>12.3</v>
      </c>
      <c r="N6" s="102">
        <f t="shared" ref="N6:N43" si="1">SUM(B6:E6)</f>
        <v>77.900000000000006</v>
      </c>
      <c r="O6" s="102">
        <f t="shared" ref="O6:O43" si="2">SUM(F6:J6)</f>
        <v>465.4</v>
      </c>
      <c r="P6" s="102">
        <f t="shared" ref="P6:P43" si="3">SUM(K6:M6)</f>
        <v>252.8</v>
      </c>
      <c r="Q6" s="102">
        <f t="shared" ref="Q6:Q43" si="4">SUM(B6:M6)</f>
        <v>796.09999999999991</v>
      </c>
    </row>
    <row r="7" spans="1:33">
      <c r="A7" s="102">
        <v>1979</v>
      </c>
      <c r="B7" s="102">
        <v>8.8000000000000007</v>
      </c>
      <c r="C7" s="102">
        <v>7.9</v>
      </c>
      <c r="D7" s="102">
        <v>17.5</v>
      </c>
      <c r="E7" s="102">
        <v>19.2</v>
      </c>
      <c r="F7" s="102">
        <v>57.1</v>
      </c>
      <c r="G7" s="102">
        <v>218.5</v>
      </c>
      <c r="H7" s="102">
        <v>113.3</v>
      </c>
      <c r="I7" s="102">
        <v>79.5</v>
      </c>
      <c r="J7" s="102">
        <v>67.3</v>
      </c>
      <c r="K7" s="102">
        <v>45.1</v>
      </c>
      <c r="L7" s="102">
        <v>21</v>
      </c>
      <c r="M7" s="102">
        <v>45</v>
      </c>
      <c r="N7" s="102">
        <f t="shared" si="1"/>
        <v>53.400000000000006</v>
      </c>
      <c r="O7" s="102">
        <f t="shared" si="2"/>
        <v>535.70000000000005</v>
      </c>
      <c r="P7" s="102">
        <f t="shared" si="3"/>
        <v>111.1</v>
      </c>
      <c r="Q7" s="102">
        <f t="shared" si="4"/>
        <v>700.19999999999993</v>
      </c>
    </row>
    <row r="8" spans="1:33">
      <c r="A8" s="102">
        <v>1980</v>
      </c>
      <c r="B8" s="102">
        <v>6.1</v>
      </c>
      <c r="C8" s="102">
        <v>4.9000000000000004</v>
      </c>
      <c r="D8" s="102">
        <v>27</v>
      </c>
      <c r="E8" s="102">
        <v>32.6</v>
      </c>
      <c r="F8" s="102">
        <v>58.3</v>
      </c>
      <c r="G8" s="102">
        <v>289.10000000000002</v>
      </c>
      <c r="H8" s="102">
        <v>56.9</v>
      </c>
      <c r="I8" s="102">
        <v>65.5</v>
      </c>
      <c r="J8" s="102">
        <v>47.3</v>
      </c>
      <c r="K8" s="102">
        <v>146.5</v>
      </c>
      <c r="L8" s="102">
        <v>28.2</v>
      </c>
      <c r="M8" s="102">
        <v>24.1</v>
      </c>
      <c r="N8" s="102">
        <f t="shared" si="1"/>
        <v>70.599999999999994</v>
      </c>
      <c r="O8" s="102">
        <f t="shared" si="2"/>
        <v>517.1</v>
      </c>
      <c r="P8" s="102">
        <f t="shared" si="3"/>
        <v>198.79999999999998</v>
      </c>
      <c r="Q8" s="102">
        <f t="shared" si="4"/>
        <v>786.5</v>
      </c>
    </row>
    <row r="9" spans="1:33">
      <c r="A9" s="102">
        <v>1981</v>
      </c>
      <c r="B9" s="102">
        <v>10.7</v>
      </c>
      <c r="C9" s="102">
        <v>11.1</v>
      </c>
      <c r="D9" s="102">
        <v>55.1</v>
      </c>
      <c r="E9" s="102">
        <v>39</v>
      </c>
      <c r="F9" s="102">
        <v>68.8</v>
      </c>
      <c r="G9" s="102">
        <v>240.4</v>
      </c>
      <c r="H9" s="102">
        <v>87.1</v>
      </c>
      <c r="I9" s="102">
        <v>76.599999999999994</v>
      </c>
      <c r="J9" s="102">
        <v>55.6</v>
      </c>
      <c r="K9" s="102">
        <v>80.099999999999994</v>
      </c>
      <c r="L9" s="102">
        <v>25.6</v>
      </c>
      <c r="M9" s="102">
        <v>9.4</v>
      </c>
      <c r="N9" s="102">
        <f t="shared" si="1"/>
        <v>115.9</v>
      </c>
      <c r="O9" s="102">
        <f t="shared" si="2"/>
        <v>528.5</v>
      </c>
      <c r="P9" s="102">
        <f t="shared" si="3"/>
        <v>115.1</v>
      </c>
      <c r="Q9" s="102">
        <f t="shared" si="4"/>
        <v>759.50000000000011</v>
      </c>
    </row>
    <row r="10" spans="1:33">
      <c r="A10" s="102">
        <v>1982</v>
      </c>
      <c r="B10" s="102">
        <v>9</v>
      </c>
      <c r="C10" s="102">
        <v>5.5</v>
      </c>
      <c r="D10" s="102">
        <v>20.399999999999999</v>
      </c>
      <c r="E10" s="102">
        <v>34.5</v>
      </c>
      <c r="F10" s="102">
        <v>40.700000000000003</v>
      </c>
      <c r="G10" s="102">
        <v>143.9</v>
      </c>
      <c r="H10" s="102">
        <v>54.5</v>
      </c>
      <c r="I10" s="102">
        <v>71.5</v>
      </c>
      <c r="J10" s="102">
        <v>76.900000000000006</v>
      </c>
      <c r="K10" s="102">
        <v>65.599999999999994</v>
      </c>
      <c r="L10" s="102">
        <v>57.7</v>
      </c>
      <c r="M10" s="102">
        <v>34.200000000000003</v>
      </c>
      <c r="N10" s="102">
        <f t="shared" si="1"/>
        <v>69.400000000000006</v>
      </c>
      <c r="O10" s="102">
        <f t="shared" si="2"/>
        <v>387.5</v>
      </c>
      <c r="P10" s="102">
        <f t="shared" si="3"/>
        <v>157.5</v>
      </c>
      <c r="Q10" s="102">
        <f t="shared" si="4"/>
        <v>614.40000000000009</v>
      </c>
    </row>
    <row r="11" spans="1:33">
      <c r="A11" s="102">
        <v>1983</v>
      </c>
      <c r="B11" s="102">
        <v>11.3</v>
      </c>
      <c r="C11" s="102">
        <v>10.6</v>
      </c>
      <c r="D11" s="102">
        <v>45.3</v>
      </c>
      <c r="E11" s="102">
        <v>40.799999999999997</v>
      </c>
      <c r="F11" s="102">
        <v>62.3</v>
      </c>
      <c r="G11" s="102">
        <v>170.5</v>
      </c>
      <c r="H11" s="102">
        <v>61.5</v>
      </c>
      <c r="I11" s="102">
        <v>172.1</v>
      </c>
      <c r="J11" s="102">
        <v>57.2</v>
      </c>
      <c r="K11" s="102">
        <v>59.8</v>
      </c>
      <c r="L11" s="102">
        <v>67.099999999999994</v>
      </c>
      <c r="M11" s="102">
        <v>20.9</v>
      </c>
      <c r="N11" s="102">
        <f t="shared" si="1"/>
        <v>107.99999999999999</v>
      </c>
      <c r="O11" s="102">
        <f t="shared" si="2"/>
        <v>523.6</v>
      </c>
      <c r="P11" s="102">
        <f t="shared" si="3"/>
        <v>147.79999999999998</v>
      </c>
      <c r="Q11" s="102">
        <f t="shared" si="4"/>
        <v>779.4</v>
      </c>
    </row>
    <row r="12" spans="1:33">
      <c r="A12" s="102">
        <v>1984</v>
      </c>
      <c r="B12" s="102">
        <v>8.1</v>
      </c>
      <c r="C12" s="102">
        <v>17.3</v>
      </c>
      <c r="D12" s="102">
        <v>39.5</v>
      </c>
      <c r="E12" s="102">
        <v>36.5</v>
      </c>
      <c r="F12" s="102">
        <v>54.2</v>
      </c>
      <c r="G12" s="102">
        <v>227.4</v>
      </c>
      <c r="H12" s="102">
        <v>105.2</v>
      </c>
      <c r="I12" s="102">
        <v>62.8</v>
      </c>
      <c r="J12" s="102">
        <v>62.8</v>
      </c>
      <c r="K12" s="102">
        <v>77</v>
      </c>
      <c r="L12" s="102">
        <v>17.7</v>
      </c>
      <c r="M12" s="102">
        <v>33.1</v>
      </c>
      <c r="N12" s="102">
        <f t="shared" si="1"/>
        <v>101.4</v>
      </c>
      <c r="O12" s="102">
        <f t="shared" si="2"/>
        <v>512.4</v>
      </c>
      <c r="P12" s="102">
        <f t="shared" si="3"/>
        <v>127.80000000000001</v>
      </c>
      <c r="Q12" s="102">
        <f t="shared" si="4"/>
        <v>741.6</v>
      </c>
    </row>
    <row r="13" spans="1:33">
      <c r="A13" s="102">
        <v>1985</v>
      </c>
      <c r="B13" s="102">
        <v>16.7</v>
      </c>
      <c r="C13" s="102">
        <v>3.9</v>
      </c>
      <c r="D13" s="102">
        <v>33.299999999999997</v>
      </c>
      <c r="E13" s="102">
        <v>25.5</v>
      </c>
      <c r="F13" s="102">
        <v>83.5</v>
      </c>
      <c r="G13" s="102">
        <v>222.8</v>
      </c>
      <c r="H13" s="102">
        <v>38.9</v>
      </c>
      <c r="I13" s="102">
        <v>56.4</v>
      </c>
      <c r="J13" s="102">
        <v>61.9</v>
      </c>
      <c r="K13" s="102">
        <v>56</v>
      </c>
      <c r="L13" s="102">
        <v>40.1</v>
      </c>
      <c r="M13" s="102">
        <v>26.5</v>
      </c>
      <c r="N13" s="102">
        <f t="shared" si="1"/>
        <v>79.399999999999991</v>
      </c>
      <c r="O13" s="102">
        <f t="shared" si="2"/>
        <v>463.49999999999994</v>
      </c>
      <c r="P13" s="102">
        <f t="shared" si="3"/>
        <v>122.6</v>
      </c>
      <c r="Q13" s="102">
        <f t="shared" si="4"/>
        <v>665.5</v>
      </c>
    </row>
    <row r="14" spans="1:33">
      <c r="A14" s="102">
        <v>1986</v>
      </c>
      <c r="B14" s="102">
        <v>24.1</v>
      </c>
      <c r="C14" s="102">
        <v>7.5</v>
      </c>
      <c r="D14" s="102">
        <v>31.2</v>
      </c>
      <c r="E14" s="102">
        <v>38.799999999999997</v>
      </c>
      <c r="F14" s="102">
        <v>143.30000000000001</v>
      </c>
      <c r="G14" s="102">
        <v>195.8</v>
      </c>
      <c r="H14" s="102">
        <v>29.8</v>
      </c>
      <c r="I14" s="102">
        <v>18.7</v>
      </c>
      <c r="J14" s="102">
        <v>86.5</v>
      </c>
      <c r="K14" s="102">
        <v>51.4</v>
      </c>
      <c r="L14" s="102">
        <v>58.9</v>
      </c>
      <c r="M14" s="102">
        <v>6.6</v>
      </c>
      <c r="N14" s="102">
        <f t="shared" si="1"/>
        <v>101.6</v>
      </c>
      <c r="O14" s="102">
        <f t="shared" si="2"/>
        <v>474.1</v>
      </c>
      <c r="P14" s="102">
        <f t="shared" si="3"/>
        <v>116.89999999999999</v>
      </c>
      <c r="Q14" s="102">
        <f t="shared" si="4"/>
        <v>692.6</v>
      </c>
    </row>
    <row r="15" spans="1:33">
      <c r="A15" s="102">
        <v>1987</v>
      </c>
      <c r="B15" s="102">
        <v>43.9</v>
      </c>
      <c r="C15" s="102">
        <v>18.399999999999999</v>
      </c>
      <c r="D15" s="102">
        <v>43.9</v>
      </c>
      <c r="E15" s="102">
        <v>47</v>
      </c>
      <c r="F15" s="102">
        <v>188.1</v>
      </c>
      <c r="G15" s="102">
        <v>125.6</v>
      </c>
      <c r="H15" s="102">
        <v>135.1</v>
      </c>
      <c r="I15" s="102">
        <v>191.5</v>
      </c>
      <c r="J15" s="102">
        <v>88.5</v>
      </c>
      <c r="K15" s="102">
        <v>136.9</v>
      </c>
      <c r="L15" s="102">
        <v>45</v>
      </c>
      <c r="M15" s="102">
        <v>9</v>
      </c>
      <c r="N15" s="102">
        <f t="shared" si="1"/>
        <v>153.19999999999999</v>
      </c>
      <c r="O15" s="102">
        <f t="shared" si="2"/>
        <v>728.8</v>
      </c>
      <c r="P15" s="102">
        <f t="shared" si="3"/>
        <v>190.9</v>
      </c>
      <c r="Q15" s="102">
        <f t="shared" si="4"/>
        <v>1072.9000000000001</v>
      </c>
    </row>
    <row r="16" spans="1:33">
      <c r="A16" s="102">
        <v>1988</v>
      </c>
      <c r="B16" s="102">
        <v>24.5</v>
      </c>
      <c r="C16" s="102">
        <v>24.5</v>
      </c>
      <c r="D16" s="102">
        <v>14.2</v>
      </c>
      <c r="E16" s="102">
        <v>90.8</v>
      </c>
      <c r="F16" s="102">
        <v>125.2</v>
      </c>
      <c r="G16" s="102">
        <v>98.6</v>
      </c>
      <c r="H16" s="102">
        <v>140.19999999999999</v>
      </c>
      <c r="I16" s="102">
        <v>135.9</v>
      </c>
      <c r="J16" s="102">
        <v>238.2</v>
      </c>
      <c r="K16" s="102">
        <v>53.7</v>
      </c>
      <c r="L16" s="102">
        <v>2.1</v>
      </c>
      <c r="M16" s="102">
        <v>12.4</v>
      </c>
      <c r="N16" s="102">
        <f t="shared" si="1"/>
        <v>154</v>
      </c>
      <c r="O16" s="102">
        <f t="shared" si="2"/>
        <v>738.09999999999991</v>
      </c>
      <c r="P16" s="102">
        <f t="shared" si="3"/>
        <v>68.2</v>
      </c>
      <c r="Q16" s="102">
        <f t="shared" si="4"/>
        <v>960.3</v>
      </c>
    </row>
    <row r="17" spans="1:17">
      <c r="A17" s="102">
        <v>1989</v>
      </c>
      <c r="B17" s="102">
        <v>19.399999999999999</v>
      </c>
      <c r="C17" s="102">
        <v>38</v>
      </c>
      <c r="D17" s="102">
        <v>61.2</v>
      </c>
      <c r="E17" s="102">
        <v>95.2</v>
      </c>
      <c r="F17" s="102">
        <v>119</v>
      </c>
      <c r="G17" s="102">
        <v>227</v>
      </c>
      <c r="H17" s="102">
        <v>177</v>
      </c>
      <c r="I17" s="102">
        <v>119.6</v>
      </c>
      <c r="J17" s="102">
        <v>144.1</v>
      </c>
      <c r="K17" s="102">
        <v>79</v>
      </c>
      <c r="L17" s="102">
        <v>26.4</v>
      </c>
      <c r="M17" s="102">
        <v>43</v>
      </c>
      <c r="N17" s="102">
        <f t="shared" si="1"/>
        <v>213.8</v>
      </c>
      <c r="O17" s="102">
        <f t="shared" si="2"/>
        <v>786.7</v>
      </c>
      <c r="P17" s="102">
        <f t="shared" si="3"/>
        <v>148.4</v>
      </c>
      <c r="Q17" s="102">
        <f t="shared" si="4"/>
        <v>1148.9000000000001</v>
      </c>
    </row>
    <row r="18" spans="1:17">
      <c r="A18" s="102">
        <v>1990</v>
      </c>
      <c r="B18" s="102">
        <v>28.2</v>
      </c>
      <c r="C18" s="102">
        <v>19.899999999999999</v>
      </c>
      <c r="D18" s="102">
        <v>91.9</v>
      </c>
      <c r="E18" s="102">
        <v>94.8</v>
      </c>
      <c r="F18" s="102">
        <v>162.80000000000001</v>
      </c>
      <c r="G18" s="102">
        <v>87.1</v>
      </c>
      <c r="H18" s="102">
        <v>32.4</v>
      </c>
      <c r="I18" s="102">
        <v>43.6</v>
      </c>
      <c r="J18" s="102">
        <v>84.5</v>
      </c>
      <c r="K18" s="102">
        <v>120.2</v>
      </c>
      <c r="L18" s="102">
        <v>50.5</v>
      </c>
      <c r="M18" s="102">
        <v>13.5</v>
      </c>
      <c r="N18" s="102">
        <f t="shared" si="1"/>
        <v>234.8</v>
      </c>
      <c r="O18" s="102">
        <f t="shared" si="2"/>
        <v>410.40000000000003</v>
      </c>
      <c r="P18" s="102">
        <f t="shared" si="3"/>
        <v>184.2</v>
      </c>
      <c r="Q18" s="102">
        <f t="shared" si="4"/>
        <v>829.40000000000009</v>
      </c>
    </row>
    <row r="19" spans="1:17">
      <c r="A19" s="102">
        <v>1991</v>
      </c>
      <c r="B19" s="102">
        <v>30.6</v>
      </c>
      <c r="C19" s="102">
        <v>18.7</v>
      </c>
      <c r="D19" s="102">
        <v>28.9</v>
      </c>
      <c r="E19" s="102">
        <v>59.9</v>
      </c>
      <c r="F19" s="102">
        <v>70.599999999999994</v>
      </c>
      <c r="G19" s="102">
        <v>184</v>
      </c>
      <c r="H19" s="102">
        <v>432.5</v>
      </c>
      <c r="I19" s="102">
        <v>84.8</v>
      </c>
      <c r="J19" s="102">
        <v>59.4</v>
      </c>
      <c r="K19" s="102">
        <v>97.4</v>
      </c>
      <c r="L19" s="102">
        <v>33.9</v>
      </c>
      <c r="M19" s="102">
        <v>32</v>
      </c>
      <c r="N19" s="102">
        <f t="shared" si="1"/>
        <v>138.1</v>
      </c>
      <c r="O19" s="102">
        <f t="shared" si="2"/>
        <v>831.3</v>
      </c>
      <c r="P19" s="102">
        <f t="shared" si="3"/>
        <v>163.30000000000001</v>
      </c>
      <c r="Q19" s="102">
        <f t="shared" si="4"/>
        <v>1132.7</v>
      </c>
    </row>
    <row r="20" spans="1:17">
      <c r="A20" s="102">
        <v>1992</v>
      </c>
      <c r="B20" s="102">
        <v>19.8</v>
      </c>
      <c r="C20" s="102">
        <v>46.1</v>
      </c>
      <c r="D20" s="102">
        <v>39.9</v>
      </c>
      <c r="E20" s="102">
        <v>117.1</v>
      </c>
      <c r="F20" s="102">
        <v>231.2</v>
      </c>
      <c r="G20" s="102">
        <v>197.6</v>
      </c>
      <c r="H20" s="102">
        <v>123.9</v>
      </c>
      <c r="I20" s="102">
        <v>52.1</v>
      </c>
      <c r="J20" s="102">
        <v>24.5</v>
      </c>
      <c r="K20" s="102">
        <v>112.8</v>
      </c>
      <c r="L20" s="102">
        <v>17.899999999999999</v>
      </c>
      <c r="M20" s="102">
        <v>42.1</v>
      </c>
      <c r="N20" s="102">
        <f t="shared" si="1"/>
        <v>222.9</v>
      </c>
      <c r="O20" s="102">
        <f t="shared" si="2"/>
        <v>629.29999999999995</v>
      </c>
      <c r="P20" s="102">
        <f t="shared" si="3"/>
        <v>172.79999999999998</v>
      </c>
      <c r="Q20" s="102">
        <f t="shared" si="4"/>
        <v>1025</v>
      </c>
    </row>
    <row r="21" spans="1:17">
      <c r="A21" s="102">
        <v>1993</v>
      </c>
      <c r="B21" s="102">
        <v>42</v>
      </c>
      <c r="C21" s="102">
        <v>52.3</v>
      </c>
      <c r="D21" s="102">
        <v>34.200000000000003</v>
      </c>
      <c r="E21" s="102">
        <v>56.5</v>
      </c>
      <c r="F21" s="102">
        <v>127</v>
      </c>
      <c r="G21" s="102">
        <v>120.8</v>
      </c>
      <c r="H21" s="102">
        <v>304.7</v>
      </c>
      <c r="I21" s="102">
        <v>134.1</v>
      </c>
      <c r="J21" s="102">
        <v>53.3</v>
      </c>
      <c r="K21" s="102">
        <v>107.3</v>
      </c>
      <c r="L21" s="102">
        <v>38.9</v>
      </c>
      <c r="M21" s="102">
        <v>17.3</v>
      </c>
      <c r="N21" s="102">
        <f t="shared" si="1"/>
        <v>185</v>
      </c>
      <c r="O21" s="102">
        <f t="shared" si="2"/>
        <v>739.9</v>
      </c>
      <c r="P21" s="102">
        <f t="shared" si="3"/>
        <v>163.5</v>
      </c>
      <c r="Q21" s="102">
        <f t="shared" si="4"/>
        <v>1088.4000000000001</v>
      </c>
    </row>
    <row r="22" spans="1:17">
      <c r="A22" s="102">
        <v>1994</v>
      </c>
      <c r="B22" s="102">
        <v>23.4</v>
      </c>
      <c r="C22" s="102">
        <v>16.100000000000001</v>
      </c>
      <c r="D22" s="102">
        <v>77.099999999999994</v>
      </c>
      <c r="E22" s="102">
        <v>60.6</v>
      </c>
      <c r="F22" s="102">
        <v>142.4</v>
      </c>
      <c r="G22" s="102">
        <v>187.4</v>
      </c>
      <c r="H22" s="102">
        <v>73.900000000000006</v>
      </c>
      <c r="I22" s="102">
        <v>118.9</v>
      </c>
      <c r="J22" s="102">
        <v>137.80000000000001</v>
      </c>
      <c r="K22" s="102">
        <v>180.5</v>
      </c>
      <c r="L22" s="102">
        <v>61.8</v>
      </c>
      <c r="M22" s="102">
        <v>37</v>
      </c>
      <c r="N22" s="102">
        <f t="shared" si="1"/>
        <v>177.2</v>
      </c>
      <c r="O22" s="102">
        <f t="shared" si="2"/>
        <v>660.40000000000009</v>
      </c>
      <c r="P22" s="102">
        <f t="shared" si="3"/>
        <v>279.3</v>
      </c>
      <c r="Q22" s="102">
        <f t="shared" si="4"/>
        <v>1116.8999999999999</v>
      </c>
    </row>
    <row r="23" spans="1:17">
      <c r="A23" s="102">
        <v>1995</v>
      </c>
      <c r="B23" s="102">
        <v>45.5</v>
      </c>
      <c r="C23" s="102">
        <v>48.2</v>
      </c>
      <c r="D23" s="102">
        <v>63.7</v>
      </c>
      <c r="E23" s="102">
        <v>40.5</v>
      </c>
      <c r="F23" s="102">
        <v>167.7</v>
      </c>
      <c r="G23" s="102">
        <v>456</v>
      </c>
      <c r="H23" s="102">
        <v>77.2</v>
      </c>
      <c r="I23" s="102">
        <v>147.30000000000001</v>
      </c>
      <c r="J23" s="102">
        <v>97.5</v>
      </c>
      <c r="K23" s="102">
        <v>77.900000000000006</v>
      </c>
      <c r="L23" s="102">
        <v>47.4</v>
      </c>
      <c r="M23" s="102">
        <v>8.3000000000000007</v>
      </c>
      <c r="N23" s="102">
        <f t="shared" si="1"/>
        <v>197.9</v>
      </c>
      <c r="O23" s="102">
        <f t="shared" si="2"/>
        <v>945.7</v>
      </c>
      <c r="P23" s="102">
        <f t="shared" si="3"/>
        <v>133.60000000000002</v>
      </c>
      <c r="Q23" s="102">
        <f t="shared" si="4"/>
        <v>1277.2000000000003</v>
      </c>
    </row>
    <row r="24" spans="1:17">
      <c r="A24" s="102">
        <v>1996</v>
      </c>
      <c r="B24" s="102">
        <v>25.1</v>
      </c>
      <c r="C24" s="102">
        <v>1.9</v>
      </c>
      <c r="D24" s="102">
        <v>49.4</v>
      </c>
      <c r="E24" s="102">
        <v>72.8</v>
      </c>
      <c r="F24" s="102">
        <v>151.6</v>
      </c>
      <c r="G24" s="102">
        <v>241.4</v>
      </c>
      <c r="H24" s="102">
        <v>306.39999999999998</v>
      </c>
      <c r="I24" s="102">
        <v>164</v>
      </c>
      <c r="J24" s="102">
        <v>66.599999999999994</v>
      </c>
      <c r="K24" s="102">
        <v>37.6</v>
      </c>
      <c r="L24" s="102">
        <v>100.5</v>
      </c>
      <c r="M24" s="102">
        <v>14</v>
      </c>
      <c r="N24" s="102">
        <f t="shared" si="1"/>
        <v>149.19999999999999</v>
      </c>
      <c r="O24" s="102">
        <f t="shared" si="2"/>
        <v>930</v>
      </c>
      <c r="P24" s="102">
        <f t="shared" si="3"/>
        <v>152.1</v>
      </c>
      <c r="Q24" s="102">
        <f t="shared" si="4"/>
        <v>1231.2999999999997</v>
      </c>
    </row>
    <row r="25" spans="1:17">
      <c r="A25" s="102">
        <v>1997</v>
      </c>
      <c r="B25" s="102">
        <v>42.5</v>
      </c>
      <c r="C25" s="102">
        <v>36.700000000000003</v>
      </c>
      <c r="D25" s="102">
        <v>24.6</v>
      </c>
      <c r="E25" s="102">
        <v>132.19999999999999</v>
      </c>
      <c r="F25" s="102">
        <v>120.2</v>
      </c>
      <c r="G25" s="102">
        <v>393.1</v>
      </c>
      <c r="H25" s="102">
        <v>194.9</v>
      </c>
      <c r="I25" s="102">
        <v>47.2</v>
      </c>
      <c r="J25" s="102">
        <v>115.7</v>
      </c>
      <c r="K25" s="102">
        <v>96.1</v>
      </c>
      <c r="L25" s="102">
        <v>8.1999999999999993</v>
      </c>
      <c r="M25" s="102">
        <v>30.5</v>
      </c>
      <c r="N25" s="102">
        <f t="shared" si="1"/>
        <v>236</v>
      </c>
      <c r="O25" s="102">
        <f t="shared" si="2"/>
        <v>871.10000000000014</v>
      </c>
      <c r="P25" s="102">
        <f t="shared" si="3"/>
        <v>134.80000000000001</v>
      </c>
      <c r="Q25" s="102">
        <f t="shared" si="4"/>
        <v>1241.8999999999999</v>
      </c>
    </row>
    <row r="26" spans="1:17">
      <c r="A26" s="102">
        <v>1998</v>
      </c>
      <c r="B26" s="102">
        <v>17.600000000000001</v>
      </c>
      <c r="C26" s="102">
        <v>20.8</v>
      </c>
      <c r="D26" s="102">
        <v>22.7</v>
      </c>
      <c r="E26" s="102">
        <v>86.8</v>
      </c>
      <c r="F26" s="102">
        <v>139.69999999999999</v>
      </c>
      <c r="G26" s="102">
        <v>217.1</v>
      </c>
      <c r="H26" s="102">
        <v>86.6</v>
      </c>
      <c r="I26" s="102">
        <v>223.9</v>
      </c>
      <c r="J26" s="102">
        <v>44.7</v>
      </c>
      <c r="K26" s="102">
        <v>165.5</v>
      </c>
      <c r="L26" s="102">
        <v>37.200000000000003</v>
      </c>
      <c r="M26" s="102">
        <v>25.2</v>
      </c>
      <c r="N26" s="102">
        <f t="shared" si="1"/>
        <v>147.9</v>
      </c>
      <c r="O26" s="102">
        <f t="shared" si="2"/>
        <v>712</v>
      </c>
      <c r="P26" s="102">
        <f t="shared" si="3"/>
        <v>227.89999999999998</v>
      </c>
      <c r="Q26" s="102">
        <f t="shared" si="4"/>
        <v>1087.8000000000002</v>
      </c>
    </row>
    <row r="27" spans="1:17">
      <c r="A27" s="102">
        <v>1999</v>
      </c>
      <c r="B27" s="102">
        <v>55</v>
      </c>
      <c r="C27" s="102">
        <v>18.100000000000001</v>
      </c>
      <c r="D27" s="102">
        <v>19.899999999999999</v>
      </c>
      <c r="E27" s="102">
        <v>78.400000000000006</v>
      </c>
      <c r="F27" s="102">
        <v>179.1</v>
      </c>
      <c r="G27" s="102">
        <v>165.5</v>
      </c>
      <c r="H27" s="102">
        <v>257</v>
      </c>
      <c r="I27" s="102">
        <v>161.6</v>
      </c>
      <c r="J27" s="102">
        <v>71.599999999999994</v>
      </c>
      <c r="K27" s="102">
        <v>73.599999999999994</v>
      </c>
      <c r="L27" s="102">
        <v>40.1</v>
      </c>
      <c r="M27" s="102">
        <v>9.4</v>
      </c>
      <c r="N27" s="102">
        <f t="shared" si="1"/>
        <v>171.4</v>
      </c>
      <c r="O27" s="102">
        <f t="shared" si="2"/>
        <v>834.80000000000007</v>
      </c>
      <c r="P27" s="102">
        <f t="shared" si="3"/>
        <v>123.1</v>
      </c>
      <c r="Q27" s="102">
        <f t="shared" si="4"/>
        <v>1129.3</v>
      </c>
    </row>
    <row r="28" spans="1:17">
      <c r="A28" s="102">
        <v>2000</v>
      </c>
      <c r="B28" s="102">
        <v>35.700000000000003</v>
      </c>
      <c r="C28" s="102">
        <v>18.7</v>
      </c>
      <c r="D28" s="102">
        <v>31.3</v>
      </c>
      <c r="E28" s="102">
        <v>125.2</v>
      </c>
      <c r="F28" s="102">
        <v>89.4</v>
      </c>
      <c r="G28" s="102">
        <v>364.4</v>
      </c>
      <c r="H28" s="102">
        <v>167.6</v>
      </c>
      <c r="I28" s="102">
        <v>158.69999999999999</v>
      </c>
      <c r="J28" s="102">
        <v>122.9</v>
      </c>
      <c r="K28" s="102">
        <v>112.6</v>
      </c>
      <c r="L28" s="102">
        <v>45.2</v>
      </c>
      <c r="M28" s="102">
        <v>23.4</v>
      </c>
      <c r="N28" s="102">
        <f t="shared" si="1"/>
        <v>210.9</v>
      </c>
      <c r="O28" s="102">
        <f t="shared" si="2"/>
        <v>902.99999999999989</v>
      </c>
      <c r="P28" s="102">
        <f t="shared" si="3"/>
        <v>181.20000000000002</v>
      </c>
      <c r="Q28" s="102">
        <f t="shared" si="4"/>
        <v>1295.1000000000001</v>
      </c>
    </row>
    <row r="29" spans="1:17">
      <c r="A29" s="102">
        <v>2001</v>
      </c>
      <c r="B29" s="102">
        <v>27.8</v>
      </c>
      <c r="C29" s="102">
        <v>22</v>
      </c>
      <c r="D29" s="102">
        <v>36.1</v>
      </c>
      <c r="E29" s="102">
        <v>127.3</v>
      </c>
      <c r="F29" s="102">
        <v>132.30000000000001</v>
      </c>
      <c r="G29" s="102">
        <v>212.4</v>
      </c>
      <c r="H29" s="102">
        <v>114.7</v>
      </c>
      <c r="I29" s="102">
        <v>29.6</v>
      </c>
      <c r="J29" s="102">
        <v>69.599999999999994</v>
      </c>
      <c r="K29" s="102">
        <v>157.4</v>
      </c>
      <c r="L29" s="102">
        <v>25.6</v>
      </c>
      <c r="M29" s="102">
        <v>23.3</v>
      </c>
      <c r="N29" s="102">
        <f t="shared" si="1"/>
        <v>213.2</v>
      </c>
      <c r="O29" s="102">
        <f t="shared" si="2"/>
        <v>558.6</v>
      </c>
      <c r="P29" s="102">
        <f t="shared" si="3"/>
        <v>206.3</v>
      </c>
      <c r="Q29" s="102">
        <f t="shared" si="4"/>
        <v>978.1</v>
      </c>
    </row>
    <row r="30" spans="1:17">
      <c r="A30" s="102">
        <v>2002</v>
      </c>
      <c r="B30" s="102">
        <v>16.100000000000001</v>
      </c>
      <c r="C30" s="102">
        <v>24.2</v>
      </c>
      <c r="D30" s="102">
        <v>35.5</v>
      </c>
      <c r="E30" s="102">
        <v>82.6</v>
      </c>
      <c r="F30" s="102">
        <v>204</v>
      </c>
      <c r="G30" s="102">
        <v>307.89999999999998</v>
      </c>
      <c r="H30" s="102">
        <v>174.7</v>
      </c>
      <c r="I30" s="102">
        <v>242.3</v>
      </c>
      <c r="J30" s="102">
        <v>40.200000000000003</v>
      </c>
      <c r="K30" s="102">
        <v>99.7</v>
      </c>
      <c r="L30" s="102">
        <v>12.8</v>
      </c>
      <c r="M30" s="102">
        <v>26.2</v>
      </c>
      <c r="N30" s="102">
        <f t="shared" si="1"/>
        <v>158.39999999999998</v>
      </c>
      <c r="O30" s="102">
        <f t="shared" si="2"/>
        <v>969.09999999999991</v>
      </c>
      <c r="P30" s="102">
        <f t="shared" si="3"/>
        <v>138.69999999999999</v>
      </c>
      <c r="Q30" s="102">
        <f t="shared" si="4"/>
        <v>1266.2</v>
      </c>
    </row>
    <row r="31" spans="1:17">
      <c r="A31" s="102">
        <v>2003</v>
      </c>
      <c r="B31" s="102">
        <v>22.2</v>
      </c>
      <c r="C31" s="102">
        <v>7.7</v>
      </c>
      <c r="D31" s="102">
        <v>18.399999999999999</v>
      </c>
      <c r="E31" s="102">
        <v>70.2</v>
      </c>
      <c r="F31" s="102">
        <v>130.9</v>
      </c>
      <c r="G31" s="102">
        <v>198.9</v>
      </c>
      <c r="H31" s="102">
        <v>249.4</v>
      </c>
      <c r="I31" s="102">
        <v>57.9</v>
      </c>
      <c r="J31" s="102">
        <v>123.6</v>
      </c>
      <c r="K31" s="102">
        <v>38.799999999999997</v>
      </c>
      <c r="L31" s="102">
        <v>36.1</v>
      </c>
      <c r="M31" s="102">
        <v>56</v>
      </c>
      <c r="N31" s="102">
        <f t="shared" si="1"/>
        <v>118.5</v>
      </c>
      <c r="O31" s="102">
        <f t="shared" si="2"/>
        <v>760.7</v>
      </c>
      <c r="P31" s="102">
        <f t="shared" si="3"/>
        <v>130.9</v>
      </c>
      <c r="Q31" s="102">
        <f t="shared" si="4"/>
        <v>1010.1</v>
      </c>
    </row>
    <row r="32" spans="1:17">
      <c r="A32" s="102">
        <v>2004</v>
      </c>
      <c r="B32" s="103">
        <v>39.799999999999997</v>
      </c>
      <c r="C32" s="103">
        <v>34.700000000000003</v>
      </c>
      <c r="D32" s="103">
        <v>25.4</v>
      </c>
      <c r="E32" s="103">
        <v>63.7</v>
      </c>
      <c r="F32" s="103">
        <v>131.30000000000001</v>
      </c>
      <c r="G32" s="103">
        <v>149.9</v>
      </c>
      <c r="H32" s="103">
        <v>266.60000000000002</v>
      </c>
      <c r="I32" s="103">
        <v>150.80000000000001</v>
      </c>
      <c r="J32" s="103">
        <v>108.9</v>
      </c>
      <c r="K32" s="103">
        <v>50.4</v>
      </c>
      <c r="L32" s="103">
        <v>51.7</v>
      </c>
      <c r="M32" s="103">
        <v>8.9</v>
      </c>
      <c r="N32" s="102">
        <f t="shared" si="1"/>
        <v>163.60000000000002</v>
      </c>
      <c r="O32" s="102">
        <f t="shared" si="2"/>
        <v>807.50000000000011</v>
      </c>
      <c r="P32" s="102">
        <f t="shared" si="3"/>
        <v>111</v>
      </c>
      <c r="Q32" s="102">
        <f t="shared" si="4"/>
        <v>1082.1000000000001</v>
      </c>
    </row>
    <row r="33" spans="1:33">
      <c r="A33" s="102">
        <v>2005</v>
      </c>
      <c r="B33" s="102">
        <v>13.6</v>
      </c>
      <c r="C33" s="102">
        <v>10.6</v>
      </c>
      <c r="D33" s="102">
        <v>32.1</v>
      </c>
      <c r="E33" s="102">
        <v>76.3</v>
      </c>
      <c r="F33" s="102">
        <v>241.6</v>
      </c>
      <c r="G33" s="102">
        <v>52.5</v>
      </c>
      <c r="H33" s="102">
        <v>113.8</v>
      </c>
      <c r="I33" s="102">
        <v>58.9</v>
      </c>
      <c r="J33" s="102">
        <v>77.5</v>
      </c>
      <c r="K33" s="103">
        <v>155.69999999999999</v>
      </c>
      <c r="L33" s="103">
        <v>22.9</v>
      </c>
      <c r="M33" s="103">
        <v>22.4</v>
      </c>
      <c r="N33" s="102">
        <f t="shared" si="1"/>
        <v>132.6</v>
      </c>
      <c r="O33" s="102">
        <f t="shared" si="2"/>
        <v>544.29999999999995</v>
      </c>
      <c r="P33" s="102">
        <f t="shared" si="3"/>
        <v>201</v>
      </c>
      <c r="Q33" s="102">
        <f t="shared" si="4"/>
        <v>877.89999999999986</v>
      </c>
    </row>
    <row r="34" spans="1:33">
      <c r="A34" s="102">
        <v>2006</v>
      </c>
      <c r="B34" s="103">
        <v>8.6999999999999993</v>
      </c>
      <c r="C34" s="103">
        <v>51</v>
      </c>
      <c r="D34" s="103">
        <v>33.299999999999997</v>
      </c>
      <c r="E34" s="103">
        <v>39.200000000000003</v>
      </c>
      <c r="F34" s="103">
        <v>112.9</v>
      </c>
      <c r="G34" s="103">
        <v>104.7</v>
      </c>
      <c r="H34" s="103">
        <v>57.4</v>
      </c>
      <c r="I34" s="103">
        <v>22</v>
      </c>
      <c r="J34" s="102">
        <v>73</v>
      </c>
      <c r="K34" s="103">
        <v>103.9</v>
      </c>
      <c r="L34" s="103">
        <v>69</v>
      </c>
      <c r="M34" s="103">
        <v>33.700000000000003</v>
      </c>
      <c r="N34" s="102">
        <f t="shared" si="1"/>
        <v>132.19999999999999</v>
      </c>
      <c r="O34" s="102">
        <f t="shared" si="2"/>
        <v>370</v>
      </c>
      <c r="P34" s="102">
        <f t="shared" si="3"/>
        <v>206.60000000000002</v>
      </c>
      <c r="Q34" s="102">
        <f t="shared" si="4"/>
        <v>708.80000000000007</v>
      </c>
    </row>
    <row r="35" spans="1:33">
      <c r="A35" s="102">
        <v>2007</v>
      </c>
      <c r="B35" s="103">
        <v>29.5</v>
      </c>
      <c r="C35" s="103">
        <v>13.4</v>
      </c>
      <c r="D35" s="103">
        <v>31.6</v>
      </c>
      <c r="E35" s="103">
        <v>172.7</v>
      </c>
      <c r="F35" s="103">
        <v>85</v>
      </c>
      <c r="G35" s="103">
        <v>161.5</v>
      </c>
      <c r="H35" s="103">
        <v>138.9</v>
      </c>
      <c r="I35" s="103">
        <v>208.2</v>
      </c>
      <c r="J35" s="103">
        <v>110.3</v>
      </c>
      <c r="K35" s="102">
        <v>68.5</v>
      </c>
      <c r="L35" s="102">
        <v>10.199999999999999</v>
      </c>
      <c r="M35" s="102">
        <v>11.9</v>
      </c>
      <c r="N35" s="102">
        <f t="shared" si="1"/>
        <v>247.2</v>
      </c>
      <c r="O35" s="102">
        <f t="shared" si="2"/>
        <v>703.89999999999986</v>
      </c>
      <c r="P35" s="102">
        <f t="shared" si="3"/>
        <v>90.600000000000009</v>
      </c>
      <c r="Q35" s="102">
        <f t="shared" si="4"/>
        <v>1041.7</v>
      </c>
    </row>
    <row r="36" spans="1:33">
      <c r="A36" s="102">
        <v>2008</v>
      </c>
      <c r="B36" s="102">
        <v>12.3</v>
      </c>
      <c r="C36" s="102">
        <v>10.8</v>
      </c>
      <c r="D36" s="102">
        <v>66.900000000000006</v>
      </c>
      <c r="E36" s="102">
        <v>56.7</v>
      </c>
      <c r="F36" s="102">
        <v>122.6</v>
      </c>
      <c r="G36" s="102">
        <v>74.599999999999994</v>
      </c>
      <c r="H36" s="102">
        <v>236</v>
      </c>
      <c r="I36" s="102">
        <v>155.5</v>
      </c>
      <c r="J36" s="102">
        <v>57.2</v>
      </c>
      <c r="K36" s="102">
        <v>153.4</v>
      </c>
      <c r="L36" s="102">
        <v>84.9</v>
      </c>
      <c r="M36" s="102">
        <v>20</v>
      </c>
      <c r="N36" s="102">
        <f t="shared" si="1"/>
        <v>146.69999999999999</v>
      </c>
      <c r="O36" s="102">
        <f t="shared" si="2"/>
        <v>645.90000000000009</v>
      </c>
      <c r="P36" s="102">
        <f t="shared" si="3"/>
        <v>258.3</v>
      </c>
      <c r="Q36" s="102">
        <f t="shared" si="4"/>
        <v>1050.9000000000001</v>
      </c>
    </row>
    <row r="37" spans="1:33">
      <c r="A37" s="102">
        <v>2009</v>
      </c>
      <c r="B37" s="102">
        <v>24.4</v>
      </c>
      <c r="C37" s="102">
        <v>54</v>
      </c>
      <c r="D37" s="102">
        <v>49</v>
      </c>
      <c r="E37" s="102">
        <v>74.2</v>
      </c>
      <c r="F37" s="102">
        <v>149.69999999999999</v>
      </c>
      <c r="G37" s="102">
        <v>143.6</v>
      </c>
      <c r="H37" s="102">
        <v>45.6</v>
      </c>
      <c r="I37" s="102">
        <v>156.30000000000001</v>
      </c>
      <c r="J37" s="102">
        <v>33</v>
      </c>
      <c r="K37" s="102">
        <v>48.5</v>
      </c>
      <c r="L37" s="102">
        <v>25.8</v>
      </c>
      <c r="M37" s="102">
        <v>40.1</v>
      </c>
      <c r="N37" s="102">
        <f t="shared" si="1"/>
        <v>201.60000000000002</v>
      </c>
      <c r="O37" s="102">
        <f t="shared" si="2"/>
        <v>528.20000000000005</v>
      </c>
      <c r="P37" s="102">
        <f t="shared" si="3"/>
        <v>114.4</v>
      </c>
      <c r="Q37" s="102">
        <f t="shared" si="4"/>
        <v>844.19999999999993</v>
      </c>
    </row>
    <row r="38" spans="1:33">
      <c r="A38" s="102">
        <v>2010</v>
      </c>
      <c r="B38" s="102">
        <v>11.2</v>
      </c>
      <c r="C38" s="102">
        <v>3.1</v>
      </c>
      <c r="D38" s="102">
        <v>44.4</v>
      </c>
      <c r="E38" s="102">
        <v>58.1</v>
      </c>
      <c r="F38" s="102">
        <v>115.3</v>
      </c>
      <c r="G38" s="102">
        <v>240</v>
      </c>
      <c r="H38" s="102">
        <v>184.6</v>
      </c>
      <c r="I38" s="102">
        <v>20.8</v>
      </c>
      <c r="J38" s="102">
        <v>134.80000000000001</v>
      </c>
      <c r="K38" s="102">
        <v>124</v>
      </c>
      <c r="L38" s="102">
        <v>38.9</v>
      </c>
      <c r="M38" s="102">
        <v>23.9</v>
      </c>
      <c r="N38" s="102">
        <f t="shared" si="1"/>
        <v>116.8</v>
      </c>
      <c r="O38" s="102">
        <f t="shared" si="2"/>
        <v>695.5</v>
      </c>
      <c r="P38" s="102">
        <f t="shared" si="3"/>
        <v>186.8</v>
      </c>
      <c r="Q38" s="102">
        <f t="shared" si="4"/>
        <v>999.09999999999991</v>
      </c>
    </row>
    <row r="39" spans="1:33">
      <c r="A39" s="102">
        <v>2011</v>
      </c>
      <c r="B39" s="102">
        <v>13.7</v>
      </c>
      <c r="C39" s="102">
        <v>4.8</v>
      </c>
      <c r="D39" s="102">
        <v>32.4</v>
      </c>
      <c r="E39" s="102">
        <v>25.6</v>
      </c>
      <c r="F39" s="102">
        <v>74.2</v>
      </c>
      <c r="G39" s="102">
        <v>284.3</v>
      </c>
      <c r="H39" s="102">
        <v>77.5</v>
      </c>
      <c r="I39" s="102">
        <v>46.8</v>
      </c>
      <c r="J39" s="102">
        <v>60</v>
      </c>
      <c r="K39" s="102">
        <v>141.69999999999999</v>
      </c>
      <c r="L39" s="102">
        <v>41.6</v>
      </c>
      <c r="M39" s="102">
        <v>31.2</v>
      </c>
      <c r="N39" s="102">
        <f t="shared" si="1"/>
        <v>76.5</v>
      </c>
      <c r="O39" s="102">
        <f t="shared" si="2"/>
        <v>542.79999999999995</v>
      </c>
      <c r="P39" s="102">
        <f t="shared" si="3"/>
        <v>214.49999999999997</v>
      </c>
      <c r="Q39" s="102">
        <f t="shared" si="4"/>
        <v>833.80000000000007</v>
      </c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</row>
    <row r="40" spans="1:33">
      <c r="A40" s="102">
        <v>2012</v>
      </c>
      <c r="B40" s="102">
        <v>23.1</v>
      </c>
      <c r="C40" s="102">
        <v>20</v>
      </c>
      <c r="D40" s="102">
        <v>28.6</v>
      </c>
      <c r="E40" s="102">
        <v>90</v>
      </c>
      <c r="F40" s="102">
        <v>113.6</v>
      </c>
      <c r="G40" s="102">
        <v>182.8</v>
      </c>
      <c r="H40" s="102">
        <v>203.1</v>
      </c>
      <c r="I40" s="102">
        <v>72.5</v>
      </c>
      <c r="J40" s="102">
        <v>64.8</v>
      </c>
      <c r="K40" s="102">
        <v>52.5</v>
      </c>
      <c r="L40" s="102">
        <v>32.799999999999997</v>
      </c>
      <c r="M40" s="102">
        <v>22.4</v>
      </c>
      <c r="N40" s="102">
        <f t="shared" si="1"/>
        <v>161.69999999999999</v>
      </c>
      <c r="O40" s="102">
        <f t="shared" si="2"/>
        <v>636.79999999999995</v>
      </c>
      <c r="P40" s="102">
        <f t="shared" si="3"/>
        <v>107.69999999999999</v>
      </c>
      <c r="Q40" s="102">
        <f t="shared" si="4"/>
        <v>906.19999999999982</v>
      </c>
      <c r="R40" s="104"/>
      <c r="S40" s="104"/>
      <c r="T40" s="104"/>
      <c r="U40" s="104"/>
      <c r="V40" s="104"/>
      <c r="W40" s="104"/>
      <c r="X40" s="104"/>
      <c r="Y40" s="104"/>
      <c r="Z40" s="104"/>
      <c r="AA40" s="104"/>
      <c r="AB40" s="104"/>
      <c r="AC40" s="104"/>
      <c r="AD40" s="104"/>
      <c r="AE40" s="104"/>
      <c r="AF40" s="104"/>
      <c r="AG40" s="104"/>
    </row>
    <row r="41" spans="1:33">
      <c r="A41" s="102">
        <v>2013</v>
      </c>
      <c r="B41" s="102">
        <v>8.1</v>
      </c>
      <c r="C41" s="102">
        <v>16.8</v>
      </c>
      <c r="D41" s="102">
        <v>40.299999999999997</v>
      </c>
      <c r="E41" s="102">
        <v>69.7</v>
      </c>
      <c r="F41" s="102">
        <v>147.69999999999999</v>
      </c>
      <c r="G41" s="102">
        <v>196.9</v>
      </c>
      <c r="H41" s="102">
        <v>1.7</v>
      </c>
      <c r="I41" s="102">
        <v>58.5</v>
      </c>
      <c r="J41" s="102">
        <v>97.1</v>
      </c>
      <c r="K41" s="102">
        <v>108.9</v>
      </c>
      <c r="L41" s="102">
        <v>23.1</v>
      </c>
      <c r="M41" s="102">
        <v>21.5</v>
      </c>
      <c r="N41" s="102">
        <f t="shared" si="1"/>
        <v>134.89999999999998</v>
      </c>
      <c r="O41" s="102">
        <f t="shared" si="2"/>
        <v>501.9</v>
      </c>
      <c r="P41" s="102">
        <f t="shared" si="3"/>
        <v>153.5</v>
      </c>
      <c r="Q41" s="102">
        <f t="shared" si="4"/>
        <v>790.30000000000007</v>
      </c>
      <c r="R41" s="104"/>
      <c r="S41" s="104"/>
      <c r="T41" s="104"/>
      <c r="U41" s="104"/>
      <c r="V41" s="104"/>
      <c r="W41" s="104"/>
      <c r="X41" s="104"/>
      <c r="Y41" s="104"/>
      <c r="Z41" s="104"/>
      <c r="AA41" s="104"/>
      <c r="AB41" s="104"/>
      <c r="AC41" s="104"/>
      <c r="AD41" s="104"/>
      <c r="AE41" s="104"/>
      <c r="AF41" s="104"/>
      <c r="AG41" s="104"/>
    </row>
    <row r="42" spans="1:33">
      <c r="A42" s="102">
        <v>2014</v>
      </c>
      <c r="B42" s="114">
        <v>16.600000000000001</v>
      </c>
      <c r="C42" s="114">
        <v>23.7</v>
      </c>
      <c r="D42" s="114">
        <v>98.4</v>
      </c>
      <c r="E42" s="114">
        <v>71.8</v>
      </c>
      <c r="F42" s="114">
        <v>176.8</v>
      </c>
      <c r="G42" s="114">
        <v>143.1</v>
      </c>
      <c r="H42" s="114">
        <v>255.9</v>
      </c>
      <c r="I42" s="114">
        <v>69.8</v>
      </c>
      <c r="J42" s="114">
        <v>58</v>
      </c>
      <c r="K42" s="114">
        <v>50.7</v>
      </c>
      <c r="L42" s="114">
        <v>48.5</v>
      </c>
      <c r="M42" s="114">
        <v>14.5</v>
      </c>
      <c r="N42" s="102">
        <f t="shared" si="1"/>
        <v>210.5</v>
      </c>
      <c r="O42" s="102">
        <f t="shared" si="2"/>
        <v>703.59999999999991</v>
      </c>
      <c r="P42" s="102">
        <f t="shared" si="3"/>
        <v>113.7</v>
      </c>
      <c r="Q42" s="102">
        <f t="shared" si="4"/>
        <v>1027.8</v>
      </c>
    </row>
    <row r="43" spans="1:33">
      <c r="A43" s="102">
        <v>2015</v>
      </c>
      <c r="B43" s="114">
        <v>21</v>
      </c>
      <c r="C43" s="114">
        <v>19.100000000000001</v>
      </c>
      <c r="D43" s="114">
        <v>36.9</v>
      </c>
      <c r="E43" s="114">
        <v>40.299999999999997</v>
      </c>
      <c r="F43" s="114">
        <v>131.9</v>
      </c>
      <c r="G43" s="114">
        <v>210.4</v>
      </c>
      <c r="H43" s="114">
        <v>67.7</v>
      </c>
      <c r="I43" s="114">
        <v>191</v>
      </c>
      <c r="J43" s="114">
        <v>128.80000000000001</v>
      </c>
      <c r="K43" s="114">
        <v>42.3</v>
      </c>
      <c r="L43" s="114">
        <v>19.3</v>
      </c>
      <c r="M43" s="114">
        <v>51.5</v>
      </c>
      <c r="N43" s="102">
        <f t="shared" si="1"/>
        <v>117.3</v>
      </c>
      <c r="O43" s="102">
        <f t="shared" si="2"/>
        <v>729.8</v>
      </c>
      <c r="P43" s="102">
        <f t="shared" si="3"/>
        <v>113.1</v>
      </c>
      <c r="Q43" s="102">
        <f t="shared" si="4"/>
        <v>960.2</v>
      </c>
    </row>
    <row r="44" spans="1:33" s="108" customFormat="1">
      <c r="A44" s="108">
        <v>2016</v>
      </c>
      <c r="B44" s="115">
        <v>41.7</v>
      </c>
      <c r="C44" s="115">
        <v>11.7</v>
      </c>
      <c r="D44" s="115">
        <v>67.400000000000006</v>
      </c>
      <c r="E44" s="115">
        <v>124.6</v>
      </c>
      <c r="F44" s="115">
        <v>92.9</v>
      </c>
      <c r="G44" s="115">
        <v>135.30000000000001</v>
      </c>
      <c r="H44" s="115">
        <v>122.4</v>
      </c>
      <c r="I44" s="115">
        <v>174</v>
      </c>
      <c r="J44" s="115">
        <v>33.1</v>
      </c>
      <c r="K44" s="115">
        <v>70.2</v>
      </c>
      <c r="L44" s="115">
        <v>46.7</v>
      </c>
      <c r="M44" s="115">
        <v>17.600000000000001</v>
      </c>
      <c r="N44" s="108">
        <f>SUM(B44:E44)</f>
        <v>245.4</v>
      </c>
      <c r="O44" s="108">
        <f>SUM(F44:J44)</f>
        <v>557.70000000000005</v>
      </c>
      <c r="P44" s="108">
        <f>SUM(K44:M44)</f>
        <v>134.5</v>
      </c>
      <c r="Q44" s="108">
        <f>SUM(B44:M44)</f>
        <v>937.60000000000014</v>
      </c>
      <c r="R44" s="108">
        <f t="shared" ref="R44:AG44" si="5">100*(B44-B4)/B4</f>
        <v>88.338158656629972</v>
      </c>
      <c r="S44" s="108">
        <f t="shared" si="5"/>
        <v>-41.289243437982506</v>
      </c>
      <c r="T44" s="108">
        <f t="shared" si="5"/>
        <v>70.047871652218902</v>
      </c>
      <c r="U44" s="108">
        <f t="shared" si="5"/>
        <v>86.914378029079174</v>
      </c>
      <c r="V44" s="108">
        <f t="shared" si="5"/>
        <v>-25.094585374930215</v>
      </c>
      <c r="W44" s="108">
        <f t="shared" si="5"/>
        <v>-32.78174800321014</v>
      </c>
      <c r="X44" s="108">
        <f t="shared" si="5"/>
        <v>-11.249930280551046</v>
      </c>
      <c r="Y44" s="108">
        <f t="shared" si="5"/>
        <v>67.497655131559441</v>
      </c>
      <c r="Z44" s="108">
        <f t="shared" si="5"/>
        <v>-60.177073050345513</v>
      </c>
      <c r="AA44" s="108">
        <f t="shared" si="5"/>
        <v>-25.981399372769541</v>
      </c>
      <c r="AB44" s="108">
        <f t="shared" si="5"/>
        <v>16.324966468672173</v>
      </c>
      <c r="AC44" s="108">
        <f t="shared" si="5"/>
        <v>-27.280432249178933</v>
      </c>
      <c r="AD44" s="108">
        <f t="shared" si="5"/>
        <v>65.40103347562345</v>
      </c>
      <c r="AE44" s="108">
        <f t="shared" si="5"/>
        <v>-14.229436051532611</v>
      </c>
      <c r="AF44" s="108">
        <f t="shared" si="5"/>
        <v>-15.509632111333044</v>
      </c>
      <c r="AG44" s="108">
        <f t="shared" si="5"/>
        <v>-2.1069032537867924</v>
      </c>
    </row>
  </sheetData>
  <mergeCells count="6">
    <mergeCell ref="A1:A3"/>
    <mergeCell ref="B1:Q1"/>
    <mergeCell ref="B2:M2"/>
    <mergeCell ref="R1:AG1"/>
    <mergeCell ref="N2:Q2"/>
    <mergeCell ref="R2:AG2"/>
  </mergeCells>
  <phoneticPr fontId="2" type="noConversion"/>
  <pageMargins left="0.75" right="0.75" top="1" bottom="1" header="0.5" footer="0.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/>
  <dimension ref="A1:AG37"/>
  <sheetViews>
    <sheetView topLeftCell="A10" zoomScale="70" zoomScaleNormal="70" workbookViewId="0">
      <selection activeCell="C18" sqref="C18"/>
    </sheetView>
  </sheetViews>
  <sheetFormatPr defaultRowHeight="14.25"/>
  <cols>
    <col min="1" max="1" width="6.625" customWidth="1"/>
    <col min="2" max="10" width="6.625" style="2" customWidth="1"/>
    <col min="11" max="11" width="6.625" style="37" customWidth="1"/>
    <col min="12" max="33" width="6.625" style="2" customWidth="1"/>
    <col min="34" max="42" width="6.625" customWidth="1"/>
  </cols>
  <sheetData>
    <row r="1" spans="1:33" s="119" customFormat="1" ht="14.25" customHeight="1">
      <c r="A1" s="176" t="s">
        <v>0</v>
      </c>
      <c r="B1" s="176" t="s">
        <v>1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2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9" customFormat="1" ht="12.75">
      <c r="A2" s="176"/>
      <c r="B2" s="176" t="s">
        <v>3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32</v>
      </c>
      <c r="O2" s="176"/>
      <c r="P2" s="176"/>
      <c r="Q2" s="176"/>
      <c r="R2" s="176" t="s">
        <v>6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9" customFormat="1" ht="24">
      <c r="A3" s="176"/>
      <c r="B3" s="106" t="s">
        <v>7</v>
      </c>
      <c r="C3" s="106" t="s">
        <v>8</v>
      </c>
      <c r="D3" s="106" t="s">
        <v>9</v>
      </c>
      <c r="E3" s="106" t="s">
        <v>10</v>
      </c>
      <c r="F3" s="106" t="s">
        <v>11</v>
      </c>
      <c r="G3" s="106" t="s">
        <v>12</v>
      </c>
      <c r="H3" s="106" t="s">
        <v>13</v>
      </c>
      <c r="I3" s="106" t="s">
        <v>14</v>
      </c>
      <c r="J3" s="106" t="s">
        <v>15</v>
      </c>
      <c r="K3" s="106" t="s">
        <v>16</v>
      </c>
      <c r="L3" s="106" t="s">
        <v>17</v>
      </c>
      <c r="M3" s="106" t="s">
        <v>18</v>
      </c>
      <c r="N3" s="106" t="s">
        <v>145</v>
      </c>
      <c r="O3" s="106" t="s">
        <v>146</v>
      </c>
      <c r="P3" s="106" t="s">
        <v>147</v>
      </c>
      <c r="Q3" s="106" t="s">
        <v>148</v>
      </c>
      <c r="R3" s="106" t="s">
        <v>7</v>
      </c>
      <c r="S3" s="106" t="s">
        <v>8</v>
      </c>
      <c r="T3" s="106" t="s">
        <v>151</v>
      </c>
      <c r="U3" s="106" t="s">
        <v>152</v>
      </c>
      <c r="V3" s="106" t="s">
        <v>23</v>
      </c>
      <c r="W3" s="106" t="s">
        <v>24</v>
      </c>
      <c r="X3" s="106" t="s">
        <v>25</v>
      </c>
      <c r="Y3" s="106" t="s">
        <v>26</v>
      </c>
      <c r="Z3" s="106" t="s">
        <v>27</v>
      </c>
      <c r="AA3" s="106" t="s">
        <v>155</v>
      </c>
      <c r="AB3" s="106" t="s">
        <v>156</v>
      </c>
      <c r="AC3" s="106" t="s">
        <v>157</v>
      </c>
      <c r="AD3" s="106" t="s">
        <v>90</v>
      </c>
      <c r="AE3" s="106" t="s">
        <v>4</v>
      </c>
      <c r="AF3" s="106" t="s">
        <v>91</v>
      </c>
      <c r="AG3" s="106" t="s">
        <v>5</v>
      </c>
    </row>
    <row r="4" spans="1:33" s="119" customFormat="1" ht="12.75">
      <c r="A4" s="150" t="s">
        <v>261</v>
      </c>
      <c r="B4" s="150">
        <f t="shared" ref="B4:Q4" si="0">AVERAGE(B5:B36)</f>
        <v>23.474999999999994</v>
      </c>
      <c r="C4" s="150">
        <f t="shared" si="0"/>
        <v>23.40625</v>
      </c>
      <c r="D4" s="150">
        <f t="shared" si="0"/>
        <v>47.840625000000003</v>
      </c>
      <c r="E4" s="150">
        <f t="shared" si="0"/>
        <v>81.125000000000014</v>
      </c>
      <c r="F4" s="150">
        <f t="shared" si="0"/>
        <v>153.74999999999997</v>
      </c>
      <c r="G4" s="150">
        <f t="shared" si="0"/>
        <v>235.42500000000004</v>
      </c>
      <c r="H4" s="150">
        <f t="shared" si="0"/>
        <v>154.25937500000001</v>
      </c>
      <c r="I4" s="150">
        <f t="shared" si="0"/>
        <v>115.46875</v>
      </c>
      <c r="J4" s="150">
        <f t="shared" si="0"/>
        <v>89.043750000000031</v>
      </c>
      <c r="K4" s="150">
        <f t="shared" si="0"/>
        <v>112.90625</v>
      </c>
      <c r="L4" s="150">
        <f t="shared" si="0"/>
        <v>54.296874999999993</v>
      </c>
      <c r="M4" s="150">
        <f t="shared" si="0"/>
        <v>26.468750000000007</v>
      </c>
      <c r="N4" s="150">
        <f t="shared" si="0"/>
        <v>175.84687499999998</v>
      </c>
      <c r="O4" s="150">
        <f t="shared" si="0"/>
        <v>747.94687500000009</v>
      </c>
      <c r="P4" s="150">
        <f t="shared" si="0"/>
        <v>193.67187499999997</v>
      </c>
      <c r="Q4" s="150">
        <f t="shared" si="0"/>
        <v>1117.465625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1984</v>
      </c>
      <c r="B5" s="102">
        <v>14.1</v>
      </c>
      <c r="C5" s="102">
        <v>4.5</v>
      </c>
      <c r="D5" s="102">
        <v>39.1</v>
      </c>
      <c r="E5" s="102">
        <v>27</v>
      </c>
      <c r="F5" s="102">
        <v>58.8</v>
      </c>
      <c r="G5" s="102">
        <v>266.7</v>
      </c>
      <c r="H5" s="102">
        <v>98.8</v>
      </c>
      <c r="I5" s="102">
        <v>51.2</v>
      </c>
      <c r="J5" s="102">
        <v>55.3</v>
      </c>
      <c r="K5" s="102">
        <v>86.7</v>
      </c>
      <c r="L5" s="102">
        <v>18.5</v>
      </c>
      <c r="M5" s="102">
        <v>45.6</v>
      </c>
      <c r="N5" s="102">
        <f>SUM(B5:E5)</f>
        <v>84.7</v>
      </c>
      <c r="O5" s="102">
        <f>SUM(F5:J5)</f>
        <v>530.79999999999995</v>
      </c>
      <c r="P5" s="102">
        <f>SUM(K5:M5)</f>
        <v>150.80000000000001</v>
      </c>
      <c r="Q5" s="102">
        <f>SUM(B5:M5)</f>
        <v>766.30000000000007</v>
      </c>
      <c r="R5" s="102"/>
      <c r="S5" s="102"/>
      <c r="T5" s="102"/>
      <c r="U5" s="102"/>
      <c r="V5" s="102"/>
      <c r="W5" s="102"/>
      <c r="X5" s="102"/>
      <c r="Y5" s="102"/>
      <c r="Z5" s="102"/>
      <c r="AA5" s="102"/>
      <c r="AB5" s="102"/>
      <c r="AC5" s="102"/>
      <c r="AD5" s="102"/>
      <c r="AE5" s="102"/>
      <c r="AF5" s="102"/>
      <c r="AG5" s="102"/>
    </row>
    <row r="6" spans="1:33">
      <c r="A6" s="102">
        <v>1985</v>
      </c>
      <c r="B6" s="102">
        <v>13.3</v>
      </c>
      <c r="C6" s="102">
        <v>9.6999999999999993</v>
      </c>
      <c r="D6" s="102">
        <v>25.2</v>
      </c>
      <c r="E6" s="102">
        <v>29.7</v>
      </c>
      <c r="F6" s="102">
        <v>126.1</v>
      </c>
      <c r="G6" s="102">
        <v>145.9</v>
      </c>
      <c r="H6" s="102">
        <v>35.700000000000003</v>
      </c>
      <c r="I6" s="102">
        <v>73</v>
      </c>
      <c r="J6" s="102">
        <v>84.7</v>
      </c>
      <c r="K6" s="102">
        <v>77.7</v>
      </c>
      <c r="L6" s="102">
        <v>62.7</v>
      </c>
      <c r="M6" s="102">
        <v>39.5</v>
      </c>
      <c r="N6" s="102">
        <f t="shared" ref="N6:N36" si="1">SUM(B6:E6)</f>
        <v>77.900000000000006</v>
      </c>
      <c r="O6" s="102">
        <f t="shared" ref="O6:O36" si="2">SUM(F6:J6)</f>
        <v>465.4</v>
      </c>
      <c r="P6" s="102">
        <f t="shared" ref="P6:P36" si="3">SUM(K6:M6)</f>
        <v>179.9</v>
      </c>
      <c r="Q6" s="102">
        <f t="shared" ref="Q6:Q36" si="4">SUM(B6:M6)</f>
        <v>723.2</v>
      </c>
      <c r="R6" s="102"/>
      <c r="S6" s="102"/>
      <c r="T6" s="102"/>
      <c r="U6" s="102"/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</row>
    <row r="7" spans="1:33">
      <c r="A7" s="102">
        <v>1986</v>
      </c>
      <c r="B7" s="102">
        <v>8.8000000000000007</v>
      </c>
      <c r="C7" s="102">
        <v>7.9</v>
      </c>
      <c r="D7" s="102">
        <v>17.5</v>
      </c>
      <c r="E7" s="102">
        <v>19.2</v>
      </c>
      <c r="F7" s="102">
        <v>57.1</v>
      </c>
      <c r="G7" s="102">
        <v>218.5</v>
      </c>
      <c r="H7" s="102">
        <v>113.3</v>
      </c>
      <c r="I7" s="102">
        <v>79.5</v>
      </c>
      <c r="J7" s="102">
        <v>67.3</v>
      </c>
      <c r="K7" s="102">
        <v>80</v>
      </c>
      <c r="L7" s="102">
        <v>65.8</v>
      </c>
      <c r="M7" s="102">
        <v>9.3000000000000007</v>
      </c>
      <c r="N7" s="102">
        <f t="shared" si="1"/>
        <v>53.400000000000006</v>
      </c>
      <c r="O7" s="102">
        <f t="shared" si="2"/>
        <v>535.70000000000005</v>
      </c>
      <c r="P7" s="102">
        <f t="shared" si="3"/>
        <v>155.10000000000002</v>
      </c>
      <c r="Q7" s="102">
        <f t="shared" si="4"/>
        <v>744.19999999999982</v>
      </c>
      <c r="R7" s="102"/>
      <c r="S7" s="102"/>
      <c r="T7" s="102"/>
      <c r="U7" s="102"/>
      <c r="V7" s="102"/>
      <c r="W7" s="102"/>
      <c r="X7" s="102"/>
      <c r="Y7" s="102"/>
      <c r="Z7" s="102"/>
      <c r="AA7" s="102"/>
      <c r="AB7" s="102"/>
      <c r="AC7" s="102"/>
      <c r="AD7" s="102"/>
      <c r="AE7" s="102"/>
      <c r="AF7" s="102"/>
      <c r="AG7" s="102"/>
    </row>
    <row r="8" spans="1:33">
      <c r="A8" s="102">
        <v>1987</v>
      </c>
      <c r="B8" s="102">
        <v>6.1</v>
      </c>
      <c r="C8" s="102">
        <v>4.9000000000000004</v>
      </c>
      <c r="D8" s="102">
        <v>27</v>
      </c>
      <c r="E8" s="102">
        <v>32.6</v>
      </c>
      <c r="F8" s="102">
        <v>58.3</v>
      </c>
      <c r="G8" s="102">
        <v>289.10000000000002</v>
      </c>
      <c r="H8" s="102">
        <v>56.9</v>
      </c>
      <c r="I8" s="102">
        <v>65.5</v>
      </c>
      <c r="J8" s="102">
        <v>47.3</v>
      </c>
      <c r="K8" s="102">
        <v>275.5</v>
      </c>
      <c r="L8" s="102">
        <v>64.400000000000006</v>
      </c>
      <c r="M8" s="102">
        <v>13.8</v>
      </c>
      <c r="N8" s="102">
        <f t="shared" si="1"/>
        <v>70.599999999999994</v>
      </c>
      <c r="O8" s="102">
        <f t="shared" si="2"/>
        <v>517.1</v>
      </c>
      <c r="P8" s="102">
        <f t="shared" si="3"/>
        <v>353.7</v>
      </c>
      <c r="Q8" s="102">
        <f t="shared" si="4"/>
        <v>941.39999999999986</v>
      </c>
      <c r="R8" s="102"/>
      <c r="S8" s="102"/>
      <c r="T8" s="102"/>
      <c r="U8" s="102"/>
      <c r="V8" s="102"/>
      <c r="W8" s="102"/>
      <c r="X8" s="102"/>
      <c r="Y8" s="102"/>
      <c r="Z8" s="102"/>
      <c r="AA8" s="102"/>
      <c r="AB8" s="102"/>
      <c r="AC8" s="102"/>
      <c r="AD8" s="102"/>
      <c r="AE8" s="102"/>
      <c r="AF8" s="102"/>
      <c r="AG8" s="102"/>
    </row>
    <row r="9" spans="1:33">
      <c r="A9" s="102">
        <v>1988</v>
      </c>
      <c r="B9" s="102">
        <v>10.7</v>
      </c>
      <c r="C9" s="102">
        <v>11.1</v>
      </c>
      <c r="D9" s="102">
        <v>55.1</v>
      </c>
      <c r="E9" s="102">
        <v>39</v>
      </c>
      <c r="F9" s="102">
        <v>68.8</v>
      </c>
      <c r="G9" s="102">
        <v>240.4</v>
      </c>
      <c r="H9" s="102">
        <v>87.1</v>
      </c>
      <c r="I9" s="102">
        <v>76.599999999999994</v>
      </c>
      <c r="J9" s="102">
        <v>55.6</v>
      </c>
      <c r="K9" s="102">
        <v>69.599999999999994</v>
      </c>
      <c r="L9" s="102">
        <v>2</v>
      </c>
      <c r="M9" s="102">
        <v>24.3</v>
      </c>
      <c r="N9" s="102">
        <f t="shared" si="1"/>
        <v>115.9</v>
      </c>
      <c r="O9" s="102">
        <f t="shared" si="2"/>
        <v>528.5</v>
      </c>
      <c r="P9" s="102">
        <f t="shared" si="3"/>
        <v>95.899999999999991</v>
      </c>
      <c r="Q9" s="102">
        <f t="shared" si="4"/>
        <v>740.30000000000007</v>
      </c>
      <c r="R9" s="102"/>
      <c r="S9" s="102"/>
      <c r="T9" s="102"/>
      <c r="U9" s="102"/>
      <c r="V9" s="102"/>
      <c r="W9" s="102"/>
      <c r="X9" s="102"/>
      <c r="Y9" s="102"/>
      <c r="Z9" s="102"/>
      <c r="AA9" s="102"/>
      <c r="AB9" s="102"/>
      <c r="AC9" s="102"/>
      <c r="AD9" s="102"/>
      <c r="AE9" s="102"/>
      <c r="AF9" s="102"/>
      <c r="AG9" s="102"/>
    </row>
    <row r="10" spans="1:33">
      <c r="A10" s="102">
        <v>1989</v>
      </c>
      <c r="B10" s="102">
        <v>9</v>
      </c>
      <c r="C10" s="102">
        <v>5.5</v>
      </c>
      <c r="D10" s="102">
        <v>20.399999999999999</v>
      </c>
      <c r="E10" s="102">
        <v>34.5</v>
      </c>
      <c r="F10" s="102">
        <v>40.700000000000003</v>
      </c>
      <c r="G10" s="102">
        <v>143.9</v>
      </c>
      <c r="H10" s="102">
        <v>54.5</v>
      </c>
      <c r="I10" s="102">
        <v>71.5</v>
      </c>
      <c r="J10" s="102">
        <v>76.900000000000006</v>
      </c>
      <c r="K10" s="102">
        <v>89.8</v>
      </c>
      <c r="L10" s="102">
        <v>49</v>
      </c>
      <c r="M10" s="102">
        <v>47.3</v>
      </c>
      <c r="N10" s="102">
        <f t="shared" si="1"/>
        <v>69.400000000000006</v>
      </c>
      <c r="O10" s="102">
        <f t="shared" si="2"/>
        <v>387.5</v>
      </c>
      <c r="P10" s="102">
        <f t="shared" si="3"/>
        <v>186.10000000000002</v>
      </c>
      <c r="Q10" s="102">
        <f t="shared" si="4"/>
        <v>642.99999999999989</v>
      </c>
      <c r="R10" s="102"/>
      <c r="S10" s="102"/>
      <c r="T10" s="102"/>
      <c r="U10" s="102"/>
      <c r="V10" s="102"/>
      <c r="W10" s="102"/>
      <c r="X10" s="102"/>
      <c r="Y10" s="102"/>
      <c r="Z10" s="102"/>
      <c r="AA10" s="102"/>
      <c r="AB10" s="102"/>
      <c r="AC10" s="102"/>
      <c r="AD10" s="102"/>
      <c r="AE10" s="102"/>
      <c r="AF10" s="102"/>
      <c r="AG10" s="102"/>
    </row>
    <row r="11" spans="1:33">
      <c r="A11" s="102">
        <v>1990</v>
      </c>
      <c r="B11" s="102">
        <v>11.3</v>
      </c>
      <c r="C11" s="102">
        <v>10.6</v>
      </c>
      <c r="D11" s="102">
        <v>45.3</v>
      </c>
      <c r="E11" s="102">
        <v>40.799999999999997</v>
      </c>
      <c r="F11" s="102">
        <v>62.3</v>
      </c>
      <c r="G11" s="102">
        <v>170.5</v>
      </c>
      <c r="H11" s="102">
        <v>61.5</v>
      </c>
      <c r="I11" s="102">
        <v>172.1</v>
      </c>
      <c r="J11" s="102">
        <v>57.2</v>
      </c>
      <c r="K11" s="102">
        <v>95.9</v>
      </c>
      <c r="L11" s="102">
        <v>99.6</v>
      </c>
      <c r="M11" s="102">
        <v>10.7</v>
      </c>
      <c r="N11" s="102">
        <f t="shared" si="1"/>
        <v>107.99999999999999</v>
      </c>
      <c r="O11" s="102">
        <f t="shared" si="2"/>
        <v>523.6</v>
      </c>
      <c r="P11" s="102">
        <f t="shared" si="3"/>
        <v>206.2</v>
      </c>
      <c r="Q11" s="102">
        <f t="shared" si="4"/>
        <v>837.80000000000007</v>
      </c>
      <c r="R11" s="102"/>
      <c r="S11" s="102"/>
      <c r="T11" s="102"/>
      <c r="U11" s="102"/>
      <c r="V11" s="102"/>
      <c r="W11" s="102"/>
      <c r="X11" s="102"/>
      <c r="Y11" s="102"/>
      <c r="Z11" s="102"/>
      <c r="AA11" s="102"/>
      <c r="AB11" s="102"/>
      <c r="AC11" s="102"/>
      <c r="AD11" s="102"/>
      <c r="AE11" s="102"/>
      <c r="AF11" s="102"/>
      <c r="AG11" s="102"/>
    </row>
    <row r="12" spans="1:33">
      <c r="A12" s="102">
        <v>1991</v>
      </c>
      <c r="B12" s="102">
        <v>8.1</v>
      </c>
      <c r="C12" s="102">
        <v>17.3</v>
      </c>
      <c r="D12" s="102">
        <v>39.5</v>
      </c>
      <c r="E12" s="102">
        <v>36.5</v>
      </c>
      <c r="F12" s="102">
        <v>54.2</v>
      </c>
      <c r="G12" s="102">
        <v>227.4</v>
      </c>
      <c r="H12" s="102">
        <v>105.2</v>
      </c>
      <c r="I12" s="102">
        <v>62.8</v>
      </c>
      <c r="J12" s="102">
        <v>62.8</v>
      </c>
      <c r="K12" s="102">
        <v>93.3</v>
      </c>
      <c r="L12" s="102">
        <v>47.1</v>
      </c>
      <c r="M12" s="102">
        <v>24.8</v>
      </c>
      <c r="N12" s="102">
        <f t="shared" si="1"/>
        <v>101.4</v>
      </c>
      <c r="O12" s="102">
        <f t="shared" si="2"/>
        <v>512.4</v>
      </c>
      <c r="P12" s="102">
        <f t="shared" si="3"/>
        <v>165.20000000000002</v>
      </c>
      <c r="Q12" s="102">
        <f t="shared" si="4"/>
        <v>778.99999999999989</v>
      </c>
      <c r="R12" s="102"/>
      <c r="S12" s="102"/>
      <c r="T12" s="102"/>
      <c r="U12" s="102"/>
      <c r="V12" s="102"/>
      <c r="W12" s="102"/>
      <c r="X12" s="102"/>
      <c r="Y12" s="102"/>
      <c r="Z12" s="102"/>
      <c r="AA12" s="102"/>
      <c r="AB12" s="102"/>
      <c r="AC12" s="102"/>
      <c r="AD12" s="102"/>
      <c r="AE12" s="102"/>
      <c r="AF12" s="102"/>
      <c r="AG12" s="102"/>
    </row>
    <row r="13" spans="1:33">
      <c r="A13" s="102">
        <v>1992</v>
      </c>
      <c r="B13" s="102">
        <v>16.7</v>
      </c>
      <c r="C13" s="102">
        <v>3.9</v>
      </c>
      <c r="D13" s="102">
        <v>33.299999999999997</v>
      </c>
      <c r="E13" s="102">
        <v>25.5</v>
      </c>
      <c r="F13" s="102">
        <v>83.5</v>
      </c>
      <c r="G13" s="102">
        <v>222.8</v>
      </c>
      <c r="H13" s="102">
        <v>38.9</v>
      </c>
      <c r="I13" s="102">
        <v>56.4</v>
      </c>
      <c r="J13" s="102">
        <v>61.9</v>
      </c>
      <c r="K13" s="102">
        <v>105.3</v>
      </c>
      <c r="L13" s="102">
        <v>22.3</v>
      </c>
      <c r="M13" s="102">
        <v>25.9</v>
      </c>
      <c r="N13" s="102">
        <f t="shared" si="1"/>
        <v>79.399999999999991</v>
      </c>
      <c r="O13" s="102">
        <f t="shared" si="2"/>
        <v>463.49999999999994</v>
      </c>
      <c r="P13" s="102">
        <f t="shared" si="3"/>
        <v>153.5</v>
      </c>
      <c r="Q13" s="102">
        <f t="shared" si="4"/>
        <v>696.39999999999986</v>
      </c>
      <c r="R13" s="102"/>
      <c r="S13" s="102"/>
      <c r="T13" s="102"/>
      <c r="U13" s="102"/>
      <c r="V13" s="102"/>
      <c r="W13" s="102"/>
      <c r="X13" s="102"/>
      <c r="Y13" s="102"/>
      <c r="Z13" s="102"/>
      <c r="AA13" s="102"/>
      <c r="AB13" s="102"/>
      <c r="AC13" s="102"/>
      <c r="AD13" s="102"/>
      <c r="AE13" s="102"/>
      <c r="AF13" s="102"/>
      <c r="AG13" s="102"/>
    </row>
    <row r="14" spans="1:33">
      <c r="A14" s="102">
        <v>1993</v>
      </c>
      <c r="B14" s="102">
        <v>24.1</v>
      </c>
      <c r="C14" s="102">
        <v>7.5</v>
      </c>
      <c r="D14" s="102">
        <v>31.2</v>
      </c>
      <c r="E14" s="102">
        <v>38.799999999999997</v>
      </c>
      <c r="F14" s="102">
        <v>143.30000000000001</v>
      </c>
      <c r="G14" s="102">
        <v>195.8</v>
      </c>
      <c r="H14" s="102">
        <v>29.8</v>
      </c>
      <c r="I14" s="102">
        <v>18.7</v>
      </c>
      <c r="J14" s="102">
        <v>86.5</v>
      </c>
      <c r="K14" s="102">
        <v>95.5</v>
      </c>
      <c r="L14" s="102">
        <v>53.2</v>
      </c>
      <c r="M14" s="102">
        <v>18.399999999999999</v>
      </c>
      <c r="N14" s="102">
        <f t="shared" si="1"/>
        <v>101.6</v>
      </c>
      <c r="O14" s="102">
        <f t="shared" si="2"/>
        <v>474.1</v>
      </c>
      <c r="P14" s="102">
        <f t="shared" si="3"/>
        <v>167.1</v>
      </c>
      <c r="Q14" s="102">
        <f t="shared" si="4"/>
        <v>742.80000000000007</v>
      </c>
      <c r="R14" s="102"/>
      <c r="S14" s="102"/>
      <c r="T14" s="102"/>
      <c r="U14" s="102"/>
      <c r="V14" s="102"/>
      <c r="W14" s="102"/>
      <c r="X14" s="102"/>
      <c r="Y14" s="102"/>
      <c r="Z14" s="102"/>
      <c r="AA14" s="102"/>
      <c r="AB14" s="102"/>
      <c r="AC14" s="102"/>
      <c r="AD14" s="102"/>
      <c r="AE14" s="102"/>
      <c r="AF14" s="102"/>
      <c r="AG14" s="102"/>
    </row>
    <row r="15" spans="1:33">
      <c r="A15" s="102">
        <v>1994</v>
      </c>
      <c r="B15" s="102">
        <v>19.399999999999999</v>
      </c>
      <c r="C15" s="102">
        <v>15.3</v>
      </c>
      <c r="D15" s="102">
        <v>78.400000000000006</v>
      </c>
      <c r="E15" s="102">
        <v>84.3</v>
      </c>
      <c r="F15" s="102">
        <v>193</v>
      </c>
      <c r="G15" s="102">
        <v>140.4</v>
      </c>
      <c r="H15" s="102">
        <v>224.5</v>
      </c>
      <c r="I15" s="102">
        <v>89</v>
      </c>
      <c r="J15" s="102">
        <v>128.1</v>
      </c>
      <c r="K15" s="102">
        <v>162.4</v>
      </c>
      <c r="L15" s="102">
        <v>90.7</v>
      </c>
      <c r="M15" s="102">
        <v>37.1</v>
      </c>
      <c r="N15" s="102">
        <f t="shared" si="1"/>
        <v>197.4</v>
      </c>
      <c r="O15" s="102">
        <f t="shared" si="2"/>
        <v>775</v>
      </c>
      <c r="P15" s="102">
        <f t="shared" si="3"/>
        <v>290.20000000000005</v>
      </c>
      <c r="Q15" s="102">
        <f t="shared" si="4"/>
        <v>1262.5999999999999</v>
      </c>
      <c r="R15" s="102"/>
      <c r="S15" s="102"/>
      <c r="T15" s="102"/>
      <c r="U15" s="102"/>
      <c r="V15" s="102"/>
      <c r="W15" s="102"/>
      <c r="X15" s="102"/>
      <c r="Y15" s="102"/>
      <c r="Z15" s="102"/>
      <c r="AA15" s="102"/>
      <c r="AB15" s="102"/>
      <c r="AC15" s="102"/>
      <c r="AD15" s="102"/>
      <c r="AE15" s="102"/>
      <c r="AF15" s="102"/>
      <c r="AG15" s="102"/>
    </row>
    <row r="16" spans="1:33">
      <c r="A16" s="102">
        <v>1995</v>
      </c>
      <c r="B16" s="102">
        <v>30.6</v>
      </c>
      <c r="C16" s="102">
        <v>51.4</v>
      </c>
      <c r="D16" s="102">
        <v>38.4</v>
      </c>
      <c r="E16" s="102">
        <v>60.6</v>
      </c>
      <c r="F16" s="102">
        <v>262.5</v>
      </c>
      <c r="G16" s="102">
        <v>407.9</v>
      </c>
      <c r="H16" s="102">
        <v>157.19999999999999</v>
      </c>
      <c r="I16" s="102">
        <v>159.19999999999999</v>
      </c>
      <c r="J16" s="102">
        <v>124.8</v>
      </c>
      <c r="K16" s="102">
        <v>105.9</v>
      </c>
      <c r="L16" s="102">
        <v>49.8</v>
      </c>
      <c r="M16" s="102">
        <v>5.8</v>
      </c>
      <c r="N16" s="102">
        <f t="shared" si="1"/>
        <v>181</v>
      </c>
      <c r="O16" s="102">
        <f t="shared" si="2"/>
        <v>1111.5999999999999</v>
      </c>
      <c r="P16" s="102">
        <f t="shared" si="3"/>
        <v>161.5</v>
      </c>
      <c r="Q16" s="102">
        <f t="shared" si="4"/>
        <v>1454.1</v>
      </c>
      <c r="R16" s="102"/>
      <c r="S16" s="102"/>
      <c r="T16" s="102"/>
      <c r="U16" s="102"/>
      <c r="V16" s="102"/>
      <c r="W16" s="102"/>
      <c r="X16" s="102"/>
      <c r="Y16" s="102"/>
      <c r="Z16" s="102"/>
      <c r="AA16" s="102"/>
      <c r="AB16" s="102"/>
      <c r="AC16" s="102"/>
      <c r="AD16" s="102"/>
      <c r="AE16" s="102"/>
      <c r="AF16" s="102"/>
      <c r="AG16" s="102"/>
    </row>
    <row r="17" spans="1:33">
      <c r="A17" s="102">
        <v>1996</v>
      </c>
      <c r="B17" s="102">
        <v>26.8</v>
      </c>
      <c r="C17" s="102">
        <v>0.6</v>
      </c>
      <c r="D17" s="102">
        <v>43.4</v>
      </c>
      <c r="E17" s="102">
        <v>46.9</v>
      </c>
      <c r="F17" s="102">
        <v>189.6</v>
      </c>
      <c r="G17" s="102">
        <v>420.4</v>
      </c>
      <c r="H17" s="102">
        <v>387.5</v>
      </c>
      <c r="I17" s="102">
        <v>162.19999999999999</v>
      </c>
      <c r="J17" s="102">
        <v>48</v>
      </c>
      <c r="K17" s="102">
        <v>58.9</v>
      </c>
      <c r="L17" s="102">
        <v>140.9</v>
      </c>
      <c r="M17" s="102">
        <v>16.600000000000001</v>
      </c>
      <c r="N17" s="102">
        <f t="shared" si="1"/>
        <v>117.69999999999999</v>
      </c>
      <c r="O17" s="102">
        <f t="shared" si="2"/>
        <v>1207.7</v>
      </c>
      <c r="P17" s="102">
        <f t="shared" si="3"/>
        <v>216.4</v>
      </c>
      <c r="Q17" s="102">
        <f t="shared" si="4"/>
        <v>1541.8</v>
      </c>
      <c r="R17" s="102"/>
      <c r="S17" s="102"/>
      <c r="T17" s="102"/>
      <c r="U17" s="102"/>
      <c r="V17" s="102"/>
      <c r="W17" s="102"/>
      <c r="X17" s="102"/>
      <c r="Y17" s="102"/>
      <c r="Z17" s="102"/>
      <c r="AA17" s="102"/>
      <c r="AB17" s="102"/>
      <c r="AC17" s="102"/>
      <c r="AD17" s="102"/>
      <c r="AE17" s="102"/>
      <c r="AF17" s="102"/>
      <c r="AG17" s="102"/>
    </row>
    <row r="18" spans="1:33">
      <c r="A18" s="102">
        <v>1997</v>
      </c>
      <c r="B18" s="102">
        <v>80.599999999999994</v>
      </c>
      <c r="C18" s="102">
        <v>53.9</v>
      </c>
      <c r="D18" s="102">
        <v>36.9</v>
      </c>
      <c r="E18" s="102">
        <v>188.5</v>
      </c>
      <c r="F18" s="102">
        <v>179.5</v>
      </c>
      <c r="G18" s="102">
        <v>392.3</v>
      </c>
      <c r="H18" s="102">
        <v>295.39999999999998</v>
      </c>
      <c r="I18" s="102">
        <v>44.8</v>
      </c>
      <c r="J18" s="102">
        <v>136.1</v>
      </c>
      <c r="K18" s="102">
        <v>147.1</v>
      </c>
      <c r="L18" s="102">
        <v>23</v>
      </c>
      <c r="M18" s="102">
        <v>36</v>
      </c>
      <c r="N18" s="102">
        <f t="shared" si="1"/>
        <v>359.9</v>
      </c>
      <c r="O18" s="102">
        <f t="shared" si="2"/>
        <v>1048.0999999999999</v>
      </c>
      <c r="P18" s="102">
        <f t="shared" si="3"/>
        <v>206.1</v>
      </c>
      <c r="Q18" s="102">
        <f t="shared" si="4"/>
        <v>1614.0999999999997</v>
      </c>
      <c r="R18" s="102"/>
      <c r="S18" s="102"/>
      <c r="T18" s="102"/>
      <c r="U18" s="102"/>
      <c r="V18" s="102"/>
      <c r="W18" s="102"/>
      <c r="X18" s="102"/>
      <c r="Y18" s="102"/>
      <c r="Z18" s="102"/>
      <c r="AA18" s="102"/>
      <c r="AB18" s="102"/>
      <c r="AC18" s="102"/>
      <c r="AD18" s="102"/>
      <c r="AE18" s="102"/>
      <c r="AF18" s="102"/>
      <c r="AG18" s="102"/>
    </row>
    <row r="19" spans="1:33">
      <c r="A19" s="102">
        <v>1998</v>
      </c>
      <c r="B19" s="102">
        <v>28.9</v>
      </c>
      <c r="C19" s="102">
        <v>20.8</v>
      </c>
      <c r="D19" s="102">
        <v>32.6</v>
      </c>
      <c r="E19" s="102">
        <v>128.80000000000001</v>
      </c>
      <c r="F19" s="102">
        <v>224.8</v>
      </c>
      <c r="G19" s="102">
        <v>240.2</v>
      </c>
      <c r="H19" s="102">
        <v>157</v>
      </c>
      <c r="I19" s="102">
        <v>215.8</v>
      </c>
      <c r="J19" s="102">
        <v>62.6</v>
      </c>
      <c r="K19" s="102">
        <v>95.9</v>
      </c>
      <c r="L19" s="102">
        <v>23.4</v>
      </c>
      <c r="M19" s="102">
        <v>22.8</v>
      </c>
      <c r="N19" s="102">
        <f t="shared" si="1"/>
        <v>211.10000000000002</v>
      </c>
      <c r="O19" s="102">
        <f t="shared" si="2"/>
        <v>900.4</v>
      </c>
      <c r="P19" s="102">
        <f t="shared" si="3"/>
        <v>142.10000000000002</v>
      </c>
      <c r="Q19" s="102">
        <f t="shared" si="4"/>
        <v>1253.6000000000001</v>
      </c>
      <c r="R19" s="102"/>
      <c r="S19" s="102"/>
      <c r="T19" s="102"/>
      <c r="U19" s="102"/>
      <c r="V19" s="102"/>
      <c r="W19" s="102"/>
      <c r="X19" s="102"/>
      <c r="Y19" s="102"/>
      <c r="Z19" s="102"/>
      <c r="AA19" s="102"/>
      <c r="AB19" s="102"/>
      <c r="AC19" s="102"/>
      <c r="AD19" s="102"/>
      <c r="AE19" s="102"/>
      <c r="AF19" s="102"/>
      <c r="AG19" s="102"/>
    </row>
    <row r="20" spans="1:33">
      <c r="A20" s="102">
        <v>1999</v>
      </c>
      <c r="B20" s="102">
        <v>46.7</v>
      </c>
      <c r="C20" s="102">
        <v>6.5</v>
      </c>
      <c r="D20" s="102">
        <v>13</v>
      </c>
      <c r="E20" s="102">
        <v>151</v>
      </c>
      <c r="F20" s="102">
        <v>206.7</v>
      </c>
      <c r="G20" s="102">
        <v>323.89999999999998</v>
      </c>
      <c r="H20" s="102">
        <v>203.3</v>
      </c>
      <c r="I20" s="102">
        <v>208.2</v>
      </c>
      <c r="J20" s="102">
        <v>44.9</v>
      </c>
      <c r="K20" s="102">
        <v>73.900000000000006</v>
      </c>
      <c r="L20" s="102">
        <v>43.6</v>
      </c>
      <c r="M20" s="102">
        <v>3.2</v>
      </c>
      <c r="N20" s="102">
        <f t="shared" si="1"/>
        <v>217.2</v>
      </c>
      <c r="O20" s="102">
        <f t="shared" si="2"/>
        <v>986.99999999999989</v>
      </c>
      <c r="P20" s="102">
        <f t="shared" si="3"/>
        <v>120.7</v>
      </c>
      <c r="Q20" s="102">
        <f t="shared" si="4"/>
        <v>1324.9</v>
      </c>
      <c r="R20" s="102"/>
      <c r="S20" s="102"/>
      <c r="T20" s="102"/>
      <c r="U20" s="102"/>
      <c r="V20" s="102"/>
      <c r="W20" s="102"/>
      <c r="X20" s="102"/>
      <c r="Y20" s="102"/>
      <c r="Z20" s="102"/>
      <c r="AA20" s="102"/>
      <c r="AB20" s="102"/>
      <c r="AC20" s="102"/>
      <c r="AD20" s="102"/>
      <c r="AE20" s="102"/>
      <c r="AF20" s="102"/>
      <c r="AG20" s="102"/>
    </row>
    <row r="21" spans="1:33">
      <c r="A21" s="102">
        <v>2000</v>
      </c>
      <c r="B21" s="102">
        <v>41.4</v>
      </c>
      <c r="C21" s="102">
        <v>34.799999999999997</v>
      </c>
      <c r="D21" s="102">
        <v>51.2</v>
      </c>
      <c r="E21" s="102">
        <v>109.3</v>
      </c>
      <c r="F21" s="102">
        <v>71.8</v>
      </c>
      <c r="G21" s="102">
        <v>372.4</v>
      </c>
      <c r="H21" s="102">
        <v>67</v>
      </c>
      <c r="I21" s="102">
        <v>237.1</v>
      </c>
      <c r="J21" s="102">
        <v>129.5</v>
      </c>
      <c r="K21" s="102">
        <v>180.9</v>
      </c>
      <c r="L21" s="102">
        <v>44.3</v>
      </c>
      <c r="M21" s="102">
        <v>21.1</v>
      </c>
      <c r="N21" s="102">
        <f t="shared" si="1"/>
        <v>236.7</v>
      </c>
      <c r="O21" s="102">
        <f t="shared" si="2"/>
        <v>877.8</v>
      </c>
      <c r="P21" s="102">
        <f t="shared" si="3"/>
        <v>246.29999999999998</v>
      </c>
      <c r="Q21" s="102">
        <f t="shared" si="4"/>
        <v>1360.8</v>
      </c>
      <c r="R21" s="102"/>
      <c r="S21" s="102"/>
      <c r="T21" s="102"/>
      <c r="U21" s="102"/>
      <c r="V21" s="102"/>
      <c r="W21" s="102"/>
      <c r="X21" s="102"/>
      <c r="Y21" s="102"/>
      <c r="Z21" s="102"/>
      <c r="AA21" s="102"/>
      <c r="AB21" s="102"/>
      <c r="AC21" s="102"/>
      <c r="AD21" s="102"/>
      <c r="AE21" s="102"/>
      <c r="AF21" s="102"/>
      <c r="AG21" s="102"/>
    </row>
    <row r="22" spans="1:33">
      <c r="A22" s="102">
        <v>2001</v>
      </c>
      <c r="B22" s="102">
        <v>24</v>
      </c>
      <c r="C22" s="102">
        <v>16.3</v>
      </c>
      <c r="D22" s="102">
        <v>45.6</v>
      </c>
      <c r="E22" s="102">
        <v>130.4</v>
      </c>
      <c r="F22" s="102">
        <v>158.1</v>
      </c>
      <c r="G22" s="102">
        <v>229.8</v>
      </c>
      <c r="H22" s="102">
        <v>128.30000000000001</v>
      </c>
      <c r="I22" s="102">
        <v>158.19999999999999</v>
      </c>
      <c r="J22" s="102">
        <v>2.9</v>
      </c>
      <c r="K22" s="102">
        <v>208.7</v>
      </c>
      <c r="L22" s="102">
        <v>26.6</v>
      </c>
      <c r="M22" s="102">
        <v>23.7</v>
      </c>
      <c r="N22" s="102">
        <f t="shared" si="1"/>
        <v>216.3</v>
      </c>
      <c r="O22" s="102">
        <f t="shared" si="2"/>
        <v>677.30000000000007</v>
      </c>
      <c r="P22" s="102">
        <f t="shared" si="3"/>
        <v>259</v>
      </c>
      <c r="Q22" s="102">
        <f t="shared" si="4"/>
        <v>1152.5999999999999</v>
      </c>
      <c r="R22" s="102"/>
      <c r="S22" s="102"/>
      <c r="T22" s="102"/>
      <c r="U22" s="102"/>
      <c r="V22" s="102"/>
      <c r="W22" s="102"/>
      <c r="X22" s="102"/>
      <c r="Y22" s="102"/>
      <c r="Z22" s="102"/>
      <c r="AA22" s="102"/>
      <c r="AB22" s="102"/>
      <c r="AC22" s="102"/>
      <c r="AD22" s="102"/>
      <c r="AE22" s="102"/>
      <c r="AF22" s="102"/>
      <c r="AG22" s="102"/>
    </row>
    <row r="23" spans="1:33">
      <c r="A23" s="102">
        <v>2002</v>
      </c>
      <c r="B23" s="102">
        <v>17</v>
      </c>
      <c r="C23" s="102">
        <v>37.5</v>
      </c>
      <c r="D23" s="102">
        <v>64</v>
      </c>
      <c r="E23" s="102">
        <v>70</v>
      </c>
      <c r="F23" s="102">
        <v>185.2</v>
      </c>
      <c r="G23" s="102">
        <v>310.60000000000002</v>
      </c>
      <c r="H23" s="102">
        <v>195.4</v>
      </c>
      <c r="I23" s="102">
        <v>158.80000000000001</v>
      </c>
      <c r="J23" s="102">
        <v>52.5</v>
      </c>
      <c r="K23" s="102">
        <v>73.400000000000006</v>
      </c>
      <c r="L23" s="102">
        <v>25.6</v>
      </c>
      <c r="M23" s="102">
        <v>33.4</v>
      </c>
      <c r="N23" s="102">
        <f t="shared" si="1"/>
        <v>188.5</v>
      </c>
      <c r="O23" s="102">
        <f t="shared" si="2"/>
        <v>902.5</v>
      </c>
      <c r="P23" s="102">
        <f t="shared" si="3"/>
        <v>132.4</v>
      </c>
      <c r="Q23" s="102">
        <f t="shared" si="4"/>
        <v>1223.4000000000001</v>
      </c>
      <c r="R23" s="102"/>
      <c r="S23" s="102"/>
      <c r="T23" s="102"/>
      <c r="U23" s="102"/>
      <c r="V23" s="102"/>
      <c r="W23" s="102"/>
      <c r="X23" s="102"/>
      <c r="Y23" s="102"/>
      <c r="Z23" s="102"/>
      <c r="AA23" s="102"/>
      <c r="AB23" s="102"/>
      <c r="AC23" s="102"/>
      <c r="AD23" s="102"/>
      <c r="AE23" s="102"/>
      <c r="AF23" s="102"/>
      <c r="AG23" s="102"/>
    </row>
    <row r="24" spans="1:33">
      <c r="A24" s="102">
        <v>2003</v>
      </c>
      <c r="B24" s="102">
        <v>38.200000000000003</v>
      </c>
      <c r="C24" s="102">
        <v>18.100000000000001</v>
      </c>
      <c r="D24" s="102">
        <v>48.6</v>
      </c>
      <c r="E24" s="102">
        <v>96.7</v>
      </c>
      <c r="F24" s="102">
        <v>147.4</v>
      </c>
      <c r="G24" s="102">
        <v>286.2</v>
      </c>
      <c r="H24" s="102">
        <v>205.3</v>
      </c>
      <c r="I24" s="102">
        <v>39.299999999999997</v>
      </c>
      <c r="J24" s="102">
        <v>134.4</v>
      </c>
      <c r="K24" s="102">
        <v>41.5</v>
      </c>
      <c r="L24" s="102">
        <v>23.1</v>
      </c>
      <c r="M24" s="102">
        <v>62</v>
      </c>
      <c r="N24" s="102">
        <f t="shared" si="1"/>
        <v>201.60000000000002</v>
      </c>
      <c r="O24" s="102">
        <f t="shared" si="2"/>
        <v>812.6</v>
      </c>
      <c r="P24" s="102">
        <f t="shared" si="3"/>
        <v>126.6</v>
      </c>
      <c r="Q24" s="102">
        <f t="shared" si="4"/>
        <v>1140.7999999999997</v>
      </c>
      <c r="R24" s="102"/>
      <c r="S24" s="102"/>
      <c r="T24" s="102"/>
      <c r="U24" s="102"/>
      <c r="V24" s="102"/>
      <c r="W24" s="102"/>
      <c r="X24" s="102"/>
      <c r="Y24" s="102"/>
      <c r="Z24" s="102"/>
      <c r="AA24" s="102"/>
      <c r="AB24" s="102"/>
      <c r="AC24" s="102"/>
      <c r="AD24" s="102"/>
      <c r="AE24" s="102"/>
      <c r="AF24" s="102"/>
      <c r="AG24" s="102"/>
    </row>
    <row r="25" spans="1:33">
      <c r="A25" s="102">
        <v>2004</v>
      </c>
      <c r="B25" s="103">
        <v>29.5</v>
      </c>
      <c r="C25" s="103">
        <v>58.4</v>
      </c>
      <c r="D25" s="103">
        <v>34.6</v>
      </c>
      <c r="E25" s="103">
        <v>100.4</v>
      </c>
      <c r="F25" s="103">
        <v>245.2</v>
      </c>
      <c r="G25" s="103">
        <v>224.3</v>
      </c>
      <c r="H25" s="103">
        <v>210.8</v>
      </c>
      <c r="I25" s="103">
        <v>95</v>
      </c>
      <c r="J25" s="103">
        <v>241.9</v>
      </c>
      <c r="K25" s="103">
        <v>66.400000000000006</v>
      </c>
      <c r="L25" s="103">
        <v>85.7</v>
      </c>
      <c r="M25" s="103">
        <v>17.399999999999999</v>
      </c>
      <c r="N25" s="102">
        <f t="shared" si="1"/>
        <v>222.9</v>
      </c>
      <c r="O25" s="102">
        <f t="shared" si="2"/>
        <v>1017.1999999999999</v>
      </c>
      <c r="P25" s="102">
        <f t="shared" si="3"/>
        <v>169.50000000000003</v>
      </c>
      <c r="Q25" s="102">
        <f t="shared" si="4"/>
        <v>1409.6000000000004</v>
      </c>
      <c r="R25" s="102"/>
      <c r="S25" s="102"/>
      <c r="T25" s="102"/>
      <c r="U25" s="102"/>
      <c r="V25" s="102"/>
      <c r="W25" s="102"/>
      <c r="X25" s="102"/>
      <c r="Y25" s="102"/>
      <c r="Z25" s="102"/>
      <c r="AA25" s="102"/>
      <c r="AB25" s="102"/>
      <c r="AC25" s="102"/>
      <c r="AD25" s="102"/>
      <c r="AE25" s="102"/>
      <c r="AF25" s="102"/>
      <c r="AG25" s="102"/>
    </row>
    <row r="26" spans="1:33">
      <c r="A26" s="102">
        <v>2005</v>
      </c>
      <c r="B26" s="102">
        <v>35.299999999999997</v>
      </c>
      <c r="C26" s="102">
        <v>26.9</v>
      </c>
      <c r="D26" s="102">
        <v>56.6</v>
      </c>
      <c r="E26" s="102">
        <v>53.5</v>
      </c>
      <c r="F26" s="102">
        <v>309.7</v>
      </c>
      <c r="G26" s="102">
        <v>54.2</v>
      </c>
      <c r="H26" s="102">
        <v>100.5</v>
      </c>
      <c r="I26" s="102">
        <v>175.6</v>
      </c>
      <c r="J26" s="102">
        <v>105.9</v>
      </c>
      <c r="K26" s="103">
        <v>108.9</v>
      </c>
      <c r="L26" s="103">
        <v>51.2</v>
      </c>
      <c r="M26" s="103">
        <v>12.7</v>
      </c>
      <c r="N26" s="102">
        <f t="shared" si="1"/>
        <v>172.3</v>
      </c>
      <c r="O26" s="102">
        <f t="shared" si="2"/>
        <v>745.9</v>
      </c>
      <c r="P26" s="102">
        <f t="shared" si="3"/>
        <v>172.8</v>
      </c>
      <c r="Q26" s="102">
        <f t="shared" si="4"/>
        <v>1091.0000000000002</v>
      </c>
      <c r="R26" s="102"/>
      <c r="S26" s="102"/>
      <c r="T26" s="102"/>
      <c r="U26" s="102"/>
      <c r="V26" s="102"/>
      <c r="W26" s="102"/>
      <c r="X26" s="102"/>
      <c r="Y26" s="102"/>
      <c r="Z26" s="102"/>
      <c r="AA26" s="102"/>
      <c r="AB26" s="102"/>
      <c r="AC26" s="102"/>
      <c r="AD26" s="102"/>
      <c r="AE26" s="102"/>
      <c r="AF26" s="102"/>
      <c r="AG26" s="102"/>
    </row>
    <row r="27" spans="1:33">
      <c r="A27" s="102">
        <v>2006</v>
      </c>
      <c r="B27" s="103">
        <v>14.7</v>
      </c>
      <c r="C27" s="103">
        <v>65.400000000000006</v>
      </c>
      <c r="D27" s="103">
        <v>33.4</v>
      </c>
      <c r="E27" s="103">
        <v>154.5</v>
      </c>
      <c r="F27" s="103">
        <v>169.3</v>
      </c>
      <c r="G27" s="103">
        <v>214.3</v>
      </c>
      <c r="H27" s="103">
        <v>87.9</v>
      </c>
      <c r="I27" s="103">
        <v>109.1</v>
      </c>
      <c r="J27" s="102">
        <v>91.5</v>
      </c>
      <c r="K27" s="103">
        <v>223.5</v>
      </c>
      <c r="L27" s="103">
        <v>82.9</v>
      </c>
      <c r="M27" s="103">
        <v>30.2</v>
      </c>
      <c r="N27" s="102">
        <f t="shared" si="1"/>
        <v>268</v>
      </c>
      <c r="O27" s="102">
        <f t="shared" si="2"/>
        <v>672.1</v>
      </c>
      <c r="P27" s="102">
        <f t="shared" si="3"/>
        <v>336.59999999999997</v>
      </c>
      <c r="Q27" s="102">
        <f t="shared" si="4"/>
        <v>1276.7</v>
      </c>
      <c r="R27" s="102"/>
      <c r="S27" s="102"/>
      <c r="T27" s="102"/>
      <c r="U27" s="102"/>
      <c r="V27" s="102"/>
      <c r="W27" s="102"/>
      <c r="X27" s="102"/>
      <c r="Y27" s="102"/>
      <c r="Z27" s="102"/>
      <c r="AA27" s="102"/>
      <c r="AB27" s="102"/>
      <c r="AC27" s="102"/>
      <c r="AD27" s="102"/>
      <c r="AE27" s="102"/>
      <c r="AF27" s="102"/>
      <c r="AG27" s="102"/>
    </row>
    <row r="28" spans="1:33">
      <c r="A28" s="102">
        <v>2007</v>
      </c>
      <c r="B28" s="103">
        <v>34.799999999999997</v>
      </c>
      <c r="C28" s="103">
        <v>34.799999999999997</v>
      </c>
      <c r="D28" s="103">
        <v>44.8</v>
      </c>
      <c r="E28" s="103">
        <v>116.9</v>
      </c>
      <c r="F28" s="103">
        <v>48.1</v>
      </c>
      <c r="G28" s="103">
        <v>186.7</v>
      </c>
      <c r="H28" s="103">
        <v>329.7</v>
      </c>
      <c r="I28" s="103">
        <v>151.30000000000001</v>
      </c>
      <c r="J28" s="103">
        <v>87.4</v>
      </c>
      <c r="K28" s="102">
        <v>76.900000000000006</v>
      </c>
      <c r="L28" s="102">
        <v>8.8000000000000007</v>
      </c>
      <c r="M28" s="102">
        <v>25.1</v>
      </c>
      <c r="N28" s="102">
        <f t="shared" si="1"/>
        <v>231.3</v>
      </c>
      <c r="O28" s="102">
        <f t="shared" si="2"/>
        <v>803.19999999999993</v>
      </c>
      <c r="P28" s="102">
        <f t="shared" si="3"/>
        <v>110.80000000000001</v>
      </c>
      <c r="Q28" s="102">
        <f t="shared" si="4"/>
        <v>1145.3</v>
      </c>
      <c r="R28" s="102"/>
      <c r="S28" s="102"/>
      <c r="T28" s="102"/>
      <c r="U28" s="102"/>
      <c r="V28" s="102"/>
      <c r="W28" s="102"/>
      <c r="X28" s="102"/>
      <c r="Y28" s="102"/>
      <c r="Z28" s="102"/>
      <c r="AA28" s="102"/>
      <c r="AB28" s="102"/>
      <c r="AC28" s="102"/>
      <c r="AD28" s="102"/>
      <c r="AE28" s="102"/>
      <c r="AF28" s="102"/>
      <c r="AG28" s="102"/>
    </row>
    <row r="29" spans="1:33">
      <c r="A29" s="102">
        <v>2008</v>
      </c>
      <c r="B29" s="102">
        <v>14.9</v>
      </c>
      <c r="C29" s="102">
        <v>32.200000000000003</v>
      </c>
      <c r="D29" s="102">
        <v>87.4</v>
      </c>
      <c r="E29" s="102">
        <v>39.200000000000003</v>
      </c>
      <c r="F29" s="102">
        <v>101.1</v>
      </c>
      <c r="G29" s="102">
        <v>60.8</v>
      </c>
      <c r="H29" s="102">
        <v>145.5</v>
      </c>
      <c r="I29" s="102">
        <v>134.5</v>
      </c>
      <c r="J29" s="102">
        <v>38.5</v>
      </c>
      <c r="K29" s="102">
        <v>181.4</v>
      </c>
      <c r="L29" s="102">
        <v>76.2</v>
      </c>
      <c r="M29" s="102">
        <v>15.6</v>
      </c>
      <c r="N29" s="102">
        <f t="shared" si="1"/>
        <v>173.7</v>
      </c>
      <c r="O29" s="102">
        <f t="shared" si="2"/>
        <v>480.4</v>
      </c>
      <c r="P29" s="102">
        <f t="shared" si="3"/>
        <v>273.20000000000005</v>
      </c>
      <c r="Q29" s="102">
        <f t="shared" si="4"/>
        <v>927.3</v>
      </c>
      <c r="R29" s="102"/>
      <c r="S29" s="102"/>
      <c r="T29" s="102"/>
      <c r="U29" s="102"/>
      <c r="V29" s="102"/>
      <c r="W29" s="102"/>
      <c r="X29" s="102"/>
      <c r="Y29" s="102"/>
      <c r="Z29" s="102"/>
      <c r="AA29" s="102"/>
      <c r="AB29" s="102"/>
      <c r="AC29" s="102"/>
      <c r="AD29" s="102"/>
      <c r="AE29" s="102"/>
      <c r="AF29" s="102"/>
      <c r="AG29" s="102"/>
    </row>
    <row r="30" spans="1:33">
      <c r="A30" s="102">
        <v>2009</v>
      </c>
      <c r="B30" s="102">
        <v>38.6</v>
      </c>
      <c r="C30" s="102">
        <v>62.8</v>
      </c>
      <c r="D30" s="102">
        <v>133.80000000000001</v>
      </c>
      <c r="E30" s="102">
        <v>240.8</v>
      </c>
      <c r="F30" s="102">
        <v>339.8</v>
      </c>
      <c r="G30" s="102">
        <v>262.60000000000002</v>
      </c>
      <c r="H30" s="102">
        <v>404.8</v>
      </c>
      <c r="I30" s="102">
        <v>128.80000000000001</v>
      </c>
      <c r="J30" s="102">
        <v>194.2</v>
      </c>
      <c r="K30" s="102">
        <v>164.2</v>
      </c>
      <c r="L30" s="102">
        <v>126.8</v>
      </c>
      <c r="M30" s="102">
        <v>67.400000000000006</v>
      </c>
      <c r="N30" s="102">
        <f t="shared" si="1"/>
        <v>476</v>
      </c>
      <c r="O30" s="102">
        <f t="shared" si="2"/>
        <v>1330.2</v>
      </c>
      <c r="P30" s="102">
        <f t="shared" si="3"/>
        <v>358.4</v>
      </c>
      <c r="Q30" s="102">
        <f t="shared" si="4"/>
        <v>2164.6000000000004</v>
      </c>
      <c r="R30" s="102"/>
      <c r="S30" s="102"/>
      <c r="T30" s="102"/>
      <c r="U30" s="102"/>
      <c r="V30" s="102"/>
      <c r="W30" s="102"/>
      <c r="X30" s="102"/>
      <c r="Y30" s="102"/>
      <c r="Z30" s="102"/>
      <c r="AA30" s="102"/>
      <c r="AB30" s="102"/>
      <c r="AC30" s="102"/>
      <c r="AD30" s="102"/>
      <c r="AE30" s="102"/>
      <c r="AF30" s="102"/>
      <c r="AG30" s="102"/>
    </row>
    <row r="31" spans="1:33">
      <c r="A31" s="102">
        <v>2010</v>
      </c>
      <c r="B31" s="102">
        <v>9.3000000000000007</v>
      </c>
      <c r="C31" s="102">
        <v>5.0999999999999996</v>
      </c>
      <c r="D31" s="102">
        <v>96.8</v>
      </c>
      <c r="E31" s="102">
        <v>71.3</v>
      </c>
      <c r="F31" s="102">
        <v>167.8</v>
      </c>
      <c r="G31" s="102">
        <v>239.2</v>
      </c>
      <c r="H31" s="102">
        <v>109.3</v>
      </c>
      <c r="I31" s="102">
        <v>146.19999999999999</v>
      </c>
      <c r="J31" s="102">
        <v>154.4</v>
      </c>
      <c r="K31" s="102">
        <v>125.5</v>
      </c>
      <c r="L31" s="102">
        <v>36.799999999999997</v>
      </c>
      <c r="M31" s="102">
        <v>26.7</v>
      </c>
      <c r="N31" s="102">
        <f t="shared" si="1"/>
        <v>182.5</v>
      </c>
      <c r="O31" s="102">
        <f t="shared" si="2"/>
        <v>816.9</v>
      </c>
      <c r="P31" s="102">
        <f t="shared" si="3"/>
        <v>189</v>
      </c>
      <c r="Q31" s="102">
        <f t="shared" si="4"/>
        <v>1188.4000000000001</v>
      </c>
      <c r="R31" s="102"/>
      <c r="S31" s="102"/>
      <c r="T31" s="102"/>
      <c r="U31" s="102"/>
      <c r="V31" s="102"/>
      <c r="W31" s="102"/>
      <c r="X31" s="102"/>
      <c r="Y31" s="102"/>
      <c r="Z31" s="102"/>
      <c r="AA31" s="102"/>
      <c r="AB31" s="102"/>
      <c r="AC31" s="102"/>
      <c r="AD31" s="102"/>
      <c r="AE31" s="102"/>
      <c r="AF31" s="102"/>
      <c r="AG31" s="102"/>
    </row>
    <row r="32" spans="1:33">
      <c r="A32" s="102">
        <v>2011</v>
      </c>
      <c r="B32" s="102">
        <v>21.6</v>
      </c>
      <c r="C32" s="102">
        <v>8.6999999999999993</v>
      </c>
      <c r="D32" s="102">
        <v>33.700000000000003</v>
      </c>
      <c r="E32" s="102">
        <v>30.5</v>
      </c>
      <c r="F32" s="102">
        <v>136.80000000000001</v>
      </c>
      <c r="G32" s="102">
        <v>283.89999999999998</v>
      </c>
      <c r="H32" s="102">
        <v>31.5</v>
      </c>
      <c r="I32" s="102">
        <v>37.1</v>
      </c>
      <c r="J32" s="102">
        <v>77.8</v>
      </c>
      <c r="K32" s="102">
        <v>195.1</v>
      </c>
      <c r="L32" s="102">
        <v>98.8</v>
      </c>
      <c r="M32" s="102">
        <v>17.399999999999999</v>
      </c>
      <c r="N32" s="102">
        <f t="shared" si="1"/>
        <v>94.5</v>
      </c>
      <c r="O32" s="102">
        <f t="shared" si="2"/>
        <v>567.1</v>
      </c>
      <c r="P32" s="102">
        <f t="shared" si="3"/>
        <v>311.29999999999995</v>
      </c>
      <c r="Q32" s="102">
        <f t="shared" si="4"/>
        <v>972.9</v>
      </c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</row>
    <row r="33" spans="1:33">
      <c r="A33" s="102">
        <v>2012</v>
      </c>
      <c r="B33" s="102">
        <v>32</v>
      </c>
      <c r="C33" s="102">
        <v>17.600000000000001</v>
      </c>
      <c r="D33" s="102">
        <v>52.8</v>
      </c>
      <c r="E33" s="102">
        <v>111.6</v>
      </c>
      <c r="F33" s="102">
        <v>159.5</v>
      </c>
      <c r="G33" s="102">
        <v>172.2</v>
      </c>
      <c r="H33" s="102">
        <v>243</v>
      </c>
      <c r="I33" s="102">
        <v>81.2</v>
      </c>
      <c r="J33" s="102">
        <v>66</v>
      </c>
      <c r="K33" s="102">
        <v>71.599999999999994</v>
      </c>
      <c r="L33" s="102">
        <v>44</v>
      </c>
      <c r="M33" s="102">
        <v>27.6</v>
      </c>
      <c r="N33" s="102">
        <f t="shared" si="1"/>
        <v>214</v>
      </c>
      <c r="O33" s="102">
        <f t="shared" si="2"/>
        <v>721.90000000000009</v>
      </c>
      <c r="P33" s="102">
        <f t="shared" si="3"/>
        <v>143.19999999999999</v>
      </c>
      <c r="Q33" s="102">
        <f t="shared" si="4"/>
        <v>1079.0999999999999</v>
      </c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</row>
    <row r="34" spans="1:33">
      <c r="A34" s="102">
        <v>2013</v>
      </c>
      <c r="B34" s="102">
        <v>10.3</v>
      </c>
      <c r="C34" s="102">
        <v>26.5</v>
      </c>
      <c r="D34" s="102">
        <v>69.2</v>
      </c>
      <c r="E34" s="102">
        <v>131.19999999999999</v>
      </c>
      <c r="F34" s="102">
        <v>163.9</v>
      </c>
      <c r="G34" s="102">
        <v>133.6</v>
      </c>
      <c r="H34" s="102">
        <v>62.5</v>
      </c>
      <c r="I34" s="102">
        <v>115.5</v>
      </c>
      <c r="J34" s="102">
        <v>119.8</v>
      </c>
      <c r="K34" s="102">
        <v>57.4</v>
      </c>
      <c r="L34" s="102">
        <v>45</v>
      </c>
      <c r="M34" s="102">
        <v>17</v>
      </c>
      <c r="N34" s="102">
        <f t="shared" si="1"/>
        <v>237.2</v>
      </c>
      <c r="O34" s="102">
        <f t="shared" si="2"/>
        <v>595.29999999999995</v>
      </c>
      <c r="P34" s="102">
        <f t="shared" si="3"/>
        <v>119.4</v>
      </c>
      <c r="Q34" s="102">
        <f t="shared" si="4"/>
        <v>951.9</v>
      </c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</row>
    <row r="35" spans="1:33">
      <c r="A35" s="102">
        <v>2014</v>
      </c>
      <c r="B35" s="114">
        <v>13.3</v>
      </c>
      <c r="C35" s="114">
        <v>28.1</v>
      </c>
      <c r="D35" s="114">
        <v>64.900000000000006</v>
      </c>
      <c r="E35" s="114">
        <v>96.5</v>
      </c>
      <c r="F35" s="114">
        <v>282.7</v>
      </c>
      <c r="G35" s="114">
        <v>252.9</v>
      </c>
      <c r="H35" s="114">
        <v>380.3</v>
      </c>
      <c r="I35" s="114">
        <v>136.4</v>
      </c>
      <c r="J35" s="114">
        <v>67.8</v>
      </c>
      <c r="K35" s="114">
        <v>82.7</v>
      </c>
      <c r="L35" s="114">
        <v>66.599999999999994</v>
      </c>
      <c r="M35" s="114">
        <v>6</v>
      </c>
      <c r="N35" s="102">
        <f t="shared" si="1"/>
        <v>202.8</v>
      </c>
      <c r="O35" s="102">
        <f t="shared" si="2"/>
        <v>1120.1000000000001</v>
      </c>
      <c r="P35" s="102">
        <f t="shared" si="3"/>
        <v>155.30000000000001</v>
      </c>
      <c r="Q35" s="102">
        <f t="shared" si="4"/>
        <v>1478.2</v>
      </c>
      <c r="R35" s="102"/>
      <c r="S35" s="102"/>
      <c r="T35" s="102"/>
      <c r="U35" s="102"/>
      <c r="V35" s="102"/>
      <c r="W35" s="102"/>
      <c r="X35" s="102"/>
      <c r="Y35" s="102"/>
      <c r="Z35" s="102"/>
      <c r="AA35" s="102"/>
      <c r="AB35" s="102"/>
      <c r="AC35" s="102"/>
      <c r="AD35" s="102"/>
      <c r="AE35" s="102"/>
      <c r="AF35" s="102"/>
      <c r="AG35" s="102"/>
    </row>
    <row r="36" spans="1:33">
      <c r="A36" s="102">
        <v>2015</v>
      </c>
      <c r="B36" s="114">
        <v>21.1</v>
      </c>
      <c r="C36" s="114">
        <v>44.4</v>
      </c>
      <c r="D36" s="114">
        <v>37.200000000000003</v>
      </c>
      <c r="E36" s="114">
        <v>59.5</v>
      </c>
      <c r="F36" s="114">
        <v>224.4</v>
      </c>
      <c r="G36" s="114">
        <v>203.8</v>
      </c>
      <c r="H36" s="114">
        <v>127.9</v>
      </c>
      <c r="I36" s="114">
        <v>184.4</v>
      </c>
      <c r="J36" s="114">
        <v>84.9</v>
      </c>
      <c r="K36" s="114">
        <v>41.5</v>
      </c>
      <c r="L36" s="114">
        <v>39.1</v>
      </c>
      <c r="M36" s="114">
        <v>62.6</v>
      </c>
      <c r="N36" s="102">
        <f t="shared" si="1"/>
        <v>162.19999999999999</v>
      </c>
      <c r="O36" s="102">
        <f t="shared" si="2"/>
        <v>825.4</v>
      </c>
      <c r="P36" s="102">
        <f t="shared" si="3"/>
        <v>143.19999999999999</v>
      </c>
      <c r="Q36" s="102">
        <f t="shared" si="4"/>
        <v>1130.7999999999997</v>
      </c>
      <c r="R36" s="102"/>
      <c r="S36" s="102"/>
      <c r="T36" s="102"/>
      <c r="U36" s="102"/>
      <c r="V36" s="102"/>
      <c r="W36" s="102"/>
      <c r="X36" s="102"/>
      <c r="Y36" s="102"/>
      <c r="Z36" s="102"/>
      <c r="AA36" s="102"/>
      <c r="AB36" s="102"/>
      <c r="AC36" s="102"/>
      <c r="AD36" s="102"/>
      <c r="AE36" s="102"/>
      <c r="AF36" s="102"/>
      <c r="AG36" s="102"/>
    </row>
    <row r="37" spans="1:33" s="70" customFormat="1">
      <c r="A37" s="108">
        <v>2016</v>
      </c>
      <c r="B37" s="115">
        <v>41</v>
      </c>
      <c r="C37" s="115">
        <v>14.4</v>
      </c>
      <c r="D37" s="115">
        <v>104.6</v>
      </c>
      <c r="E37" s="115">
        <v>138.19999999999999</v>
      </c>
      <c r="F37" s="115">
        <v>238.3</v>
      </c>
      <c r="G37" s="115">
        <v>185.6</v>
      </c>
      <c r="H37" s="115">
        <v>161.4</v>
      </c>
      <c r="I37" s="115">
        <v>91.4</v>
      </c>
      <c r="J37" s="115">
        <v>39.5</v>
      </c>
      <c r="K37" s="115">
        <v>99.5</v>
      </c>
      <c r="L37" s="115">
        <v>68.400000000000006</v>
      </c>
      <c r="M37" s="115">
        <v>22.1</v>
      </c>
      <c r="N37" s="108">
        <f>SUM(B37:E37)</f>
        <v>298.2</v>
      </c>
      <c r="O37" s="108">
        <f>SUM(F37:J37)</f>
        <v>716.19999999999993</v>
      </c>
      <c r="P37" s="108">
        <f>SUM(K37:M37)</f>
        <v>190</v>
      </c>
      <c r="Q37" s="108">
        <f>SUM(B37:M37)</f>
        <v>1204.4000000000001</v>
      </c>
      <c r="R37" s="69">
        <f t="shared" ref="R37:AG37" si="5">100*(B37-B4)/B4</f>
        <v>74.653887113951043</v>
      </c>
      <c r="S37" s="69">
        <f t="shared" si="5"/>
        <v>-38.477970627503339</v>
      </c>
      <c r="T37" s="69">
        <f t="shared" si="5"/>
        <v>118.64262851917171</v>
      </c>
      <c r="U37" s="69">
        <f t="shared" si="5"/>
        <v>70.354391371340483</v>
      </c>
      <c r="V37" s="69">
        <f t="shared" si="5"/>
        <v>54.991869918699223</v>
      </c>
      <c r="W37" s="69">
        <f t="shared" si="5"/>
        <v>-21.16385260698738</v>
      </c>
      <c r="X37" s="69">
        <f t="shared" si="5"/>
        <v>4.6289731175171687</v>
      </c>
      <c r="Y37" s="69">
        <f t="shared" si="5"/>
        <v>-20.84438430311231</v>
      </c>
      <c r="Z37" s="69">
        <f t="shared" si="5"/>
        <v>-55.639783814136322</v>
      </c>
      <c r="AA37" s="69">
        <f t="shared" si="5"/>
        <v>-11.873789094934956</v>
      </c>
      <c r="AB37" s="69">
        <f t="shared" si="5"/>
        <v>25.974100719424488</v>
      </c>
      <c r="AC37" s="69">
        <f t="shared" si="5"/>
        <v>-16.50531286894925</v>
      </c>
      <c r="AD37" s="69">
        <f t="shared" si="5"/>
        <v>69.579357040038389</v>
      </c>
      <c r="AE37" s="69">
        <f t="shared" si="5"/>
        <v>-4.2445360841971773</v>
      </c>
      <c r="AF37" s="69">
        <f t="shared" si="5"/>
        <v>-1.8959257765227771</v>
      </c>
      <c r="AG37" s="69">
        <f t="shared" si="5"/>
        <v>7.7796017215294686</v>
      </c>
    </row>
  </sheetData>
  <mergeCells count="6">
    <mergeCell ref="A1:A3"/>
    <mergeCell ref="B1:Q1"/>
    <mergeCell ref="B2:M2"/>
    <mergeCell ref="R1:AG1"/>
    <mergeCell ref="N2:Q2"/>
    <mergeCell ref="R2:AG2"/>
  </mergeCells>
  <phoneticPr fontId="2" type="noConversion"/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7"/>
  <dimension ref="A1:AK66"/>
  <sheetViews>
    <sheetView zoomScale="70" zoomScaleNormal="70" workbookViewId="0">
      <pane ySplit="3" topLeftCell="A4" activePane="bottomLeft" state="frozen"/>
      <selection pane="bottomLeft" activeCell="Q62" sqref="Q62"/>
    </sheetView>
  </sheetViews>
  <sheetFormatPr defaultRowHeight="14.25"/>
  <cols>
    <col min="1" max="10" width="7.125" style="2" customWidth="1"/>
    <col min="11" max="11" width="7.125" style="37" customWidth="1"/>
    <col min="12" max="37" width="7.125" style="2" customWidth="1"/>
  </cols>
  <sheetData>
    <row r="1" spans="1:33" s="119" customFormat="1" ht="14.25" customHeight="1">
      <c r="A1" s="176" t="s">
        <v>0</v>
      </c>
      <c r="B1" s="176" t="s">
        <v>1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2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9" customFormat="1" ht="12.75">
      <c r="A2" s="176"/>
      <c r="B2" s="176" t="s">
        <v>3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32</v>
      </c>
      <c r="O2" s="176"/>
      <c r="P2" s="176"/>
      <c r="Q2" s="176"/>
      <c r="R2" s="176" t="s">
        <v>6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9" customFormat="1" ht="24">
      <c r="A3" s="176"/>
      <c r="B3" s="106" t="s">
        <v>7</v>
      </c>
      <c r="C3" s="106" t="s">
        <v>8</v>
      </c>
      <c r="D3" s="106" t="s">
        <v>9</v>
      </c>
      <c r="E3" s="106" t="s">
        <v>10</v>
      </c>
      <c r="F3" s="106" t="s">
        <v>11</v>
      </c>
      <c r="G3" s="106" t="s">
        <v>12</v>
      </c>
      <c r="H3" s="106" t="s">
        <v>13</v>
      </c>
      <c r="I3" s="106" t="s">
        <v>14</v>
      </c>
      <c r="J3" s="106" t="s">
        <v>15</v>
      </c>
      <c r="K3" s="106" t="s">
        <v>16</v>
      </c>
      <c r="L3" s="106" t="s">
        <v>17</v>
      </c>
      <c r="M3" s="106" t="s">
        <v>18</v>
      </c>
      <c r="N3" s="106" t="s">
        <v>145</v>
      </c>
      <c r="O3" s="106" t="s">
        <v>146</v>
      </c>
      <c r="P3" s="106" t="s">
        <v>147</v>
      </c>
      <c r="Q3" s="106" t="s">
        <v>148</v>
      </c>
      <c r="R3" s="106" t="s">
        <v>7</v>
      </c>
      <c r="S3" s="106" t="s">
        <v>8</v>
      </c>
      <c r="T3" s="106" t="s">
        <v>151</v>
      </c>
      <c r="U3" s="106" t="s">
        <v>152</v>
      </c>
      <c r="V3" s="106" t="s">
        <v>23</v>
      </c>
      <c r="W3" s="106" t="s">
        <v>24</v>
      </c>
      <c r="X3" s="106" t="s">
        <v>25</v>
      </c>
      <c r="Y3" s="106" t="s">
        <v>26</v>
      </c>
      <c r="Z3" s="106" t="s">
        <v>27</v>
      </c>
      <c r="AA3" s="106" t="s">
        <v>155</v>
      </c>
      <c r="AB3" s="106" t="s">
        <v>156</v>
      </c>
      <c r="AC3" s="106" t="s">
        <v>157</v>
      </c>
      <c r="AD3" s="106" t="s">
        <v>90</v>
      </c>
      <c r="AE3" s="106" t="s">
        <v>4</v>
      </c>
      <c r="AF3" s="106" t="s">
        <v>91</v>
      </c>
      <c r="AG3" s="106" t="s">
        <v>5</v>
      </c>
    </row>
    <row r="4" spans="1:33" s="119" customFormat="1" ht="12.75">
      <c r="A4" s="150" t="s">
        <v>261</v>
      </c>
      <c r="B4" s="150">
        <f t="shared" ref="B4:Q4" si="0">AVERAGE(B5:B49)</f>
        <v>21.900000000000006</v>
      </c>
      <c r="C4" s="150">
        <f t="shared" si="0"/>
        <v>18.946666666666669</v>
      </c>
      <c r="D4" s="150">
        <f t="shared" si="0"/>
        <v>36.095555555555542</v>
      </c>
      <c r="E4" s="150">
        <f t="shared" si="0"/>
        <v>66.36666666666666</v>
      </c>
      <c r="F4" s="150">
        <f t="shared" si="0"/>
        <v>128.67777777777781</v>
      </c>
      <c r="G4" s="150">
        <f t="shared" si="0"/>
        <v>188.22444444444446</v>
      </c>
      <c r="H4" s="150">
        <f t="shared" si="0"/>
        <v>133.00222222222223</v>
      </c>
      <c r="I4" s="150">
        <f t="shared" si="0"/>
        <v>109.98888888888889</v>
      </c>
      <c r="J4" s="150">
        <f t="shared" si="0"/>
        <v>84.942222222222227</v>
      </c>
      <c r="K4" s="150">
        <f t="shared" si="0"/>
        <v>93.184444444444466</v>
      </c>
      <c r="L4" s="150">
        <f t="shared" si="0"/>
        <v>38.704444444444448</v>
      </c>
      <c r="M4" s="150">
        <f t="shared" si="0"/>
        <v>21.291111111111107</v>
      </c>
      <c r="N4" s="150">
        <f t="shared" si="0"/>
        <v>143.30888888888887</v>
      </c>
      <c r="O4" s="150">
        <f t="shared" si="0"/>
        <v>644.83555555555552</v>
      </c>
      <c r="P4" s="150">
        <f t="shared" si="0"/>
        <v>153.18</v>
      </c>
      <c r="Q4" s="150">
        <f t="shared" si="0"/>
        <v>941.32444444444445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1971</v>
      </c>
      <c r="B5" s="102">
        <v>14.1</v>
      </c>
      <c r="C5" s="102">
        <v>4.5</v>
      </c>
      <c r="D5" s="102">
        <v>39.1</v>
      </c>
      <c r="E5" s="102">
        <v>27</v>
      </c>
      <c r="F5" s="102">
        <v>58.8</v>
      </c>
      <c r="G5" s="102">
        <v>266.7</v>
      </c>
      <c r="H5" s="102">
        <v>98.8</v>
      </c>
      <c r="I5" s="102">
        <v>51.2</v>
      </c>
      <c r="J5" s="102">
        <v>55.3</v>
      </c>
      <c r="K5" s="102">
        <v>78.5</v>
      </c>
      <c r="L5" s="102">
        <v>22.3</v>
      </c>
      <c r="M5" s="102">
        <v>39.9</v>
      </c>
      <c r="N5" s="102">
        <f>SUM(B5:E5)</f>
        <v>84.7</v>
      </c>
      <c r="O5" s="102">
        <f>SUM(F5:J5)</f>
        <v>530.79999999999995</v>
      </c>
      <c r="P5" s="102">
        <f>SUM(K5:M5)</f>
        <v>140.69999999999999</v>
      </c>
      <c r="Q5" s="102">
        <f>SUM(B5:M5)</f>
        <v>756.19999999999993</v>
      </c>
      <c r="R5" s="102"/>
      <c r="S5" s="102"/>
      <c r="T5" s="102"/>
      <c r="U5" s="102"/>
      <c r="V5" s="102"/>
      <c r="W5" s="102"/>
      <c r="X5" s="102"/>
      <c r="Y5" s="102"/>
      <c r="Z5" s="102"/>
      <c r="AA5" s="102"/>
      <c r="AB5" s="102"/>
      <c r="AC5" s="102"/>
      <c r="AD5" s="102"/>
      <c r="AE5" s="102"/>
      <c r="AF5" s="102"/>
      <c r="AG5" s="102"/>
    </row>
    <row r="6" spans="1:33">
      <c r="A6" s="102">
        <v>1972</v>
      </c>
      <c r="B6" s="102">
        <v>13.3</v>
      </c>
      <c r="C6" s="102">
        <v>9.6999999999999993</v>
      </c>
      <c r="D6" s="102">
        <v>25.2</v>
      </c>
      <c r="E6" s="102">
        <v>29.7</v>
      </c>
      <c r="F6" s="102">
        <v>126.1</v>
      </c>
      <c r="G6" s="102">
        <v>145.9</v>
      </c>
      <c r="H6" s="102">
        <v>35.700000000000003</v>
      </c>
      <c r="I6" s="102">
        <v>73</v>
      </c>
      <c r="J6" s="102">
        <v>84.7</v>
      </c>
      <c r="K6" s="102">
        <v>99.6</v>
      </c>
      <c r="L6" s="102">
        <v>52</v>
      </c>
      <c r="M6" s="102">
        <v>17</v>
      </c>
      <c r="N6" s="102">
        <f t="shared" ref="N6:N49" si="1">SUM(B6:E6)</f>
        <v>77.900000000000006</v>
      </c>
      <c r="O6" s="102">
        <f t="shared" ref="O6:O49" si="2">SUM(F6:J6)</f>
        <v>465.4</v>
      </c>
      <c r="P6" s="102">
        <f t="shared" ref="P6:P49" si="3">SUM(K6:M6)</f>
        <v>168.6</v>
      </c>
      <c r="Q6" s="102">
        <f t="shared" ref="Q6:Q49" si="4">SUM(B6:M6)</f>
        <v>711.9</v>
      </c>
      <c r="R6" s="102"/>
      <c r="S6" s="102"/>
      <c r="T6" s="102"/>
      <c r="U6" s="102"/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</row>
    <row r="7" spans="1:33">
      <c r="A7" s="102">
        <v>1973</v>
      </c>
      <c r="B7" s="102">
        <v>8.8000000000000007</v>
      </c>
      <c r="C7" s="102">
        <v>7.9</v>
      </c>
      <c r="D7" s="102">
        <v>17.5</v>
      </c>
      <c r="E7" s="102">
        <v>19.2</v>
      </c>
      <c r="F7" s="102">
        <v>57.1</v>
      </c>
      <c r="G7" s="102">
        <v>218.5</v>
      </c>
      <c r="H7" s="102">
        <v>113.3</v>
      </c>
      <c r="I7" s="102">
        <v>79.5</v>
      </c>
      <c r="J7" s="102">
        <v>67.3</v>
      </c>
      <c r="K7" s="102">
        <v>48.3</v>
      </c>
      <c r="L7" s="102">
        <v>68.099999999999994</v>
      </c>
      <c r="M7" s="102">
        <v>2.5</v>
      </c>
      <c r="N7" s="102">
        <f t="shared" si="1"/>
        <v>53.400000000000006</v>
      </c>
      <c r="O7" s="102">
        <f t="shared" si="2"/>
        <v>535.70000000000005</v>
      </c>
      <c r="P7" s="102">
        <f t="shared" si="3"/>
        <v>118.89999999999999</v>
      </c>
      <c r="Q7" s="102">
        <f t="shared" si="4"/>
        <v>707.99999999999989</v>
      </c>
      <c r="R7" s="102"/>
      <c r="S7" s="102"/>
      <c r="T7" s="102"/>
      <c r="U7" s="102"/>
      <c r="V7" s="102"/>
      <c r="W7" s="102"/>
      <c r="X7" s="102"/>
      <c r="Y7" s="102"/>
      <c r="Z7" s="102"/>
      <c r="AA7" s="102"/>
      <c r="AB7" s="102"/>
      <c r="AC7" s="102"/>
      <c r="AD7" s="102"/>
      <c r="AE7" s="102"/>
      <c r="AF7" s="102"/>
      <c r="AG7" s="102"/>
    </row>
    <row r="8" spans="1:33">
      <c r="A8" s="102">
        <v>1974</v>
      </c>
      <c r="B8" s="102">
        <v>6.1</v>
      </c>
      <c r="C8" s="102">
        <v>4.9000000000000004</v>
      </c>
      <c r="D8" s="102">
        <v>27</v>
      </c>
      <c r="E8" s="102">
        <v>32.6</v>
      </c>
      <c r="F8" s="102">
        <v>58.3</v>
      </c>
      <c r="G8" s="102">
        <v>289.10000000000002</v>
      </c>
      <c r="H8" s="102">
        <v>56.9</v>
      </c>
      <c r="I8" s="102">
        <v>65.5</v>
      </c>
      <c r="J8" s="102">
        <v>47.3</v>
      </c>
      <c r="K8" s="102">
        <v>63.7</v>
      </c>
      <c r="L8" s="102">
        <v>12.3</v>
      </c>
      <c r="M8" s="102">
        <v>20.3</v>
      </c>
      <c r="N8" s="102">
        <f t="shared" si="1"/>
        <v>70.599999999999994</v>
      </c>
      <c r="O8" s="102">
        <f t="shared" si="2"/>
        <v>517.1</v>
      </c>
      <c r="P8" s="102">
        <f t="shared" si="3"/>
        <v>96.3</v>
      </c>
      <c r="Q8" s="102">
        <f t="shared" si="4"/>
        <v>683.99999999999989</v>
      </c>
      <c r="R8" s="102"/>
      <c r="S8" s="102"/>
      <c r="T8" s="102"/>
      <c r="U8" s="102"/>
      <c r="V8" s="102"/>
      <c r="W8" s="102"/>
      <c r="X8" s="102"/>
      <c r="Y8" s="102"/>
      <c r="Z8" s="102"/>
      <c r="AA8" s="102"/>
      <c r="AB8" s="102"/>
      <c r="AC8" s="102"/>
      <c r="AD8" s="102"/>
      <c r="AE8" s="102"/>
      <c r="AF8" s="102"/>
      <c r="AG8" s="102"/>
    </row>
    <row r="9" spans="1:33">
      <c r="A9" s="102">
        <v>1975</v>
      </c>
      <c r="B9" s="102">
        <v>10.7</v>
      </c>
      <c r="C9" s="102">
        <v>11.1</v>
      </c>
      <c r="D9" s="102">
        <v>55.1</v>
      </c>
      <c r="E9" s="102">
        <v>39</v>
      </c>
      <c r="F9" s="102">
        <v>68.8</v>
      </c>
      <c r="G9" s="102">
        <v>240.4</v>
      </c>
      <c r="H9" s="102">
        <v>87.1</v>
      </c>
      <c r="I9" s="102">
        <v>76.599999999999994</v>
      </c>
      <c r="J9" s="102">
        <v>55.6</v>
      </c>
      <c r="K9" s="102">
        <v>84.6</v>
      </c>
      <c r="L9" s="102">
        <v>94.9</v>
      </c>
      <c r="M9" s="102">
        <v>4.4000000000000004</v>
      </c>
      <c r="N9" s="102">
        <f t="shared" si="1"/>
        <v>115.9</v>
      </c>
      <c r="O9" s="102">
        <f t="shared" si="2"/>
        <v>528.5</v>
      </c>
      <c r="P9" s="102">
        <f t="shared" si="3"/>
        <v>183.9</v>
      </c>
      <c r="Q9" s="102">
        <f t="shared" si="4"/>
        <v>828.30000000000007</v>
      </c>
      <c r="R9" s="102"/>
      <c r="S9" s="102"/>
      <c r="T9" s="102"/>
      <c r="U9" s="102"/>
      <c r="V9" s="102"/>
      <c r="W9" s="102"/>
      <c r="X9" s="102"/>
      <c r="Y9" s="102"/>
      <c r="Z9" s="102"/>
      <c r="AA9" s="102"/>
      <c r="AB9" s="102"/>
      <c r="AC9" s="102"/>
      <c r="AD9" s="102"/>
      <c r="AE9" s="102"/>
      <c r="AF9" s="102"/>
      <c r="AG9" s="102"/>
    </row>
    <row r="10" spans="1:33">
      <c r="A10" s="102">
        <v>1976</v>
      </c>
      <c r="B10" s="102">
        <v>9</v>
      </c>
      <c r="C10" s="102">
        <v>5.5</v>
      </c>
      <c r="D10" s="102">
        <v>20.399999999999999</v>
      </c>
      <c r="E10" s="102">
        <v>34.5</v>
      </c>
      <c r="F10" s="102">
        <v>40.700000000000003</v>
      </c>
      <c r="G10" s="102">
        <v>143.9</v>
      </c>
      <c r="H10" s="102">
        <v>54.5</v>
      </c>
      <c r="I10" s="102">
        <v>71.5</v>
      </c>
      <c r="J10" s="102">
        <v>76.900000000000006</v>
      </c>
      <c r="K10" s="102">
        <v>110.8</v>
      </c>
      <c r="L10" s="102">
        <v>25.8</v>
      </c>
      <c r="M10" s="102">
        <v>18.399999999999999</v>
      </c>
      <c r="N10" s="102">
        <f t="shared" si="1"/>
        <v>69.400000000000006</v>
      </c>
      <c r="O10" s="102">
        <f t="shared" si="2"/>
        <v>387.5</v>
      </c>
      <c r="P10" s="102">
        <f t="shared" si="3"/>
        <v>155</v>
      </c>
      <c r="Q10" s="102">
        <f t="shared" si="4"/>
        <v>611.89999999999986</v>
      </c>
      <c r="R10" s="102"/>
      <c r="S10" s="102"/>
      <c r="T10" s="102"/>
      <c r="U10" s="102"/>
      <c r="V10" s="102"/>
      <c r="W10" s="102"/>
      <c r="X10" s="102"/>
      <c r="Y10" s="102"/>
      <c r="Z10" s="102"/>
      <c r="AA10" s="102"/>
      <c r="AB10" s="102"/>
      <c r="AC10" s="102"/>
      <c r="AD10" s="102"/>
      <c r="AE10" s="102"/>
      <c r="AF10" s="102"/>
      <c r="AG10" s="102"/>
    </row>
    <row r="11" spans="1:33">
      <c r="A11" s="102">
        <v>1977</v>
      </c>
      <c r="B11" s="102">
        <v>11.3</v>
      </c>
      <c r="C11" s="102">
        <v>10.6</v>
      </c>
      <c r="D11" s="102">
        <v>45.3</v>
      </c>
      <c r="E11" s="102">
        <v>40.799999999999997</v>
      </c>
      <c r="F11" s="102">
        <v>62.3</v>
      </c>
      <c r="G11" s="102">
        <v>170.5</v>
      </c>
      <c r="H11" s="102">
        <v>61.5</v>
      </c>
      <c r="I11" s="102">
        <v>172.1</v>
      </c>
      <c r="J11" s="102">
        <v>57.2</v>
      </c>
      <c r="K11" s="102">
        <v>102.6</v>
      </c>
      <c r="L11" s="102">
        <v>67.8</v>
      </c>
      <c r="M11" s="102">
        <v>3.1</v>
      </c>
      <c r="N11" s="102">
        <f t="shared" si="1"/>
        <v>107.99999999999999</v>
      </c>
      <c r="O11" s="102">
        <f t="shared" si="2"/>
        <v>523.6</v>
      </c>
      <c r="P11" s="102">
        <f t="shared" si="3"/>
        <v>173.49999999999997</v>
      </c>
      <c r="Q11" s="102">
        <f t="shared" si="4"/>
        <v>805.1</v>
      </c>
      <c r="R11" s="102"/>
      <c r="S11" s="102"/>
      <c r="T11" s="102"/>
      <c r="U11" s="102"/>
      <c r="V11" s="102"/>
      <c r="W11" s="102"/>
      <c r="X11" s="102"/>
      <c r="Y11" s="102"/>
      <c r="Z11" s="102"/>
      <c r="AA11" s="102"/>
      <c r="AB11" s="102"/>
      <c r="AC11" s="102"/>
      <c r="AD11" s="102"/>
      <c r="AE11" s="102"/>
      <c r="AF11" s="102"/>
      <c r="AG11" s="102"/>
    </row>
    <row r="12" spans="1:33">
      <c r="A12" s="102">
        <v>1978</v>
      </c>
      <c r="B12" s="102">
        <v>8.1</v>
      </c>
      <c r="C12" s="102">
        <v>17.3</v>
      </c>
      <c r="D12" s="102">
        <v>39.5</v>
      </c>
      <c r="E12" s="102">
        <v>36.5</v>
      </c>
      <c r="F12" s="102">
        <v>54.2</v>
      </c>
      <c r="G12" s="102">
        <v>227.4</v>
      </c>
      <c r="H12" s="102">
        <v>105.2</v>
      </c>
      <c r="I12" s="102">
        <v>62.8</v>
      </c>
      <c r="J12" s="102">
        <v>62.8</v>
      </c>
      <c r="K12" s="102">
        <v>163.4</v>
      </c>
      <c r="L12" s="102">
        <v>76.2</v>
      </c>
      <c r="M12" s="102">
        <v>8.1</v>
      </c>
      <c r="N12" s="102">
        <f t="shared" si="1"/>
        <v>101.4</v>
      </c>
      <c r="O12" s="102">
        <f t="shared" si="2"/>
        <v>512.4</v>
      </c>
      <c r="P12" s="102">
        <f t="shared" si="3"/>
        <v>247.70000000000002</v>
      </c>
      <c r="Q12" s="102">
        <f t="shared" si="4"/>
        <v>861.5</v>
      </c>
      <c r="R12" s="102"/>
      <c r="S12" s="102"/>
      <c r="T12" s="102"/>
      <c r="U12" s="102"/>
      <c r="V12" s="102"/>
      <c r="W12" s="102"/>
      <c r="X12" s="102"/>
      <c r="Y12" s="102"/>
      <c r="Z12" s="102"/>
      <c r="AA12" s="102"/>
      <c r="AB12" s="102"/>
      <c r="AC12" s="102"/>
      <c r="AD12" s="102"/>
      <c r="AE12" s="102"/>
      <c r="AF12" s="102"/>
      <c r="AG12" s="102"/>
    </row>
    <row r="13" spans="1:33">
      <c r="A13" s="102">
        <v>1979</v>
      </c>
      <c r="B13" s="102">
        <v>16.7</v>
      </c>
      <c r="C13" s="102">
        <v>3.9</v>
      </c>
      <c r="D13" s="102">
        <v>33.299999999999997</v>
      </c>
      <c r="E13" s="102">
        <v>25.5</v>
      </c>
      <c r="F13" s="102">
        <v>83.5</v>
      </c>
      <c r="G13" s="102">
        <v>222.8</v>
      </c>
      <c r="H13" s="102">
        <v>38.9</v>
      </c>
      <c r="I13" s="102">
        <v>56.4</v>
      </c>
      <c r="J13" s="102">
        <v>61.9</v>
      </c>
      <c r="K13" s="102">
        <v>44.2</v>
      </c>
      <c r="L13" s="102">
        <v>18</v>
      </c>
      <c r="M13" s="102">
        <v>37.200000000000003</v>
      </c>
      <c r="N13" s="102">
        <f t="shared" si="1"/>
        <v>79.399999999999991</v>
      </c>
      <c r="O13" s="102">
        <f t="shared" si="2"/>
        <v>463.49999999999994</v>
      </c>
      <c r="P13" s="102">
        <f t="shared" si="3"/>
        <v>99.4</v>
      </c>
      <c r="Q13" s="102">
        <f t="shared" si="4"/>
        <v>642.30000000000007</v>
      </c>
      <c r="R13" s="102"/>
      <c r="S13" s="102"/>
      <c r="T13" s="102"/>
      <c r="U13" s="102"/>
      <c r="V13" s="102"/>
      <c r="W13" s="102"/>
      <c r="X13" s="102"/>
      <c r="Y13" s="102"/>
      <c r="Z13" s="102"/>
      <c r="AA13" s="102"/>
      <c r="AB13" s="102"/>
      <c r="AC13" s="102"/>
      <c r="AD13" s="102"/>
      <c r="AE13" s="102"/>
      <c r="AF13" s="102"/>
      <c r="AG13" s="102"/>
    </row>
    <row r="14" spans="1:33">
      <c r="A14" s="102">
        <v>1980</v>
      </c>
      <c r="B14" s="102">
        <v>24.1</v>
      </c>
      <c r="C14" s="102">
        <v>7.5</v>
      </c>
      <c r="D14" s="102">
        <v>31.2</v>
      </c>
      <c r="E14" s="102">
        <v>38.799999999999997</v>
      </c>
      <c r="F14" s="102">
        <v>143.30000000000001</v>
      </c>
      <c r="G14" s="102">
        <v>195.8</v>
      </c>
      <c r="H14" s="102">
        <v>29.8</v>
      </c>
      <c r="I14" s="102">
        <v>18.7</v>
      </c>
      <c r="J14" s="102">
        <v>86.5</v>
      </c>
      <c r="K14" s="102">
        <v>134.9</v>
      </c>
      <c r="L14" s="102">
        <v>35.799999999999997</v>
      </c>
      <c r="M14" s="102">
        <v>20.7</v>
      </c>
      <c r="N14" s="102">
        <f t="shared" si="1"/>
        <v>101.6</v>
      </c>
      <c r="O14" s="102">
        <f t="shared" si="2"/>
        <v>474.1</v>
      </c>
      <c r="P14" s="102">
        <f t="shared" si="3"/>
        <v>191.39999999999998</v>
      </c>
      <c r="Q14" s="102">
        <f t="shared" si="4"/>
        <v>767.1</v>
      </c>
      <c r="R14" s="102"/>
      <c r="S14" s="102"/>
      <c r="T14" s="102"/>
      <c r="U14" s="102"/>
      <c r="V14" s="102"/>
      <c r="W14" s="102"/>
      <c r="X14" s="102"/>
      <c r="Y14" s="102"/>
      <c r="Z14" s="102"/>
      <c r="AA14" s="102"/>
      <c r="AB14" s="102"/>
      <c r="AC14" s="102"/>
      <c r="AD14" s="102"/>
      <c r="AE14" s="102"/>
      <c r="AF14" s="102"/>
      <c r="AG14" s="102"/>
    </row>
    <row r="15" spans="1:33">
      <c r="A15" s="102">
        <v>1981</v>
      </c>
      <c r="B15" s="102">
        <v>36.9</v>
      </c>
      <c r="C15" s="102">
        <v>8.6</v>
      </c>
      <c r="D15" s="102">
        <v>26.4</v>
      </c>
      <c r="E15" s="102">
        <v>71.8</v>
      </c>
      <c r="F15" s="102">
        <v>109</v>
      </c>
      <c r="G15" s="102">
        <v>127</v>
      </c>
      <c r="H15" s="102">
        <v>84</v>
      </c>
      <c r="I15" s="102">
        <v>147.80000000000001</v>
      </c>
      <c r="J15" s="102">
        <v>59.2</v>
      </c>
      <c r="K15" s="102">
        <v>73.3</v>
      </c>
      <c r="L15" s="102">
        <v>22.6</v>
      </c>
      <c r="M15" s="102">
        <v>5.8</v>
      </c>
      <c r="N15" s="102">
        <f t="shared" si="1"/>
        <v>143.69999999999999</v>
      </c>
      <c r="O15" s="102">
        <f t="shared" si="2"/>
        <v>527</v>
      </c>
      <c r="P15" s="102">
        <f t="shared" si="3"/>
        <v>101.7</v>
      </c>
      <c r="Q15" s="102">
        <f t="shared" si="4"/>
        <v>772.4</v>
      </c>
      <c r="R15" s="102"/>
      <c r="S15" s="102"/>
      <c r="T15" s="102"/>
      <c r="U15" s="102"/>
      <c r="V15" s="102"/>
      <c r="W15" s="102"/>
      <c r="X15" s="102"/>
      <c r="Y15" s="102"/>
      <c r="Z15" s="102"/>
      <c r="AA15" s="102"/>
      <c r="AB15" s="102"/>
      <c r="AC15" s="102"/>
      <c r="AD15" s="102"/>
      <c r="AE15" s="102"/>
      <c r="AF15" s="102"/>
      <c r="AG15" s="102"/>
    </row>
    <row r="16" spans="1:33">
      <c r="A16" s="102">
        <v>1982</v>
      </c>
      <c r="B16" s="102">
        <v>18.2</v>
      </c>
      <c r="C16" s="102">
        <v>23.8</v>
      </c>
      <c r="D16" s="102">
        <v>12.6</v>
      </c>
      <c r="E16" s="102">
        <v>99.6</v>
      </c>
      <c r="F16" s="102">
        <v>272.2</v>
      </c>
      <c r="G16" s="102">
        <v>180.2</v>
      </c>
      <c r="H16" s="102">
        <v>124.9</v>
      </c>
      <c r="I16" s="102">
        <v>158.6</v>
      </c>
      <c r="J16" s="102">
        <v>117.9</v>
      </c>
      <c r="K16" s="102">
        <v>47.3</v>
      </c>
      <c r="L16" s="102">
        <v>58.3</v>
      </c>
      <c r="M16" s="102">
        <v>30</v>
      </c>
      <c r="N16" s="102">
        <f t="shared" si="1"/>
        <v>154.19999999999999</v>
      </c>
      <c r="O16" s="102">
        <f t="shared" si="2"/>
        <v>853.8</v>
      </c>
      <c r="P16" s="102">
        <f t="shared" si="3"/>
        <v>135.6</v>
      </c>
      <c r="Q16" s="102">
        <f t="shared" si="4"/>
        <v>1143.5999999999999</v>
      </c>
      <c r="R16" s="102"/>
      <c r="S16" s="102"/>
      <c r="T16" s="102"/>
      <c r="U16" s="102"/>
      <c r="V16" s="102"/>
      <c r="W16" s="102"/>
      <c r="X16" s="102"/>
      <c r="Y16" s="102"/>
      <c r="Z16" s="102"/>
      <c r="AA16" s="102"/>
      <c r="AB16" s="102"/>
      <c r="AC16" s="102"/>
      <c r="AD16" s="102"/>
      <c r="AE16" s="102"/>
      <c r="AF16" s="102"/>
      <c r="AG16" s="102"/>
    </row>
    <row r="17" spans="1:33">
      <c r="A17" s="102">
        <v>1983</v>
      </c>
      <c r="B17" s="102">
        <v>53.9</v>
      </c>
      <c r="C17" s="102">
        <v>27.5</v>
      </c>
      <c r="D17" s="102">
        <v>45.1</v>
      </c>
      <c r="E17" s="102">
        <v>92.3</v>
      </c>
      <c r="F17" s="102">
        <v>109.4</v>
      </c>
      <c r="G17" s="102">
        <v>164.7</v>
      </c>
      <c r="H17" s="102">
        <v>215.1</v>
      </c>
      <c r="I17" s="102">
        <v>152.9</v>
      </c>
      <c r="J17" s="102">
        <v>25.9</v>
      </c>
      <c r="K17" s="102">
        <v>55.9</v>
      </c>
      <c r="L17" s="102">
        <v>66.400000000000006</v>
      </c>
      <c r="M17" s="102">
        <v>20.2</v>
      </c>
      <c r="N17" s="102">
        <f t="shared" si="1"/>
        <v>218.8</v>
      </c>
      <c r="O17" s="102">
        <f t="shared" si="2"/>
        <v>668</v>
      </c>
      <c r="P17" s="102">
        <f t="shared" si="3"/>
        <v>142.5</v>
      </c>
      <c r="Q17" s="102">
        <f t="shared" si="4"/>
        <v>1029.3</v>
      </c>
      <c r="R17" s="102"/>
      <c r="S17" s="102"/>
      <c r="T17" s="102"/>
      <c r="U17" s="102"/>
      <c r="V17" s="102"/>
      <c r="W17" s="102"/>
      <c r="X17" s="102"/>
      <c r="Y17" s="102"/>
      <c r="Z17" s="102"/>
      <c r="AA17" s="102"/>
      <c r="AB17" s="102"/>
      <c r="AC17" s="102"/>
      <c r="AD17" s="102"/>
      <c r="AE17" s="102"/>
      <c r="AF17" s="102"/>
      <c r="AG17" s="102"/>
    </row>
    <row r="18" spans="1:33">
      <c r="A18" s="102">
        <v>1984</v>
      </c>
      <c r="B18" s="102">
        <v>10.9</v>
      </c>
      <c r="C18" s="102">
        <v>20</v>
      </c>
      <c r="D18" s="102">
        <v>27.2</v>
      </c>
      <c r="E18" s="102">
        <v>51.7</v>
      </c>
      <c r="F18" s="102">
        <v>224.2</v>
      </c>
      <c r="G18" s="102">
        <v>95.5</v>
      </c>
      <c r="H18" s="102">
        <v>183.7</v>
      </c>
      <c r="I18" s="102">
        <v>217.2</v>
      </c>
      <c r="J18" s="102">
        <v>174</v>
      </c>
      <c r="K18" s="102">
        <v>75.5</v>
      </c>
      <c r="L18" s="102">
        <v>10.3</v>
      </c>
      <c r="M18" s="102">
        <v>25.2</v>
      </c>
      <c r="N18" s="102">
        <f t="shared" si="1"/>
        <v>109.8</v>
      </c>
      <c r="O18" s="102">
        <f t="shared" si="2"/>
        <v>894.59999999999991</v>
      </c>
      <c r="P18" s="102">
        <f t="shared" si="3"/>
        <v>111</v>
      </c>
      <c r="Q18" s="102">
        <f t="shared" si="4"/>
        <v>1115.4000000000001</v>
      </c>
      <c r="R18" s="102"/>
      <c r="S18" s="102"/>
      <c r="T18" s="102"/>
      <c r="U18" s="102"/>
      <c r="V18" s="102"/>
      <c r="W18" s="102"/>
      <c r="X18" s="102"/>
      <c r="Y18" s="102"/>
      <c r="Z18" s="102"/>
      <c r="AA18" s="102"/>
      <c r="AB18" s="102"/>
      <c r="AC18" s="102"/>
      <c r="AD18" s="102"/>
      <c r="AE18" s="102"/>
      <c r="AF18" s="102"/>
      <c r="AG18" s="102"/>
    </row>
    <row r="19" spans="1:33">
      <c r="A19" s="102">
        <v>1985</v>
      </c>
      <c r="B19" s="102">
        <v>11</v>
      </c>
      <c r="C19" s="102">
        <v>20.8</v>
      </c>
      <c r="D19" s="102">
        <v>47.4</v>
      </c>
      <c r="E19" s="102">
        <v>83.6</v>
      </c>
      <c r="F19" s="102">
        <v>165.3</v>
      </c>
      <c r="G19" s="102">
        <v>283.10000000000002</v>
      </c>
      <c r="H19" s="102">
        <v>70.599999999999994</v>
      </c>
      <c r="I19" s="102">
        <v>136.4</v>
      </c>
      <c r="J19" s="102">
        <v>40</v>
      </c>
      <c r="K19" s="102">
        <v>53.3</v>
      </c>
      <c r="L19" s="102">
        <v>37.700000000000003</v>
      </c>
      <c r="M19" s="102">
        <v>30.4</v>
      </c>
      <c r="N19" s="102">
        <f t="shared" si="1"/>
        <v>162.80000000000001</v>
      </c>
      <c r="O19" s="102">
        <f t="shared" si="2"/>
        <v>695.4</v>
      </c>
      <c r="P19" s="102">
        <f t="shared" si="3"/>
        <v>121.4</v>
      </c>
      <c r="Q19" s="102">
        <f t="shared" si="4"/>
        <v>979.6</v>
      </c>
      <c r="R19" s="102"/>
      <c r="S19" s="102"/>
      <c r="T19" s="102"/>
      <c r="U19" s="102"/>
      <c r="V19" s="102"/>
      <c r="W19" s="102"/>
      <c r="X19" s="102"/>
      <c r="Y19" s="102"/>
      <c r="Z19" s="102"/>
      <c r="AA19" s="102"/>
      <c r="AB19" s="102"/>
      <c r="AC19" s="102"/>
      <c r="AD19" s="102"/>
      <c r="AE19" s="102"/>
      <c r="AF19" s="102"/>
      <c r="AG19" s="102"/>
    </row>
    <row r="20" spans="1:33">
      <c r="A20" s="102">
        <v>1986</v>
      </c>
      <c r="B20" s="102">
        <v>13.8</v>
      </c>
      <c r="C20" s="102">
        <v>16.2</v>
      </c>
      <c r="D20" s="102">
        <v>23.7</v>
      </c>
      <c r="E20" s="102">
        <v>54.7</v>
      </c>
      <c r="F20" s="102">
        <v>48.2</v>
      </c>
      <c r="G20" s="102">
        <v>192.8</v>
      </c>
      <c r="H20" s="102">
        <v>123</v>
      </c>
      <c r="I20" s="102">
        <v>80</v>
      </c>
      <c r="J20" s="102">
        <v>56.7</v>
      </c>
      <c r="K20" s="102">
        <v>50.7</v>
      </c>
      <c r="L20" s="102">
        <v>62.1</v>
      </c>
      <c r="M20" s="102">
        <v>7.2</v>
      </c>
      <c r="N20" s="102">
        <f t="shared" si="1"/>
        <v>108.4</v>
      </c>
      <c r="O20" s="102">
        <f t="shared" si="2"/>
        <v>500.7</v>
      </c>
      <c r="P20" s="102">
        <f t="shared" si="3"/>
        <v>120.00000000000001</v>
      </c>
      <c r="Q20" s="102">
        <f t="shared" si="4"/>
        <v>729.10000000000025</v>
      </c>
      <c r="R20" s="102"/>
      <c r="S20" s="102"/>
      <c r="T20" s="102"/>
      <c r="U20" s="102"/>
      <c r="V20" s="102"/>
      <c r="W20" s="102"/>
      <c r="X20" s="102"/>
      <c r="Y20" s="102"/>
      <c r="Z20" s="102"/>
      <c r="AA20" s="102"/>
      <c r="AB20" s="102"/>
      <c r="AC20" s="102"/>
      <c r="AD20" s="102"/>
      <c r="AE20" s="102"/>
      <c r="AF20" s="102"/>
      <c r="AG20" s="102"/>
    </row>
    <row r="21" spans="1:33">
      <c r="A21" s="102">
        <v>1987</v>
      </c>
      <c r="B21" s="102">
        <v>40</v>
      </c>
      <c r="C21" s="102">
        <v>21.3</v>
      </c>
      <c r="D21" s="102">
        <v>23.9</v>
      </c>
      <c r="E21" s="102">
        <v>48.7</v>
      </c>
      <c r="F21" s="102">
        <v>182.9</v>
      </c>
      <c r="G21" s="102">
        <v>169.7</v>
      </c>
      <c r="H21" s="102">
        <v>156.69999999999999</v>
      </c>
      <c r="I21" s="102">
        <v>227.5</v>
      </c>
      <c r="J21" s="102">
        <v>77.900000000000006</v>
      </c>
      <c r="K21" s="102">
        <v>148.1</v>
      </c>
      <c r="L21" s="102">
        <v>47.7</v>
      </c>
      <c r="M21" s="102">
        <v>7.7</v>
      </c>
      <c r="N21" s="102">
        <f t="shared" si="1"/>
        <v>133.89999999999998</v>
      </c>
      <c r="O21" s="102">
        <f t="shared" si="2"/>
        <v>814.69999999999993</v>
      </c>
      <c r="P21" s="102">
        <f t="shared" si="3"/>
        <v>203.5</v>
      </c>
      <c r="Q21" s="102">
        <f t="shared" si="4"/>
        <v>1152.0999999999999</v>
      </c>
      <c r="R21" s="102"/>
      <c r="S21" s="102"/>
      <c r="T21" s="102"/>
      <c r="U21" s="102"/>
      <c r="V21" s="102"/>
      <c r="W21" s="102"/>
      <c r="X21" s="102"/>
      <c r="Y21" s="102"/>
      <c r="Z21" s="102"/>
      <c r="AA21" s="102"/>
      <c r="AB21" s="102"/>
      <c r="AC21" s="102"/>
      <c r="AD21" s="102"/>
      <c r="AE21" s="102"/>
      <c r="AF21" s="102"/>
      <c r="AG21" s="102"/>
    </row>
    <row r="22" spans="1:33">
      <c r="A22" s="102">
        <v>1988</v>
      </c>
      <c r="B22" s="102">
        <v>25</v>
      </c>
      <c r="C22" s="102">
        <v>21.1</v>
      </c>
      <c r="D22" s="102">
        <v>10.6</v>
      </c>
      <c r="E22" s="102">
        <v>82.2</v>
      </c>
      <c r="F22" s="102">
        <v>127.5</v>
      </c>
      <c r="G22" s="102">
        <v>126.3</v>
      </c>
      <c r="H22" s="102">
        <v>72.400000000000006</v>
      </c>
      <c r="I22" s="102">
        <v>121.3</v>
      </c>
      <c r="J22" s="102">
        <v>202.3</v>
      </c>
      <c r="K22" s="102">
        <v>52.9</v>
      </c>
      <c r="L22" s="102">
        <v>2.2000000000000002</v>
      </c>
      <c r="M22" s="102">
        <v>11.1</v>
      </c>
      <c r="N22" s="102">
        <f t="shared" si="1"/>
        <v>138.9</v>
      </c>
      <c r="O22" s="102">
        <f t="shared" si="2"/>
        <v>649.80000000000007</v>
      </c>
      <c r="P22" s="102">
        <f t="shared" si="3"/>
        <v>66.2</v>
      </c>
      <c r="Q22" s="102">
        <f t="shared" si="4"/>
        <v>854.90000000000009</v>
      </c>
      <c r="R22" s="102"/>
      <c r="S22" s="102"/>
      <c r="T22" s="102"/>
      <c r="U22" s="102"/>
      <c r="V22" s="102"/>
      <c r="W22" s="102"/>
      <c r="X22" s="102"/>
      <c r="Y22" s="102"/>
      <c r="Z22" s="102"/>
      <c r="AA22" s="102"/>
      <c r="AB22" s="102"/>
      <c r="AC22" s="102"/>
      <c r="AD22" s="102"/>
      <c r="AE22" s="102"/>
      <c r="AF22" s="102"/>
      <c r="AG22" s="102"/>
    </row>
    <row r="23" spans="1:33">
      <c r="A23" s="102">
        <v>1989</v>
      </c>
      <c r="B23" s="102">
        <v>17.100000000000001</v>
      </c>
      <c r="C23" s="102">
        <v>37.9</v>
      </c>
      <c r="D23" s="102">
        <v>64.2</v>
      </c>
      <c r="E23" s="102">
        <v>84.3</v>
      </c>
      <c r="F23" s="102">
        <v>92.1</v>
      </c>
      <c r="G23" s="102">
        <v>208.3</v>
      </c>
      <c r="H23" s="102">
        <v>189.2</v>
      </c>
      <c r="I23" s="102">
        <v>130.1</v>
      </c>
      <c r="J23" s="102">
        <v>183.9</v>
      </c>
      <c r="K23" s="102">
        <v>78.599999999999994</v>
      </c>
      <c r="L23" s="102">
        <v>23.1</v>
      </c>
      <c r="M23" s="102">
        <v>43.7</v>
      </c>
      <c r="N23" s="102">
        <f t="shared" si="1"/>
        <v>203.5</v>
      </c>
      <c r="O23" s="102">
        <f t="shared" si="2"/>
        <v>803.59999999999991</v>
      </c>
      <c r="P23" s="102">
        <f t="shared" si="3"/>
        <v>145.39999999999998</v>
      </c>
      <c r="Q23" s="102">
        <f t="shared" si="4"/>
        <v>1152.5</v>
      </c>
      <c r="R23" s="102"/>
      <c r="S23" s="102"/>
      <c r="T23" s="102"/>
      <c r="U23" s="102"/>
      <c r="V23" s="102"/>
      <c r="W23" s="102"/>
      <c r="X23" s="102"/>
      <c r="Y23" s="102"/>
      <c r="Z23" s="102"/>
      <c r="AA23" s="102"/>
      <c r="AB23" s="102"/>
      <c r="AC23" s="102"/>
      <c r="AD23" s="102"/>
      <c r="AE23" s="102"/>
      <c r="AF23" s="102"/>
      <c r="AG23" s="102"/>
    </row>
    <row r="24" spans="1:33">
      <c r="A24" s="102">
        <v>1990</v>
      </c>
      <c r="B24" s="102">
        <v>27</v>
      </c>
      <c r="C24" s="102">
        <v>15.3</v>
      </c>
      <c r="D24" s="102">
        <v>60.8</v>
      </c>
      <c r="E24" s="102">
        <v>104.6</v>
      </c>
      <c r="F24" s="102">
        <v>132</v>
      </c>
      <c r="G24" s="102">
        <v>80.2</v>
      </c>
      <c r="H24" s="102">
        <v>36.5</v>
      </c>
      <c r="I24" s="102">
        <v>62.7</v>
      </c>
      <c r="J24" s="102">
        <v>65</v>
      </c>
      <c r="K24" s="102">
        <v>106.5</v>
      </c>
      <c r="L24" s="102">
        <v>48.1</v>
      </c>
      <c r="M24" s="102">
        <v>12.9</v>
      </c>
      <c r="N24" s="102">
        <f t="shared" si="1"/>
        <v>207.7</v>
      </c>
      <c r="O24" s="102">
        <f t="shared" si="2"/>
        <v>376.4</v>
      </c>
      <c r="P24" s="102">
        <f t="shared" si="3"/>
        <v>167.5</v>
      </c>
      <c r="Q24" s="102">
        <f t="shared" si="4"/>
        <v>751.6</v>
      </c>
      <c r="R24" s="102"/>
      <c r="S24" s="102"/>
      <c r="T24" s="102"/>
      <c r="U24" s="102"/>
      <c r="V24" s="102"/>
      <c r="W24" s="102"/>
      <c r="X24" s="102"/>
      <c r="Y24" s="102"/>
      <c r="Z24" s="102"/>
      <c r="AA24" s="102"/>
      <c r="AB24" s="102"/>
      <c r="AC24" s="102"/>
      <c r="AD24" s="102"/>
      <c r="AE24" s="102"/>
      <c r="AF24" s="102"/>
      <c r="AG24" s="102"/>
    </row>
    <row r="25" spans="1:33">
      <c r="A25" s="102">
        <v>1991</v>
      </c>
      <c r="B25" s="102">
        <v>30.6</v>
      </c>
      <c r="C25" s="102">
        <v>18.2</v>
      </c>
      <c r="D25" s="102">
        <v>24.3</v>
      </c>
      <c r="E25" s="102">
        <v>48</v>
      </c>
      <c r="F25" s="102">
        <v>51.4</v>
      </c>
      <c r="G25" s="102">
        <v>158.19999999999999</v>
      </c>
      <c r="H25" s="102">
        <v>419.4</v>
      </c>
      <c r="I25" s="102">
        <v>79.5</v>
      </c>
      <c r="J25" s="102">
        <v>54</v>
      </c>
      <c r="K25" s="102">
        <v>78.900000000000006</v>
      </c>
      <c r="L25" s="102">
        <v>32.799999999999997</v>
      </c>
      <c r="M25" s="102">
        <v>32.1</v>
      </c>
      <c r="N25" s="102">
        <f t="shared" si="1"/>
        <v>121.1</v>
      </c>
      <c r="O25" s="102">
        <f t="shared" si="2"/>
        <v>762.5</v>
      </c>
      <c r="P25" s="102">
        <f t="shared" si="3"/>
        <v>143.80000000000001</v>
      </c>
      <c r="Q25" s="102">
        <f t="shared" si="4"/>
        <v>1027.3999999999999</v>
      </c>
      <c r="R25" s="102"/>
      <c r="S25" s="102"/>
      <c r="T25" s="102"/>
      <c r="U25" s="102"/>
      <c r="V25" s="102"/>
      <c r="W25" s="102"/>
      <c r="X25" s="102"/>
      <c r="Y25" s="102"/>
      <c r="Z25" s="102"/>
      <c r="AA25" s="102"/>
      <c r="AB25" s="102"/>
      <c r="AC25" s="102"/>
      <c r="AD25" s="102"/>
      <c r="AE25" s="102"/>
      <c r="AF25" s="102"/>
      <c r="AG25" s="102"/>
    </row>
    <row r="26" spans="1:33">
      <c r="A26" s="102">
        <v>1992</v>
      </c>
      <c r="B26" s="102">
        <v>16.399999999999999</v>
      </c>
      <c r="C26" s="102">
        <v>41.9</v>
      </c>
      <c r="D26" s="102">
        <v>34.6</v>
      </c>
      <c r="E26" s="102">
        <v>121.7</v>
      </c>
      <c r="F26" s="102">
        <v>258.5</v>
      </c>
      <c r="G26" s="102">
        <v>182.1</v>
      </c>
      <c r="H26" s="102">
        <v>127.3</v>
      </c>
      <c r="I26" s="102">
        <v>45</v>
      </c>
      <c r="J26" s="102">
        <v>34.5</v>
      </c>
      <c r="K26" s="102">
        <v>119.5</v>
      </c>
      <c r="L26" s="102">
        <v>20.7</v>
      </c>
      <c r="M26" s="102">
        <v>41.4</v>
      </c>
      <c r="N26" s="102">
        <f t="shared" si="1"/>
        <v>214.60000000000002</v>
      </c>
      <c r="O26" s="102">
        <f t="shared" si="2"/>
        <v>647.4</v>
      </c>
      <c r="P26" s="102">
        <f t="shared" si="3"/>
        <v>181.6</v>
      </c>
      <c r="Q26" s="102">
        <f t="shared" si="4"/>
        <v>1043.6000000000001</v>
      </c>
      <c r="R26" s="102"/>
      <c r="S26" s="102"/>
      <c r="T26" s="102"/>
      <c r="U26" s="102"/>
      <c r="V26" s="102"/>
      <c r="W26" s="102"/>
      <c r="X26" s="102"/>
      <c r="Y26" s="102"/>
      <c r="Z26" s="102"/>
      <c r="AA26" s="102"/>
      <c r="AB26" s="102"/>
      <c r="AC26" s="102"/>
      <c r="AD26" s="102"/>
      <c r="AE26" s="102"/>
      <c r="AF26" s="102"/>
      <c r="AG26" s="102"/>
    </row>
    <row r="27" spans="1:33">
      <c r="A27" s="102">
        <v>1993</v>
      </c>
      <c r="B27" s="102">
        <v>34.4</v>
      </c>
      <c r="C27" s="102">
        <v>43.2</v>
      </c>
      <c r="D27" s="102">
        <v>32</v>
      </c>
      <c r="E27" s="102">
        <v>60.7</v>
      </c>
      <c r="F27" s="102">
        <v>127.9</v>
      </c>
      <c r="G27" s="102">
        <v>83.4</v>
      </c>
      <c r="H27" s="102">
        <v>226.1</v>
      </c>
      <c r="I27" s="102">
        <v>118.4</v>
      </c>
      <c r="J27" s="102">
        <v>60.7</v>
      </c>
      <c r="K27" s="102">
        <v>100.7</v>
      </c>
      <c r="L27" s="102">
        <v>36.6</v>
      </c>
      <c r="M27" s="102">
        <v>7.6</v>
      </c>
      <c r="N27" s="102">
        <f t="shared" si="1"/>
        <v>170.3</v>
      </c>
      <c r="O27" s="102">
        <f t="shared" si="2"/>
        <v>616.5</v>
      </c>
      <c r="P27" s="102">
        <f t="shared" si="3"/>
        <v>144.9</v>
      </c>
      <c r="Q27" s="102">
        <f t="shared" si="4"/>
        <v>931.70000000000016</v>
      </c>
      <c r="R27" s="102"/>
      <c r="S27" s="102"/>
      <c r="T27" s="102"/>
      <c r="U27" s="102"/>
      <c r="V27" s="102"/>
      <c r="W27" s="102"/>
      <c r="X27" s="102"/>
      <c r="Y27" s="102"/>
      <c r="Z27" s="102"/>
      <c r="AA27" s="102"/>
      <c r="AB27" s="102"/>
      <c r="AC27" s="102"/>
      <c r="AD27" s="102"/>
      <c r="AE27" s="102"/>
      <c r="AF27" s="102"/>
      <c r="AG27" s="102"/>
    </row>
    <row r="28" spans="1:33">
      <c r="A28" s="102">
        <v>1994</v>
      </c>
      <c r="B28" s="102">
        <v>26.5</v>
      </c>
      <c r="C28" s="102">
        <v>16.600000000000001</v>
      </c>
      <c r="D28" s="102">
        <v>74.400000000000006</v>
      </c>
      <c r="E28" s="102">
        <v>52.4</v>
      </c>
      <c r="F28" s="102">
        <v>168.5</v>
      </c>
      <c r="G28" s="102">
        <v>201</v>
      </c>
      <c r="H28" s="102">
        <v>114.8</v>
      </c>
      <c r="I28" s="102">
        <v>88.8</v>
      </c>
      <c r="J28" s="102">
        <v>110.4</v>
      </c>
      <c r="K28" s="102">
        <v>178.5</v>
      </c>
      <c r="L28" s="102">
        <v>47.8</v>
      </c>
      <c r="M28" s="102">
        <v>30.3</v>
      </c>
      <c r="N28" s="102">
        <f t="shared" si="1"/>
        <v>169.9</v>
      </c>
      <c r="O28" s="102">
        <f t="shared" si="2"/>
        <v>683.5</v>
      </c>
      <c r="P28" s="102">
        <f t="shared" si="3"/>
        <v>256.60000000000002</v>
      </c>
      <c r="Q28" s="102">
        <f t="shared" si="4"/>
        <v>1109.9999999999998</v>
      </c>
      <c r="R28" s="102"/>
      <c r="S28" s="102"/>
      <c r="T28" s="102"/>
      <c r="U28" s="102"/>
      <c r="V28" s="102"/>
      <c r="W28" s="102"/>
      <c r="X28" s="102"/>
      <c r="Y28" s="102"/>
      <c r="Z28" s="102"/>
      <c r="AA28" s="102"/>
      <c r="AB28" s="102"/>
      <c r="AC28" s="102"/>
      <c r="AD28" s="102"/>
      <c r="AE28" s="102"/>
      <c r="AF28" s="102"/>
      <c r="AG28" s="102"/>
    </row>
    <row r="29" spans="1:33">
      <c r="A29" s="102">
        <v>1995</v>
      </c>
      <c r="B29" s="102">
        <v>34.299999999999997</v>
      </c>
      <c r="C29" s="102">
        <v>37.6</v>
      </c>
      <c r="D29" s="102">
        <v>61.2</v>
      </c>
      <c r="E29" s="102">
        <v>31.6</v>
      </c>
      <c r="F29" s="102">
        <v>146.4</v>
      </c>
      <c r="G29" s="102">
        <v>470.6</v>
      </c>
      <c r="H29" s="102">
        <v>61.7</v>
      </c>
      <c r="I29" s="102">
        <v>127.6</v>
      </c>
      <c r="J29" s="102">
        <v>105.9</v>
      </c>
      <c r="K29" s="102">
        <v>76.3</v>
      </c>
      <c r="L29" s="102">
        <v>43.1</v>
      </c>
      <c r="M29" s="102">
        <v>6.1</v>
      </c>
      <c r="N29" s="102">
        <f t="shared" si="1"/>
        <v>164.70000000000002</v>
      </c>
      <c r="O29" s="102">
        <f t="shared" si="2"/>
        <v>912.2</v>
      </c>
      <c r="P29" s="102">
        <f t="shared" si="3"/>
        <v>125.5</v>
      </c>
      <c r="Q29" s="102">
        <f t="shared" si="4"/>
        <v>1202.3999999999999</v>
      </c>
      <c r="R29" s="102"/>
      <c r="S29" s="102"/>
      <c r="T29" s="102"/>
      <c r="U29" s="102"/>
      <c r="V29" s="102"/>
      <c r="W29" s="102"/>
      <c r="X29" s="102"/>
      <c r="Y29" s="102"/>
      <c r="Z29" s="102"/>
      <c r="AA29" s="102"/>
      <c r="AB29" s="102"/>
      <c r="AC29" s="102"/>
      <c r="AD29" s="102"/>
      <c r="AE29" s="102"/>
      <c r="AF29" s="102"/>
      <c r="AG29" s="102"/>
    </row>
    <row r="30" spans="1:33">
      <c r="A30" s="102">
        <v>1996</v>
      </c>
      <c r="B30" s="102">
        <v>20.100000000000001</v>
      </c>
      <c r="C30" s="102">
        <v>1.8</v>
      </c>
      <c r="D30" s="102">
        <v>43.9</v>
      </c>
      <c r="E30" s="102">
        <v>61.7</v>
      </c>
      <c r="F30" s="102">
        <v>162.69999999999999</v>
      </c>
      <c r="G30" s="102">
        <v>248.1</v>
      </c>
      <c r="H30" s="102">
        <v>267.3</v>
      </c>
      <c r="I30" s="102">
        <v>109.6</v>
      </c>
      <c r="J30" s="102">
        <v>65.2</v>
      </c>
      <c r="K30" s="102">
        <v>37.799999999999997</v>
      </c>
      <c r="L30" s="102">
        <v>81.2</v>
      </c>
      <c r="M30" s="102">
        <v>8.8000000000000007</v>
      </c>
      <c r="N30" s="102">
        <f t="shared" si="1"/>
        <v>127.5</v>
      </c>
      <c r="O30" s="102">
        <f t="shared" si="2"/>
        <v>852.9</v>
      </c>
      <c r="P30" s="102">
        <f t="shared" si="3"/>
        <v>127.8</v>
      </c>
      <c r="Q30" s="102">
        <f t="shared" si="4"/>
        <v>1108.1999999999998</v>
      </c>
      <c r="R30" s="102"/>
      <c r="S30" s="102"/>
      <c r="T30" s="102"/>
      <c r="U30" s="102"/>
      <c r="V30" s="102"/>
      <c r="W30" s="102"/>
      <c r="X30" s="102"/>
      <c r="Y30" s="102"/>
      <c r="Z30" s="102"/>
      <c r="AA30" s="102"/>
      <c r="AB30" s="102"/>
      <c r="AC30" s="102"/>
      <c r="AD30" s="102"/>
      <c r="AE30" s="102"/>
      <c r="AF30" s="102"/>
      <c r="AG30" s="102"/>
    </row>
    <row r="31" spans="1:33">
      <c r="A31" s="102">
        <v>1997</v>
      </c>
      <c r="B31" s="102">
        <v>44.2</v>
      </c>
      <c r="C31" s="102">
        <v>32.1</v>
      </c>
      <c r="D31" s="102">
        <v>20.2</v>
      </c>
      <c r="E31" s="102">
        <v>120.3</v>
      </c>
      <c r="F31" s="102">
        <v>188.4</v>
      </c>
      <c r="G31" s="102">
        <v>213.3</v>
      </c>
      <c r="H31" s="102">
        <v>208.3</v>
      </c>
      <c r="I31" s="102">
        <v>42.6</v>
      </c>
      <c r="J31" s="102">
        <v>106</v>
      </c>
      <c r="K31" s="102">
        <v>74.400000000000006</v>
      </c>
      <c r="L31" s="102">
        <v>7.7</v>
      </c>
      <c r="M31" s="102">
        <v>24.9</v>
      </c>
      <c r="N31" s="102">
        <f t="shared" si="1"/>
        <v>216.8</v>
      </c>
      <c r="O31" s="102">
        <f t="shared" si="2"/>
        <v>758.6</v>
      </c>
      <c r="P31" s="102">
        <f t="shared" si="3"/>
        <v>107</v>
      </c>
      <c r="Q31" s="102">
        <f t="shared" si="4"/>
        <v>1082.4000000000001</v>
      </c>
      <c r="R31" s="102"/>
      <c r="S31" s="102"/>
      <c r="T31" s="102"/>
      <c r="U31" s="102"/>
      <c r="V31" s="102"/>
      <c r="W31" s="102"/>
      <c r="X31" s="102"/>
      <c r="Y31" s="102"/>
      <c r="Z31" s="102"/>
      <c r="AA31" s="102"/>
      <c r="AB31" s="102"/>
      <c r="AC31" s="102"/>
      <c r="AD31" s="102"/>
      <c r="AE31" s="102"/>
      <c r="AF31" s="102"/>
      <c r="AG31" s="102"/>
    </row>
    <row r="32" spans="1:33">
      <c r="A32" s="102">
        <v>1998</v>
      </c>
      <c r="B32" s="102">
        <v>17.2</v>
      </c>
      <c r="C32" s="102">
        <v>15.6</v>
      </c>
      <c r="D32" s="102">
        <v>17.600000000000001</v>
      </c>
      <c r="E32" s="102">
        <v>80.5</v>
      </c>
      <c r="F32" s="102">
        <v>141</v>
      </c>
      <c r="G32" s="102">
        <v>195.3</v>
      </c>
      <c r="H32" s="102">
        <v>120.3</v>
      </c>
      <c r="I32" s="102">
        <v>149.80000000000001</v>
      </c>
      <c r="J32" s="102">
        <v>45.7</v>
      </c>
      <c r="K32" s="102">
        <v>159.80000000000001</v>
      </c>
      <c r="L32" s="102">
        <v>36.1</v>
      </c>
      <c r="M32" s="102">
        <v>25.2</v>
      </c>
      <c r="N32" s="102">
        <f t="shared" si="1"/>
        <v>130.9</v>
      </c>
      <c r="O32" s="102">
        <f t="shared" si="2"/>
        <v>652.10000000000014</v>
      </c>
      <c r="P32" s="102">
        <f t="shared" si="3"/>
        <v>221.1</v>
      </c>
      <c r="Q32" s="102">
        <f t="shared" si="4"/>
        <v>1004.1</v>
      </c>
      <c r="R32" s="102"/>
      <c r="S32" s="102"/>
      <c r="T32" s="102"/>
      <c r="U32" s="102"/>
      <c r="V32" s="102"/>
      <c r="W32" s="102"/>
      <c r="X32" s="102"/>
      <c r="Y32" s="102"/>
      <c r="Z32" s="102"/>
      <c r="AA32" s="102"/>
      <c r="AB32" s="102"/>
      <c r="AC32" s="102"/>
      <c r="AD32" s="102"/>
      <c r="AE32" s="102"/>
      <c r="AF32" s="102"/>
      <c r="AG32" s="102"/>
    </row>
    <row r="33" spans="1:33">
      <c r="A33" s="102">
        <v>1999</v>
      </c>
      <c r="B33" s="102">
        <v>43.9</v>
      </c>
      <c r="C33" s="102">
        <v>12.6</v>
      </c>
      <c r="D33" s="102">
        <v>15.3</v>
      </c>
      <c r="E33" s="102">
        <v>84.2</v>
      </c>
      <c r="F33" s="102">
        <v>178.1</v>
      </c>
      <c r="G33" s="102">
        <v>168.1</v>
      </c>
      <c r="H33" s="102">
        <v>227.9</v>
      </c>
      <c r="I33" s="102">
        <v>225.6</v>
      </c>
      <c r="J33" s="102">
        <v>114.4</v>
      </c>
      <c r="K33" s="102">
        <v>82.5</v>
      </c>
      <c r="L33" s="102">
        <v>39.9</v>
      </c>
      <c r="M33" s="102">
        <v>9.8000000000000007</v>
      </c>
      <c r="N33" s="102">
        <f t="shared" si="1"/>
        <v>156</v>
      </c>
      <c r="O33" s="102">
        <f t="shared" si="2"/>
        <v>914.1</v>
      </c>
      <c r="P33" s="102">
        <f t="shared" si="3"/>
        <v>132.20000000000002</v>
      </c>
      <c r="Q33" s="102">
        <f t="shared" si="4"/>
        <v>1202.3000000000002</v>
      </c>
      <c r="R33" s="102"/>
      <c r="S33" s="102"/>
      <c r="T33" s="102"/>
      <c r="U33" s="102"/>
      <c r="V33" s="102"/>
      <c r="W33" s="102"/>
      <c r="X33" s="102"/>
      <c r="Y33" s="102"/>
      <c r="Z33" s="102"/>
      <c r="AA33" s="102"/>
      <c r="AB33" s="102"/>
      <c r="AC33" s="102"/>
      <c r="AD33" s="102"/>
      <c r="AE33" s="102"/>
      <c r="AF33" s="102"/>
      <c r="AG33" s="102"/>
    </row>
    <row r="34" spans="1:33">
      <c r="A34" s="102">
        <v>2000</v>
      </c>
      <c r="B34" s="102">
        <v>33.200000000000003</v>
      </c>
      <c r="C34" s="102">
        <v>17.100000000000001</v>
      </c>
      <c r="D34" s="102">
        <v>33.9</v>
      </c>
      <c r="E34" s="102">
        <v>125.5</v>
      </c>
      <c r="F34" s="102">
        <v>61</v>
      </c>
      <c r="G34" s="102">
        <v>294</v>
      </c>
      <c r="H34" s="102">
        <v>140.9</v>
      </c>
      <c r="I34" s="102">
        <v>172.3</v>
      </c>
      <c r="J34" s="102">
        <v>118.9</v>
      </c>
      <c r="K34" s="102">
        <v>115.5</v>
      </c>
      <c r="L34" s="102">
        <v>33.799999999999997</v>
      </c>
      <c r="M34" s="102">
        <v>26.3</v>
      </c>
      <c r="N34" s="102">
        <f t="shared" si="1"/>
        <v>209.7</v>
      </c>
      <c r="O34" s="102">
        <f t="shared" si="2"/>
        <v>787.1</v>
      </c>
      <c r="P34" s="102">
        <f t="shared" si="3"/>
        <v>175.60000000000002</v>
      </c>
      <c r="Q34" s="102">
        <f t="shared" si="4"/>
        <v>1172.4000000000001</v>
      </c>
      <c r="R34" s="102"/>
      <c r="S34" s="102"/>
      <c r="T34" s="102"/>
      <c r="U34" s="102"/>
      <c r="V34" s="102"/>
      <c r="W34" s="102"/>
      <c r="X34" s="102"/>
      <c r="Y34" s="102"/>
      <c r="Z34" s="102"/>
      <c r="AA34" s="102"/>
      <c r="AB34" s="102"/>
      <c r="AC34" s="102"/>
      <c r="AD34" s="102"/>
      <c r="AE34" s="102"/>
      <c r="AF34" s="102"/>
      <c r="AG34" s="102"/>
    </row>
    <row r="35" spans="1:33">
      <c r="A35" s="102">
        <v>2001</v>
      </c>
      <c r="B35" s="102">
        <v>25.2</v>
      </c>
      <c r="C35" s="102">
        <v>20.3</v>
      </c>
      <c r="D35" s="102">
        <v>38.799999999999997</v>
      </c>
      <c r="E35" s="102">
        <v>118.1</v>
      </c>
      <c r="F35" s="102">
        <v>125.8</v>
      </c>
      <c r="G35" s="102">
        <v>187.9</v>
      </c>
      <c r="H35" s="102">
        <v>98.4</v>
      </c>
      <c r="I35" s="102">
        <v>21.3</v>
      </c>
      <c r="J35" s="102">
        <v>76.8</v>
      </c>
      <c r="K35" s="102">
        <v>165.7</v>
      </c>
      <c r="L35" s="102">
        <v>18.5</v>
      </c>
      <c r="M35" s="102">
        <v>19.100000000000001</v>
      </c>
      <c r="N35" s="102">
        <f t="shared" si="1"/>
        <v>202.39999999999998</v>
      </c>
      <c r="O35" s="102">
        <f t="shared" si="2"/>
        <v>510.20000000000005</v>
      </c>
      <c r="P35" s="102">
        <f t="shared" si="3"/>
        <v>203.29999999999998</v>
      </c>
      <c r="Q35" s="102">
        <f t="shared" si="4"/>
        <v>915.9</v>
      </c>
      <c r="R35" s="102"/>
      <c r="S35" s="102"/>
      <c r="T35" s="102"/>
      <c r="U35" s="102"/>
      <c r="V35" s="102"/>
      <c r="W35" s="102"/>
      <c r="X35" s="102"/>
      <c r="Y35" s="102"/>
      <c r="Z35" s="102"/>
      <c r="AA35" s="102"/>
      <c r="AB35" s="102"/>
      <c r="AC35" s="102"/>
      <c r="AD35" s="102"/>
      <c r="AE35" s="102"/>
      <c r="AF35" s="102"/>
      <c r="AG35" s="102"/>
    </row>
    <row r="36" spans="1:33">
      <c r="A36" s="102">
        <v>2002</v>
      </c>
      <c r="B36" s="102">
        <v>16.600000000000001</v>
      </c>
      <c r="C36" s="102">
        <v>28.8</v>
      </c>
      <c r="D36" s="102">
        <v>32.1</v>
      </c>
      <c r="E36" s="102">
        <v>73</v>
      </c>
      <c r="F36" s="102">
        <v>208.4</v>
      </c>
      <c r="G36" s="102">
        <v>285.39999999999998</v>
      </c>
      <c r="H36" s="102">
        <v>176.4</v>
      </c>
      <c r="I36" s="102">
        <v>215.2</v>
      </c>
      <c r="J36" s="102">
        <v>50.5</v>
      </c>
      <c r="K36" s="102">
        <v>102.8</v>
      </c>
      <c r="L36" s="102">
        <v>17.7</v>
      </c>
      <c r="M36" s="102">
        <v>26.7</v>
      </c>
      <c r="N36" s="102">
        <f t="shared" si="1"/>
        <v>150.5</v>
      </c>
      <c r="O36" s="102">
        <f t="shared" si="2"/>
        <v>935.89999999999986</v>
      </c>
      <c r="P36" s="102">
        <f t="shared" si="3"/>
        <v>147.19999999999999</v>
      </c>
      <c r="Q36" s="102">
        <f t="shared" si="4"/>
        <v>1233.5999999999999</v>
      </c>
      <c r="R36" s="102"/>
      <c r="S36" s="102"/>
      <c r="T36" s="102"/>
      <c r="U36" s="102"/>
      <c r="V36" s="102"/>
      <c r="W36" s="102"/>
      <c r="X36" s="102"/>
      <c r="Y36" s="102"/>
      <c r="Z36" s="102"/>
      <c r="AA36" s="102"/>
      <c r="AB36" s="102"/>
      <c r="AC36" s="102"/>
      <c r="AD36" s="102"/>
      <c r="AE36" s="102"/>
      <c r="AF36" s="102"/>
      <c r="AG36" s="102"/>
    </row>
    <row r="37" spans="1:33">
      <c r="A37" s="102">
        <v>2003</v>
      </c>
      <c r="B37" s="102">
        <v>20.9</v>
      </c>
      <c r="C37" s="102">
        <v>6</v>
      </c>
      <c r="D37" s="102">
        <v>21.1</v>
      </c>
      <c r="E37" s="102">
        <v>76.5</v>
      </c>
      <c r="F37" s="102">
        <v>142.19999999999999</v>
      </c>
      <c r="G37" s="102">
        <v>186.9</v>
      </c>
      <c r="H37" s="102">
        <v>201.2</v>
      </c>
      <c r="I37" s="102">
        <v>51.6</v>
      </c>
      <c r="J37" s="102">
        <v>104</v>
      </c>
      <c r="K37" s="102">
        <v>35.6</v>
      </c>
      <c r="L37" s="102">
        <v>31.2</v>
      </c>
      <c r="M37" s="102">
        <v>60.8</v>
      </c>
      <c r="N37" s="102">
        <f t="shared" si="1"/>
        <v>124.5</v>
      </c>
      <c r="O37" s="102">
        <f t="shared" si="2"/>
        <v>685.9</v>
      </c>
      <c r="P37" s="102">
        <f t="shared" si="3"/>
        <v>127.6</v>
      </c>
      <c r="Q37" s="102">
        <f t="shared" si="4"/>
        <v>938</v>
      </c>
      <c r="R37" s="102"/>
      <c r="S37" s="102"/>
      <c r="T37" s="102"/>
      <c r="U37" s="102"/>
      <c r="V37" s="102"/>
      <c r="W37" s="102"/>
      <c r="X37" s="102"/>
      <c r="Y37" s="102"/>
      <c r="Z37" s="102"/>
      <c r="AA37" s="102"/>
      <c r="AB37" s="102"/>
      <c r="AC37" s="102"/>
      <c r="AD37" s="102"/>
      <c r="AE37" s="102"/>
      <c r="AF37" s="102"/>
      <c r="AG37" s="102"/>
    </row>
    <row r="38" spans="1:33">
      <c r="A38" s="102">
        <v>2004</v>
      </c>
      <c r="B38" s="103">
        <v>43.3</v>
      </c>
      <c r="C38" s="103">
        <v>36.700000000000003</v>
      </c>
      <c r="D38" s="103">
        <v>29.3</v>
      </c>
      <c r="E38" s="103">
        <v>86.7</v>
      </c>
      <c r="F38" s="103">
        <v>138</v>
      </c>
      <c r="G38" s="103">
        <v>126</v>
      </c>
      <c r="H38" s="103">
        <v>281.7</v>
      </c>
      <c r="I38" s="103">
        <v>132.1</v>
      </c>
      <c r="J38" s="103">
        <v>103.1</v>
      </c>
      <c r="K38" s="103">
        <v>49.7</v>
      </c>
      <c r="L38" s="103">
        <v>55.7</v>
      </c>
      <c r="M38" s="103">
        <v>12.3</v>
      </c>
      <c r="N38" s="102">
        <f t="shared" si="1"/>
        <v>196</v>
      </c>
      <c r="O38" s="102">
        <f t="shared" si="2"/>
        <v>780.90000000000009</v>
      </c>
      <c r="P38" s="102">
        <f t="shared" si="3"/>
        <v>117.7</v>
      </c>
      <c r="Q38" s="102">
        <f t="shared" si="4"/>
        <v>1094.6000000000001</v>
      </c>
      <c r="R38" s="102"/>
      <c r="S38" s="102"/>
      <c r="T38" s="102"/>
      <c r="U38" s="102"/>
      <c r="V38" s="102"/>
      <c r="W38" s="102"/>
      <c r="X38" s="102"/>
      <c r="Y38" s="102"/>
      <c r="Z38" s="102"/>
      <c r="AA38" s="102"/>
      <c r="AB38" s="102"/>
      <c r="AC38" s="102"/>
      <c r="AD38" s="102"/>
      <c r="AE38" s="102"/>
      <c r="AF38" s="102"/>
      <c r="AG38" s="102"/>
    </row>
    <row r="39" spans="1:33">
      <c r="A39" s="102">
        <v>2005</v>
      </c>
      <c r="B39" s="102">
        <v>32</v>
      </c>
      <c r="C39" s="102">
        <v>13.1</v>
      </c>
      <c r="D39" s="102">
        <v>34.1</v>
      </c>
      <c r="E39" s="102">
        <v>79.7</v>
      </c>
      <c r="F39" s="102">
        <v>270</v>
      </c>
      <c r="G39" s="102">
        <v>65.900000000000006</v>
      </c>
      <c r="H39" s="102">
        <v>122.7</v>
      </c>
      <c r="I39" s="102">
        <v>106.9</v>
      </c>
      <c r="J39" s="102">
        <v>92.3</v>
      </c>
      <c r="K39" s="103">
        <v>172.6</v>
      </c>
      <c r="L39" s="103">
        <v>28.1</v>
      </c>
      <c r="M39" s="103">
        <v>19.5</v>
      </c>
      <c r="N39" s="102">
        <f t="shared" si="1"/>
        <v>158.9</v>
      </c>
      <c r="O39" s="102">
        <f t="shared" si="2"/>
        <v>657.8</v>
      </c>
      <c r="P39" s="102">
        <f t="shared" si="3"/>
        <v>220.2</v>
      </c>
      <c r="Q39" s="102">
        <f t="shared" si="4"/>
        <v>1036.9000000000001</v>
      </c>
      <c r="R39" s="102"/>
      <c r="S39" s="102"/>
      <c r="T39" s="102"/>
      <c r="U39" s="102"/>
      <c r="V39" s="102"/>
      <c r="W39" s="102"/>
      <c r="X39" s="102"/>
      <c r="Y39" s="102"/>
      <c r="Z39" s="102"/>
      <c r="AA39" s="102"/>
      <c r="AB39" s="102"/>
      <c r="AC39" s="102"/>
      <c r="AD39" s="102"/>
      <c r="AE39" s="102"/>
      <c r="AF39" s="102"/>
      <c r="AG39" s="102"/>
    </row>
    <row r="40" spans="1:33">
      <c r="A40" s="102">
        <v>2006</v>
      </c>
      <c r="B40" s="102">
        <v>12</v>
      </c>
      <c r="C40" s="102">
        <v>49.7</v>
      </c>
      <c r="D40" s="102">
        <v>33.1</v>
      </c>
      <c r="E40" s="102">
        <v>39.1</v>
      </c>
      <c r="F40" s="102">
        <v>101.5</v>
      </c>
      <c r="G40" s="102">
        <v>113</v>
      </c>
      <c r="H40" s="102">
        <v>38.4</v>
      </c>
      <c r="I40" s="102">
        <v>27.7</v>
      </c>
      <c r="J40" s="102">
        <v>77.2</v>
      </c>
      <c r="K40" s="102">
        <v>114.8</v>
      </c>
      <c r="L40" s="102">
        <v>63.9</v>
      </c>
      <c r="M40" s="102">
        <v>29.1</v>
      </c>
      <c r="N40" s="102">
        <f t="shared" si="1"/>
        <v>133.9</v>
      </c>
      <c r="O40" s="102">
        <f t="shared" si="2"/>
        <v>357.8</v>
      </c>
      <c r="P40" s="102">
        <f t="shared" si="3"/>
        <v>207.79999999999998</v>
      </c>
      <c r="Q40" s="102">
        <f t="shared" si="4"/>
        <v>699.49999999999989</v>
      </c>
      <c r="R40" s="102"/>
      <c r="S40" s="102"/>
      <c r="T40" s="102"/>
      <c r="U40" s="102"/>
      <c r="V40" s="102"/>
      <c r="W40" s="102"/>
      <c r="X40" s="102"/>
      <c r="Y40" s="102"/>
      <c r="Z40" s="102"/>
      <c r="AA40" s="102"/>
      <c r="AB40" s="102"/>
      <c r="AC40" s="102"/>
      <c r="AD40" s="102"/>
      <c r="AE40" s="102"/>
      <c r="AF40" s="102"/>
      <c r="AG40" s="102"/>
    </row>
    <row r="41" spans="1:33">
      <c r="A41" s="102">
        <v>2007</v>
      </c>
      <c r="B41" s="102">
        <v>26.7</v>
      </c>
      <c r="C41" s="102">
        <v>17.3</v>
      </c>
      <c r="D41" s="102">
        <v>31</v>
      </c>
      <c r="E41" s="102">
        <v>125.3</v>
      </c>
      <c r="F41" s="102">
        <v>135.1</v>
      </c>
      <c r="G41" s="102">
        <v>172.4</v>
      </c>
      <c r="H41" s="102">
        <v>140.1</v>
      </c>
      <c r="I41" s="102">
        <v>224.2</v>
      </c>
      <c r="J41" s="102">
        <v>105.2</v>
      </c>
      <c r="K41" s="102">
        <v>77.8</v>
      </c>
      <c r="L41" s="102">
        <v>9.6</v>
      </c>
      <c r="M41" s="102">
        <v>18.3</v>
      </c>
      <c r="N41" s="102">
        <f t="shared" si="1"/>
        <v>200.3</v>
      </c>
      <c r="O41" s="102">
        <f t="shared" si="2"/>
        <v>777</v>
      </c>
      <c r="P41" s="102">
        <f t="shared" si="3"/>
        <v>105.69999999999999</v>
      </c>
      <c r="Q41" s="102">
        <f t="shared" si="4"/>
        <v>1082.9999999999998</v>
      </c>
      <c r="R41" s="102"/>
      <c r="S41" s="102"/>
      <c r="T41" s="102"/>
      <c r="U41" s="102"/>
      <c r="V41" s="102"/>
      <c r="W41" s="102"/>
      <c r="X41" s="102"/>
      <c r="Y41" s="102"/>
      <c r="Z41" s="102"/>
      <c r="AA41" s="102"/>
      <c r="AB41" s="102"/>
      <c r="AC41" s="102"/>
      <c r="AD41" s="102"/>
      <c r="AE41" s="102"/>
      <c r="AF41" s="102"/>
      <c r="AG41" s="102"/>
    </row>
    <row r="42" spans="1:33">
      <c r="A42" s="102">
        <v>2008</v>
      </c>
      <c r="B42" s="102">
        <v>13.1</v>
      </c>
      <c r="C42" s="102">
        <v>17.899999999999999</v>
      </c>
      <c r="D42" s="102">
        <v>57.7</v>
      </c>
      <c r="E42" s="102">
        <v>52.8</v>
      </c>
      <c r="F42" s="102">
        <v>102.7</v>
      </c>
      <c r="G42" s="102">
        <v>97.2</v>
      </c>
      <c r="H42" s="102">
        <v>266</v>
      </c>
      <c r="I42" s="102">
        <v>165.1</v>
      </c>
      <c r="J42" s="102">
        <v>77.099999999999994</v>
      </c>
      <c r="K42" s="102">
        <v>157.80000000000001</v>
      </c>
      <c r="L42" s="102">
        <v>91.2</v>
      </c>
      <c r="M42" s="102">
        <v>19.600000000000001</v>
      </c>
      <c r="N42" s="102">
        <f t="shared" si="1"/>
        <v>141.5</v>
      </c>
      <c r="O42" s="102">
        <f t="shared" si="2"/>
        <v>708.1</v>
      </c>
      <c r="P42" s="102">
        <f t="shared" si="3"/>
        <v>268.60000000000002</v>
      </c>
      <c r="Q42" s="102">
        <f t="shared" si="4"/>
        <v>1118.2</v>
      </c>
      <c r="R42" s="102"/>
      <c r="S42" s="102"/>
      <c r="T42" s="102"/>
      <c r="U42" s="102"/>
      <c r="V42" s="102"/>
      <c r="W42" s="102"/>
      <c r="X42" s="102"/>
      <c r="Y42" s="102"/>
      <c r="Z42" s="102"/>
      <c r="AA42" s="102"/>
      <c r="AB42" s="102"/>
      <c r="AC42" s="102"/>
      <c r="AD42" s="102"/>
      <c r="AE42" s="102"/>
      <c r="AF42" s="102"/>
      <c r="AG42" s="102"/>
    </row>
    <row r="43" spans="1:33">
      <c r="A43" s="102">
        <v>2009</v>
      </c>
      <c r="B43" s="102">
        <v>22.9</v>
      </c>
      <c r="C43" s="102">
        <v>24.8</v>
      </c>
      <c r="D43" s="102">
        <v>37.6</v>
      </c>
      <c r="E43" s="102">
        <v>92.7</v>
      </c>
      <c r="F43" s="102">
        <v>125.1</v>
      </c>
      <c r="G43" s="102">
        <v>164.6</v>
      </c>
      <c r="H43" s="102">
        <v>51.8</v>
      </c>
      <c r="I43" s="102">
        <v>208.3</v>
      </c>
      <c r="J43" s="102">
        <v>34.4</v>
      </c>
      <c r="K43" s="102">
        <v>54.1</v>
      </c>
      <c r="L43" s="102">
        <v>16.5</v>
      </c>
      <c r="M43" s="102">
        <v>27.4</v>
      </c>
      <c r="N43" s="102">
        <f t="shared" si="1"/>
        <v>178</v>
      </c>
      <c r="O43" s="102">
        <f t="shared" si="2"/>
        <v>584.19999999999993</v>
      </c>
      <c r="P43" s="102">
        <f t="shared" si="3"/>
        <v>98</v>
      </c>
      <c r="Q43" s="102">
        <f t="shared" si="4"/>
        <v>860.19999999999993</v>
      </c>
      <c r="R43" s="102"/>
      <c r="S43" s="102"/>
      <c r="T43" s="102"/>
      <c r="U43" s="102"/>
      <c r="V43" s="102"/>
      <c r="W43" s="102"/>
      <c r="X43" s="102"/>
      <c r="Y43" s="102"/>
      <c r="Z43" s="102"/>
      <c r="AA43" s="102"/>
      <c r="AB43" s="102"/>
      <c r="AC43" s="102"/>
      <c r="AD43" s="102"/>
      <c r="AE43" s="102"/>
      <c r="AF43" s="102"/>
      <c r="AG43" s="102"/>
    </row>
    <row r="44" spans="1:33">
      <c r="A44" s="102">
        <v>2010</v>
      </c>
      <c r="B44" s="102">
        <v>11.2</v>
      </c>
      <c r="C44" s="102">
        <v>5.0999999999999996</v>
      </c>
      <c r="D44" s="102">
        <v>44.4</v>
      </c>
      <c r="E44" s="102">
        <v>59</v>
      </c>
      <c r="F44" s="102">
        <v>104</v>
      </c>
      <c r="G44" s="102">
        <v>217.1</v>
      </c>
      <c r="H44" s="102">
        <v>205.7</v>
      </c>
      <c r="I44" s="102">
        <v>34.4</v>
      </c>
      <c r="J44" s="102">
        <v>164.2</v>
      </c>
      <c r="K44" s="102">
        <v>120.3</v>
      </c>
      <c r="L44" s="102">
        <v>39</v>
      </c>
      <c r="M44" s="102">
        <v>20.9</v>
      </c>
      <c r="N44" s="102">
        <f t="shared" si="1"/>
        <v>119.69999999999999</v>
      </c>
      <c r="O44" s="102">
        <f t="shared" si="2"/>
        <v>725.39999999999986</v>
      </c>
      <c r="P44" s="102">
        <f t="shared" si="3"/>
        <v>180.20000000000002</v>
      </c>
      <c r="Q44" s="102">
        <f t="shared" si="4"/>
        <v>1025.3</v>
      </c>
      <c r="R44" s="102"/>
      <c r="S44" s="102"/>
      <c r="T44" s="102"/>
      <c r="U44" s="102"/>
      <c r="V44" s="102"/>
      <c r="W44" s="102"/>
      <c r="X44" s="102"/>
      <c r="Y44" s="102"/>
      <c r="Z44" s="102"/>
      <c r="AA44" s="102"/>
      <c r="AB44" s="102"/>
      <c r="AC44" s="102"/>
      <c r="AD44" s="102"/>
      <c r="AE44" s="102"/>
      <c r="AF44" s="102"/>
      <c r="AG44" s="102"/>
    </row>
    <row r="45" spans="1:33">
      <c r="A45" s="102">
        <v>2011</v>
      </c>
      <c r="B45" s="102">
        <v>16.7</v>
      </c>
      <c r="C45" s="102">
        <v>3.9</v>
      </c>
      <c r="D45" s="102">
        <v>33.299999999999997</v>
      </c>
      <c r="E45" s="102">
        <v>25.5</v>
      </c>
      <c r="F45" s="102">
        <v>83.5</v>
      </c>
      <c r="G45" s="102">
        <v>222.8</v>
      </c>
      <c r="H45" s="102">
        <v>38.9</v>
      </c>
      <c r="I45" s="102">
        <v>56.4</v>
      </c>
      <c r="J45" s="102">
        <v>61.9</v>
      </c>
      <c r="K45" s="102">
        <v>142.80000000000001</v>
      </c>
      <c r="L45" s="102">
        <v>35.200000000000003</v>
      </c>
      <c r="M45" s="102">
        <v>21.3</v>
      </c>
      <c r="N45" s="102">
        <f t="shared" si="1"/>
        <v>79.399999999999991</v>
      </c>
      <c r="O45" s="102">
        <f t="shared" si="2"/>
        <v>463.49999999999994</v>
      </c>
      <c r="P45" s="102">
        <f t="shared" si="3"/>
        <v>199.3</v>
      </c>
      <c r="Q45" s="102">
        <f t="shared" si="4"/>
        <v>742.2</v>
      </c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4"/>
      <c r="AE45" s="104"/>
      <c r="AF45" s="104"/>
      <c r="AG45" s="104"/>
    </row>
    <row r="46" spans="1:33">
      <c r="A46" s="102">
        <v>2012</v>
      </c>
      <c r="B46" s="102">
        <v>24.6</v>
      </c>
      <c r="C46" s="102">
        <v>23.4</v>
      </c>
      <c r="D46" s="102">
        <v>35.5</v>
      </c>
      <c r="E46" s="102">
        <v>94.6</v>
      </c>
      <c r="F46" s="102">
        <v>126.6</v>
      </c>
      <c r="G46" s="102">
        <v>173.4</v>
      </c>
      <c r="H46" s="102">
        <v>198.1</v>
      </c>
      <c r="I46" s="102">
        <v>84.6</v>
      </c>
      <c r="J46" s="102">
        <v>74.099999999999994</v>
      </c>
      <c r="K46" s="102">
        <v>44.4</v>
      </c>
      <c r="L46" s="102">
        <v>32.200000000000003</v>
      </c>
      <c r="M46" s="102">
        <v>14.9</v>
      </c>
      <c r="N46" s="102">
        <f t="shared" si="1"/>
        <v>178.1</v>
      </c>
      <c r="O46" s="102">
        <f t="shared" si="2"/>
        <v>656.80000000000007</v>
      </c>
      <c r="P46" s="102">
        <f t="shared" si="3"/>
        <v>91.5</v>
      </c>
      <c r="Q46" s="102">
        <f t="shared" si="4"/>
        <v>926.40000000000009</v>
      </c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</row>
    <row r="47" spans="1:33">
      <c r="A47" s="102">
        <v>2013</v>
      </c>
      <c r="B47" s="102">
        <v>7.2</v>
      </c>
      <c r="C47" s="102">
        <v>13.6</v>
      </c>
      <c r="D47" s="102">
        <v>56.6</v>
      </c>
      <c r="E47" s="102">
        <v>67.400000000000006</v>
      </c>
      <c r="F47" s="102">
        <v>127.3</v>
      </c>
      <c r="G47" s="102">
        <v>163.80000000000001</v>
      </c>
      <c r="H47" s="102">
        <v>1.1000000000000001</v>
      </c>
      <c r="I47" s="102">
        <v>53.7</v>
      </c>
      <c r="J47" s="102">
        <v>107.8</v>
      </c>
      <c r="K47" s="102">
        <v>132.19999999999999</v>
      </c>
      <c r="L47" s="102">
        <v>17.8</v>
      </c>
      <c r="M47" s="102">
        <v>23.2</v>
      </c>
      <c r="N47" s="102">
        <f t="shared" si="1"/>
        <v>144.80000000000001</v>
      </c>
      <c r="O47" s="102">
        <f t="shared" si="2"/>
        <v>453.70000000000005</v>
      </c>
      <c r="P47" s="102">
        <f t="shared" si="3"/>
        <v>173.2</v>
      </c>
      <c r="Q47" s="102">
        <f t="shared" si="4"/>
        <v>771.7</v>
      </c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  <c r="AD47" s="104"/>
      <c r="AE47" s="104"/>
      <c r="AF47" s="104"/>
      <c r="AG47" s="104"/>
    </row>
    <row r="48" spans="1:33">
      <c r="A48" s="102">
        <v>2014</v>
      </c>
      <c r="B48" s="120">
        <v>13</v>
      </c>
      <c r="C48" s="120">
        <v>31.2</v>
      </c>
      <c r="D48" s="120">
        <v>72.599999999999994</v>
      </c>
      <c r="E48" s="120">
        <v>75.8</v>
      </c>
      <c r="F48" s="120">
        <v>177.7</v>
      </c>
      <c r="G48" s="120">
        <v>158.1</v>
      </c>
      <c r="H48" s="120">
        <v>235.6</v>
      </c>
      <c r="I48" s="120">
        <v>67.8</v>
      </c>
      <c r="J48" s="120">
        <v>51.4</v>
      </c>
      <c r="K48" s="120">
        <v>65.5</v>
      </c>
      <c r="L48" s="120">
        <v>41</v>
      </c>
      <c r="M48" s="120">
        <v>15.8</v>
      </c>
      <c r="N48" s="102">
        <f t="shared" si="1"/>
        <v>192.6</v>
      </c>
      <c r="O48" s="102">
        <f t="shared" si="2"/>
        <v>690.59999999999991</v>
      </c>
      <c r="P48" s="102">
        <f t="shared" si="3"/>
        <v>122.3</v>
      </c>
      <c r="Q48" s="102">
        <f t="shared" si="4"/>
        <v>1005.4999999999999</v>
      </c>
      <c r="R48" s="102"/>
      <c r="S48" s="102"/>
      <c r="T48" s="102"/>
      <c r="U48" s="102"/>
      <c r="V48" s="102"/>
      <c r="W48" s="102"/>
      <c r="X48" s="102"/>
      <c r="Y48" s="102"/>
      <c r="Z48" s="102"/>
      <c r="AA48" s="102"/>
      <c r="AB48" s="102"/>
      <c r="AC48" s="102"/>
      <c r="AD48" s="102"/>
      <c r="AE48" s="102"/>
      <c r="AF48" s="102"/>
      <c r="AG48" s="102"/>
    </row>
    <row r="49" spans="1:37">
      <c r="A49" s="102">
        <v>2015</v>
      </c>
      <c r="B49" s="120">
        <v>23.3</v>
      </c>
      <c r="C49" s="120">
        <v>28.7</v>
      </c>
      <c r="D49" s="120">
        <v>34.200000000000003</v>
      </c>
      <c r="E49" s="120">
        <v>36.6</v>
      </c>
      <c r="F49" s="120">
        <v>122.8</v>
      </c>
      <c r="G49" s="120">
        <v>172.7</v>
      </c>
      <c r="H49" s="120">
        <v>77.2</v>
      </c>
      <c r="I49" s="120">
        <v>179.2</v>
      </c>
      <c r="J49" s="120">
        <v>168.4</v>
      </c>
      <c r="K49" s="120">
        <v>60.6</v>
      </c>
      <c r="L49" s="120">
        <v>12.7</v>
      </c>
      <c r="M49" s="120">
        <v>50.9</v>
      </c>
      <c r="N49" s="102">
        <f t="shared" si="1"/>
        <v>122.80000000000001</v>
      </c>
      <c r="O49" s="102">
        <f t="shared" si="2"/>
        <v>720.3</v>
      </c>
      <c r="P49" s="102">
        <f t="shared" si="3"/>
        <v>124.19999999999999</v>
      </c>
      <c r="Q49" s="102">
        <f t="shared" si="4"/>
        <v>967.30000000000007</v>
      </c>
    </row>
    <row r="50" spans="1:37" s="70" customFormat="1">
      <c r="A50" s="108">
        <v>2016</v>
      </c>
      <c r="B50" s="121">
        <v>38</v>
      </c>
      <c r="C50" s="121">
        <v>11.7</v>
      </c>
      <c r="D50" s="121">
        <v>61.4</v>
      </c>
      <c r="E50" s="121">
        <v>147.6</v>
      </c>
      <c r="F50" s="121">
        <v>74.7</v>
      </c>
      <c r="G50" s="121">
        <v>140</v>
      </c>
      <c r="H50" s="121">
        <v>64.599999999999994</v>
      </c>
      <c r="I50" s="121">
        <v>146.9</v>
      </c>
      <c r="J50" s="121">
        <v>27.6</v>
      </c>
      <c r="K50" s="121">
        <v>73.400000000000006</v>
      </c>
      <c r="L50" s="121">
        <v>47</v>
      </c>
      <c r="M50" s="121">
        <v>15.6</v>
      </c>
      <c r="N50" s="108">
        <f>SUM(B50:E50)</f>
        <v>258.7</v>
      </c>
      <c r="O50" s="108">
        <f>SUM(F50:J50)</f>
        <v>453.79999999999995</v>
      </c>
      <c r="P50" s="108">
        <f>SUM(K50:M50)</f>
        <v>136</v>
      </c>
      <c r="Q50" s="108">
        <f>SUM(B50:M50)</f>
        <v>848.5</v>
      </c>
      <c r="R50" s="69">
        <f t="shared" ref="R50:AG50" si="5">100*(B50-B4)/B4</f>
        <v>73.515981735159784</v>
      </c>
      <c r="S50" s="69">
        <f t="shared" si="5"/>
        <v>-38.24771287825476</v>
      </c>
      <c r="T50" s="69">
        <f t="shared" si="5"/>
        <v>70.104044819306836</v>
      </c>
      <c r="U50" s="69">
        <f t="shared" si="5"/>
        <v>122.40080361627324</v>
      </c>
      <c r="V50" s="69">
        <f t="shared" si="5"/>
        <v>-41.948018305845792</v>
      </c>
      <c r="W50" s="69">
        <f t="shared" si="5"/>
        <v>-25.62071286053294</v>
      </c>
      <c r="X50" s="69">
        <f t="shared" si="5"/>
        <v>-51.429382967703134</v>
      </c>
      <c r="Y50" s="69">
        <f t="shared" si="5"/>
        <v>33.558945348014952</v>
      </c>
      <c r="Z50" s="69">
        <f t="shared" si="5"/>
        <v>-67.507325240686484</v>
      </c>
      <c r="AA50" s="69">
        <f t="shared" si="5"/>
        <v>-21.231488326616283</v>
      </c>
      <c r="AB50" s="69">
        <f t="shared" si="5"/>
        <v>21.433082620428305</v>
      </c>
      <c r="AC50" s="69">
        <f t="shared" si="5"/>
        <v>-26.729986431478956</v>
      </c>
      <c r="AD50" s="69">
        <f t="shared" si="5"/>
        <v>80.519158306067709</v>
      </c>
      <c r="AE50" s="69">
        <f t="shared" si="5"/>
        <v>-29.625468681076313</v>
      </c>
      <c r="AF50" s="69">
        <f t="shared" si="5"/>
        <v>-11.215563389476436</v>
      </c>
      <c r="AG50" s="69">
        <f t="shared" si="5"/>
        <v>-9.8610468465235748</v>
      </c>
      <c r="AH50" s="69"/>
      <c r="AI50" s="69"/>
      <c r="AJ50" s="69"/>
      <c r="AK50" s="69"/>
    </row>
    <row r="66" spans="34:34">
      <c r="AH66" s="69"/>
    </row>
  </sheetData>
  <mergeCells count="6">
    <mergeCell ref="A1:A3"/>
    <mergeCell ref="B1:Q1"/>
    <mergeCell ref="B2:M2"/>
    <mergeCell ref="R1:AG1"/>
    <mergeCell ref="N2:Q2"/>
    <mergeCell ref="R2:AG2"/>
  </mergeCells>
  <phoneticPr fontId="2" type="noConversion"/>
  <pageMargins left="0.75" right="0.75" top="1" bottom="1" header="0.5" footer="0.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8"/>
  <dimension ref="A1:AH48"/>
  <sheetViews>
    <sheetView zoomScale="70" zoomScaleNormal="70" workbookViewId="0">
      <pane ySplit="3" topLeftCell="A4" activePane="bottomLeft" state="frozen"/>
      <selection pane="bottomLeft" activeCell="C8" sqref="C8"/>
    </sheetView>
  </sheetViews>
  <sheetFormatPr defaultRowHeight="14.25"/>
  <cols>
    <col min="1" max="10" width="7.125" style="2" customWidth="1"/>
    <col min="11" max="11" width="7.125" style="37" customWidth="1"/>
    <col min="12" max="34" width="7.125" style="2" customWidth="1"/>
  </cols>
  <sheetData>
    <row r="1" spans="1:33" s="119" customFormat="1" ht="14.25" customHeight="1">
      <c r="A1" s="176" t="s">
        <v>0</v>
      </c>
      <c r="B1" s="176" t="s">
        <v>1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2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9" customFormat="1" ht="12.75">
      <c r="A2" s="176"/>
      <c r="B2" s="176" t="s">
        <v>3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32</v>
      </c>
      <c r="O2" s="176"/>
      <c r="P2" s="176"/>
      <c r="Q2" s="176"/>
      <c r="R2" s="176" t="s">
        <v>6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9" customFormat="1" ht="24">
      <c r="A3" s="176"/>
      <c r="B3" s="106" t="s">
        <v>7</v>
      </c>
      <c r="C3" s="106" t="s">
        <v>8</v>
      </c>
      <c r="D3" s="106" t="s">
        <v>9</v>
      </c>
      <c r="E3" s="106" t="s">
        <v>10</v>
      </c>
      <c r="F3" s="106" t="s">
        <v>11</v>
      </c>
      <c r="G3" s="106" t="s">
        <v>12</v>
      </c>
      <c r="H3" s="106" t="s">
        <v>13</v>
      </c>
      <c r="I3" s="106" t="s">
        <v>14</v>
      </c>
      <c r="J3" s="106" t="s">
        <v>15</v>
      </c>
      <c r="K3" s="106" t="s">
        <v>16</v>
      </c>
      <c r="L3" s="106" t="s">
        <v>17</v>
      </c>
      <c r="M3" s="106" t="s">
        <v>18</v>
      </c>
      <c r="N3" s="106" t="s">
        <v>145</v>
      </c>
      <c r="O3" s="106" t="s">
        <v>146</v>
      </c>
      <c r="P3" s="106" t="s">
        <v>147</v>
      </c>
      <c r="Q3" s="106" t="s">
        <v>148</v>
      </c>
      <c r="R3" s="106" t="s">
        <v>7</v>
      </c>
      <c r="S3" s="106" t="s">
        <v>8</v>
      </c>
      <c r="T3" s="106" t="s">
        <v>151</v>
      </c>
      <c r="U3" s="106" t="s">
        <v>152</v>
      </c>
      <c r="V3" s="106" t="s">
        <v>23</v>
      </c>
      <c r="W3" s="106" t="s">
        <v>24</v>
      </c>
      <c r="X3" s="106" t="s">
        <v>25</v>
      </c>
      <c r="Y3" s="106" t="s">
        <v>26</v>
      </c>
      <c r="Z3" s="106" t="s">
        <v>27</v>
      </c>
      <c r="AA3" s="106" t="s">
        <v>155</v>
      </c>
      <c r="AB3" s="106" t="s">
        <v>156</v>
      </c>
      <c r="AC3" s="106" t="s">
        <v>157</v>
      </c>
      <c r="AD3" s="106" t="s">
        <v>90</v>
      </c>
      <c r="AE3" s="106" t="s">
        <v>4</v>
      </c>
      <c r="AF3" s="106" t="s">
        <v>91</v>
      </c>
      <c r="AG3" s="106" t="s">
        <v>5</v>
      </c>
    </row>
    <row r="4" spans="1:33" s="119" customFormat="1" ht="12.75">
      <c r="A4" s="150" t="s">
        <v>261</v>
      </c>
      <c r="B4" s="150">
        <f t="shared" ref="B4:Q4" si="0">AVERAGE(B5:B47)</f>
        <v>20.255813953488371</v>
      </c>
      <c r="C4" s="150">
        <f t="shared" si="0"/>
        <v>17.946511627906975</v>
      </c>
      <c r="D4" s="150">
        <f t="shared" si="0"/>
        <v>37.067441860465117</v>
      </c>
      <c r="E4" s="150">
        <f t="shared" si="0"/>
        <v>74.432558139534862</v>
      </c>
      <c r="F4" s="150">
        <f t="shared" si="0"/>
        <v>131.07209302325583</v>
      </c>
      <c r="G4" s="150">
        <f t="shared" si="0"/>
        <v>184.26511627906976</v>
      </c>
      <c r="H4" s="150">
        <f t="shared" si="0"/>
        <v>133.85116279069769</v>
      </c>
      <c r="I4" s="150">
        <f t="shared" si="0"/>
        <v>109.66976744186047</v>
      </c>
      <c r="J4" s="150">
        <f t="shared" si="0"/>
        <v>74.993023255813924</v>
      </c>
      <c r="K4" s="150">
        <f t="shared" si="0"/>
        <v>86.127906976744157</v>
      </c>
      <c r="L4" s="150">
        <f t="shared" si="0"/>
        <v>42.060465116279069</v>
      </c>
      <c r="M4" s="150">
        <f t="shared" si="0"/>
        <v>19.618604651162791</v>
      </c>
      <c r="N4" s="150">
        <f t="shared" si="0"/>
        <v>149.70232558139531</v>
      </c>
      <c r="O4" s="150">
        <f t="shared" si="0"/>
        <v>633.8511627906978</v>
      </c>
      <c r="P4" s="150">
        <f t="shared" si="0"/>
        <v>147.80697674418602</v>
      </c>
      <c r="Q4" s="150">
        <f t="shared" si="0"/>
        <v>931.36046511627887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1973</v>
      </c>
      <c r="B5" s="102">
        <v>14.1</v>
      </c>
      <c r="C5" s="102">
        <v>4.5</v>
      </c>
      <c r="D5" s="102">
        <v>39.1</v>
      </c>
      <c r="E5" s="102">
        <v>27</v>
      </c>
      <c r="F5" s="102">
        <v>58.8</v>
      </c>
      <c r="G5" s="102">
        <v>266.7</v>
      </c>
      <c r="H5" s="102">
        <v>98.8</v>
      </c>
      <c r="I5" s="102">
        <v>51.2</v>
      </c>
      <c r="J5" s="102">
        <v>55.3</v>
      </c>
      <c r="K5" s="102">
        <v>49</v>
      </c>
      <c r="L5" s="102">
        <v>43.1</v>
      </c>
      <c r="M5" s="102">
        <v>6.8</v>
      </c>
      <c r="N5" s="102">
        <f>SUM(B5:E5)</f>
        <v>84.7</v>
      </c>
      <c r="O5" s="102">
        <f>SUM(F5:J5)</f>
        <v>530.79999999999995</v>
      </c>
      <c r="P5" s="102">
        <f>SUM(K5:M5)</f>
        <v>98.899999999999991</v>
      </c>
      <c r="Q5" s="102">
        <f>SUM(B5:M5)</f>
        <v>714.4</v>
      </c>
      <c r="R5" s="102"/>
      <c r="S5" s="102"/>
      <c r="T5" s="102"/>
      <c r="U5" s="102"/>
      <c r="V5" s="102"/>
      <c r="W5" s="102"/>
      <c r="X5" s="102"/>
      <c r="Y5" s="102"/>
      <c r="Z5" s="102"/>
      <c r="AA5" s="102"/>
      <c r="AB5" s="102"/>
      <c r="AC5" s="102"/>
      <c r="AD5" s="102"/>
      <c r="AE5" s="102"/>
      <c r="AF5" s="102"/>
      <c r="AG5" s="102"/>
    </row>
    <row r="6" spans="1:33">
      <c r="A6" s="102">
        <v>1974</v>
      </c>
      <c r="B6" s="102">
        <v>13.3</v>
      </c>
      <c r="C6" s="102">
        <v>9.6999999999999993</v>
      </c>
      <c r="D6" s="102">
        <v>25.2</v>
      </c>
      <c r="E6" s="102">
        <v>29.7</v>
      </c>
      <c r="F6" s="102">
        <v>126.1</v>
      </c>
      <c r="G6" s="102">
        <v>145.9</v>
      </c>
      <c r="H6" s="102">
        <v>35.700000000000003</v>
      </c>
      <c r="I6" s="102">
        <v>73</v>
      </c>
      <c r="J6" s="102">
        <v>84.7</v>
      </c>
      <c r="K6" s="102">
        <v>67.900000000000006</v>
      </c>
      <c r="L6" s="102">
        <v>12.3</v>
      </c>
      <c r="M6" s="102">
        <v>18.600000000000001</v>
      </c>
      <c r="N6" s="102">
        <f t="shared" ref="N6:N44" si="1">SUM(B6:E6)</f>
        <v>77.900000000000006</v>
      </c>
      <c r="O6" s="102">
        <f t="shared" ref="O6:O47" si="2">SUM(F6:J6)</f>
        <v>465.4</v>
      </c>
      <c r="P6" s="102">
        <f t="shared" ref="P6:P47" si="3">SUM(K6:M6)</f>
        <v>98.800000000000011</v>
      </c>
      <c r="Q6" s="102">
        <f t="shared" ref="Q6:Q47" si="4">SUM(B6:M6)</f>
        <v>642.09999999999991</v>
      </c>
      <c r="R6" s="102"/>
      <c r="S6" s="102"/>
      <c r="T6" s="102"/>
      <c r="U6" s="102"/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</row>
    <row r="7" spans="1:33">
      <c r="A7" s="102">
        <v>1975</v>
      </c>
      <c r="B7" s="102">
        <v>8.8000000000000007</v>
      </c>
      <c r="C7" s="102">
        <v>7.9</v>
      </c>
      <c r="D7" s="102">
        <v>17.5</v>
      </c>
      <c r="E7" s="102">
        <v>19.2</v>
      </c>
      <c r="F7" s="102">
        <v>57.1</v>
      </c>
      <c r="G7" s="102">
        <v>218.5</v>
      </c>
      <c r="H7" s="102">
        <v>113.3</v>
      </c>
      <c r="I7" s="102">
        <v>79.5</v>
      </c>
      <c r="J7" s="102">
        <v>67.3</v>
      </c>
      <c r="K7" s="102">
        <v>51.2</v>
      </c>
      <c r="L7" s="102">
        <v>100.6</v>
      </c>
      <c r="M7" s="102">
        <v>6.8</v>
      </c>
      <c r="N7" s="102">
        <f t="shared" si="1"/>
        <v>53.400000000000006</v>
      </c>
      <c r="O7" s="102">
        <f t="shared" si="2"/>
        <v>535.70000000000005</v>
      </c>
      <c r="P7" s="102">
        <f t="shared" si="3"/>
        <v>158.60000000000002</v>
      </c>
      <c r="Q7" s="102">
        <f t="shared" si="4"/>
        <v>747.69999999999993</v>
      </c>
      <c r="R7" s="102"/>
      <c r="S7" s="102"/>
      <c r="T7" s="102"/>
      <c r="U7" s="102"/>
      <c r="V7" s="102"/>
      <c r="W7" s="102"/>
      <c r="X7" s="102"/>
      <c r="Y7" s="102"/>
      <c r="Z7" s="102"/>
      <c r="AA7" s="102"/>
      <c r="AB7" s="102"/>
      <c r="AC7" s="102"/>
      <c r="AD7" s="102"/>
      <c r="AE7" s="102"/>
      <c r="AF7" s="102"/>
      <c r="AG7" s="102"/>
    </row>
    <row r="8" spans="1:33">
      <c r="A8" s="102">
        <v>1976</v>
      </c>
      <c r="B8" s="102">
        <v>6.1</v>
      </c>
      <c r="C8" s="102">
        <v>4.9000000000000004</v>
      </c>
      <c r="D8" s="102">
        <v>27</v>
      </c>
      <c r="E8" s="102">
        <v>32.6</v>
      </c>
      <c r="F8" s="102">
        <v>58.3</v>
      </c>
      <c r="G8" s="102">
        <v>289.10000000000002</v>
      </c>
      <c r="H8" s="102">
        <v>56.9</v>
      </c>
      <c r="I8" s="102">
        <v>65.5</v>
      </c>
      <c r="J8" s="102">
        <v>47.3</v>
      </c>
      <c r="K8" s="102">
        <v>80.8</v>
      </c>
      <c r="L8" s="102">
        <v>45.9</v>
      </c>
      <c r="M8" s="102">
        <v>21.3</v>
      </c>
      <c r="N8" s="102">
        <f t="shared" si="1"/>
        <v>70.599999999999994</v>
      </c>
      <c r="O8" s="102">
        <f t="shared" si="2"/>
        <v>517.1</v>
      </c>
      <c r="P8" s="102">
        <f t="shared" si="3"/>
        <v>148</v>
      </c>
      <c r="Q8" s="102">
        <f t="shared" si="4"/>
        <v>735.69999999999982</v>
      </c>
      <c r="R8" s="102"/>
      <c r="S8" s="102"/>
      <c r="T8" s="102"/>
      <c r="U8" s="102"/>
      <c r="V8" s="102"/>
      <c r="W8" s="102"/>
      <c r="X8" s="102"/>
      <c r="Y8" s="102"/>
      <c r="Z8" s="102"/>
      <c r="AA8" s="102"/>
      <c r="AB8" s="102"/>
      <c r="AC8" s="102"/>
      <c r="AD8" s="102"/>
      <c r="AE8" s="102"/>
      <c r="AF8" s="102"/>
      <c r="AG8" s="102"/>
    </row>
    <row r="9" spans="1:33">
      <c r="A9" s="102">
        <v>1977</v>
      </c>
      <c r="B9" s="102">
        <v>10.7</v>
      </c>
      <c r="C9" s="102">
        <v>11.1</v>
      </c>
      <c r="D9" s="102">
        <v>55.1</v>
      </c>
      <c r="E9" s="102">
        <v>39</v>
      </c>
      <c r="F9" s="102">
        <v>68.8</v>
      </c>
      <c r="G9" s="102">
        <v>240.4</v>
      </c>
      <c r="H9" s="102">
        <v>87.1</v>
      </c>
      <c r="I9" s="102">
        <v>76.599999999999994</v>
      </c>
      <c r="J9" s="102">
        <v>55.6</v>
      </c>
      <c r="K9" s="102">
        <v>156.1</v>
      </c>
      <c r="L9" s="102">
        <v>57</v>
      </c>
      <c r="M9" s="102">
        <v>12.6</v>
      </c>
      <c r="N9" s="102">
        <f t="shared" si="1"/>
        <v>115.9</v>
      </c>
      <c r="O9" s="102">
        <f t="shared" si="2"/>
        <v>528.5</v>
      </c>
      <c r="P9" s="102">
        <f t="shared" si="3"/>
        <v>225.7</v>
      </c>
      <c r="Q9" s="102">
        <f t="shared" si="4"/>
        <v>870.10000000000014</v>
      </c>
      <c r="R9" s="102"/>
      <c r="S9" s="102"/>
      <c r="T9" s="102"/>
      <c r="U9" s="102"/>
      <c r="V9" s="102"/>
      <c r="W9" s="102"/>
      <c r="X9" s="102"/>
      <c r="Y9" s="102"/>
      <c r="Z9" s="102"/>
      <c r="AA9" s="102"/>
      <c r="AB9" s="102"/>
      <c r="AC9" s="102"/>
      <c r="AD9" s="102"/>
      <c r="AE9" s="102"/>
      <c r="AF9" s="102"/>
      <c r="AG9" s="102"/>
    </row>
    <row r="10" spans="1:33">
      <c r="A10" s="102">
        <v>1978</v>
      </c>
      <c r="B10" s="102">
        <v>9</v>
      </c>
      <c r="C10" s="102">
        <v>5.5</v>
      </c>
      <c r="D10" s="102">
        <v>20.399999999999999</v>
      </c>
      <c r="E10" s="102">
        <v>34.5</v>
      </c>
      <c r="F10" s="102">
        <v>40.700000000000003</v>
      </c>
      <c r="G10" s="102">
        <v>143.9</v>
      </c>
      <c r="H10" s="102">
        <v>54.5</v>
      </c>
      <c r="I10" s="102">
        <v>71.5</v>
      </c>
      <c r="J10" s="102">
        <v>76.900000000000006</v>
      </c>
      <c r="K10" s="102">
        <v>150.69999999999999</v>
      </c>
      <c r="L10" s="102">
        <v>101.8</v>
      </c>
      <c r="M10" s="102">
        <v>3.9</v>
      </c>
      <c r="N10" s="102">
        <f t="shared" si="1"/>
        <v>69.400000000000006</v>
      </c>
      <c r="O10" s="102">
        <f t="shared" si="2"/>
        <v>387.5</v>
      </c>
      <c r="P10" s="102">
        <f t="shared" si="3"/>
        <v>256.39999999999998</v>
      </c>
      <c r="Q10" s="102">
        <f t="shared" si="4"/>
        <v>713.29999999999984</v>
      </c>
      <c r="R10" s="102"/>
      <c r="S10" s="102"/>
      <c r="T10" s="102"/>
      <c r="U10" s="102"/>
      <c r="V10" s="102"/>
      <c r="W10" s="102"/>
      <c r="X10" s="102"/>
      <c r="Y10" s="102"/>
      <c r="Z10" s="102"/>
      <c r="AA10" s="102"/>
      <c r="AB10" s="102"/>
      <c r="AC10" s="102"/>
      <c r="AD10" s="102"/>
      <c r="AE10" s="102"/>
      <c r="AF10" s="102"/>
      <c r="AG10" s="102"/>
    </row>
    <row r="11" spans="1:33">
      <c r="A11" s="102">
        <v>1979</v>
      </c>
      <c r="B11" s="102">
        <v>11.3</v>
      </c>
      <c r="C11" s="102">
        <v>10.6</v>
      </c>
      <c r="D11" s="102">
        <v>45.3</v>
      </c>
      <c r="E11" s="102">
        <v>40.799999999999997</v>
      </c>
      <c r="F11" s="102">
        <v>62.3</v>
      </c>
      <c r="G11" s="102">
        <v>170.5</v>
      </c>
      <c r="H11" s="102">
        <v>61.5</v>
      </c>
      <c r="I11" s="102">
        <v>172.1</v>
      </c>
      <c r="J11" s="102">
        <v>57.2</v>
      </c>
      <c r="K11" s="102">
        <v>29.3</v>
      </c>
      <c r="L11" s="102">
        <v>10.7</v>
      </c>
      <c r="M11" s="102">
        <v>49.2</v>
      </c>
      <c r="N11" s="102">
        <f t="shared" si="1"/>
        <v>107.99999999999999</v>
      </c>
      <c r="O11" s="102">
        <f t="shared" si="2"/>
        <v>523.6</v>
      </c>
      <c r="P11" s="102">
        <f t="shared" si="3"/>
        <v>89.2</v>
      </c>
      <c r="Q11" s="102">
        <f t="shared" si="4"/>
        <v>720.80000000000007</v>
      </c>
      <c r="R11" s="102"/>
      <c r="S11" s="102"/>
      <c r="T11" s="102"/>
      <c r="U11" s="102"/>
      <c r="V11" s="102"/>
      <c r="W11" s="102"/>
      <c r="X11" s="102"/>
      <c r="Y11" s="102"/>
      <c r="Z11" s="102"/>
      <c r="AA11" s="102"/>
      <c r="AB11" s="102"/>
      <c r="AC11" s="102"/>
      <c r="AD11" s="102"/>
      <c r="AE11" s="102"/>
      <c r="AF11" s="102"/>
      <c r="AG11" s="102"/>
    </row>
    <row r="12" spans="1:33">
      <c r="A12" s="102">
        <v>1980</v>
      </c>
      <c r="B12" s="102">
        <v>8.1</v>
      </c>
      <c r="C12" s="102">
        <v>17.3</v>
      </c>
      <c r="D12" s="102">
        <v>39.5</v>
      </c>
      <c r="E12" s="102">
        <v>36.5</v>
      </c>
      <c r="F12" s="102">
        <v>54.2</v>
      </c>
      <c r="G12" s="102">
        <v>227.4</v>
      </c>
      <c r="H12" s="102">
        <v>105.2</v>
      </c>
      <c r="I12" s="102">
        <v>62.8</v>
      </c>
      <c r="J12" s="102">
        <v>62.8</v>
      </c>
      <c r="K12" s="102">
        <v>160.30000000000001</v>
      </c>
      <c r="L12" s="102">
        <v>38.700000000000003</v>
      </c>
      <c r="M12" s="102">
        <v>26.5</v>
      </c>
      <c r="N12" s="102">
        <f t="shared" si="1"/>
        <v>101.4</v>
      </c>
      <c r="O12" s="102">
        <f t="shared" si="2"/>
        <v>512.4</v>
      </c>
      <c r="P12" s="102">
        <f t="shared" si="3"/>
        <v>225.5</v>
      </c>
      <c r="Q12" s="102">
        <f t="shared" si="4"/>
        <v>839.3</v>
      </c>
      <c r="R12" s="102"/>
      <c r="S12" s="102"/>
      <c r="T12" s="102"/>
      <c r="U12" s="102"/>
      <c r="V12" s="102"/>
      <c r="W12" s="102"/>
      <c r="X12" s="102"/>
      <c r="Y12" s="102"/>
      <c r="Z12" s="102"/>
      <c r="AA12" s="102"/>
      <c r="AB12" s="102"/>
      <c r="AC12" s="102"/>
      <c r="AD12" s="102"/>
      <c r="AE12" s="102"/>
      <c r="AF12" s="102"/>
      <c r="AG12" s="102"/>
    </row>
    <row r="13" spans="1:33">
      <c r="A13" s="102">
        <v>1981</v>
      </c>
      <c r="B13" s="102">
        <v>16.7</v>
      </c>
      <c r="C13" s="102">
        <v>3.9</v>
      </c>
      <c r="D13" s="102">
        <v>33.299999999999997</v>
      </c>
      <c r="E13" s="102">
        <v>25.5</v>
      </c>
      <c r="F13" s="102">
        <v>83.5</v>
      </c>
      <c r="G13" s="102">
        <v>222.8</v>
      </c>
      <c r="H13" s="102">
        <v>38.9</v>
      </c>
      <c r="I13" s="102">
        <v>56.4</v>
      </c>
      <c r="J13" s="102">
        <v>61.9</v>
      </c>
      <c r="K13" s="102">
        <v>63.8</v>
      </c>
      <c r="L13" s="102">
        <v>34.700000000000003</v>
      </c>
      <c r="M13" s="102">
        <v>3.7</v>
      </c>
      <c r="N13" s="102">
        <f t="shared" si="1"/>
        <v>79.399999999999991</v>
      </c>
      <c r="O13" s="102">
        <f t="shared" si="2"/>
        <v>463.49999999999994</v>
      </c>
      <c r="P13" s="102">
        <f t="shared" si="3"/>
        <v>102.2</v>
      </c>
      <c r="Q13" s="102">
        <f t="shared" si="4"/>
        <v>645.1</v>
      </c>
      <c r="R13" s="102"/>
      <c r="S13" s="102"/>
      <c r="T13" s="102"/>
      <c r="U13" s="102"/>
      <c r="V13" s="102"/>
      <c r="W13" s="102"/>
      <c r="X13" s="102"/>
      <c r="Y13" s="102"/>
      <c r="Z13" s="102"/>
      <c r="AA13" s="102"/>
      <c r="AB13" s="102"/>
      <c r="AC13" s="102"/>
      <c r="AD13" s="102"/>
      <c r="AE13" s="102"/>
      <c r="AF13" s="102"/>
      <c r="AG13" s="102"/>
    </row>
    <row r="14" spans="1:33">
      <c r="A14" s="102">
        <v>1982</v>
      </c>
      <c r="B14" s="102">
        <v>24.1</v>
      </c>
      <c r="C14" s="102">
        <v>7.5</v>
      </c>
      <c r="D14" s="102">
        <v>31.2</v>
      </c>
      <c r="E14" s="102">
        <v>38.799999999999997</v>
      </c>
      <c r="F14" s="102">
        <v>143.30000000000001</v>
      </c>
      <c r="G14" s="102">
        <v>195.8</v>
      </c>
      <c r="H14" s="102">
        <v>29.8</v>
      </c>
      <c r="I14" s="102">
        <v>18.7</v>
      </c>
      <c r="J14" s="102">
        <v>86.5</v>
      </c>
      <c r="K14" s="102">
        <v>44.8</v>
      </c>
      <c r="L14" s="102">
        <v>81.5</v>
      </c>
      <c r="M14" s="102">
        <v>34.4</v>
      </c>
      <c r="N14" s="102">
        <f t="shared" si="1"/>
        <v>101.6</v>
      </c>
      <c r="O14" s="102">
        <f t="shared" si="2"/>
        <v>474.1</v>
      </c>
      <c r="P14" s="102">
        <f t="shared" si="3"/>
        <v>160.69999999999999</v>
      </c>
      <c r="Q14" s="102">
        <f t="shared" si="4"/>
        <v>736.4</v>
      </c>
      <c r="R14" s="102"/>
      <c r="S14" s="102"/>
      <c r="T14" s="102"/>
      <c r="U14" s="102"/>
      <c r="V14" s="102"/>
      <c r="W14" s="102"/>
      <c r="X14" s="102"/>
      <c r="Y14" s="102"/>
      <c r="Z14" s="102"/>
      <c r="AA14" s="102"/>
      <c r="AB14" s="102"/>
      <c r="AC14" s="102"/>
      <c r="AD14" s="102"/>
      <c r="AE14" s="102"/>
      <c r="AF14" s="102"/>
      <c r="AG14" s="102"/>
    </row>
    <row r="15" spans="1:33">
      <c r="A15" s="102">
        <v>1983</v>
      </c>
      <c r="B15" s="102">
        <v>42.3</v>
      </c>
      <c r="C15" s="102">
        <v>32.299999999999997</v>
      </c>
      <c r="D15" s="102">
        <v>34.299999999999997</v>
      </c>
      <c r="E15" s="102">
        <v>90.6</v>
      </c>
      <c r="F15" s="102">
        <v>153.5</v>
      </c>
      <c r="G15" s="102">
        <v>127.4</v>
      </c>
      <c r="H15" s="102">
        <v>86</v>
      </c>
      <c r="I15" s="102">
        <v>162.9</v>
      </c>
      <c r="J15" s="102">
        <v>39.5</v>
      </c>
      <c r="K15" s="102">
        <v>71.8</v>
      </c>
      <c r="L15" s="102">
        <v>56.5</v>
      </c>
      <c r="M15" s="102">
        <v>22.7</v>
      </c>
      <c r="N15" s="102">
        <f t="shared" si="1"/>
        <v>199.5</v>
      </c>
      <c r="O15" s="102">
        <f t="shared" si="2"/>
        <v>569.29999999999995</v>
      </c>
      <c r="P15" s="102">
        <f t="shared" si="3"/>
        <v>151</v>
      </c>
      <c r="Q15" s="102">
        <f t="shared" si="4"/>
        <v>919.8</v>
      </c>
      <c r="R15" s="102"/>
      <c r="S15" s="102"/>
      <c r="T15" s="102"/>
      <c r="U15" s="102"/>
      <c r="V15" s="102"/>
      <c r="W15" s="102"/>
      <c r="X15" s="102"/>
      <c r="Y15" s="102"/>
      <c r="Z15" s="102"/>
      <c r="AA15" s="102"/>
      <c r="AB15" s="102"/>
      <c r="AC15" s="102"/>
      <c r="AD15" s="102"/>
      <c r="AE15" s="102"/>
      <c r="AF15" s="102"/>
      <c r="AG15" s="102"/>
    </row>
    <row r="16" spans="1:33">
      <c r="A16" s="102">
        <v>1984</v>
      </c>
      <c r="B16" s="102">
        <v>9.5</v>
      </c>
      <c r="C16" s="102">
        <v>12.6</v>
      </c>
      <c r="D16" s="102">
        <v>20.7</v>
      </c>
      <c r="E16" s="102">
        <v>58.7</v>
      </c>
      <c r="F16" s="102">
        <v>219.8</v>
      </c>
      <c r="G16" s="102">
        <v>78.5</v>
      </c>
      <c r="H16" s="102">
        <v>205.3</v>
      </c>
      <c r="I16" s="102">
        <v>280.10000000000002</v>
      </c>
      <c r="J16" s="102">
        <v>104.4</v>
      </c>
      <c r="K16" s="102">
        <v>93.3</v>
      </c>
      <c r="L16" s="102">
        <v>5.4</v>
      </c>
      <c r="M16" s="102">
        <v>23.8</v>
      </c>
      <c r="N16" s="102">
        <f t="shared" si="1"/>
        <v>101.5</v>
      </c>
      <c r="O16" s="102">
        <f t="shared" si="2"/>
        <v>888.1</v>
      </c>
      <c r="P16" s="102">
        <f t="shared" si="3"/>
        <v>122.5</v>
      </c>
      <c r="Q16" s="102">
        <f t="shared" si="4"/>
        <v>1112.1000000000001</v>
      </c>
      <c r="R16" s="102"/>
      <c r="S16" s="102"/>
      <c r="T16" s="102"/>
      <c r="U16" s="102"/>
      <c r="V16" s="102"/>
      <c r="W16" s="102"/>
      <c r="X16" s="102"/>
      <c r="Y16" s="102"/>
      <c r="Z16" s="102"/>
      <c r="AA16" s="102"/>
      <c r="AB16" s="102"/>
      <c r="AC16" s="102"/>
      <c r="AD16" s="102"/>
      <c r="AE16" s="102"/>
      <c r="AF16" s="102"/>
      <c r="AG16" s="102"/>
    </row>
    <row r="17" spans="1:33">
      <c r="A17" s="102">
        <v>1985</v>
      </c>
      <c r="B17" s="102">
        <v>7.3</v>
      </c>
      <c r="C17" s="102">
        <v>17.899999999999999</v>
      </c>
      <c r="D17" s="102">
        <v>32.9</v>
      </c>
      <c r="E17" s="102">
        <v>134.9</v>
      </c>
      <c r="F17" s="102">
        <v>68</v>
      </c>
      <c r="G17" s="102">
        <v>99</v>
      </c>
      <c r="H17" s="102">
        <v>91.6</v>
      </c>
      <c r="I17" s="102">
        <v>145.6</v>
      </c>
      <c r="J17" s="102">
        <v>27.2</v>
      </c>
      <c r="K17" s="102">
        <v>46.5</v>
      </c>
      <c r="L17" s="102">
        <v>51.2</v>
      </c>
      <c r="M17" s="102">
        <v>31.3</v>
      </c>
      <c r="N17" s="102">
        <f t="shared" si="1"/>
        <v>193</v>
      </c>
      <c r="O17" s="102">
        <f t="shared" si="2"/>
        <v>431.40000000000003</v>
      </c>
      <c r="P17" s="102">
        <f t="shared" si="3"/>
        <v>129</v>
      </c>
      <c r="Q17" s="102">
        <f t="shared" si="4"/>
        <v>753.40000000000009</v>
      </c>
      <c r="R17" s="102"/>
      <c r="S17" s="102"/>
      <c r="T17" s="102"/>
      <c r="U17" s="102"/>
      <c r="V17" s="102"/>
      <c r="W17" s="102"/>
      <c r="X17" s="102"/>
      <c r="Y17" s="102"/>
      <c r="Z17" s="102"/>
      <c r="AA17" s="102"/>
      <c r="AB17" s="102"/>
      <c r="AC17" s="102"/>
      <c r="AD17" s="102"/>
      <c r="AE17" s="102"/>
      <c r="AF17" s="102"/>
      <c r="AG17" s="102"/>
    </row>
    <row r="18" spans="1:33">
      <c r="A18" s="102">
        <v>1986</v>
      </c>
      <c r="B18" s="102">
        <v>12.6</v>
      </c>
      <c r="C18" s="102">
        <v>13.2</v>
      </c>
      <c r="D18" s="102">
        <v>60.9</v>
      </c>
      <c r="E18" s="102">
        <v>69.8</v>
      </c>
      <c r="F18" s="102">
        <v>86.7</v>
      </c>
      <c r="G18" s="102">
        <v>299.2</v>
      </c>
      <c r="H18" s="102">
        <v>178.4</v>
      </c>
      <c r="I18" s="102">
        <v>51.1</v>
      </c>
      <c r="J18" s="102">
        <v>38.700000000000003</v>
      </c>
      <c r="K18" s="102">
        <v>43</v>
      </c>
      <c r="L18" s="102">
        <v>56.4</v>
      </c>
      <c r="M18" s="102">
        <v>0.4</v>
      </c>
      <c r="N18" s="102">
        <f t="shared" si="1"/>
        <v>156.5</v>
      </c>
      <c r="O18" s="102">
        <f t="shared" si="2"/>
        <v>654.1</v>
      </c>
      <c r="P18" s="102">
        <f t="shared" si="3"/>
        <v>99.800000000000011</v>
      </c>
      <c r="Q18" s="102">
        <f t="shared" si="4"/>
        <v>910.4</v>
      </c>
      <c r="R18" s="102"/>
      <c r="S18" s="102"/>
      <c r="T18" s="102"/>
      <c r="U18" s="102"/>
      <c r="V18" s="102"/>
      <c r="W18" s="102"/>
      <c r="X18" s="102"/>
      <c r="Y18" s="102"/>
      <c r="Z18" s="102"/>
      <c r="AA18" s="102"/>
      <c r="AB18" s="102"/>
      <c r="AC18" s="102"/>
      <c r="AD18" s="102"/>
      <c r="AE18" s="102"/>
      <c r="AF18" s="102"/>
      <c r="AG18" s="102"/>
    </row>
    <row r="19" spans="1:33">
      <c r="A19" s="102">
        <v>1987</v>
      </c>
      <c r="B19" s="102">
        <v>37.299999999999997</v>
      </c>
      <c r="C19" s="102">
        <v>16.8</v>
      </c>
      <c r="D19" s="102">
        <v>21.3</v>
      </c>
      <c r="E19" s="102">
        <v>80.400000000000006</v>
      </c>
      <c r="F19" s="102">
        <v>188.9</v>
      </c>
      <c r="G19" s="102">
        <v>203.2</v>
      </c>
      <c r="H19" s="102">
        <v>152.80000000000001</v>
      </c>
      <c r="I19" s="102">
        <v>93.8</v>
      </c>
      <c r="J19" s="102">
        <v>95.6</v>
      </c>
      <c r="K19" s="102">
        <v>72.5</v>
      </c>
      <c r="L19" s="102">
        <v>37</v>
      </c>
      <c r="M19" s="102">
        <v>4.7</v>
      </c>
      <c r="N19" s="102">
        <f t="shared" si="1"/>
        <v>155.80000000000001</v>
      </c>
      <c r="O19" s="102">
        <f t="shared" si="2"/>
        <v>734.30000000000007</v>
      </c>
      <c r="P19" s="102">
        <f t="shared" si="3"/>
        <v>114.2</v>
      </c>
      <c r="Q19" s="102">
        <f t="shared" si="4"/>
        <v>1004.3000000000001</v>
      </c>
      <c r="R19" s="102"/>
      <c r="S19" s="102"/>
      <c r="T19" s="102"/>
      <c r="U19" s="102"/>
      <c r="V19" s="102"/>
      <c r="W19" s="102"/>
      <c r="X19" s="102"/>
      <c r="Y19" s="102"/>
      <c r="Z19" s="102"/>
      <c r="AA19" s="102"/>
      <c r="AB19" s="102"/>
      <c r="AC19" s="102"/>
      <c r="AD19" s="102"/>
      <c r="AE19" s="102"/>
      <c r="AF19" s="102"/>
      <c r="AG19" s="102"/>
    </row>
    <row r="20" spans="1:33">
      <c r="A20" s="102">
        <v>1988</v>
      </c>
      <c r="B20" s="102">
        <v>18</v>
      </c>
      <c r="C20" s="102">
        <v>9.9</v>
      </c>
      <c r="D20" s="102">
        <v>5.9</v>
      </c>
      <c r="E20" s="102">
        <v>104.2</v>
      </c>
      <c r="F20" s="102">
        <v>145.69999999999999</v>
      </c>
      <c r="G20" s="102">
        <v>257.10000000000002</v>
      </c>
      <c r="H20" s="102">
        <v>63</v>
      </c>
      <c r="I20" s="102">
        <v>143.4</v>
      </c>
      <c r="J20" s="102">
        <v>141.4</v>
      </c>
      <c r="K20" s="102">
        <v>60.7</v>
      </c>
      <c r="L20" s="102">
        <v>7.5</v>
      </c>
      <c r="M20" s="102">
        <v>8.8000000000000007</v>
      </c>
      <c r="N20" s="102">
        <f t="shared" si="1"/>
        <v>138</v>
      </c>
      <c r="O20" s="102">
        <f t="shared" si="2"/>
        <v>750.6</v>
      </c>
      <c r="P20" s="102">
        <f t="shared" si="3"/>
        <v>77</v>
      </c>
      <c r="Q20" s="102">
        <f t="shared" si="4"/>
        <v>965.59999999999991</v>
      </c>
      <c r="R20" s="102"/>
      <c r="S20" s="102"/>
      <c r="T20" s="102"/>
      <c r="U20" s="102"/>
      <c r="V20" s="102"/>
      <c r="W20" s="102"/>
      <c r="X20" s="102"/>
      <c r="Y20" s="102"/>
      <c r="Z20" s="102"/>
      <c r="AA20" s="102"/>
      <c r="AB20" s="102"/>
      <c r="AC20" s="102"/>
      <c r="AD20" s="102"/>
      <c r="AE20" s="102"/>
      <c r="AF20" s="102"/>
      <c r="AG20" s="102"/>
    </row>
    <row r="21" spans="1:33">
      <c r="A21" s="102">
        <v>1989</v>
      </c>
      <c r="B21" s="102">
        <v>10.8</v>
      </c>
      <c r="C21" s="102">
        <v>24.6</v>
      </c>
      <c r="D21" s="102">
        <v>50.3</v>
      </c>
      <c r="E21" s="102">
        <v>100.4</v>
      </c>
      <c r="F21" s="102">
        <v>68.8</v>
      </c>
      <c r="G21" s="102">
        <v>160.5</v>
      </c>
      <c r="H21" s="102">
        <v>100.1</v>
      </c>
      <c r="I21" s="102">
        <v>69.7</v>
      </c>
      <c r="J21" s="102">
        <v>72.900000000000006</v>
      </c>
      <c r="K21" s="102">
        <v>58.2</v>
      </c>
      <c r="L21" s="102">
        <v>27.8</v>
      </c>
      <c r="M21" s="102">
        <v>27.4</v>
      </c>
      <c r="N21" s="102">
        <f t="shared" si="1"/>
        <v>186.10000000000002</v>
      </c>
      <c r="O21" s="102">
        <f t="shared" si="2"/>
        <v>472</v>
      </c>
      <c r="P21" s="102">
        <f t="shared" si="3"/>
        <v>113.4</v>
      </c>
      <c r="Q21" s="102">
        <f t="shared" si="4"/>
        <v>771.5</v>
      </c>
      <c r="R21" s="102"/>
      <c r="S21" s="102"/>
      <c r="T21" s="102"/>
      <c r="U21" s="102"/>
      <c r="V21" s="102"/>
      <c r="W21" s="102"/>
      <c r="X21" s="102"/>
      <c r="Y21" s="102"/>
      <c r="Z21" s="102"/>
      <c r="AA21" s="102"/>
      <c r="AB21" s="102"/>
      <c r="AC21" s="102"/>
      <c r="AD21" s="102"/>
      <c r="AE21" s="102"/>
      <c r="AF21" s="102"/>
      <c r="AG21" s="102"/>
    </row>
    <row r="22" spans="1:33">
      <c r="A22" s="102">
        <v>1990</v>
      </c>
      <c r="B22" s="102">
        <v>15.7</v>
      </c>
      <c r="C22" s="102">
        <v>15.5</v>
      </c>
      <c r="D22" s="102">
        <v>96.1</v>
      </c>
      <c r="E22" s="102">
        <v>68.099999999999994</v>
      </c>
      <c r="F22" s="102">
        <v>127</v>
      </c>
      <c r="G22" s="102">
        <v>196.6</v>
      </c>
      <c r="H22" s="102">
        <v>41.1</v>
      </c>
      <c r="I22" s="102">
        <v>53.4</v>
      </c>
      <c r="J22" s="102">
        <v>136.5</v>
      </c>
      <c r="K22" s="102">
        <v>68.5</v>
      </c>
      <c r="L22" s="102">
        <v>39.700000000000003</v>
      </c>
      <c r="M22" s="102">
        <v>8</v>
      </c>
      <c r="N22" s="102">
        <f t="shared" si="1"/>
        <v>195.39999999999998</v>
      </c>
      <c r="O22" s="102">
        <f t="shared" si="2"/>
        <v>554.6</v>
      </c>
      <c r="P22" s="102">
        <f t="shared" si="3"/>
        <v>116.2</v>
      </c>
      <c r="Q22" s="102">
        <f t="shared" si="4"/>
        <v>866.2</v>
      </c>
      <c r="R22" s="102"/>
      <c r="S22" s="102"/>
      <c r="T22" s="102"/>
      <c r="U22" s="102"/>
      <c r="V22" s="102"/>
      <c r="W22" s="102"/>
      <c r="X22" s="102"/>
      <c r="Y22" s="102"/>
      <c r="Z22" s="102"/>
      <c r="AA22" s="102"/>
      <c r="AB22" s="102"/>
      <c r="AC22" s="102"/>
      <c r="AD22" s="102"/>
      <c r="AE22" s="102"/>
      <c r="AF22" s="102"/>
      <c r="AG22" s="102"/>
    </row>
    <row r="23" spans="1:33">
      <c r="A23" s="102">
        <v>1991</v>
      </c>
      <c r="B23" s="102">
        <v>59.9</v>
      </c>
      <c r="C23" s="102">
        <v>19.3</v>
      </c>
      <c r="D23" s="102">
        <v>22.7</v>
      </c>
      <c r="E23" s="102">
        <v>61.1</v>
      </c>
      <c r="F23" s="102">
        <v>69.5</v>
      </c>
      <c r="G23" s="102">
        <v>117</v>
      </c>
      <c r="H23" s="102">
        <v>305.5</v>
      </c>
      <c r="I23" s="102">
        <v>156.6</v>
      </c>
      <c r="J23" s="102">
        <v>65.3</v>
      </c>
      <c r="K23" s="102">
        <v>73.5</v>
      </c>
      <c r="L23" s="102">
        <v>52.7</v>
      </c>
      <c r="M23" s="102">
        <v>22.9</v>
      </c>
      <c r="N23" s="102">
        <f t="shared" si="1"/>
        <v>163</v>
      </c>
      <c r="O23" s="102">
        <f t="shared" si="2"/>
        <v>713.9</v>
      </c>
      <c r="P23" s="102">
        <f t="shared" si="3"/>
        <v>149.1</v>
      </c>
      <c r="Q23" s="102">
        <f t="shared" si="4"/>
        <v>1026</v>
      </c>
      <c r="R23" s="102"/>
      <c r="S23" s="102"/>
      <c r="T23" s="102"/>
      <c r="U23" s="102"/>
      <c r="V23" s="102"/>
      <c r="W23" s="102"/>
      <c r="X23" s="102"/>
      <c r="Y23" s="102"/>
      <c r="Z23" s="102"/>
      <c r="AA23" s="102"/>
      <c r="AB23" s="102"/>
      <c r="AC23" s="102"/>
      <c r="AD23" s="102"/>
      <c r="AE23" s="102"/>
      <c r="AF23" s="102"/>
      <c r="AG23" s="102"/>
    </row>
    <row r="24" spans="1:33">
      <c r="A24" s="102">
        <v>1992</v>
      </c>
      <c r="B24" s="102">
        <v>24.8</v>
      </c>
      <c r="C24" s="102">
        <v>38.9</v>
      </c>
      <c r="D24" s="102">
        <v>26.8</v>
      </c>
      <c r="E24" s="102">
        <v>112.4</v>
      </c>
      <c r="F24" s="102">
        <v>222.2</v>
      </c>
      <c r="G24" s="102">
        <v>138.4</v>
      </c>
      <c r="H24" s="102">
        <v>107.7</v>
      </c>
      <c r="I24" s="102">
        <v>37.6</v>
      </c>
      <c r="J24" s="102">
        <v>36.6</v>
      </c>
      <c r="K24" s="102">
        <v>108.7</v>
      </c>
      <c r="L24" s="102">
        <v>17.899999999999999</v>
      </c>
      <c r="M24" s="102">
        <v>19.7</v>
      </c>
      <c r="N24" s="102">
        <f t="shared" si="1"/>
        <v>202.9</v>
      </c>
      <c r="O24" s="102">
        <f t="shared" si="2"/>
        <v>542.5</v>
      </c>
      <c r="P24" s="102">
        <f t="shared" si="3"/>
        <v>146.29999999999998</v>
      </c>
      <c r="Q24" s="102">
        <f t="shared" si="4"/>
        <v>891.70000000000016</v>
      </c>
      <c r="R24" s="102"/>
      <c r="S24" s="102"/>
      <c r="T24" s="102"/>
      <c r="U24" s="102"/>
      <c r="V24" s="102"/>
      <c r="W24" s="102"/>
      <c r="X24" s="102"/>
      <c r="Y24" s="102"/>
      <c r="Z24" s="102"/>
      <c r="AA24" s="102"/>
      <c r="AB24" s="102"/>
      <c r="AC24" s="102"/>
      <c r="AD24" s="102"/>
      <c r="AE24" s="102"/>
      <c r="AF24" s="102"/>
      <c r="AG24" s="102"/>
    </row>
    <row r="25" spans="1:33">
      <c r="A25" s="102">
        <v>1993</v>
      </c>
      <c r="B25" s="102">
        <v>37.700000000000003</v>
      </c>
      <c r="C25" s="102">
        <v>45.7</v>
      </c>
      <c r="D25" s="102">
        <v>23.8</v>
      </c>
      <c r="E25" s="102">
        <v>45.5</v>
      </c>
      <c r="F25" s="102">
        <v>132.4</v>
      </c>
      <c r="G25" s="102">
        <v>136.80000000000001</v>
      </c>
      <c r="H25" s="102">
        <v>296.5</v>
      </c>
      <c r="I25" s="102">
        <v>125.5</v>
      </c>
      <c r="J25" s="102">
        <v>108</v>
      </c>
      <c r="K25" s="102">
        <v>50.1</v>
      </c>
      <c r="L25" s="102">
        <v>42.3</v>
      </c>
      <c r="M25" s="102">
        <v>12.3</v>
      </c>
      <c r="N25" s="102">
        <f t="shared" si="1"/>
        <v>152.69999999999999</v>
      </c>
      <c r="O25" s="102">
        <f t="shared" si="2"/>
        <v>799.2</v>
      </c>
      <c r="P25" s="102">
        <f t="shared" si="3"/>
        <v>104.7</v>
      </c>
      <c r="Q25" s="102">
        <f t="shared" si="4"/>
        <v>1056.6000000000001</v>
      </c>
      <c r="R25" s="102"/>
      <c r="S25" s="102"/>
      <c r="T25" s="102"/>
      <c r="U25" s="102"/>
      <c r="V25" s="102"/>
      <c r="W25" s="102"/>
      <c r="X25" s="102"/>
      <c r="Y25" s="102"/>
      <c r="Z25" s="102"/>
      <c r="AA25" s="102"/>
      <c r="AB25" s="102"/>
      <c r="AC25" s="102"/>
      <c r="AD25" s="102"/>
      <c r="AE25" s="102"/>
      <c r="AF25" s="102"/>
      <c r="AG25" s="102"/>
    </row>
    <row r="26" spans="1:33">
      <c r="A26" s="102">
        <v>1994</v>
      </c>
      <c r="B26" s="102">
        <v>17.5</v>
      </c>
      <c r="C26" s="102">
        <v>18.899999999999999</v>
      </c>
      <c r="D26" s="102">
        <v>71.5</v>
      </c>
      <c r="E26" s="102">
        <v>78</v>
      </c>
      <c r="F26" s="102">
        <v>161.9</v>
      </c>
      <c r="G26" s="102">
        <v>109.3</v>
      </c>
      <c r="H26" s="102">
        <v>189</v>
      </c>
      <c r="I26" s="102">
        <v>53.4</v>
      </c>
      <c r="J26" s="102">
        <v>139.6</v>
      </c>
      <c r="K26" s="102">
        <v>184.6</v>
      </c>
      <c r="L26" s="102">
        <v>64.900000000000006</v>
      </c>
      <c r="M26" s="102">
        <v>32.1</v>
      </c>
      <c r="N26" s="102">
        <f t="shared" si="1"/>
        <v>185.9</v>
      </c>
      <c r="O26" s="102">
        <f t="shared" si="2"/>
        <v>653.20000000000005</v>
      </c>
      <c r="P26" s="102">
        <f t="shared" si="3"/>
        <v>281.60000000000002</v>
      </c>
      <c r="Q26" s="102">
        <f t="shared" si="4"/>
        <v>1120.7</v>
      </c>
      <c r="R26" s="102"/>
      <c r="S26" s="102"/>
      <c r="T26" s="102"/>
      <c r="U26" s="102"/>
      <c r="V26" s="102"/>
      <c r="W26" s="102"/>
      <c r="X26" s="102"/>
      <c r="Y26" s="102"/>
      <c r="Z26" s="102"/>
      <c r="AA26" s="102"/>
      <c r="AB26" s="102"/>
      <c r="AC26" s="102"/>
      <c r="AD26" s="102"/>
      <c r="AE26" s="102"/>
      <c r="AF26" s="102"/>
      <c r="AG26" s="102"/>
    </row>
    <row r="27" spans="1:33">
      <c r="A27" s="102">
        <v>1995</v>
      </c>
      <c r="B27" s="102">
        <v>34.4</v>
      </c>
      <c r="C27" s="102">
        <v>51.3</v>
      </c>
      <c r="D27" s="102">
        <v>30.4</v>
      </c>
      <c r="E27" s="102">
        <v>56.3</v>
      </c>
      <c r="F27" s="102">
        <v>301.5</v>
      </c>
      <c r="G27" s="102">
        <v>419.6</v>
      </c>
      <c r="H27" s="102">
        <v>87.3</v>
      </c>
      <c r="I27" s="102">
        <v>149.80000000000001</v>
      </c>
      <c r="J27" s="102">
        <v>68.099999999999994</v>
      </c>
      <c r="K27" s="102">
        <v>86.3</v>
      </c>
      <c r="L27" s="102">
        <v>50</v>
      </c>
      <c r="M27" s="102">
        <v>5.8</v>
      </c>
      <c r="N27" s="102">
        <f t="shared" si="1"/>
        <v>172.39999999999998</v>
      </c>
      <c r="O27" s="102">
        <f t="shared" si="2"/>
        <v>1026.3</v>
      </c>
      <c r="P27" s="102">
        <f t="shared" si="3"/>
        <v>142.10000000000002</v>
      </c>
      <c r="Q27" s="102">
        <f t="shared" si="4"/>
        <v>1340.7999999999997</v>
      </c>
      <c r="R27" s="102"/>
      <c r="S27" s="102"/>
      <c r="T27" s="102"/>
      <c r="U27" s="102"/>
      <c r="V27" s="102"/>
      <c r="W27" s="102"/>
      <c r="X27" s="102"/>
      <c r="Y27" s="102"/>
      <c r="Z27" s="102"/>
      <c r="AA27" s="102"/>
      <c r="AB27" s="102"/>
      <c r="AC27" s="102"/>
      <c r="AD27" s="102"/>
      <c r="AE27" s="102"/>
      <c r="AF27" s="102"/>
      <c r="AG27" s="102"/>
    </row>
    <row r="28" spans="1:33">
      <c r="A28" s="102">
        <v>1996</v>
      </c>
      <c r="B28" s="102">
        <v>18.399999999999999</v>
      </c>
      <c r="C28" s="102">
        <v>0.9</v>
      </c>
      <c r="D28" s="102">
        <v>32.200000000000003</v>
      </c>
      <c r="E28" s="102">
        <v>63.3</v>
      </c>
      <c r="F28" s="102">
        <v>188.1</v>
      </c>
      <c r="G28" s="102">
        <v>334.7</v>
      </c>
      <c r="H28" s="102">
        <v>358.4</v>
      </c>
      <c r="I28" s="102">
        <v>88.3</v>
      </c>
      <c r="J28" s="102">
        <v>63.3</v>
      </c>
      <c r="K28" s="102">
        <v>47.3</v>
      </c>
      <c r="L28" s="102">
        <v>57.1</v>
      </c>
      <c r="M28" s="102">
        <v>19.5</v>
      </c>
      <c r="N28" s="102">
        <f t="shared" si="1"/>
        <v>114.8</v>
      </c>
      <c r="O28" s="102">
        <f t="shared" si="2"/>
        <v>1032.8</v>
      </c>
      <c r="P28" s="102">
        <f t="shared" si="3"/>
        <v>123.9</v>
      </c>
      <c r="Q28" s="102">
        <f t="shared" si="4"/>
        <v>1271.4999999999998</v>
      </c>
      <c r="R28" s="102"/>
      <c r="S28" s="102"/>
      <c r="T28" s="102"/>
      <c r="U28" s="102"/>
      <c r="V28" s="102"/>
      <c r="W28" s="102"/>
      <c r="X28" s="102"/>
      <c r="Y28" s="102"/>
      <c r="Z28" s="102"/>
      <c r="AA28" s="102"/>
      <c r="AB28" s="102"/>
      <c r="AC28" s="102"/>
      <c r="AD28" s="102"/>
      <c r="AE28" s="102"/>
      <c r="AF28" s="102"/>
      <c r="AG28" s="102"/>
    </row>
    <row r="29" spans="1:33">
      <c r="A29" s="102">
        <v>1997</v>
      </c>
      <c r="B29" s="102">
        <v>42.8</v>
      </c>
      <c r="C29" s="102">
        <v>30.8</v>
      </c>
      <c r="D29" s="102">
        <v>16.7</v>
      </c>
      <c r="E29" s="102">
        <v>161.19999999999999</v>
      </c>
      <c r="F29" s="102">
        <v>185.2</v>
      </c>
      <c r="G29" s="102">
        <v>202</v>
      </c>
      <c r="H29" s="102">
        <v>168.6</v>
      </c>
      <c r="I29" s="102">
        <v>62.8</v>
      </c>
      <c r="J29" s="102">
        <v>149.80000000000001</v>
      </c>
      <c r="K29" s="102">
        <v>167.2</v>
      </c>
      <c r="L29" s="102">
        <v>4.9000000000000004</v>
      </c>
      <c r="M29" s="102">
        <v>16.600000000000001</v>
      </c>
      <c r="N29" s="102">
        <f t="shared" si="1"/>
        <v>251.5</v>
      </c>
      <c r="O29" s="102">
        <f t="shared" si="2"/>
        <v>768.39999999999986</v>
      </c>
      <c r="P29" s="102">
        <f t="shared" si="3"/>
        <v>188.7</v>
      </c>
      <c r="Q29" s="102">
        <f t="shared" si="4"/>
        <v>1208.6000000000001</v>
      </c>
      <c r="R29" s="102"/>
      <c r="S29" s="102"/>
      <c r="T29" s="102"/>
      <c r="U29" s="102"/>
      <c r="V29" s="102"/>
      <c r="W29" s="102"/>
      <c r="X29" s="102"/>
      <c r="Y29" s="102"/>
      <c r="Z29" s="102"/>
      <c r="AA29" s="102"/>
      <c r="AB29" s="102"/>
      <c r="AC29" s="102"/>
      <c r="AD29" s="102"/>
      <c r="AE29" s="102"/>
      <c r="AF29" s="102"/>
      <c r="AG29" s="102"/>
    </row>
    <row r="30" spans="1:33">
      <c r="A30" s="102">
        <v>1998</v>
      </c>
      <c r="B30" s="102">
        <v>11.9</v>
      </c>
      <c r="C30" s="102">
        <v>14.8</v>
      </c>
      <c r="D30" s="102">
        <v>15.4</v>
      </c>
      <c r="E30" s="102">
        <v>96.4</v>
      </c>
      <c r="F30" s="102">
        <v>88.1</v>
      </c>
      <c r="G30" s="102">
        <v>184.9</v>
      </c>
      <c r="H30" s="102">
        <v>121.1</v>
      </c>
      <c r="I30" s="102">
        <v>109.8</v>
      </c>
      <c r="J30" s="102">
        <v>31</v>
      </c>
      <c r="K30" s="102">
        <v>57.2</v>
      </c>
      <c r="L30" s="102">
        <v>25.2</v>
      </c>
      <c r="M30" s="102">
        <v>13.4</v>
      </c>
      <c r="N30" s="102">
        <f t="shared" si="1"/>
        <v>138.5</v>
      </c>
      <c r="O30" s="102">
        <f t="shared" si="2"/>
        <v>534.90000000000009</v>
      </c>
      <c r="P30" s="102">
        <f t="shared" si="3"/>
        <v>95.800000000000011</v>
      </c>
      <c r="Q30" s="102">
        <f t="shared" si="4"/>
        <v>769.2</v>
      </c>
      <c r="R30" s="102"/>
      <c r="S30" s="102"/>
      <c r="T30" s="102"/>
      <c r="U30" s="102"/>
      <c r="V30" s="102"/>
      <c r="W30" s="102"/>
      <c r="X30" s="102"/>
      <c r="Y30" s="102"/>
      <c r="Z30" s="102"/>
      <c r="AA30" s="102"/>
      <c r="AB30" s="102"/>
      <c r="AC30" s="102"/>
      <c r="AD30" s="102"/>
      <c r="AE30" s="102"/>
      <c r="AF30" s="102"/>
      <c r="AG30" s="102"/>
    </row>
    <row r="31" spans="1:33">
      <c r="A31" s="102">
        <v>1999</v>
      </c>
      <c r="B31" s="102">
        <v>29.6</v>
      </c>
      <c r="C31" s="102">
        <v>11.7</v>
      </c>
      <c r="D31" s="102">
        <v>17.3</v>
      </c>
      <c r="E31" s="102">
        <v>112.7</v>
      </c>
      <c r="F31" s="102">
        <v>167.3</v>
      </c>
      <c r="G31" s="102">
        <v>208.2</v>
      </c>
      <c r="H31" s="102">
        <v>186.5</v>
      </c>
      <c r="I31" s="102">
        <v>268.60000000000002</v>
      </c>
      <c r="J31" s="102">
        <v>63.1</v>
      </c>
      <c r="K31" s="102">
        <v>72.8</v>
      </c>
      <c r="L31" s="102">
        <v>32.299999999999997</v>
      </c>
      <c r="M31" s="102">
        <v>4</v>
      </c>
      <c r="N31" s="102">
        <f t="shared" si="1"/>
        <v>171.3</v>
      </c>
      <c r="O31" s="102">
        <f t="shared" si="2"/>
        <v>893.7</v>
      </c>
      <c r="P31" s="102">
        <f t="shared" si="3"/>
        <v>109.1</v>
      </c>
      <c r="Q31" s="102">
        <f t="shared" si="4"/>
        <v>1174.0999999999999</v>
      </c>
      <c r="R31" s="102"/>
      <c r="S31" s="102"/>
      <c r="T31" s="102"/>
      <c r="U31" s="102"/>
      <c r="V31" s="102"/>
      <c r="W31" s="102"/>
      <c r="X31" s="102"/>
      <c r="Y31" s="102"/>
      <c r="Z31" s="102"/>
      <c r="AA31" s="102"/>
      <c r="AB31" s="102"/>
      <c r="AC31" s="102"/>
      <c r="AD31" s="102"/>
      <c r="AE31" s="102"/>
      <c r="AF31" s="102"/>
      <c r="AG31" s="102"/>
    </row>
    <row r="32" spans="1:33">
      <c r="A32" s="102">
        <v>2000</v>
      </c>
      <c r="B32" s="102">
        <v>24.1</v>
      </c>
      <c r="C32" s="102">
        <v>16.899999999999999</v>
      </c>
      <c r="D32" s="102">
        <v>42.8</v>
      </c>
      <c r="E32" s="102">
        <v>115.6</v>
      </c>
      <c r="F32" s="102">
        <v>105.3</v>
      </c>
      <c r="G32" s="102">
        <v>168.8</v>
      </c>
      <c r="H32" s="102">
        <v>85.5</v>
      </c>
      <c r="I32" s="102">
        <v>208.3</v>
      </c>
      <c r="J32" s="102">
        <v>102.4</v>
      </c>
      <c r="K32" s="102">
        <v>186.4</v>
      </c>
      <c r="L32" s="102">
        <v>20.8</v>
      </c>
      <c r="M32" s="102">
        <v>24</v>
      </c>
      <c r="N32" s="102">
        <f t="shared" si="1"/>
        <v>199.39999999999998</v>
      </c>
      <c r="O32" s="102">
        <f t="shared" si="2"/>
        <v>670.30000000000007</v>
      </c>
      <c r="P32" s="102">
        <f t="shared" si="3"/>
        <v>231.20000000000002</v>
      </c>
      <c r="Q32" s="102">
        <f t="shared" si="4"/>
        <v>1100.8999999999999</v>
      </c>
      <c r="R32" s="102"/>
      <c r="S32" s="102"/>
      <c r="T32" s="102"/>
      <c r="U32" s="102"/>
      <c r="V32" s="102"/>
      <c r="W32" s="102"/>
      <c r="X32" s="102"/>
      <c r="Y32" s="102"/>
      <c r="Z32" s="102"/>
      <c r="AA32" s="102"/>
      <c r="AB32" s="102"/>
      <c r="AC32" s="102"/>
      <c r="AD32" s="102"/>
      <c r="AE32" s="102"/>
      <c r="AF32" s="102"/>
      <c r="AG32" s="102"/>
    </row>
    <row r="33" spans="1:33">
      <c r="A33" s="102">
        <v>2001</v>
      </c>
      <c r="B33" s="102">
        <v>17.399999999999999</v>
      </c>
      <c r="C33" s="102">
        <v>12.7</v>
      </c>
      <c r="D33" s="102">
        <v>41.8</v>
      </c>
      <c r="E33" s="102">
        <v>130.4</v>
      </c>
      <c r="F33" s="102">
        <v>204.7</v>
      </c>
      <c r="G33" s="102">
        <v>128.80000000000001</v>
      </c>
      <c r="H33" s="102">
        <v>83.3</v>
      </c>
      <c r="I33" s="102">
        <v>89.8</v>
      </c>
      <c r="J33" s="102">
        <v>34.700000000000003</v>
      </c>
      <c r="K33" s="102">
        <v>179</v>
      </c>
      <c r="L33" s="102">
        <v>21.1</v>
      </c>
      <c r="M33" s="102">
        <v>11.7</v>
      </c>
      <c r="N33" s="102">
        <f t="shared" si="1"/>
        <v>202.3</v>
      </c>
      <c r="O33" s="102">
        <f t="shared" si="2"/>
        <v>541.30000000000007</v>
      </c>
      <c r="P33" s="102">
        <f t="shared" si="3"/>
        <v>211.79999999999998</v>
      </c>
      <c r="Q33" s="102">
        <f t="shared" si="4"/>
        <v>955.4</v>
      </c>
      <c r="R33" s="102"/>
      <c r="S33" s="102"/>
      <c r="T33" s="102"/>
      <c r="U33" s="102"/>
      <c r="V33" s="102"/>
      <c r="W33" s="102"/>
      <c r="X33" s="102"/>
      <c r="Y33" s="102"/>
      <c r="Z33" s="102"/>
      <c r="AA33" s="102"/>
      <c r="AB33" s="102"/>
      <c r="AC33" s="102"/>
      <c r="AD33" s="102"/>
      <c r="AE33" s="102"/>
      <c r="AF33" s="102"/>
      <c r="AG33" s="102"/>
    </row>
    <row r="34" spans="1:33">
      <c r="A34" s="102">
        <v>2002</v>
      </c>
      <c r="B34" s="102">
        <v>19.3</v>
      </c>
      <c r="C34" s="102">
        <v>18</v>
      </c>
      <c r="D34" s="102">
        <v>35.5</v>
      </c>
      <c r="E34" s="102">
        <v>114.9</v>
      </c>
      <c r="F34" s="102">
        <v>178.9</v>
      </c>
      <c r="G34" s="102">
        <v>313.5</v>
      </c>
      <c r="H34" s="102">
        <v>160.9</v>
      </c>
      <c r="I34" s="102">
        <v>269.89999999999998</v>
      </c>
      <c r="J34" s="102">
        <v>43.2</v>
      </c>
      <c r="K34" s="102">
        <v>71.3</v>
      </c>
      <c r="L34" s="102">
        <v>9.5</v>
      </c>
      <c r="M34" s="102">
        <v>27.9</v>
      </c>
      <c r="N34" s="102">
        <f t="shared" si="1"/>
        <v>187.7</v>
      </c>
      <c r="O34" s="102">
        <f t="shared" si="2"/>
        <v>966.4</v>
      </c>
      <c r="P34" s="102">
        <f t="shared" si="3"/>
        <v>108.69999999999999</v>
      </c>
      <c r="Q34" s="102">
        <f t="shared" si="4"/>
        <v>1262.8000000000002</v>
      </c>
      <c r="R34" s="102"/>
      <c r="S34" s="102"/>
      <c r="T34" s="102"/>
      <c r="U34" s="102"/>
      <c r="V34" s="102"/>
      <c r="W34" s="102"/>
      <c r="X34" s="102"/>
      <c r="Y34" s="102"/>
      <c r="Z34" s="102"/>
      <c r="AA34" s="102"/>
      <c r="AB34" s="102"/>
      <c r="AC34" s="102"/>
      <c r="AD34" s="102"/>
      <c r="AE34" s="102"/>
      <c r="AF34" s="102"/>
      <c r="AG34" s="102"/>
    </row>
    <row r="35" spans="1:33">
      <c r="A35" s="102">
        <v>2003</v>
      </c>
      <c r="B35" s="102">
        <v>30</v>
      </c>
      <c r="C35" s="102">
        <v>5.5</v>
      </c>
      <c r="D35" s="102">
        <v>12.5</v>
      </c>
      <c r="E35" s="102">
        <v>111.2</v>
      </c>
      <c r="F35" s="102">
        <v>101.5</v>
      </c>
      <c r="G35" s="102">
        <v>181</v>
      </c>
      <c r="H35" s="102">
        <v>221.7</v>
      </c>
      <c r="I35" s="102">
        <v>86.9</v>
      </c>
      <c r="J35" s="102">
        <v>59.4</v>
      </c>
      <c r="K35" s="102">
        <v>40</v>
      </c>
      <c r="L35" s="102">
        <v>30.2</v>
      </c>
      <c r="M35" s="102">
        <v>83.4</v>
      </c>
      <c r="N35" s="102">
        <f t="shared" si="1"/>
        <v>159.19999999999999</v>
      </c>
      <c r="O35" s="102">
        <f t="shared" si="2"/>
        <v>650.5</v>
      </c>
      <c r="P35" s="102">
        <f t="shared" si="3"/>
        <v>153.60000000000002</v>
      </c>
      <c r="Q35" s="102">
        <f t="shared" si="4"/>
        <v>963.3</v>
      </c>
      <c r="R35" s="102"/>
      <c r="S35" s="102"/>
      <c r="T35" s="102"/>
      <c r="U35" s="102"/>
      <c r="V35" s="102"/>
      <c r="W35" s="102"/>
      <c r="X35" s="102"/>
      <c r="Y35" s="102"/>
      <c r="Z35" s="102"/>
      <c r="AA35" s="102"/>
      <c r="AB35" s="102"/>
      <c r="AC35" s="102"/>
      <c r="AD35" s="102"/>
      <c r="AE35" s="102"/>
      <c r="AF35" s="102"/>
      <c r="AG35" s="102"/>
    </row>
    <row r="36" spans="1:33">
      <c r="A36" s="102">
        <v>2004</v>
      </c>
      <c r="B36" s="103">
        <v>23.3</v>
      </c>
      <c r="C36" s="103">
        <v>46.3</v>
      </c>
      <c r="D36" s="103">
        <v>34.4</v>
      </c>
      <c r="E36" s="103">
        <v>91.7</v>
      </c>
      <c r="F36" s="103">
        <v>172.8</v>
      </c>
      <c r="G36" s="103">
        <v>92.9</v>
      </c>
      <c r="H36" s="103">
        <v>274</v>
      </c>
      <c r="I36" s="103">
        <v>123.6</v>
      </c>
      <c r="J36" s="103">
        <v>98.2</v>
      </c>
      <c r="K36" s="103">
        <v>33.6</v>
      </c>
      <c r="L36" s="103">
        <v>94.9</v>
      </c>
      <c r="M36" s="103">
        <v>22.7</v>
      </c>
      <c r="N36" s="102">
        <f t="shared" si="1"/>
        <v>195.7</v>
      </c>
      <c r="O36" s="102">
        <f t="shared" si="2"/>
        <v>761.50000000000011</v>
      </c>
      <c r="P36" s="102">
        <f t="shared" si="3"/>
        <v>151.19999999999999</v>
      </c>
      <c r="Q36" s="102">
        <f t="shared" si="4"/>
        <v>1108.4000000000001</v>
      </c>
      <c r="R36" s="102"/>
      <c r="S36" s="102"/>
      <c r="T36" s="102"/>
      <c r="U36" s="102"/>
      <c r="V36" s="102"/>
      <c r="W36" s="102"/>
      <c r="X36" s="102"/>
      <c r="Y36" s="102"/>
      <c r="Z36" s="102"/>
      <c r="AA36" s="102"/>
      <c r="AB36" s="102"/>
      <c r="AC36" s="102"/>
      <c r="AD36" s="102"/>
      <c r="AE36" s="102"/>
      <c r="AF36" s="102"/>
      <c r="AG36" s="102"/>
    </row>
    <row r="37" spans="1:33">
      <c r="A37" s="102">
        <v>2005</v>
      </c>
      <c r="B37" s="102">
        <v>37.700000000000003</v>
      </c>
      <c r="C37" s="102">
        <v>9.6999999999999993</v>
      </c>
      <c r="D37" s="102">
        <v>43.6</v>
      </c>
      <c r="E37" s="102">
        <v>64.900000000000006</v>
      </c>
      <c r="F37" s="102">
        <v>144.5</v>
      </c>
      <c r="G37" s="102">
        <v>53.8</v>
      </c>
      <c r="H37" s="102">
        <v>89.7</v>
      </c>
      <c r="I37" s="102">
        <v>148.6</v>
      </c>
      <c r="J37" s="102">
        <v>56.7</v>
      </c>
      <c r="K37" s="103">
        <v>112.2</v>
      </c>
      <c r="L37" s="103">
        <v>18.5</v>
      </c>
      <c r="M37" s="103">
        <v>11.7</v>
      </c>
      <c r="N37" s="102">
        <f t="shared" si="1"/>
        <v>155.9</v>
      </c>
      <c r="O37" s="102">
        <f t="shared" si="2"/>
        <v>493.3</v>
      </c>
      <c r="P37" s="102">
        <f t="shared" si="3"/>
        <v>142.39999999999998</v>
      </c>
      <c r="Q37" s="102">
        <f t="shared" si="4"/>
        <v>791.60000000000014</v>
      </c>
      <c r="R37" s="102"/>
      <c r="S37" s="102"/>
      <c r="T37" s="102"/>
      <c r="U37" s="102"/>
      <c r="V37" s="102"/>
      <c r="W37" s="102"/>
      <c r="X37" s="102"/>
      <c r="Y37" s="102"/>
      <c r="Z37" s="102"/>
      <c r="AA37" s="102"/>
      <c r="AB37" s="102"/>
      <c r="AC37" s="102"/>
      <c r="AD37" s="102"/>
      <c r="AE37" s="102"/>
      <c r="AF37" s="102"/>
      <c r="AG37" s="102"/>
    </row>
    <row r="38" spans="1:33">
      <c r="A38" s="102">
        <v>2006</v>
      </c>
      <c r="B38" s="102">
        <v>19.2</v>
      </c>
      <c r="C38" s="102">
        <v>46.5</v>
      </c>
      <c r="D38" s="102">
        <v>24.7</v>
      </c>
      <c r="E38" s="102">
        <v>69.400000000000006</v>
      </c>
      <c r="F38" s="102">
        <v>115.4</v>
      </c>
      <c r="G38" s="102">
        <v>90</v>
      </c>
      <c r="H38" s="102">
        <v>56.2</v>
      </c>
      <c r="I38" s="102">
        <v>42.3</v>
      </c>
      <c r="J38" s="102">
        <v>128.5</v>
      </c>
      <c r="K38" s="102">
        <v>143.69999999999999</v>
      </c>
      <c r="L38" s="102">
        <v>50.2</v>
      </c>
      <c r="M38" s="102">
        <v>21.6</v>
      </c>
      <c r="N38" s="102">
        <f t="shared" si="1"/>
        <v>159.80000000000001</v>
      </c>
      <c r="O38" s="102">
        <f t="shared" si="2"/>
        <v>432.40000000000003</v>
      </c>
      <c r="P38" s="102">
        <f t="shared" si="3"/>
        <v>215.49999999999997</v>
      </c>
      <c r="Q38" s="102">
        <f t="shared" si="4"/>
        <v>807.70000000000016</v>
      </c>
      <c r="R38" s="102"/>
      <c r="S38" s="102"/>
      <c r="T38" s="102"/>
      <c r="U38" s="102"/>
      <c r="V38" s="102"/>
      <c r="W38" s="102"/>
      <c r="X38" s="102"/>
      <c r="Y38" s="102"/>
      <c r="Z38" s="102"/>
      <c r="AA38" s="102"/>
      <c r="AB38" s="102"/>
      <c r="AC38" s="102"/>
      <c r="AD38" s="102"/>
      <c r="AE38" s="102"/>
      <c r="AF38" s="102"/>
      <c r="AG38" s="102"/>
    </row>
    <row r="39" spans="1:33">
      <c r="A39" s="102">
        <v>2007</v>
      </c>
      <c r="B39" s="102">
        <v>23.6</v>
      </c>
      <c r="C39" s="102">
        <v>14.7</v>
      </c>
      <c r="D39" s="102">
        <v>26.4</v>
      </c>
      <c r="E39" s="102">
        <v>132</v>
      </c>
      <c r="F39" s="102">
        <v>60.1</v>
      </c>
      <c r="G39" s="102">
        <v>266.2</v>
      </c>
      <c r="H39" s="102">
        <v>196.7</v>
      </c>
      <c r="I39" s="102">
        <v>146.9</v>
      </c>
      <c r="J39" s="102">
        <v>99.4</v>
      </c>
      <c r="K39" s="102">
        <v>40.700000000000003</v>
      </c>
      <c r="L39" s="102">
        <v>13.4</v>
      </c>
      <c r="M39" s="102">
        <v>12</v>
      </c>
      <c r="N39" s="102">
        <f t="shared" si="1"/>
        <v>196.7</v>
      </c>
      <c r="O39" s="102">
        <f t="shared" si="2"/>
        <v>769.3</v>
      </c>
      <c r="P39" s="102">
        <f t="shared" si="3"/>
        <v>66.099999999999994</v>
      </c>
      <c r="Q39" s="102">
        <f t="shared" si="4"/>
        <v>1032.0999999999999</v>
      </c>
      <c r="R39" s="102"/>
      <c r="S39" s="102"/>
      <c r="T39" s="102"/>
      <c r="U39" s="102"/>
      <c r="V39" s="102"/>
      <c r="W39" s="102"/>
      <c r="X39" s="102"/>
      <c r="Y39" s="102"/>
      <c r="Z39" s="102"/>
      <c r="AA39" s="102"/>
      <c r="AB39" s="102"/>
      <c r="AC39" s="102"/>
      <c r="AD39" s="102"/>
      <c r="AE39" s="102"/>
      <c r="AF39" s="102"/>
      <c r="AG39" s="102"/>
    </row>
    <row r="40" spans="1:33">
      <c r="A40" s="102">
        <v>2008</v>
      </c>
      <c r="B40" s="102">
        <v>22</v>
      </c>
      <c r="C40" s="102">
        <v>19.5</v>
      </c>
      <c r="D40" s="102">
        <v>79.5</v>
      </c>
      <c r="E40" s="102">
        <v>53.1</v>
      </c>
      <c r="F40" s="102">
        <v>128.30000000000001</v>
      </c>
      <c r="G40" s="102">
        <v>63.7</v>
      </c>
      <c r="H40" s="102">
        <v>257.60000000000002</v>
      </c>
      <c r="I40" s="102">
        <v>220.5</v>
      </c>
      <c r="J40" s="102">
        <v>47.9</v>
      </c>
      <c r="K40" s="102">
        <v>129.5</v>
      </c>
      <c r="L40" s="102">
        <v>118.6</v>
      </c>
      <c r="M40" s="102">
        <v>15.8</v>
      </c>
      <c r="N40" s="102">
        <f t="shared" si="1"/>
        <v>174.1</v>
      </c>
      <c r="O40" s="102">
        <f t="shared" si="2"/>
        <v>718</v>
      </c>
      <c r="P40" s="102">
        <f t="shared" si="3"/>
        <v>263.89999999999998</v>
      </c>
      <c r="Q40" s="102">
        <f t="shared" si="4"/>
        <v>1156</v>
      </c>
      <c r="R40" s="102"/>
      <c r="S40" s="102"/>
      <c r="T40" s="102"/>
      <c r="U40" s="102"/>
      <c r="V40" s="102"/>
      <c r="W40" s="102"/>
      <c r="X40" s="102"/>
      <c r="Y40" s="102"/>
      <c r="Z40" s="102"/>
      <c r="AA40" s="102"/>
      <c r="AB40" s="102"/>
      <c r="AC40" s="102"/>
      <c r="AD40" s="102"/>
      <c r="AE40" s="102"/>
      <c r="AF40" s="102"/>
      <c r="AG40" s="102"/>
    </row>
    <row r="41" spans="1:33">
      <c r="A41" s="102">
        <v>2009</v>
      </c>
      <c r="B41" s="102">
        <v>28.5</v>
      </c>
      <c r="C41" s="102">
        <v>24.9</v>
      </c>
      <c r="D41" s="102">
        <v>32.200000000000003</v>
      </c>
      <c r="E41" s="102">
        <v>106.4</v>
      </c>
      <c r="F41" s="102">
        <v>197.1</v>
      </c>
      <c r="G41" s="102">
        <v>174</v>
      </c>
      <c r="H41" s="102">
        <v>119.6</v>
      </c>
      <c r="I41" s="102">
        <v>74.2</v>
      </c>
      <c r="J41" s="102">
        <v>25.5</v>
      </c>
      <c r="K41" s="102">
        <v>71.7</v>
      </c>
      <c r="L41" s="102">
        <v>14.2</v>
      </c>
      <c r="M41" s="102">
        <v>25</v>
      </c>
      <c r="N41" s="102">
        <f t="shared" si="1"/>
        <v>192</v>
      </c>
      <c r="O41" s="102">
        <f t="shared" si="2"/>
        <v>590.40000000000009</v>
      </c>
      <c r="P41" s="102">
        <f t="shared" si="3"/>
        <v>110.9</v>
      </c>
      <c r="Q41" s="102">
        <f t="shared" si="4"/>
        <v>893.30000000000018</v>
      </c>
      <c r="R41" s="102"/>
      <c r="S41" s="102"/>
      <c r="T41" s="102"/>
      <c r="U41" s="102"/>
      <c r="V41" s="102"/>
      <c r="W41" s="102"/>
      <c r="X41" s="102"/>
      <c r="Y41" s="102"/>
      <c r="Z41" s="102"/>
      <c r="AA41" s="102"/>
      <c r="AB41" s="102"/>
      <c r="AC41" s="102"/>
      <c r="AD41" s="102"/>
      <c r="AE41" s="102"/>
      <c r="AF41" s="102"/>
      <c r="AG41" s="102"/>
    </row>
    <row r="42" spans="1:33">
      <c r="A42" s="102">
        <v>2010</v>
      </c>
      <c r="B42" s="102">
        <v>3.4</v>
      </c>
      <c r="C42" s="102">
        <v>4.9000000000000004</v>
      </c>
      <c r="D42" s="102">
        <v>48.9</v>
      </c>
      <c r="E42" s="102">
        <v>74</v>
      </c>
      <c r="F42" s="102">
        <v>93.9</v>
      </c>
      <c r="G42" s="102">
        <v>225.8</v>
      </c>
      <c r="H42" s="102">
        <v>114.2</v>
      </c>
      <c r="I42" s="102">
        <v>84.4</v>
      </c>
      <c r="J42" s="102">
        <v>43.3</v>
      </c>
      <c r="K42" s="102">
        <v>125.4</v>
      </c>
      <c r="L42" s="102">
        <v>32.299999999999997</v>
      </c>
      <c r="M42" s="102">
        <v>26.2</v>
      </c>
      <c r="N42" s="102">
        <f t="shared" si="1"/>
        <v>131.19999999999999</v>
      </c>
      <c r="O42" s="102">
        <f t="shared" si="2"/>
        <v>561.6</v>
      </c>
      <c r="P42" s="102">
        <f t="shared" si="3"/>
        <v>183.89999999999998</v>
      </c>
      <c r="Q42" s="102">
        <f t="shared" si="4"/>
        <v>876.69999999999993</v>
      </c>
      <c r="R42" s="102"/>
      <c r="S42" s="102"/>
      <c r="T42" s="102"/>
      <c r="U42" s="102"/>
      <c r="V42" s="102"/>
      <c r="W42" s="102"/>
      <c r="X42" s="102"/>
      <c r="Y42" s="102"/>
      <c r="Z42" s="102"/>
      <c r="AA42" s="102"/>
      <c r="AB42" s="102"/>
      <c r="AC42" s="102"/>
      <c r="AD42" s="102"/>
      <c r="AE42" s="102"/>
      <c r="AF42" s="102"/>
      <c r="AG42" s="102"/>
    </row>
    <row r="43" spans="1:33">
      <c r="A43" s="102">
        <v>2011</v>
      </c>
      <c r="B43" s="102">
        <v>13.3</v>
      </c>
      <c r="C43" s="102">
        <v>9.6999999999999993</v>
      </c>
      <c r="D43" s="102">
        <v>25.2</v>
      </c>
      <c r="E43" s="102">
        <v>29.7</v>
      </c>
      <c r="F43" s="102">
        <v>126.1</v>
      </c>
      <c r="G43" s="102">
        <v>145.9</v>
      </c>
      <c r="H43" s="102">
        <v>35.700000000000003</v>
      </c>
      <c r="I43" s="102">
        <v>73</v>
      </c>
      <c r="J43" s="102">
        <v>84.7</v>
      </c>
      <c r="K43" s="102">
        <v>143.1</v>
      </c>
      <c r="L43" s="102">
        <v>87.5</v>
      </c>
      <c r="M43" s="102">
        <v>11.1</v>
      </c>
      <c r="N43" s="102">
        <f t="shared" si="1"/>
        <v>77.900000000000006</v>
      </c>
      <c r="O43" s="102">
        <f t="shared" si="2"/>
        <v>465.4</v>
      </c>
      <c r="P43" s="102">
        <f t="shared" si="3"/>
        <v>241.7</v>
      </c>
      <c r="Q43" s="102">
        <f t="shared" si="4"/>
        <v>785</v>
      </c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</row>
    <row r="44" spans="1:33">
      <c r="A44" s="102">
        <v>2012</v>
      </c>
      <c r="B44" s="102">
        <v>14.7</v>
      </c>
      <c r="C44" s="102">
        <v>17</v>
      </c>
      <c r="D44" s="102">
        <v>43.8</v>
      </c>
      <c r="E44" s="102">
        <v>33.200000000000003</v>
      </c>
      <c r="F44" s="102">
        <v>173.2</v>
      </c>
      <c r="G44" s="102">
        <v>172.1</v>
      </c>
      <c r="H44" s="102">
        <v>218</v>
      </c>
      <c r="I44" s="102">
        <v>65.7</v>
      </c>
      <c r="J44" s="102">
        <v>92.2</v>
      </c>
      <c r="K44" s="102">
        <v>48.7</v>
      </c>
      <c r="L44" s="102">
        <v>30.5</v>
      </c>
      <c r="M44" s="102">
        <v>17.600000000000001</v>
      </c>
      <c r="N44" s="102">
        <f t="shared" si="1"/>
        <v>108.7</v>
      </c>
      <c r="O44" s="102">
        <f t="shared" si="2"/>
        <v>721.2</v>
      </c>
      <c r="P44" s="102">
        <f t="shared" si="3"/>
        <v>96.800000000000011</v>
      </c>
      <c r="Q44" s="102">
        <f t="shared" si="4"/>
        <v>926.70000000000016</v>
      </c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</row>
    <row r="45" spans="1:33">
      <c r="A45" s="102">
        <v>2013</v>
      </c>
      <c r="B45" s="102">
        <v>3.7</v>
      </c>
      <c r="C45" s="102">
        <v>16.600000000000001</v>
      </c>
      <c r="D45" s="102">
        <v>95.8</v>
      </c>
      <c r="E45" s="102">
        <v>123.6</v>
      </c>
      <c r="F45" s="102">
        <v>227</v>
      </c>
      <c r="G45" s="102">
        <v>171.8</v>
      </c>
      <c r="H45" s="102">
        <v>10.1</v>
      </c>
      <c r="I45" s="102">
        <v>103.4</v>
      </c>
      <c r="J45" s="102">
        <v>86.5</v>
      </c>
      <c r="K45" s="102">
        <v>61.9</v>
      </c>
      <c r="L45" s="102">
        <v>38.1</v>
      </c>
      <c r="M45" s="102">
        <v>20.5</v>
      </c>
      <c r="N45" s="102">
        <f>SUM(B45:E45)</f>
        <v>239.7</v>
      </c>
      <c r="O45" s="102">
        <f t="shared" si="2"/>
        <v>598.80000000000007</v>
      </c>
      <c r="P45" s="102">
        <f t="shared" si="3"/>
        <v>120.5</v>
      </c>
      <c r="Q45" s="102">
        <f t="shared" si="4"/>
        <v>959</v>
      </c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4"/>
      <c r="AE45" s="104"/>
      <c r="AF45" s="104"/>
      <c r="AG45" s="104"/>
    </row>
    <row r="46" spans="1:33">
      <c r="A46" s="102">
        <v>2014</v>
      </c>
      <c r="B46" s="114">
        <v>9.9</v>
      </c>
      <c r="C46" s="114">
        <v>26.3</v>
      </c>
      <c r="D46" s="114">
        <v>67.3</v>
      </c>
      <c r="E46" s="114">
        <v>91.7</v>
      </c>
      <c r="F46" s="114">
        <v>124.8</v>
      </c>
      <c r="G46" s="114">
        <v>85.2</v>
      </c>
      <c r="H46" s="114">
        <v>297.3</v>
      </c>
      <c r="I46" s="114">
        <v>123.1</v>
      </c>
      <c r="J46" s="114">
        <v>41</v>
      </c>
      <c r="K46" s="114">
        <v>36.5</v>
      </c>
      <c r="L46" s="114">
        <v>58.2</v>
      </c>
      <c r="M46" s="114">
        <v>11.4</v>
      </c>
      <c r="N46" s="102">
        <f t="shared" ref="N46:N47" si="5">SUM(B46:E46)</f>
        <v>195.2</v>
      </c>
      <c r="O46" s="102">
        <f t="shared" si="2"/>
        <v>671.4</v>
      </c>
      <c r="P46" s="102">
        <f t="shared" si="3"/>
        <v>106.10000000000001</v>
      </c>
      <c r="Q46" s="102">
        <f t="shared" si="4"/>
        <v>972.7</v>
      </c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  <c r="AC46" s="102"/>
      <c r="AD46" s="102"/>
      <c r="AE46" s="102"/>
      <c r="AF46" s="102"/>
      <c r="AG46" s="102"/>
    </row>
    <row r="47" spans="1:33">
      <c r="A47" s="102">
        <v>2015</v>
      </c>
      <c r="B47" s="114">
        <v>28.2</v>
      </c>
      <c r="C47" s="114">
        <v>24.5</v>
      </c>
      <c r="D47" s="114">
        <v>26.7</v>
      </c>
      <c r="E47" s="114">
        <v>41.2</v>
      </c>
      <c r="F47" s="114">
        <v>154.80000000000001</v>
      </c>
      <c r="G47" s="114">
        <v>196.5</v>
      </c>
      <c r="H47" s="114">
        <v>114.5</v>
      </c>
      <c r="I47" s="114">
        <v>75.5</v>
      </c>
      <c r="J47" s="114">
        <v>144.6</v>
      </c>
      <c r="K47" s="114">
        <v>63.7</v>
      </c>
      <c r="L47" s="114">
        <v>15.5</v>
      </c>
      <c r="M47" s="114">
        <v>43.8</v>
      </c>
      <c r="N47" s="102">
        <f t="shared" si="5"/>
        <v>120.60000000000001</v>
      </c>
      <c r="O47" s="102">
        <f t="shared" si="2"/>
        <v>685.9</v>
      </c>
      <c r="P47" s="102">
        <f t="shared" si="3"/>
        <v>123</v>
      </c>
      <c r="Q47" s="102">
        <f t="shared" si="4"/>
        <v>929.50000000000011</v>
      </c>
      <c r="R47" s="102"/>
      <c r="S47" s="102"/>
      <c r="T47" s="102"/>
      <c r="U47" s="102"/>
      <c r="V47" s="102"/>
      <c r="W47" s="102"/>
      <c r="X47" s="102"/>
      <c r="Y47" s="102"/>
      <c r="Z47" s="102"/>
      <c r="AA47" s="102"/>
      <c r="AB47" s="102"/>
      <c r="AC47" s="102"/>
      <c r="AD47" s="102"/>
      <c r="AE47" s="102"/>
      <c r="AF47" s="102"/>
      <c r="AG47" s="102"/>
    </row>
    <row r="48" spans="1:33">
      <c r="A48" s="102">
        <v>2016</v>
      </c>
      <c r="B48" s="114">
        <v>16.8</v>
      </c>
      <c r="C48" s="114">
        <v>10.7</v>
      </c>
      <c r="D48" s="114">
        <v>40.5</v>
      </c>
      <c r="E48" s="114">
        <v>166.2</v>
      </c>
      <c r="F48" s="114">
        <v>122</v>
      </c>
      <c r="G48" s="114">
        <v>165.8</v>
      </c>
      <c r="H48" s="114">
        <v>66.3</v>
      </c>
      <c r="I48" s="114">
        <v>118.7</v>
      </c>
      <c r="J48" s="114">
        <v>10.7</v>
      </c>
      <c r="K48" s="114">
        <v>112.7</v>
      </c>
      <c r="L48" s="114">
        <v>61.1</v>
      </c>
      <c r="M48" s="114">
        <v>27.8</v>
      </c>
      <c r="N48" s="102">
        <f>SUM(B48:E48)</f>
        <v>234.2</v>
      </c>
      <c r="O48" s="102">
        <f>SUM(F48:J48)</f>
        <v>483.5</v>
      </c>
      <c r="P48" s="102">
        <f>SUM(K48:M48)</f>
        <v>201.60000000000002</v>
      </c>
      <c r="Q48" s="102">
        <f>SUM(B48:M48)</f>
        <v>919.30000000000007</v>
      </c>
      <c r="R48" s="102">
        <f t="shared" ref="R48:AG48" si="6">100*(B48-B4)/B4</f>
        <v>-17.060849598163024</v>
      </c>
      <c r="S48" s="102">
        <f t="shared" si="6"/>
        <v>-40.378385382920825</v>
      </c>
      <c r="T48" s="102">
        <f t="shared" si="6"/>
        <v>9.2603049124788246</v>
      </c>
      <c r="U48" s="102">
        <f t="shared" si="6"/>
        <v>123.28938324064244</v>
      </c>
      <c r="V48" s="102">
        <f t="shared" si="6"/>
        <v>-6.9214527776299342</v>
      </c>
      <c r="W48" s="102">
        <f t="shared" si="6"/>
        <v>-10.020950602014278</v>
      </c>
      <c r="X48" s="102">
        <f t="shared" si="6"/>
        <v>-50.467370908332761</v>
      </c>
      <c r="Y48" s="102">
        <f t="shared" si="6"/>
        <v>8.2340217990584801</v>
      </c>
      <c r="Z48" s="102">
        <f t="shared" si="6"/>
        <v>-85.73200607808478</v>
      </c>
      <c r="AA48" s="102">
        <f t="shared" si="6"/>
        <v>30.851896854327038</v>
      </c>
      <c r="AB48" s="102">
        <f t="shared" si="6"/>
        <v>45.267057392458263</v>
      </c>
      <c r="AC48" s="102">
        <f t="shared" si="6"/>
        <v>41.702228544333813</v>
      </c>
      <c r="AD48" s="102">
        <f t="shared" si="6"/>
        <v>56.443795439010778</v>
      </c>
      <c r="AE48" s="102">
        <f t="shared" si="6"/>
        <v>-23.72026299182555</v>
      </c>
      <c r="AF48" s="102">
        <f t="shared" si="6"/>
        <v>36.394102931227131</v>
      </c>
      <c r="AG48" s="102">
        <f t="shared" si="6"/>
        <v>-1.294929897499254</v>
      </c>
    </row>
  </sheetData>
  <mergeCells count="6">
    <mergeCell ref="A1:A3"/>
    <mergeCell ref="B1:Q1"/>
    <mergeCell ref="B2:M2"/>
    <mergeCell ref="R1:AG1"/>
    <mergeCell ref="N2:Q2"/>
    <mergeCell ref="R2:AG2"/>
  </mergeCells>
  <phoneticPr fontId="2" type="noConversion"/>
  <pageMargins left="0.75" right="0.75" top="1" bottom="1" header="0.5" footer="0.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9"/>
  <dimension ref="A1:AG54"/>
  <sheetViews>
    <sheetView zoomScale="85" zoomScaleNormal="85" workbookViewId="0">
      <pane ySplit="5" topLeftCell="A6" activePane="bottomLeft" state="frozen"/>
      <selection pane="bottomLeft" activeCell="A54" sqref="A54:XFD54"/>
    </sheetView>
  </sheetViews>
  <sheetFormatPr defaultRowHeight="12"/>
  <cols>
    <col min="1" max="34" width="7.125" style="102" customWidth="1"/>
    <col min="35" max="16384" width="9" style="102"/>
  </cols>
  <sheetData>
    <row r="1" spans="1:33" s="118" customFormat="1" ht="14.25" customHeight="1">
      <c r="A1" s="176" t="s">
        <v>0</v>
      </c>
      <c r="B1" s="176" t="s">
        <v>1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2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3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32</v>
      </c>
      <c r="O2" s="176"/>
      <c r="P2" s="176"/>
      <c r="Q2" s="176"/>
      <c r="R2" s="176" t="s">
        <v>6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 ht="24">
      <c r="A3" s="176"/>
      <c r="B3" s="106" t="s">
        <v>7</v>
      </c>
      <c r="C3" s="106" t="s">
        <v>8</v>
      </c>
      <c r="D3" s="106" t="s">
        <v>9</v>
      </c>
      <c r="E3" s="106" t="s">
        <v>10</v>
      </c>
      <c r="F3" s="106" t="s">
        <v>11</v>
      </c>
      <c r="G3" s="106" t="s">
        <v>12</v>
      </c>
      <c r="H3" s="106" t="s">
        <v>13</v>
      </c>
      <c r="I3" s="106" t="s">
        <v>14</v>
      </c>
      <c r="J3" s="106" t="s">
        <v>15</v>
      </c>
      <c r="K3" s="106" t="s">
        <v>16</v>
      </c>
      <c r="L3" s="106" t="s">
        <v>17</v>
      </c>
      <c r="M3" s="106" t="s">
        <v>18</v>
      </c>
      <c r="N3" s="106" t="s">
        <v>145</v>
      </c>
      <c r="O3" s="106" t="s">
        <v>146</v>
      </c>
      <c r="P3" s="106" t="s">
        <v>147</v>
      </c>
      <c r="Q3" s="106" t="s">
        <v>148</v>
      </c>
      <c r="R3" s="106" t="s">
        <v>7</v>
      </c>
      <c r="S3" s="106" t="s">
        <v>8</v>
      </c>
      <c r="T3" s="106" t="s">
        <v>151</v>
      </c>
      <c r="U3" s="106" t="s">
        <v>152</v>
      </c>
      <c r="V3" s="106" t="s">
        <v>23</v>
      </c>
      <c r="W3" s="106" t="s">
        <v>24</v>
      </c>
      <c r="X3" s="106" t="s">
        <v>25</v>
      </c>
      <c r="Y3" s="106" t="s">
        <v>26</v>
      </c>
      <c r="Z3" s="106" t="s">
        <v>27</v>
      </c>
      <c r="AA3" s="106" t="s">
        <v>155</v>
      </c>
      <c r="AB3" s="106" t="s">
        <v>156</v>
      </c>
      <c r="AC3" s="106" t="s">
        <v>157</v>
      </c>
      <c r="AD3" s="106" t="s">
        <v>90</v>
      </c>
      <c r="AE3" s="106" t="s">
        <v>4</v>
      </c>
      <c r="AF3" s="106" t="s">
        <v>91</v>
      </c>
      <c r="AG3" s="106" t="s">
        <v>5</v>
      </c>
    </row>
    <row r="4" spans="1:33" s="118" customFormat="1">
      <c r="A4" s="150" t="s">
        <v>261</v>
      </c>
      <c r="B4" s="150">
        <f t="shared" ref="B4:Q4" si="0">AVERAGE(B5:B53)</f>
        <v>21.010204081632647</v>
      </c>
      <c r="C4" s="150">
        <f t="shared" si="0"/>
        <v>22.481632653061219</v>
      </c>
      <c r="D4" s="150">
        <f t="shared" si="0"/>
        <v>46.632653061224502</v>
      </c>
      <c r="E4" s="150">
        <f t="shared" si="0"/>
        <v>85.618367346938783</v>
      </c>
      <c r="F4" s="150">
        <f t="shared" si="0"/>
        <v>152.64489795918368</v>
      </c>
      <c r="G4" s="150">
        <f t="shared" si="0"/>
        <v>189.55102040816325</v>
      </c>
      <c r="H4" s="150">
        <f t="shared" si="0"/>
        <v>132.21428571428575</v>
      </c>
      <c r="I4" s="150">
        <f t="shared" si="0"/>
        <v>103.33061224489798</v>
      </c>
      <c r="J4" s="150">
        <f t="shared" si="0"/>
        <v>83.624489795918393</v>
      </c>
      <c r="K4" s="150">
        <f t="shared" si="0"/>
        <v>91.430612244897944</v>
      </c>
      <c r="L4" s="150">
        <f t="shared" si="0"/>
        <v>44.52448979591837</v>
      </c>
      <c r="M4" s="150">
        <f t="shared" si="0"/>
        <v>20.704081632653057</v>
      </c>
      <c r="N4" s="150">
        <f t="shared" si="0"/>
        <v>175.74285714285716</v>
      </c>
      <c r="O4" s="150">
        <f t="shared" si="0"/>
        <v>661.36530612244894</v>
      </c>
      <c r="P4" s="150">
        <f t="shared" si="0"/>
        <v>156.65918367346939</v>
      </c>
      <c r="Q4" s="150">
        <f t="shared" si="0"/>
        <v>993.76734693877552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1967</v>
      </c>
      <c r="B5" s="102">
        <v>14.1</v>
      </c>
      <c r="C5" s="102">
        <v>4.5</v>
      </c>
      <c r="D5" s="102">
        <v>39.1</v>
      </c>
      <c r="E5" s="102">
        <v>27</v>
      </c>
      <c r="F5" s="102">
        <v>58.8</v>
      </c>
      <c r="G5" s="102">
        <v>266.7</v>
      </c>
      <c r="H5" s="102">
        <v>98.8</v>
      </c>
      <c r="I5" s="102">
        <v>51.2</v>
      </c>
      <c r="J5" s="102">
        <v>55.3</v>
      </c>
      <c r="K5" s="102">
        <v>52.7</v>
      </c>
      <c r="L5" s="102">
        <v>60.2</v>
      </c>
      <c r="M5" s="102">
        <v>26.8</v>
      </c>
      <c r="N5" s="102">
        <f>SUM(B5:E5)</f>
        <v>84.7</v>
      </c>
      <c r="O5" s="102">
        <f>SUM(F5:J5)</f>
        <v>530.79999999999995</v>
      </c>
      <c r="P5" s="102">
        <f>SUM(K5:M5)</f>
        <v>139.70000000000002</v>
      </c>
      <c r="Q5" s="102">
        <f>SUM(B5:M5)</f>
        <v>755.2</v>
      </c>
    </row>
    <row r="6" spans="1:33">
      <c r="A6" s="102">
        <v>1968</v>
      </c>
      <c r="B6" s="102">
        <v>13.3</v>
      </c>
      <c r="C6" s="102">
        <v>9.6999999999999993</v>
      </c>
      <c r="D6" s="102">
        <v>25.2</v>
      </c>
      <c r="E6" s="102">
        <v>29.7</v>
      </c>
      <c r="F6" s="102">
        <v>126.1</v>
      </c>
      <c r="G6" s="102">
        <v>145.9</v>
      </c>
      <c r="H6" s="102">
        <v>35.700000000000003</v>
      </c>
      <c r="I6" s="102">
        <v>73</v>
      </c>
      <c r="J6" s="102">
        <v>84.7</v>
      </c>
      <c r="K6" s="102">
        <v>52.8</v>
      </c>
      <c r="L6" s="102">
        <v>49.1</v>
      </c>
      <c r="M6" s="102">
        <v>36</v>
      </c>
      <c r="N6" s="102">
        <f t="shared" ref="N6:N53" si="1">SUM(B6:E6)</f>
        <v>77.900000000000006</v>
      </c>
      <c r="O6" s="102">
        <f t="shared" ref="O6:O53" si="2">SUM(F6:J6)</f>
        <v>465.4</v>
      </c>
      <c r="P6" s="102">
        <f t="shared" ref="P6:P53" si="3">SUM(K6:M6)</f>
        <v>137.9</v>
      </c>
      <c r="Q6" s="102">
        <f t="shared" ref="Q6:Q53" si="4">SUM(B6:M6)</f>
        <v>681.19999999999993</v>
      </c>
    </row>
    <row r="7" spans="1:33">
      <c r="A7" s="102">
        <v>1969</v>
      </c>
      <c r="B7" s="102">
        <v>8.8000000000000007</v>
      </c>
      <c r="C7" s="102">
        <v>7.9</v>
      </c>
      <c r="D7" s="102">
        <v>17.5</v>
      </c>
      <c r="E7" s="102">
        <v>19.2</v>
      </c>
      <c r="F7" s="102">
        <v>57.1</v>
      </c>
      <c r="G7" s="102">
        <v>218.5</v>
      </c>
      <c r="H7" s="102">
        <v>113.3</v>
      </c>
      <c r="I7" s="102">
        <v>79.5</v>
      </c>
      <c r="J7" s="102">
        <v>67.3</v>
      </c>
      <c r="K7" s="102">
        <v>215.8</v>
      </c>
      <c r="L7" s="102">
        <v>49.9</v>
      </c>
      <c r="M7" s="102">
        <v>2.1</v>
      </c>
      <c r="N7" s="102">
        <f t="shared" si="1"/>
        <v>53.400000000000006</v>
      </c>
      <c r="O7" s="102">
        <f t="shared" si="2"/>
        <v>535.70000000000005</v>
      </c>
      <c r="P7" s="102">
        <f t="shared" si="3"/>
        <v>267.8</v>
      </c>
      <c r="Q7" s="102">
        <f t="shared" si="4"/>
        <v>856.89999999999986</v>
      </c>
    </row>
    <row r="8" spans="1:33">
      <c r="A8" s="102">
        <v>1970</v>
      </c>
      <c r="B8" s="102">
        <v>6.1</v>
      </c>
      <c r="C8" s="102">
        <v>4.9000000000000004</v>
      </c>
      <c r="D8" s="102">
        <v>27</v>
      </c>
      <c r="E8" s="102">
        <v>32.6</v>
      </c>
      <c r="F8" s="102">
        <v>58.3</v>
      </c>
      <c r="G8" s="102">
        <v>289.10000000000002</v>
      </c>
      <c r="H8" s="102">
        <v>56.9</v>
      </c>
      <c r="I8" s="102">
        <v>65.5</v>
      </c>
      <c r="J8" s="102">
        <v>47.3</v>
      </c>
      <c r="K8" s="102">
        <v>27.8</v>
      </c>
      <c r="L8" s="102">
        <v>45.5</v>
      </c>
      <c r="M8" s="102">
        <v>48</v>
      </c>
      <c r="N8" s="102">
        <f t="shared" si="1"/>
        <v>70.599999999999994</v>
      </c>
      <c r="O8" s="102">
        <f t="shared" si="2"/>
        <v>517.1</v>
      </c>
      <c r="P8" s="102">
        <f t="shared" si="3"/>
        <v>121.3</v>
      </c>
      <c r="Q8" s="102">
        <f t="shared" si="4"/>
        <v>708.99999999999989</v>
      </c>
    </row>
    <row r="9" spans="1:33">
      <c r="A9" s="102">
        <v>1971</v>
      </c>
      <c r="B9" s="102">
        <v>10.7</v>
      </c>
      <c r="C9" s="102">
        <v>11.1</v>
      </c>
      <c r="D9" s="102">
        <v>55.1</v>
      </c>
      <c r="E9" s="102">
        <v>39</v>
      </c>
      <c r="F9" s="102">
        <v>68.8</v>
      </c>
      <c r="G9" s="102">
        <v>240.4</v>
      </c>
      <c r="H9" s="102">
        <v>87.1</v>
      </c>
      <c r="I9" s="102">
        <v>76.599999999999994</v>
      </c>
      <c r="J9" s="102">
        <v>55.6</v>
      </c>
      <c r="K9" s="102">
        <v>71.3</v>
      </c>
      <c r="L9" s="102">
        <v>15.7</v>
      </c>
      <c r="M9" s="102">
        <v>38</v>
      </c>
      <c r="N9" s="102">
        <f t="shared" si="1"/>
        <v>115.9</v>
      </c>
      <c r="O9" s="102">
        <f t="shared" si="2"/>
        <v>528.5</v>
      </c>
      <c r="P9" s="102">
        <f t="shared" si="3"/>
        <v>125</v>
      </c>
      <c r="Q9" s="102">
        <f t="shared" si="4"/>
        <v>769.40000000000009</v>
      </c>
    </row>
    <row r="10" spans="1:33">
      <c r="A10" s="102">
        <v>1972</v>
      </c>
      <c r="B10" s="102">
        <v>9</v>
      </c>
      <c r="C10" s="102">
        <v>5.5</v>
      </c>
      <c r="D10" s="102">
        <v>20.399999999999999</v>
      </c>
      <c r="E10" s="102">
        <v>34.5</v>
      </c>
      <c r="F10" s="102">
        <v>40.700000000000003</v>
      </c>
      <c r="G10" s="102">
        <v>143.9</v>
      </c>
      <c r="H10" s="102">
        <v>54.5</v>
      </c>
      <c r="I10" s="102">
        <v>71.5</v>
      </c>
      <c r="J10" s="102">
        <v>76.900000000000006</v>
      </c>
      <c r="K10" s="102">
        <v>167</v>
      </c>
      <c r="L10" s="102">
        <v>70.900000000000006</v>
      </c>
      <c r="M10" s="102">
        <v>14.3</v>
      </c>
      <c r="N10" s="102">
        <f t="shared" si="1"/>
        <v>69.400000000000006</v>
      </c>
      <c r="O10" s="102">
        <f t="shared" si="2"/>
        <v>387.5</v>
      </c>
      <c r="P10" s="102">
        <f t="shared" si="3"/>
        <v>252.20000000000002</v>
      </c>
      <c r="Q10" s="102">
        <f t="shared" si="4"/>
        <v>709.09999999999991</v>
      </c>
    </row>
    <row r="11" spans="1:33">
      <c r="A11" s="102">
        <v>1973</v>
      </c>
      <c r="B11" s="102">
        <v>11.3</v>
      </c>
      <c r="C11" s="102">
        <v>10.6</v>
      </c>
      <c r="D11" s="102">
        <v>45.3</v>
      </c>
      <c r="E11" s="102">
        <v>40.799999999999997</v>
      </c>
      <c r="F11" s="102">
        <v>62.3</v>
      </c>
      <c r="G11" s="102">
        <v>170.5</v>
      </c>
      <c r="H11" s="102">
        <v>61.5</v>
      </c>
      <c r="I11" s="102">
        <v>172.1</v>
      </c>
      <c r="J11" s="102">
        <v>57.2</v>
      </c>
      <c r="K11" s="102">
        <v>38.4</v>
      </c>
      <c r="L11" s="102">
        <v>29.6</v>
      </c>
      <c r="M11" s="102">
        <v>6</v>
      </c>
      <c r="N11" s="102">
        <f t="shared" si="1"/>
        <v>107.99999999999999</v>
      </c>
      <c r="O11" s="102">
        <f t="shared" si="2"/>
        <v>523.6</v>
      </c>
      <c r="P11" s="102">
        <f t="shared" si="3"/>
        <v>74</v>
      </c>
      <c r="Q11" s="102">
        <f t="shared" si="4"/>
        <v>705.6</v>
      </c>
    </row>
    <row r="12" spans="1:33">
      <c r="A12" s="102">
        <v>1974</v>
      </c>
      <c r="B12" s="102">
        <v>8.1</v>
      </c>
      <c r="C12" s="102">
        <v>17.3</v>
      </c>
      <c r="D12" s="102">
        <v>39.5</v>
      </c>
      <c r="E12" s="102">
        <v>36.5</v>
      </c>
      <c r="F12" s="102">
        <v>54.2</v>
      </c>
      <c r="G12" s="102">
        <v>227.4</v>
      </c>
      <c r="H12" s="102">
        <v>105.2</v>
      </c>
      <c r="I12" s="102">
        <v>62.8</v>
      </c>
      <c r="J12" s="102">
        <v>62.8</v>
      </c>
      <c r="K12" s="102">
        <v>161.9</v>
      </c>
      <c r="L12" s="102">
        <v>7.9</v>
      </c>
      <c r="M12" s="102">
        <v>24.6</v>
      </c>
      <c r="N12" s="102">
        <f t="shared" si="1"/>
        <v>101.4</v>
      </c>
      <c r="O12" s="102">
        <f t="shared" si="2"/>
        <v>512.4</v>
      </c>
      <c r="P12" s="102">
        <f t="shared" si="3"/>
        <v>194.4</v>
      </c>
      <c r="Q12" s="102">
        <f t="shared" si="4"/>
        <v>808.19999999999993</v>
      </c>
    </row>
    <row r="13" spans="1:33">
      <c r="A13" s="102">
        <v>1975</v>
      </c>
      <c r="B13" s="102">
        <v>16.7</v>
      </c>
      <c r="C13" s="102">
        <v>3.9</v>
      </c>
      <c r="D13" s="102">
        <v>33.299999999999997</v>
      </c>
      <c r="E13" s="102">
        <v>25.5</v>
      </c>
      <c r="F13" s="102">
        <v>83.5</v>
      </c>
      <c r="G13" s="102">
        <v>222.8</v>
      </c>
      <c r="H13" s="102">
        <v>38.9</v>
      </c>
      <c r="I13" s="102">
        <v>56.4</v>
      </c>
      <c r="J13" s="102">
        <v>61.9</v>
      </c>
      <c r="K13" s="102">
        <v>79</v>
      </c>
      <c r="L13" s="102">
        <v>96.9</v>
      </c>
      <c r="M13" s="102">
        <v>9.5</v>
      </c>
      <c r="N13" s="102">
        <f t="shared" si="1"/>
        <v>79.399999999999991</v>
      </c>
      <c r="O13" s="102">
        <f t="shared" si="2"/>
        <v>463.49999999999994</v>
      </c>
      <c r="P13" s="102">
        <f t="shared" si="3"/>
        <v>185.4</v>
      </c>
      <c r="Q13" s="102">
        <f t="shared" si="4"/>
        <v>728.3</v>
      </c>
    </row>
    <row r="14" spans="1:33">
      <c r="A14" s="102">
        <v>1976</v>
      </c>
      <c r="B14" s="102">
        <v>24.1</v>
      </c>
      <c r="C14" s="102">
        <v>7.5</v>
      </c>
      <c r="D14" s="102">
        <v>31.2</v>
      </c>
      <c r="E14" s="102">
        <v>38.799999999999997</v>
      </c>
      <c r="F14" s="102">
        <v>143.30000000000001</v>
      </c>
      <c r="G14" s="102">
        <v>195.8</v>
      </c>
      <c r="H14" s="102">
        <v>29.8</v>
      </c>
      <c r="I14" s="102">
        <v>18.7</v>
      </c>
      <c r="J14" s="102">
        <v>86.5</v>
      </c>
      <c r="K14" s="102">
        <v>89.9</v>
      </c>
      <c r="L14" s="102">
        <v>76.900000000000006</v>
      </c>
      <c r="M14" s="102">
        <v>15.5</v>
      </c>
      <c r="N14" s="102">
        <f t="shared" si="1"/>
        <v>101.6</v>
      </c>
      <c r="O14" s="102">
        <f t="shared" si="2"/>
        <v>474.1</v>
      </c>
      <c r="P14" s="102">
        <f t="shared" si="3"/>
        <v>182.3</v>
      </c>
      <c r="Q14" s="102">
        <f t="shared" si="4"/>
        <v>758</v>
      </c>
    </row>
    <row r="15" spans="1:33">
      <c r="A15" s="102">
        <v>1977</v>
      </c>
      <c r="B15" s="102">
        <v>14.7</v>
      </c>
      <c r="C15" s="102">
        <v>21.6</v>
      </c>
      <c r="D15" s="102">
        <v>52.9</v>
      </c>
      <c r="E15" s="102">
        <v>160.4</v>
      </c>
      <c r="F15" s="102">
        <v>228.8</v>
      </c>
      <c r="G15" s="102">
        <v>205.1</v>
      </c>
      <c r="H15" s="102">
        <v>151</v>
      </c>
      <c r="I15" s="102">
        <v>179.5</v>
      </c>
      <c r="J15" s="102">
        <v>68.5</v>
      </c>
      <c r="K15" s="102">
        <v>147.1</v>
      </c>
      <c r="L15" s="102">
        <v>45.5</v>
      </c>
      <c r="M15" s="102">
        <v>18.100000000000001</v>
      </c>
      <c r="N15" s="102">
        <f t="shared" si="1"/>
        <v>249.6</v>
      </c>
      <c r="O15" s="102">
        <f t="shared" si="2"/>
        <v>832.9</v>
      </c>
      <c r="P15" s="102">
        <f t="shared" si="3"/>
        <v>210.7</v>
      </c>
      <c r="Q15" s="102">
        <f t="shared" si="4"/>
        <v>1293.1999999999998</v>
      </c>
    </row>
    <row r="16" spans="1:33">
      <c r="A16" s="102">
        <v>1978</v>
      </c>
      <c r="B16" s="102">
        <v>23.9</v>
      </c>
      <c r="C16" s="102">
        <v>2.8</v>
      </c>
      <c r="D16" s="102">
        <v>22.4</v>
      </c>
      <c r="E16" s="102">
        <v>65.7</v>
      </c>
      <c r="F16" s="102">
        <v>209.1</v>
      </c>
      <c r="G16" s="102">
        <v>263.89999999999998</v>
      </c>
      <c r="H16" s="102">
        <v>44.8</v>
      </c>
      <c r="I16" s="102">
        <v>71</v>
      </c>
      <c r="J16" s="102">
        <v>85</v>
      </c>
      <c r="K16" s="102">
        <v>112.7</v>
      </c>
      <c r="L16" s="102">
        <v>62</v>
      </c>
      <c r="M16" s="102">
        <v>8.1</v>
      </c>
      <c r="N16" s="102">
        <f t="shared" si="1"/>
        <v>114.8</v>
      </c>
      <c r="O16" s="102">
        <f t="shared" si="2"/>
        <v>673.8</v>
      </c>
      <c r="P16" s="102">
        <f t="shared" si="3"/>
        <v>182.79999999999998</v>
      </c>
      <c r="Q16" s="102">
        <f t="shared" si="4"/>
        <v>971.4</v>
      </c>
    </row>
    <row r="17" spans="1:17">
      <c r="A17" s="102">
        <v>1979</v>
      </c>
      <c r="B17" s="102">
        <v>8</v>
      </c>
      <c r="C17" s="102">
        <v>13.1</v>
      </c>
      <c r="D17" s="102">
        <v>32.200000000000003</v>
      </c>
      <c r="E17" s="102">
        <v>59.9</v>
      </c>
      <c r="F17" s="102">
        <v>76</v>
      </c>
      <c r="G17" s="102">
        <v>317.7</v>
      </c>
      <c r="H17" s="102">
        <v>187.6</v>
      </c>
      <c r="I17" s="102">
        <v>74.400000000000006</v>
      </c>
      <c r="J17" s="102">
        <v>145.5</v>
      </c>
      <c r="K17" s="102">
        <v>38.4</v>
      </c>
      <c r="L17" s="102">
        <v>10</v>
      </c>
      <c r="M17" s="102">
        <v>18.7</v>
      </c>
      <c r="N17" s="102">
        <f t="shared" si="1"/>
        <v>113.2</v>
      </c>
      <c r="O17" s="102">
        <f t="shared" si="2"/>
        <v>801.19999999999993</v>
      </c>
      <c r="P17" s="102">
        <f t="shared" si="3"/>
        <v>67.099999999999994</v>
      </c>
      <c r="Q17" s="102">
        <f t="shared" si="4"/>
        <v>981.5</v>
      </c>
    </row>
    <row r="18" spans="1:17">
      <c r="A18" s="102">
        <v>1980</v>
      </c>
      <c r="B18" s="102">
        <v>35.9</v>
      </c>
      <c r="C18" s="102">
        <v>15.8</v>
      </c>
      <c r="D18" s="102">
        <v>78.900000000000006</v>
      </c>
      <c r="E18" s="102">
        <v>83.9</v>
      </c>
      <c r="F18" s="102">
        <v>233.6</v>
      </c>
      <c r="G18" s="102">
        <v>136.19999999999999</v>
      </c>
      <c r="H18" s="102">
        <v>215.7</v>
      </c>
      <c r="I18" s="102">
        <v>121.1</v>
      </c>
      <c r="J18" s="102">
        <v>136.9</v>
      </c>
      <c r="K18" s="102">
        <v>124</v>
      </c>
      <c r="L18" s="102">
        <v>67.099999999999994</v>
      </c>
      <c r="M18" s="102">
        <v>35</v>
      </c>
      <c r="N18" s="102">
        <f t="shared" si="1"/>
        <v>214.50000000000003</v>
      </c>
      <c r="O18" s="102">
        <f t="shared" si="2"/>
        <v>843.5</v>
      </c>
      <c r="P18" s="102">
        <f t="shared" si="3"/>
        <v>226.1</v>
      </c>
      <c r="Q18" s="102">
        <f t="shared" si="4"/>
        <v>1284.0999999999999</v>
      </c>
    </row>
    <row r="19" spans="1:17">
      <c r="A19" s="102">
        <v>1981</v>
      </c>
      <c r="B19" s="102">
        <v>33.700000000000003</v>
      </c>
      <c r="C19" s="102">
        <v>12.8</v>
      </c>
      <c r="D19" s="102">
        <v>33</v>
      </c>
      <c r="E19" s="102">
        <v>98.8</v>
      </c>
      <c r="F19" s="102">
        <v>166.9</v>
      </c>
      <c r="G19" s="102">
        <v>46.7</v>
      </c>
      <c r="H19" s="102">
        <v>39</v>
      </c>
      <c r="I19" s="102">
        <v>24.1</v>
      </c>
      <c r="J19" s="102">
        <v>59.1</v>
      </c>
      <c r="K19" s="102">
        <v>92.1</v>
      </c>
      <c r="L19" s="102">
        <v>62.5</v>
      </c>
      <c r="M19" s="102">
        <v>1.3</v>
      </c>
      <c r="N19" s="102">
        <f t="shared" si="1"/>
        <v>178.3</v>
      </c>
      <c r="O19" s="102">
        <f t="shared" si="2"/>
        <v>335.80000000000007</v>
      </c>
      <c r="P19" s="102">
        <f t="shared" si="3"/>
        <v>155.9</v>
      </c>
      <c r="Q19" s="102">
        <f t="shared" si="4"/>
        <v>670</v>
      </c>
    </row>
    <row r="20" spans="1:17">
      <c r="A20" s="102">
        <v>1982</v>
      </c>
      <c r="B20" s="102">
        <v>23.7</v>
      </c>
      <c r="C20" s="102">
        <v>72.7</v>
      </c>
      <c r="D20" s="102">
        <v>23.5</v>
      </c>
      <c r="E20" s="102">
        <v>97.5</v>
      </c>
      <c r="F20" s="102">
        <v>105.1</v>
      </c>
      <c r="G20" s="102">
        <v>177.5</v>
      </c>
      <c r="H20" s="102">
        <v>85.2</v>
      </c>
      <c r="I20" s="102">
        <v>241.9</v>
      </c>
      <c r="J20" s="102">
        <v>126.9</v>
      </c>
      <c r="K20" s="102">
        <v>49</v>
      </c>
      <c r="L20" s="102">
        <v>84.4</v>
      </c>
      <c r="M20" s="102">
        <v>18.5</v>
      </c>
      <c r="N20" s="102">
        <f t="shared" si="1"/>
        <v>217.4</v>
      </c>
      <c r="O20" s="102">
        <f t="shared" si="2"/>
        <v>736.6</v>
      </c>
      <c r="P20" s="102">
        <f t="shared" si="3"/>
        <v>151.9</v>
      </c>
      <c r="Q20" s="102">
        <f t="shared" si="4"/>
        <v>1105.9000000000001</v>
      </c>
    </row>
    <row r="21" spans="1:17">
      <c r="A21" s="102">
        <v>1983</v>
      </c>
      <c r="B21" s="102">
        <v>4.4000000000000004</v>
      </c>
      <c r="C21" s="102">
        <v>21.2</v>
      </c>
      <c r="D21" s="102">
        <v>41.4</v>
      </c>
      <c r="E21" s="102">
        <v>100.2</v>
      </c>
      <c r="F21" s="102">
        <v>97.4</v>
      </c>
      <c r="G21" s="102">
        <v>137.1</v>
      </c>
      <c r="H21" s="102">
        <v>179.9</v>
      </c>
      <c r="I21" s="102">
        <v>84.3</v>
      </c>
      <c r="J21" s="102">
        <v>15.9</v>
      </c>
      <c r="K21" s="102">
        <v>79.900000000000006</v>
      </c>
      <c r="L21" s="102">
        <v>56.9</v>
      </c>
      <c r="M21" s="102">
        <v>19.5</v>
      </c>
      <c r="N21" s="102">
        <f t="shared" si="1"/>
        <v>167.2</v>
      </c>
      <c r="O21" s="102">
        <f t="shared" si="2"/>
        <v>514.6</v>
      </c>
      <c r="P21" s="102">
        <f t="shared" si="3"/>
        <v>156.30000000000001</v>
      </c>
      <c r="Q21" s="102">
        <f t="shared" si="4"/>
        <v>838.09999999999991</v>
      </c>
    </row>
    <row r="22" spans="1:17">
      <c r="A22" s="102">
        <v>1984</v>
      </c>
      <c r="B22" s="102">
        <v>7.7</v>
      </c>
      <c r="C22" s="102">
        <v>9.3000000000000007</v>
      </c>
      <c r="D22" s="102">
        <v>51.5</v>
      </c>
      <c r="E22" s="102">
        <v>64.3</v>
      </c>
      <c r="F22" s="102">
        <v>208.1</v>
      </c>
      <c r="G22" s="102">
        <v>98.7</v>
      </c>
      <c r="H22" s="102">
        <v>80.5</v>
      </c>
      <c r="I22" s="102">
        <v>196.4</v>
      </c>
      <c r="J22" s="102">
        <v>93.6</v>
      </c>
      <c r="K22" s="102">
        <v>100.4</v>
      </c>
      <c r="L22" s="102">
        <v>19.7</v>
      </c>
      <c r="M22" s="102">
        <v>28.5</v>
      </c>
      <c r="N22" s="102">
        <f t="shared" si="1"/>
        <v>132.80000000000001</v>
      </c>
      <c r="O22" s="102">
        <f t="shared" si="2"/>
        <v>677.30000000000007</v>
      </c>
      <c r="P22" s="102">
        <f t="shared" si="3"/>
        <v>148.60000000000002</v>
      </c>
      <c r="Q22" s="102">
        <f t="shared" si="4"/>
        <v>958.69999999999993</v>
      </c>
    </row>
    <row r="23" spans="1:17">
      <c r="A23" s="102">
        <v>1985</v>
      </c>
      <c r="B23" s="102">
        <v>4.4000000000000004</v>
      </c>
      <c r="C23" s="102">
        <v>21.2</v>
      </c>
      <c r="D23" s="102">
        <v>41.4</v>
      </c>
      <c r="E23" s="102">
        <v>100.2</v>
      </c>
      <c r="F23" s="102">
        <v>97.4</v>
      </c>
      <c r="G23" s="102">
        <v>137.1</v>
      </c>
      <c r="H23" s="102">
        <v>187.9</v>
      </c>
      <c r="I23" s="102">
        <v>84.3</v>
      </c>
      <c r="J23" s="102">
        <v>15.9</v>
      </c>
      <c r="K23" s="102">
        <v>79.900000000000006</v>
      </c>
      <c r="L23" s="102">
        <v>56.9</v>
      </c>
      <c r="M23" s="102">
        <v>19.5</v>
      </c>
      <c r="N23" s="102">
        <f t="shared" si="1"/>
        <v>167.2</v>
      </c>
      <c r="O23" s="102">
        <f t="shared" si="2"/>
        <v>522.6</v>
      </c>
      <c r="P23" s="102">
        <f t="shared" si="3"/>
        <v>156.30000000000001</v>
      </c>
      <c r="Q23" s="102">
        <f t="shared" si="4"/>
        <v>846.09999999999991</v>
      </c>
    </row>
    <row r="24" spans="1:17">
      <c r="A24" s="102">
        <v>1986</v>
      </c>
      <c r="B24" s="102">
        <v>13.9</v>
      </c>
      <c r="C24" s="102">
        <v>13.1</v>
      </c>
      <c r="D24" s="102">
        <v>58.9</v>
      </c>
      <c r="E24" s="102">
        <v>74.5</v>
      </c>
      <c r="F24" s="102">
        <v>130.9</v>
      </c>
      <c r="G24" s="102">
        <v>101.8</v>
      </c>
      <c r="H24" s="102">
        <v>303.3</v>
      </c>
      <c r="I24" s="102">
        <v>48.7</v>
      </c>
      <c r="J24" s="102">
        <v>37.200000000000003</v>
      </c>
      <c r="K24" s="102">
        <v>80.2</v>
      </c>
      <c r="L24" s="102">
        <v>43.8</v>
      </c>
      <c r="M24" s="102">
        <v>1.7</v>
      </c>
      <c r="N24" s="102">
        <f t="shared" si="1"/>
        <v>160.4</v>
      </c>
      <c r="O24" s="102">
        <f t="shared" si="2"/>
        <v>621.90000000000009</v>
      </c>
      <c r="P24" s="102">
        <f t="shared" si="3"/>
        <v>125.7</v>
      </c>
      <c r="Q24" s="102">
        <f t="shared" si="4"/>
        <v>908.00000000000023</v>
      </c>
    </row>
    <row r="25" spans="1:17">
      <c r="A25" s="102">
        <v>1987</v>
      </c>
      <c r="B25" s="102">
        <v>27</v>
      </c>
      <c r="C25" s="102">
        <v>18.100000000000001</v>
      </c>
      <c r="D25" s="102">
        <v>29.6</v>
      </c>
      <c r="E25" s="102">
        <v>42</v>
      </c>
      <c r="F25" s="102">
        <v>181.3</v>
      </c>
      <c r="G25" s="102">
        <v>175.8</v>
      </c>
      <c r="H25" s="102">
        <v>73.3</v>
      </c>
      <c r="I25" s="102">
        <v>123.6</v>
      </c>
      <c r="J25" s="102">
        <v>145.6</v>
      </c>
      <c r="K25" s="102">
        <v>130</v>
      </c>
      <c r="L25" s="102">
        <v>47.8</v>
      </c>
      <c r="M25" s="102">
        <v>8.8000000000000007</v>
      </c>
      <c r="N25" s="102">
        <f t="shared" si="1"/>
        <v>116.7</v>
      </c>
      <c r="O25" s="102">
        <f t="shared" si="2"/>
        <v>699.6</v>
      </c>
      <c r="P25" s="102">
        <f t="shared" si="3"/>
        <v>186.60000000000002</v>
      </c>
      <c r="Q25" s="102">
        <f t="shared" si="4"/>
        <v>1002.9</v>
      </c>
    </row>
    <row r="26" spans="1:17">
      <c r="A26" s="102">
        <v>1988</v>
      </c>
      <c r="B26" s="102">
        <v>23.4</v>
      </c>
      <c r="C26" s="102">
        <v>15.9</v>
      </c>
      <c r="D26" s="102">
        <v>12.3</v>
      </c>
      <c r="E26" s="102">
        <v>40.200000000000003</v>
      </c>
      <c r="F26" s="102">
        <v>186</v>
      </c>
      <c r="G26" s="102">
        <v>198.4</v>
      </c>
      <c r="H26" s="102">
        <v>73.400000000000006</v>
      </c>
      <c r="I26" s="102">
        <v>290</v>
      </c>
      <c r="J26" s="102">
        <v>93</v>
      </c>
      <c r="K26" s="102">
        <v>58</v>
      </c>
      <c r="L26" s="102">
        <v>3.5</v>
      </c>
      <c r="M26" s="102">
        <v>8.5</v>
      </c>
      <c r="N26" s="102">
        <f t="shared" si="1"/>
        <v>91.8</v>
      </c>
      <c r="O26" s="102">
        <f t="shared" si="2"/>
        <v>840.8</v>
      </c>
      <c r="P26" s="102">
        <f t="shared" si="3"/>
        <v>70</v>
      </c>
      <c r="Q26" s="102">
        <f t="shared" si="4"/>
        <v>1002.6</v>
      </c>
    </row>
    <row r="27" spans="1:17">
      <c r="A27" s="102">
        <v>1989</v>
      </c>
      <c r="B27" s="102">
        <v>9.4</v>
      </c>
      <c r="C27" s="102">
        <v>30.3</v>
      </c>
      <c r="D27" s="102">
        <v>58.6</v>
      </c>
      <c r="E27" s="102">
        <v>113.2</v>
      </c>
      <c r="F27" s="102">
        <v>83.6</v>
      </c>
      <c r="G27" s="102">
        <v>184.2</v>
      </c>
      <c r="H27" s="102">
        <v>59.4</v>
      </c>
      <c r="I27" s="102">
        <v>57.3</v>
      </c>
      <c r="J27" s="102">
        <v>91.7</v>
      </c>
      <c r="K27" s="102">
        <v>43.3</v>
      </c>
      <c r="L27" s="102">
        <v>34</v>
      </c>
      <c r="M27" s="102">
        <v>30.2</v>
      </c>
      <c r="N27" s="102">
        <f t="shared" si="1"/>
        <v>211.5</v>
      </c>
      <c r="O27" s="102">
        <f t="shared" si="2"/>
        <v>476.19999999999993</v>
      </c>
      <c r="P27" s="102">
        <f t="shared" si="3"/>
        <v>107.5</v>
      </c>
      <c r="Q27" s="102">
        <f t="shared" si="4"/>
        <v>795.2</v>
      </c>
    </row>
    <row r="28" spans="1:17">
      <c r="A28" s="102">
        <v>1990</v>
      </c>
      <c r="B28" s="102">
        <v>26.6</v>
      </c>
      <c r="C28" s="102">
        <v>17.5</v>
      </c>
      <c r="D28" s="102">
        <v>86.4</v>
      </c>
      <c r="E28" s="102">
        <v>97.2</v>
      </c>
      <c r="F28" s="102">
        <v>164.5</v>
      </c>
      <c r="G28" s="102">
        <v>251.9</v>
      </c>
      <c r="H28" s="102">
        <v>67.900000000000006</v>
      </c>
      <c r="I28" s="102">
        <v>2.9</v>
      </c>
      <c r="J28" s="102">
        <v>107.8</v>
      </c>
      <c r="K28" s="102">
        <v>72.599999999999994</v>
      </c>
      <c r="L28" s="102">
        <v>48.1</v>
      </c>
      <c r="M28" s="102">
        <v>7.9</v>
      </c>
      <c r="N28" s="102">
        <f t="shared" si="1"/>
        <v>227.7</v>
      </c>
      <c r="O28" s="102">
        <f t="shared" si="2"/>
        <v>594.99999999999989</v>
      </c>
      <c r="P28" s="102">
        <f t="shared" si="3"/>
        <v>128.6</v>
      </c>
      <c r="Q28" s="102">
        <f t="shared" si="4"/>
        <v>951.3</v>
      </c>
    </row>
    <row r="29" spans="1:17">
      <c r="A29" s="102">
        <v>1991</v>
      </c>
      <c r="B29" s="102">
        <v>84.4</v>
      </c>
      <c r="C29" s="102">
        <v>53</v>
      </c>
      <c r="D29" s="102">
        <v>66.3</v>
      </c>
      <c r="E29" s="102">
        <v>67.099999999999994</v>
      </c>
      <c r="F29" s="102">
        <v>86.1</v>
      </c>
      <c r="G29" s="102">
        <v>272.3</v>
      </c>
      <c r="H29" s="102">
        <v>338.3</v>
      </c>
      <c r="I29" s="102">
        <v>83.2</v>
      </c>
      <c r="J29" s="102">
        <v>40.6</v>
      </c>
      <c r="K29" s="102">
        <v>66.900000000000006</v>
      </c>
      <c r="L29" s="102">
        <v>58.9</v>
      </c>
      <c r="M29" s="102">
        <v>22.7</v>
      </c>
      <c r="N29" s="102">
        <f t="shared" si="1"/>
        <v>270.79999999999995</v>
      </c>
      <c r="O29" s="102">
        <f t="shared" si="2"/>
        <v>820.50000000000011</v>
      </c>
      <c r="P29" s="102">
        <f t="shared" si="3"/>
        <v>148.5</v>
      </c>
      <c r="Q29" s="102">
        <f t="shared" si="4"/>
        <v>1239.8000000000002</v>
      </c>
    </row>
    <row r="30" spans="1:17">
      <c r="A30" s="102">
        <v>1992</v>
      </c>
      <c r="B30" s="102">
        <v>19.8</v>
      </c>
      <c r="C30" s="102">
        <v>32.700000000000003</v>
      </c>
      <c r="D30" s="102">
        <v>57.7</v>
      </c>
      <c r="E30" s="102">
        <v>146.6</v>
      </c>
      <c r="F30" s="102">
        <v>210.6</v>
      </c>
      <c r="G30" s="102">
        <v>183.4</v>
      </c>
      <c r="H30" s="102">
        <v>230.9</v>
      </c>
      <c r="I30" s="102">
        <v>38.5</v>
      </c>
      <c r="J30" s="102">
        <v>51.5</v>
      </c>
      <c r="K30" s="102">
        <v>37.4</v>
      </c>
      <c r="L30" s="102">
        <v>16.2</v>
      </c>
      <c r="M30" s="102">
        <v>34.299999999999997</v>
      </c>
      <c r="N30" s="102">
        <f t="shared" si="1"/>
        <v>256.8</v>
      </c>
      <c r="O30" s="102">
        <f t="shared" si="2"/>
        <v>714.9</v>
      </c>
      <c r="P30" s="102">
        <f t="shared" si="3"/>
        <v>87.899999999999991</v>
      </c>
      <c r="Q30" s="102">
        <f t="shared" si="4"/>
        <v>1059.5999999999999</v>
      </c>
    </row>
    <row r="31" spans="1:17">
      <c r="A31" s="102">
        <v>1993</v>
      </c>
      <c r="B31" s="102">
        <v>43</v>
      </c>
      <c r="C31" s="102">
        <v>60</v>
      </c>
      <c r="D31" s="102">
        <v>40.200000000000003</v>
      </c>
      <c r="E31" s="102">
        <v>53.9</v>
      </c>
      <c r="F31" s="102">
        <v>162.6</v>
      </c>
      <c r="G31" s="102">
        <v>185.2</v>
      </c>
      <c r="H31" s="102">
        <v>226.6</v>
      </c>
      <c r="I31" s="102">
        <v>142.6</v>
      </c>
      <c r="J31" s="102">
        <v>74.7</v>
      </c>
      <c r="K31" s="102">
        <v>43.7</v>
      </c>
      <c r="L31" s="102">
        <v>42.1</v>
      </c>
      <c r="M31" s="102">
        <v>20.3</v>
      </c>
      <c r="N31" s="102">
        <f t="shared" si="1"/>
        <v>197.1</v>
      </c>
      <c r="O31" s="102">
        <f t="shared" si="2"/>
        <v>791.7</v>
      </c>
      <c r="P31" s="102">
        <f t="shared" si="3"/>
        <v>106.10000000000001</v>
      </c>
      <c r="Q31" s="102">
        <f t="shared" si="4"/>
        <v>1094.8999999999999</v>
      </c>
    </row>
    <row r="32" spans="1:17">
      <c r="A32" s="102">
        <v>1994</v>
      </c>
      <c r="B32" s="102">
        <v>16.600000000000001</v>
      </c>
      <c r="C32" s="102">
        <v>15.7</v>
      </c>
      <c r="D32" s="102">
        <v>69.3</v>
      </c>
      <c r="E32" s="102">
        <v>187.7</v>
      </c>
      <c r="F32" s="102">
        <v>206.5</v>
      </c>
      <c r="G32" s="102">
        <v>97</v>
      </c>
      <c r="H32" s="102">
        <v>88</v>
      </c>
      <c r="I32" s="102">
        <v>75.2</v>
      </c>
      <c r="J32" s="102">
        <v>125.8</v>
      </c>
      <c r="K32" s="102">
        <v>243.7</v>
      </c>
      <c r="L32" s="102">
        <v>103.7</v>
      </c>
      <c r="M32" s="102">
        <v>18</v>
      </c>
      <c r="N32" s="102">
        <f t="shared" si="1"/>
        <v>289.29999999999995</v>
      </c>
      <c r="O32" s="102">
        <f t="shared" si="2"/>
        <v>592.5</v>
      </c>
      <c r="P32" s="102">
        <f t="shared" si="3"/>
        <v>365.4</v>
      </c>
      <c r="Q32" s="102">
        <f t="shared" si="4"/>
        <v>1247.2</v>
      </c>
    </row>
    <row r="33" spans="1:17">
      <c r="A33" s="102">
        <v>1995</v>
      </c>
      <c r="B33" s="102">
        <v>22.7</v>
      </c>
      <c r="C33" s="102">
        <v>54.9</v>
      </c>
      <c r="D33" s="102">
        <v>26.8</v>
      </c>
      <c r="E33" s="102">
        <v>108.4</v>
      </c>
      <c r="F33" s="102">
        <v>306.2</v>
      </c>
      <c r="G33" s="102">
        <v>282.2</v>
      </c>
      <c r="H33" s="102">
        <v>101.4</v>
      </c>
      <c r="I33" s="102">
        <v>93.3</v>
      </c>
      <c r="J33" s="102">
        <v>142.9</v>
      </c>
      <c r="K33" s="102">
        <v>111</v>
      </c>
      <c r="L33" s="102">
        <v>36.5</v>
      </c>
      <c r="M33" s="102">
        <v>6.7</v>
      </c>
      <c r="N33" s="102">
        <f t="shared" si="1"/>
        <v>212.8</v>
      </c>
      <c r="O33" s="102">
        <f t="shared" si="2"/>
        <v>925.99999999999989</v>
      </c>
      <c r="P33" s="102">
        <f t="shared" si="3"/>
        <v>154.19999999999999</v>
      </c>
      <c r="Q33" s="102">
        <f t="shared" si="4"/>
        <v>1293</v>
      </c>
    </row>
    <row r="34" spans="1:17">
      <c r="A34" s="102">
        <v>1996</v>
      </c>
      <c r="B34" s="102">
        <v>24.2</v>
      </c>
      <c r="C34" s="102">
        <v>2.2999999999999998</v>
      </c>
      <c r="D34" s="102">
        <v>54.9</v>
      </c>
      <c r="E34" s="102">
        <v>38.6</v>
      </c>
      <c r="F34" s="102">
        <v>172.4</v>
      </c>
      <c r="G34" s="102">
        <v>238.9</v>
      </c>
      <c r="H34" s="102">
        <v>299.10000000000002</v>
      </c>
      <c r="I34" s="102">
        <v>220.5</v>
      </c>
      <c r="J34" s="102">
        <v>19</v>
      </c>
      <c r="K34" s="102">
        <v>77.599999999999994</v>
      </c>
      <c r="L34" s="102">
        <v>49.3</v>
      </c>
      <c r="M34" s="102">
        <v>19.5</v>
      </c>
      <c r="N34" s="102">
        <f t="shared" si="1"/>
        <v>120</v>
      </c>
      <c r="O34" s="102">
        <f t="shared" si="2"/>
        <v>949.90000000000009</v>
      </c>
      <c r="P34" s="102">
        <f t="shared" si="3"/>
        <v>146.39999999999998</v>
      </c>
      <c r="Q34" s="102">
        <f t="shared" si="4"/>
        <v>1216.3</v>
      </c>
    </row>
    <row r="35" spans="1:17">
      <c r="A35" s="102">
        <v>1997</v>
      </c>
      <c r="B35" s="102">
        <v>49.3</v>
      </c>
      <c r="C35" s="102">
        <v>43.3</v>
      </c>
      <c r="D35" s="102">
        <v>63.9</v>
      </c>
      <c r="E35" s="102">
        <v>114.5</v>
      </c>
      <c r="F35" s="102">
        <v>117.1</v>
      </c>
      <c r="G35" s="102">
        <v>185.3</v>
      </c>
      <c r="H35" s="102">
        <v>140.80000000000001</v>
      </c>
      <c r="I35" s="102">
        <v>19.899999999999999</v>
      </c>
      <c r="J35" s="102">
        <v>206.9</v>
      </c>
      <c r="K35" s="102">
        <v>163.1</v>
      </c>
      <c r="L35" s="102">
        <v>25.4</v>
      </c>
      <c r="M35" s="102">
        <v>28.5</v>
      </c>
      <c r="N35" s="102">
        <f t="shared" si="1"/>
        <v>271</v>
      </c>
      <c r="O35" s="102">
        <f t="shared" si="2"/>
        <v>670</v>
      </c>
      <c r="P35" s="102">
        <f t="shared" si="3"/>
        <v>217</v>
      </c>
      <c r="Q35" s="102">
        <f t="shared" si="4"/>
        <v>1158</v>
      </c>
    </row>
    <row r="36" spans="1:17">
      <c r="A36" s="102">
        <v>1998</v>
      </c>
      <c r="B36" s="102">
        <v>13.5</v>
      </c>
      <c r="C36" s="102">
        <v>20.3</v>
      </c>
      <c r="D36" s="102">
        <v>34.4</v>
      </c>
      <c r="E36" s="102">
        <v>113.9</v>
      </c>
      <c r="F36" s="102">
        <v>277.89999999999998</v>
      </c>
      <c r="G36" s="102">
        <v>177.6</v>
      </c>
      <c r="H36" s="102">
        <v>142.1</v>
      </c>
      <c r="I36" s="102">
        <v>231.3</v>
      </c>
      <c r="J36" s="102">
        <v>39.9</v>
      </c>
      <c r="K36" s="102">
        <v>87.7</v>
      </c>
      <c r="L36" s="102">
        <v>23.7</v>
      </c>
      <c r="M36" s="102">
        <v>29</v>
      </c>
      <c r="N36" s="102">
        <f t="shared" si="1"/>
        <v>182.1</v>
      </c>
      <c r="O36" s="102">
        <f t="shared" si="2"/>
        <v>868.80000000000007</v>
      </c>
      <c r="P36" s="102">
        <f t="shared" si="3"/>
        <v>140.4</v>
      </c>
      <c r="Q36" s="102">
        <f t="shared" si="4"/>
        <v>1191.3000000000002</v>
      </c>
    </row>
    <row r="37" spans="1:17">
      <c r="A37" s="102">
        <v>1999</v>
      </c>
      <c r="B37" s="102">
        <v>21.1</v>
      </c>
      <c r="C37" s="102">
        <v>7.7</v>
      </c>
      <c r="D37" s="102">
        <v>29.5</v>
      </c>
      <c r="E37" s="102">
        <v>100</v>
      </c>
      <c r="F37" s="102">
        <v>166.3</v>
      </c>
      <c r="G37" s="102">
        <v>293.5</v>
      </c>
      <c r="H37" s="102">
        <v>303.60000000000002</v>
      </c>
      <c r="I37" s="102">
        <v>162.9</v>
      </c>
      <c r="J37" s="102">
        <v>131.80000000000001</v>
      </c>
      <c r="K37" s="102">
        <v>49.6</v>
      </c>
      <c r="L37" s="102">
        <v>38.5</v>
      </c>
      <c r="M37" s="102">
        <v>0.4</v>
      </c>
      <c r="N37" s="102">
        <f t="shared" si="1"/>
        <v>158.30000000000001</v>
      </c>
      <c r="O37" s="102">
        <f t="shared" si="2"/>
        <v>1058.1000000000001</v>
      </c>
      <c r="P37" s="102">
        <f t="shared" si="3"/>
        <v>88.5</v>
      </c>
      <c r="Q37" s="102">
        <f t="shared" si="4"/>
        <v>1304.9000000000001</v>
      </c>
    </row>
    <row r="38" spans="1:17">
      <c r="A38" s="102">
        <v>2000</v>
      </c>
      <c r="B38" s="102">
        <v>22.3</v>
      </c>
      <c r="C38" s="102">
        <v>18.3</v>
      </c>
      <c r="D38" s="102">
        <v>76.599999999999994</v>
      </c>
      <c r="E38" s="102">
        <v>104.3</v>
      </c>
      <c r="F38" s="102">
        <v>159.19999999999999</v>
      </c>
      <c r="G38" s="102">
        <v>329.8</v>
      </c>
      <c r="H38" s="102">
        <v>56.5</v>
      </c>
      <c r="I38" s="102">
        <v>128.9</v>
      </c>
      <c r="J38" s="102">
        <v>123.7</v>
      </c>
      <c r="K38" s="102">
        <v>84.2</v>
      </c>
      <c r="L38" s="102">
        <v>29.7</v>
      </c>
      <c r="M38" s="102">
        <v>15</v>
      </c>
      <c r="N38" s="102">
        <f t="shared" si="1"/>
        <v>221.5</v>
      </c>
      <c r="O38" s="102">
        <f t="shared" si="2"/>
        <v>798.1</v>
      </c>
      <c r="P38" s="102">
        <f t="shared" si="3"/>
        <v>128.9</v>
      </c>
      <c r="Q38" s="102">
        <f t="shared" si="4"/>
        <v>1148.5</v>
      </c>
    </row>
    <row r="39" spans="1:17">
      <c r="A39" s="102">
        <v>2001</v>
      </c>
      <c r="B39" s="102">
        <v>29.9</v>
      </c>
      <c r="C39" s="102">
        <v>22.7</v>
      </c>
      <c r="D39" s="102">
        <v>51.7</v>
      </c>
      <c r="E39" s="102">
        <v>99.1</v>
      </c>
      <c r="F39" s="102">
        <v>127</v>
      </c>
      <c r="G39" s="102">
        <v>124.3</v>
      </c>
      <c r="H39" s="102">
        <v>118.3</v>
      </c>
      <c r="I39" s="102">
        <v>77.599999999999994</v>
      </c>
      <c r="J39" s="102">
        <v>1.8</v>
      </c>
      <c r="K39" s="102">
        <v>102</v>
      </c>
      <c r="L39" s="102">
        <v>32.200000000000003</v>
      </c>
      <c r="M39" s="102">
        <v>11.8</v>
      </c>
      <c r="N39" s="102">
        <f t="shared" si="1"/>
        <v>203.39999999999998</v>
      </c>
      <c r="O39" s="102">
        <f t="shared" si="2"/>
        <v>449.00000000000006</v>
      </c>
      <c r="P39" s="102">
        <f t="shared" si="3"/>
        <v>146</v>
      </c>
      <c r="Q39" s="102">
        <f t="shared" si="4"/>
        <v>798.4</v>
      </c>
    </row>
    <row r="40" spans="1:17">
      <c r="A40" s="102">
        <v>2002</v>
      </c>
      <c r="B40" s="102">
        <v>7.9</v>
      </c>
      <c r="C40" s="102">
        <v>45.1</v>
      </c>
      <c r="D40" s="102">
        <v>75.7</v>
      </c>
      <c r="E40" s="102">
        <v>103.4</v>
      </c>
      <c r="F40" s="102">
        <v>201.1</v>
      </c>
      <c r="G40" s="102">
        <v>206.5</v>
      </c>
      <c r="H40" s="102">
        <v>132</v>
      </c>
      <c r="I40" s="102">
        <v>172.8</v>
      </c>
      <c r="J40" s="102">
        <v>30.6</v>
      </c>
      <c r="K40" s="102">
        <v>108.8</v>
      </c>
      <c r="L40" s="102">
        <v>14.4</v>
      </c>
      <c r="M40" s="102">
        <v>39</v>
      </c>
      <c r="N40" s="102">
        <f t="shared" si="1"/>
        <v>232.1</v>
      </c>
      <c r="O40" s="102">
        <f t="shared" si="2"/>
        <v>743.00000000000011</v>
      </c>
      <c r="P40" s="102">
        <f t="shared" si="3"/>
        <v>162.19999999999999</v>
      </c>
      <c r="Q40" s="102">
        <f t="shared" si="4"/>
        <v>1137.3000000000002</v>
      </c>
    </row>
    <row r="41" spans="1:17">
      <c r="A41" s="102">
        <v>2003</v>
      </c>
      <c r="B41" s="102">
        <v>51.8</v>
      </c>
      <c r="C41" s="102">
        <v>8.9</v>
      </c>
      <c r="D41" s="102">
        <v>35.299999999999997</v>
      </c>
      <c r="E41" s="102">
        <v>133.6</v>
      </c>
      <c r="F41" s="102">
        <v>268.8</v>
      </c>
      <c r="G41" s="102">
        <v>156.5</v>
      </c>
      <c r="H41" s="102">
        <v>137.4</v>
      </c>
      <c r="I41" s="102">
        <v>7.3</v>
      </c>
      <c r="J41" s="102">
        <v>107.3</v>
      </c>
      <c r="K41" s="102">
        <v>107.2</v>
      </c>
      <c r="L41" s="102">
        <v>16.899999999999999</v>
      </c>
      <c r="M41" s="102">
        <v>53.6</v>
      </c>
      <c r="N41" s="102">
        <f t="shared" si="1"/>
        <v>229.6</v>
      </c>
      <c r="O41" s="102">
        <f t="shared" si="2"/>
        <v>677.3</v>
      </c>
      <c r="P41" s="102">
        <f t="shared" si="3"/>
        <v>177.7</v>
      </c>
      <c r="Q41" s="102">
        <f t="shared" si="4"/>
        <v>1084.5999999999999</v>
      </c>
    </row>
    <row r="42" spans="1:17">
      <c r="A42" s="102">
        <v>2004</v>
      </c>
      <c r="B42" s="103">
        <v>17.600000000000001</v>
      </c>
      <c r="C42" s="103">
        <v>45.5</v>
      </c>
      <c r="D42" s="103">
        <v>44.6</v>
      </c>
      <c r="E42" s="103">
        <v>110.2</v>
      </c>
      <c r="F42" s="103">
        <v>173.8</v>
      </c>
      <c r="G42" s="103">
        <v>103.9</v>
      </c>
      <c r="H42" s="103">
        <v>249.3</v>
      </c>
      <c r="I42" s="103">
        <v>68.3</v>
      </c>
      <c r="J42" s="103">
        <v>81</v>
      </c>
      <c r="K42" s="103">
        <v>38.799999999999997</v>
      </c>
      <c r="L42" s="103">
        <v>88.3</v>
      </c>
      <c r="M42" s="103">
        <v>35</v>
      </c>
      <c r="N42" s="102">
        <f t="shared" si="1"/>
        <v>217.9</v>
      </c>
      <c r="O42" s="102">
        <f t="shared" si="2"/>
        <v>676.3</v>
      </c>
      <c r="P42" s="102">
        <f t="shared" si="3"/>
        <v>162.1</v>
      </c>
      <c r="Q42" s="102">
        <f t="shared" si="4"/>
        <v>1056.3</v>
      </c>
    </row>
    <row r="43" spans="1:17">
      <c r="A43" s="102">
        <v>2005</v>
      </c>
      <c r="B43" s="102">
        <v>39.9</v>
      </c>
      <c r="C43" s="102">
        <v>40.9</v>
      </c>
      <c r="D43" s="102">
        <v>48.2</v>
      </c>
      <c r="E43" s="102">
        <v>74.3</v>
      </c>
      <c r="F43" s="102">
        <v>156.69999999999999</v>
      </c>
      <c r="G43" s="102">
        <v>80.2</v>
      </c>
      <c r="H43" s="102">
        <v>81</v>
      </c>
      <c r="I43" s="102">
        <v>191.5</v>
      </c>
      <c r="J43" s="102">
        <v>113.3</v>
      </c>
      <c r="K43" s="103">
        <v>74.2</v>
      </c>
      <c r="L43" s="103">
        <v>31.6</v>
      </c>
      <c r="M43" s="103">
        <v>12.3</v>
      </c>
      <c r="N43" s="102">
        <f t="shared" si="1"/>
        <v>203.3</v>
      </c>
      <c r="O43" s="102">
        <f t="shared" si="2"/>
        <v>622.69999999999993</v>
      </c>
      <c r="P43" s="102">
        <f t="shared" si="3"/>
        <v>118.10000000000001</v>
      </c>
      <c r="Q43" s="102">
        <f t="shared" si="4"/>
        <v>944.1</v>
      </c>
    </row>
    <row r="44" spans="1:17">
      <c r="A44" s="102">
        <v>2006</v>
      </c>
      <c r="B44" s="102">
        <v>15.7</v>
      </c>
      <c r="C44" s="102">
        <v>58.8</v>
      </c>
      <c r="D44" s="102">
        <v>31.8</v>
      </c>
      <c r="E44" s="102">
        <v>85.9</v>
      </c>
      <c r="F44" s="102">
        <v>119.2</v>
      </c>
      <c r="G44" s="102">
        <v>193.9</v>
      </c>
      <c r="H44" s="102">
        <v>107.2</v>
      </c>
      <c r="I44" s="102">
        <v>73.599999999999994</v>
      </c>
      <c r="J44" s="102">
        <v>54.9</v>
      </c>
      <c r="K44" s="102">
        <v>176.6</v>
      </c>
      <c r="L44" s="102">
        <v>44</v>
      </c>
      <c r="M44" s="102">
        <v>18.600000000000001</v>
      </c>
      <c r="N44" s="102">
        <f t="shared" si="1"/>
        <v>192.2</v>
      </c>
      <c r="O44" s="102">
        <f t="shared" si="2"/>
        <v>548.79999999999995</v>
      </c>
      <c r="P44" s="102">
        <f t="shared" si="3"/>
        <v>239.2</v>
      </c>
      <c r="Q44" s="102">
        <f t="shared" si="4"/>
        <v>980.2</v>
      </c>
    </row>
    <row r="45" spans="1:17">
      <c r="A45" s="102">
        <v>2007</v>
      </c>
      <c r="B45" s="102">
        <v>28.7</v>
      </c>
      <c r="C45" s="102">
        <v>36.299999999999997</v>
      </c>
      <c r="D45" s="102">
        <v>28.1</v>
      </c>
      <c r="E45" s="102">
        <v>130.5</v>
      </c>
      <c r="F45" s="102">
        <v>145.4</v>
      </c>
      <c r="G45" s="102">
        <v>230.1</v>
      </c>
      <c r="H45" s="102">
        <v>236.2</v>
      </c>
      <c r="I45" s="102">
        <v>110.5</v>
      </c>
      <c r="J45" s="102">
        <v>89.5</v>
      </c>
      <c r="K45" s="102">
        <v>13.5</v>
      </c>
      <c r="L45" s="102">
        <v>1.7</v>
      </c>
      <c r="M45" s="102">
        <v>19</v>
      </c>
      <c r="N45" s="102">
        <f t="shared" si="1"/>
        <v>223.6</v>
      </c>
      <c r="O45" s="102">
        <f t="shared" si="2"/>
        <v>811.7</v>
      </c>
      <c r="P45" s="102">
        <f t="shared" si="3"/>
        <v>34.200000000000003</v>
      </c>
      <c r="Q45" s="102">
        <f t="shared" si="4"/>
        <v>1069.5</v>
      </c>
    </row>
    <row r="46" spans="1:17">
      <c r="A46" s="102">
        <v>2008</v>
      </c>
      <c r="B46" s="102">
        <v>19.5</v>
      </c>
      <c r="C46" s="102">
        <v>18.899999999999999</v>
      </c>
      <c r="D46" s="102">
        <v>102.4</v>
      </c>
      <c r="E46" s="102">
        <v>35.1</v>
      </c>
      <c r="F46" s="102">
        <v>150.5</v>
      </c>
      <c r="G46" s="102">
        <v>68.8</v>
      </c>
      <c r="H46" s="102">
        <v>223.7</v>
      </c>
      <c r="I46" s="102">
        <v>281.7</v>
      </c>
      <c r="J46" s="102">
        <v>66</v>
      </c>
      <c r="K46" s="102">
        <v>101.6</v>
      </c>
      <c r="L46" s="102">
        <v>136</v>
      </c>
      <c r="M46" s="102">
        <v>17</v>
      </c>
      <c r="N46" s="102">
        <f t="shared" si="1"/>
        <v>175.9</v>
      </c>
      <c r="O46" s="102">
        <f t="shared" si="2"/>
        <v>790.7</v>
      </c>
      <c r="P46" s="102">
        <f t="shared" si="3"/>
        <v>254.6</v>
      </c>
      <c r="Q46" s="102">
        <f t="shared" si="4"/>
        <v>1221.1999999999998</v>
      </c>
    </row>
    <row r="47" spans="1:17">
      <c r="A47" s="102">
        <v>2009</v>
      </c>
      <c r="B47" s="102">
        <v>19.8</v>
      </c>
      <c r="C47" s="102">
        <v>56.6</v>
      </c>
      <c r="D47" s="102">
        <v>35.4</v>
      </c>
      <c r="E47" s="102">
        <v>250.7</v>
      </c>
      <c r="F47" s="102">
        <v>119.6</v>
      </c>
      <c r="G47" s="102">
        <v>181</v>
      </c>
      <c r="H47" s="102">
        <v>77.7</v>
      </c>
      <c r="I47" s="102">
        <v>22.8</v>
      </c>
      <c r="J47" s="102">
        <v>68.7</v>
      </c>
      <c r="K47" s="102">
        <v>63.4</v>
      </c>
      <c r="L47" s="102">
        <v>13.6</v>
      </c>
      <c r="M47" s="102">
        <v>26.8</v>
      </c>
      <c r="N47" s="102">
        <f t="shared" si="1"/>
        <v>362.5</v>
      </c>
      <c r="O47" s="102">
        <f t="shared" si="2"/>
        <v>469.8</v>
      </c>
      <c r="P47" s="102">
        <f t="shared" si="3"/>
        <v>103.8</v>
      </c>
      <c r="Q47" s="102">
        <f t="shared" si="4"/>
        <v>936.1</v>
      </c>
    </row>
    <row r="48" spans="1:17">
      <c r="A48" s="102">
        <v>2010</v>
      </c>
      <c r="B48" s="102">
        <v>5.2</v>
      </c>
      <c r="C48" s="102">
        <v>6</v>
      </c>
      <c r="D48" s="102">
        <v>50.7</v>
      </c>
      <c r="E48" s="102">
        <v>115.4</v>
      </c>
      <c r="F48" s="102">
        <v>216.6</v>
      </c>
      <c r="G48" s="102">
        <v>222.3</v>
      </c>
      <c r="H48" s="102">
        <v>52.1</v>
      </c>
      <c r="I48" s="102">
        <v>103.9</v>
      </c>
      <c r="J48" s="102">
        <v>105.3</v>
      </c>
      <c r="K48" s="102">
        <v>106.6</v>
      </c>
      <c r="L48" s="102">
        <v>40</v>
      </c>
      <c r="M48" s="102">
        <v>20.100000000000001</v>
      </c>
      <c r="N48" s="102">
        <f t="shared" si="1"/>
        <v>177.3</v>
      </c>
      <c r="O48" s="102">
        <f t="shared" si="2"/>
        <v>700.19999999999993</v>
      </c>
      <c r="P48" s="102">
        <f t="shared" si="3"/>
        <v>166.7</v>
      </c>
      <c r="Q48" s="102">
        <f t="shared" si="4"/>
        <v>1044.1999999999998</v>
      </c>
    </row>
    <row r="49" spans="1:33">
      <c r="A49" s="102">
        <v>2011</v>
      </c>
      <c r="B49" s="102">
        <v>24.1</v>
      </c>
      <c r="C49" s="102">
        <v>7.5</v>
      </c>
      <c r="D49" s="102">
        <v>31.2</v>
      </c>
      <c r="E49" s="102">
        <v>38.799999999999997</v>
      </c>
      <c r="F49" s="102">
        <v>143.30000000000001</v>
      </c>
      <c r="G49" s="102">
        <v>195.8</v>
      </c>
      <c r="H49" s="102">
        <v>29.8</v>
      </c>
      <c r="I49" s="102">
        <v>18.7</v>
      </c>
      <c r="J49" s="102">
        <v>86.5</v>
      </c>
      <c r="K49" s="102">
        <v>161.1</v>
      </c>
      <c r="L49" s="102">
        <v>44.5</v>
      </c>
      <c r="M49" s="102">
        <v>8.5</v>
      </c>
      <c r="N49" s="102">
        <f t="shared" si="1"/>
        <v>101.6</v>
      </c>
      <c r="O49" s="102">
        <f t="shared" si="2"/>
        <v>474.1</v>
      </c>
      <c r="P49" s="102">
        <f t="shared" si="3"/>
        <v>214.1</v>
      </c>
      <c r="Q49" s="102">
        <f t="shared" si="4"/>
        <v>789.80000000000007</v>
      </c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  <c r="AD49" s="104"/>
      <c r="AE49" s="104"/>
      <c r="AF49" s="104"/>
      <c r="AG49" s="104"/>
    </row>
    <row r="50" spans="1:33">
      <c r="A50" s="102">
        <v>2012</v>
      </c>
      <c r="B50" s="102">
        <v>16.3</v>
      </c>
      <c r="C50" s="102">
        <v>11.6</v>
      </c>
      <c r="D50" s="102">
        <v>46.7</v>
      </c>
      <c r="E50" s="102">
        <v>124.7</v>
      </c>
      <c r="F50" s="102">
        <v>222.1</v>
      </c>
      <c r="G50" s="102">
        <v>164.6</v>
      </c>
      <c r="H50" s="102">
        <v>249.8</v>
      </c>
      <c r="I50" s="102">
        <v>55.3</v>
      </c>
      <c r="J50" s="102">
        <v>77.400000000000006</v>
      </c>
      <c r="K50" s="102">
        <v>63.3</v>
      </c>
      <c r="L50" s="102">
        <v>51.3</v>
      </c>
      <c r="M50" s="102">
        <v>17.5</v>
      </c>
      <c r="N50" s="102">
        <f t="shared" si="1"/>
        <v>199.3</v>
      </c>
      <c r="O50" s="102">
        <f t="shared" si="2"/>
        <v>769.19999999999993</v>
      </c>
      <c r="P50" s="102">
        <f t="shared" si="3"/>
        <v>132.1</v>
      </c>
      <c r="Q50" s="102">
        <f t="shared" si="4"/>
        <v>1100.5999999999999</v>
      </c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</row>
    <row r="51" spans="1:33">
      <c r="A51" s="102">
        <v>2013</v>
      </c>
      <c r="B51" s="102">
        <v>9.9</v>
      </c>
      <c r="C51" s="102">
        <v>18.899999999999999</v>
      </c>
      <c r="D51" s="102">
        <v>127.3</v>
      </c>
      <c r="E51" s="102">
        <v>174.7</v>
      </c>
      <c r="F51" s="102">
        <v>251.9</v>
      </c>
      <c r="G51" s="102">
        <v>93.7</v>
      </c>
      <c r="H51" s="102">
        <v>4.0999999999999996</v>
      </c>
      <c r="I51" s="102">
        <v>101.3</v>
      </c>
      <c r="J51" s="102">
        <v>162.9</v>
      </c>
      <c r="K51" s="102">
        <v>75.400000000000006</v>
      </c>
      <c r="L51" s="102">
        <v>39.299999999999997</v>
      </c>
      <c r="M51" s="102">
        <v>23.4</v>
      </c>
      <c r="N51" s="102">
        <f t="shared" si="1"/>
        <v>330.79999999999995</v>
      </c>
      <c r="O51" s="102">
        <f t="shared" si="2"/>
        <v>613.90000000000009</v>
      </c>
      <c r="P51" s="102">
        <f t="shared" si="3"/>
        <v>138.1</v>
      </c>
      <c r="Q51" s="102">
        <f t="shared" si="4"/>
        <v>1082.8</v>
      </c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</row>
    <row r="52" spans="1:33">
      <c r="A52" s="102">
        <v>2014</v>
      </c>
      <c r="B52" s="122">
        <v>7.8</v>
      </c>
      <c r="C52" s="122">
        <v>27.8</v>
      </c>
      <c r="D52" s="122">
        <v>65.8</v>
      </c>
      <c r="E52" s="122">
        <v>94.3</v>
      </c>
      <c r="F52" s="122">
        <v>199.4</v>
      </c>
      <c r="G52" s="122">
        <v>86.6</v>
      </c>
      <c r="H52" s="122">
        <v>328.2</v>
      </c>
      <c r="I52" s="122">
        <v>160</v>
      </c>
      <c r="J52" s="122">
        <v>54.3</v>
      </c>
      <c r="K52" s="122">
        <v>63.5</v>
      </c>
      <c r="L52" s="122">
        <v>31.6</v>
      </c>
      <c r="M52" s="122">
        <v>6.9</v>
      </c>
      <c r="N52" s="102">
        <f t="shared" si="1"/>
        <v>195.7</v>
      </c>
      <c r="O52" s="102">
        <f t="shared" si="2"/>
        <v>828.5</v>
      </c>
      <c r="P52" s="102">
        <f t="shared" si="3"/>
        <v>102</v>
      </c>
      <c r="Q52" s="102">
        <f t="shared" si="4"/>
        <v>1126.2</v>
      </c>
    </row>
    <row r="53" spans="1:33">
      <c r="A53" s="102">
        <v>2015</v>
      </c>
      <c r="B53" s="122">
        <v>39.6</v>
      </c>
      <c r="C53" s="122">
        <v>19.600000000000001</v>
      </c>
      <c r="D53" s="122">
        <v>33.9</v>
      </c>
      <c r="E53" s="122">
        <v>68</v>
      </c>
      <c r="F53" s="122">
        <v>197.5</v>
      </c>
      <c r="G53" s="122">
        <v>381.5</v>
      </c>
      <c r="H53" s="122">
        <v>93.8</v>
      </c>
      <c r="I53" s="122">
        <v>94.8</v>
      </c>
      <c r="J53" s="122">
        <v>163.19999999999999</v>
      </c>
      <c r="K53" s="122">
        <v>95</v>
      </c>
      <c r="L53" s="122">
        <v>27.5</v>
      </c>
      <c r="M53" s="122">
        <v>65.5</v>
      </c>
      <c r="N53" s="102">
        <f t="shared" si="1"/>
        <v>161.1</v>
      </c>
      <c r="O53" s="102">
        <f t="shared" si="2"/>
        <v>930.8</v>
      </c>
      <c r="P53" s="102">
        <f t="shared" si="3"/>
        <v>188</v>
      </c>
      <c r="Q53" s="102">
        <f t="shared" si="4"/>
        <v>1279.8999999999999</v>
      </c>
    </row>
    <row r="54" spans="1:33" s="108" customFormat="1">
      <c r="A54" s="108">
        <v>2016</v>
      </c>
      <c r="B54" s="123">
        <v>29.8</v>
      </c>
      <c r="C54" s="123">
        <v>7</v>
      </c>
      <c r="D54" s="123">
        <v>108.4</v>
      </c>
      <c r="E54" s="123">
        <v>156.5</v>
      </c>
      <c r="F54" s="123">
        <v>124.5</v>
      </c>
      <c r="G54" s="123">
        <v>150.9</v>
      </c>
      <c r="H54" s="123">
        <v>56.5</v>
      </c>
      <c r="I54" s="123">
        <v>92.9</v>
      </c>
      <c r="J54" s="123">
        <v>13.5</v>
      </c>
      <c r="K54" s="123">
        <v>109.7</v>
      </c>
      <c r="L54" s="123">
        <v>47.4</v>
      </c>
      <c r="M54" s="123">
        <v>36</v>
      </c>
      <c r="N54" s="108">
        <f>SUM(B54:E54)</f>
        <v>301.7</v>
      </c>
      <c r="O54" s="108">
        <f>SUM(F54:J54)</f>
        <v>438.29999999999995</v>
      </c>
      <c r="P54" s="108">
        <f>SUM(K54:M54)</f>
        <v>193.1</v>
      </c>
      <c r="Q54" s="108">
        <f>SUM(B54:M54)</f>
        <v>933.1</v>
      </c>
      <c r="R54" s="108">
        <f t="shared" ref="R54:AG54" si="5">100*(B54-B4)/B4</f>
        <v>41.835842642059298</v>
      </c>
      <c r="S54" s="108">
        <f t="shared" si="5"/>
        <v>-68.863471314451701</v>
      </c>
      <c r="T54" s="108">
        <f t="shared" si="5"/>
        <v>132.45514223194743</v>
      </c>
      <c r="U54" s="108">
        <f t="shared" si="5"/>
        <v>82.787881677114854</v>
      </c>
      <c r="V54" s="108">
        <f t="shared" si="5"/>
        <v>-18.438151772822081</v>
      </c>
      <c r="W54" s="108">
        <f t="shared" si="5"/>
        <v>-20.390826873385006</v>
      </c>
      <c r="X54" s="108">
        <f t="shared" si="5"/>
        <v>-57.266342517558087</v>
      </c>
      <c r="Y54" s="108">
        <f t="shared" si="5"/>
        <v>-10.094406699320599</v>
      </c>
      <c r="Z54" s="108">
        <f t="shared" si="5"/>
        <v>-83.856403748535726</v>
      </c>
      <c r="AA54" s="108">
        <f t="shared" si="5"/>
        <v>19.981696837124193</v>
      </c>
      <c r="AB54" s="108">
        <f t="shared" si="5"/>
        <v>6.4582664894348332</v>
      </c>
      <c r="AC54" s="108">
        <f t="shared" si="5"/>
        <v>73.878758008871401</v>
      </c>
      <c r="AD54" s="108">
        <f t="shared" si="5"/>
        <v>71.671272963745707</v>
      </c>
      <c r="AE54" s="108">
        <f t="shared" si="5"/>
        <v>-33.728002369865685</v>
      </c>
      <c r="AF54" s="108">
        <f t="shared" si="5"/>
        <v>23.261206570873988</v>
      </c>
      <c r="AG54" s="108">
        <f t="shared" si="5"/>
        <v>-6.1047836926476435</v>
      </c>
    </row>
  </sheetData>
  <mergeCells count="6">
    <mergeCell ref="A1:A3"/>
    <mergeCell ref="B1:Q1"/>
    <mergeCell ref="B2:M2"/>
    <mergeCell ref="R1:AG1"/>
    <mergeCell ref="N2:Q2"/>
    <mergeCell ref="R2:AG2"/>
  </mergeCells>
  <phoneticPr fontId="2" type="noConversion"/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0"/>
  <dimension ref="A1:AG56"/>
  <sheetViews>
    <sheetView zoomScale="70" zoomScaleNormal="70" workbookViewId="0">
      <pane ySplit="5" topLeftCell="A6" activePane="bottomLeft" state="frozen"/>
      <selection pane="bottomLeft" activeCell="M58" sqref="M58"/>
    </sheetView>
  </sheetViews>
  <sheetFormatPr defaultRowHeight="12"/>
  <cols>
    <col min="1" max="35" width="7.125" style="102" customWidth="1"/>
    <col min="36" max="16384" width="9" style="102"/>
  </cols>
  <sheetData>
    <row r="1" spans="1:33" s="118" customFormat="1" ht="14.25" customHeight="1">
      <c r="A1" s="176" t="s">
        <v>0</v>
      </c>
      <c r="B1" s="176" t="s">
        <v>1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2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3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32</v>
      </c>
      <c r="O2" s="176"/>
      <c r="P2" s="176"/>
      <c r="Q2" s="176"/>
      <c r="R2" s="176" t="s">
        <v>6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 ht="24">
      <c r="A3" s="176"/>
      <c r="B3" s="106" t="s">
        <v>7</v>
      </c>
      <c r="C3" s="106" t="s">
        <v>8</v>
      </c>
      <c r="D3" s="106" t="s">
        <v>9</v>
      </c>
      <c r="E3" s="106" t="s">
        <v>10</v>
      </c>
      <c r="F3" s="106" t="s">
        <v>11</v>
      </c>
      <c r="G3" s="106" t="s">
        <v>12</v>
      </c>
      <c r="H3" s="106" t="s">
        <v>13</v>
      </c>
      <c r="I3" s="106" t="s">
        <v>14</v>
      </c>
      <c r="J3" s="106" t="s">
        <v>15</v>
      </c>
      <c r="K3" s="106" t="s">
        <v>16</v>
      </c>
      <c r="L3" s="106" t="s">
        <v>17</v>
      </c>
      <c r="M3" s="106" t="s">
        <v>18</v>
      </c>
      <c r="N3" s="106" t="s">
        <v>145</v>
      </c>
      <c r="O3" s="106" t="s">
        <v>146</v>
      </c>
      <c r="P3" s="106" t="s">
        <v>147</v>
      </c>
      <c r="Q3" s="106" t="s">
        <v>148</v>
      </c>
      <c r="R3" s="106" t="s">
        <v>7</v>
      </c>
      <c r="S3" s="106" t="s">
        <v>8</v>
      </c>
      <c r="T3" s="106" t="s">
        <v>151</v>
      </c>
      <c r="U3" s="106" t="s">
        <v>152</v>
      </c>
      <c r="V3" s="106" t="s">
        <v>23</v>
      </c>
      <c r="W3" s="106" t="s">
        <v>24</v>
      </c>
      <c r="X3" s="106" t="s">
        <v>25</v>
      </c>
      <c r="Y3" s="106" t="s">
        <v>26</v>
      </c>
      <c r="Z3" s="106" t="s">
        <v>27</v>
      </c>
      <c r="AA3" s="106" t="s">
        <v>155</v>
      </c>
      <c r="AB3" s="106" t="s">
        <v>156</v>
      </c>
      <c r="AC3" s="106" t="s">
        <v>157</v>
      </c>
      <c r="AD3" s="106" t="s">
        <v>90</v>
      </c>
      <c r="AE3" s="106" t="s">
        <v>4</v>
      </c>
      <c r="AF3" s="106" t="s">
        <v>91</v>
      </c>
      <c r="AG3" s="106" t="s">
        <v>5</v>
      </c>
    </row>
    <row r="4" spans="1:33" s="118" customFormat="1">
      <c r="A4" s="150" t="s">
        <v>261</v>
      </c>
      <c r="B4" s="150">
        <f t="shared" ref="B4:Q4" si="0">AVERAGE(B5:B55)</f>
        <v>19.735999999999997</v>
      </c>
      <c r="C4" s="150">
        <f t="shared" si="0"/>
        <v>19.383999999999993</v>
      </c>
      <c r="D4" s="150">
        <f t="shared" si="0"/>
        <v>42.015999999999991</v>
      </c>
      <c r="E4" s="150">
        <f t="shared" si="0"/>
        <v>90.724000000000018</v>
      </c>
      <c r="F4" s="150">
        <f t="shared" si="0"/>
        <v>158.12799999999999</v>
      </c>
      <c r="G4" s="150">
        <f t="shared" si="0"/>
        <v>210.44200000000004</v>
      </c>
      <c r="H4" s="150">
        <f t="shared" si="0"/>
        <v>153.53800000000001</v>
      </c>
      <c r="I4" s="150">
        <f t="shared" si="0"/>
        <v>132.22399999999999</v>
      </c>
      <c r="J4" s="150">
        <f t="shared" si="0"/>
        <v>94.072000000000003</v>
      </c>
      <c r="K4" s="150">
        <f t="shared" si="0"/>
        <v>101.70599999999999</v>
      </c>
      <c r="L4" s="150">
        <f t="shared" si="0"/>
        <v>50.629999999999988</v>
      </c>
      <c r="M4" s="150">
        <f t="shared" si="0"/>
        <v>20.39591836734693</v>
      </c>
      <c r="N4" s="150">
        <f t="shared" si="0"/>
        <v>168.49019607843132</v>
      </c>
      <c r="O4" s="150">
        <f t="shared" si="0"/>
        <v>733.72941176470579</v>
      </c>
      <c r="P4" s="150">
        <f t="shared" si="0"/>
        <v>168.94509803921562</v>
      </c>
      <c r="Q4" s="150">
        <f t="shared" si="0"/>
        <v>1092.5880000000002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1966</v>
      </c>
      <c r="B5" s="102">
        <v>14.1</v>
      </c>
      <c r="C5" s="102">
        <v>4.5</v>
      </c>
      <c r="D5" s="102">
        <v>39.1</v>
      </c>
      <c r="E5" s="102">
        <v>27</v>
      </c>
      <c r="F5" s="102">
        <v>58.8</v>
      </c>
      <c r="G5" s="102">
        <v>266.7</v>
      </c>
      <c r="H5" s="102">
        <v>98.8</v>
      </c>
      <c r="I5" s="102">
        <v>51.2</v>
      </c>
      <c r="J5" s="102">
        <v>55.3</v>
      </c>
      <c r="K5" s="102">
        <v>225.6</v>
      </c>
      <c r="L5" s="102">
        <v>18.8</v>
      </c>
      <c r="M5" s="102">
        <v>12.3</v>
      </c>
      <c r="N5" s="102">
        <f>SUM(B5:E5)</f>
        <v>84.7</v>
      </c>
      <c r="O5" s="102">
        <f>SUM(F5:J5)</f>
        <v>530.79999999999995</v>
      </c>
      <c r="P5" s="102">
        <f>SUM(K5:M5)</f>
        <v>256.7</v>
      </c>
      <c r="Q5" s="102">
        <f>SUM(B5:M5)</f>
        <v>872.19999999999993</v>
      </c>
    </row>
    <row r="6" spans="1:33">
      <c r="A6" s="102">
        <v>1967</v>
      </c>
      <c r="B6" s="102">
        <v>13.3</v>
      </c>
      <c r="C6" s="102">
        <v>9.6999999999999993</v>
      </c>
      <c r="D6" s="102">
        <v>25.2</v>
      </c>
      <c r="E6" s="102">
        <v>29.7</v>
      </c>
      <c r="F6" s="102">
        <v>126.1</v>
      </c>
      <c r="G6" s="102">
        <v>145.9</v>
      </c>
      <c r="H6" s="102">
        <v>35.700000000000003</v>
      </c>
      <c r="I6" s="102">
        <v>73</v>
      </c>
      <c r="J6" s="102">
        <v>84.7</v>
      </c>
      <c r="K6" s="102">
        <v>55.8</v>
      </c>
      <c r="L6" s="102">
        <v>58.2</v>
      </c>
      <c r="M6" s="102">
        <v>16.899999999999999</v>
      </c>
      <c r="N6" s="102">
        <f t="shared" ref="N6:N55" si="1">SUM(B6:E6)</f>
        <v>77.900000000000006</v>
      </c>
      <c r="O6" s="102">
        <f t="shared" ref="O6:O55" si="2">SUM(F6:J6)</f>
        <v>465.4</v>
      </c>
      <c r="P6" s="102">
        <f t="shared" ref="P6:P55" si="3">SUM(K6:M6)</f>
        <v>130.9</v>
      </c>
      <c r="Q6" s="102">
        <f t="shared" ref="Q6:Q55" si="4">SUM(B6:M6)</f>
        <v>674.19999999999993</v>
      </c>
    </row>
    <row r="7" spans="1:33">
      <c r="A7" s="102">
        <v>1968</v>
      </c>
      <c r="B7" s="102">
        <v>8.8000000000000007</v>
      </c>
      <c r="C7" s="102">
        <v>7.9</v>
      </c>
      <c r="D7" s="102">
        <v>17.5</v>
      </c>
      <c r="E7" s="102">
        <v>19.2</v>
      </c>
      <c r="F7" s="102">
        <v>57.1</v>
      </c>
      <c r="G7" s="102">
        <v>218.5</v>
      </c>
      <c r="H7" s="102">
        <v>113.3</v>
      </c>
      <c r="I7" s="102">
        <v>79.5</v>
      </c>
      <c r="J7" s="102">
        <v>67.3</v>
      </c>
      <c r="K7" s="102">
        <v>97.4</v>
      </c>
      <c r="L7" s="102">
        <v>42</v>
      </c>
      <c r="M7" s="102">
        <v>22.7</v>
      </c>
      <c r="N7" s="102">
        <f t="shared" si="1"/>
        <v>53.400000000000006</v>
      </c>
      <c r="O7" s="102">
        <f t="shared" si="2"/>
        <v>535.70000000000005</v>
      </c>
      <c r="P7" s="102">
        <f t="shared" si="3"/>
        <v>162.1</v>
      </c>
      <c r="Q7" s="102">
        <f t="shared" si="4"/>
        <v>751.19999999999993</v>
      </c>
    </row>
    <row r="8" spans="1:33">
      <c r="A8" s="102">
        <v>1969</v>
      </c>
      <c r="B8" s="102">
        <v>6.1</v>
      </c>
      <c r="C8" s="102">
        <v>4.9000000000000004</v>
      </c>
      <c r="D8" s="102">
        <v>27</v>
      </c>
      <c r="E8" s="102">
        <v>32.6</v>
      </c>
      <c r="F8" s="102">
        <v>58.3</v>
      </c>
      <c r="G8" s="102">
        <v>289.10000000000002</v>
      </c>
      <c r="H8" s="102">
        <v>56.9</v>
      </c>
      <c r="I8" s="102">
        <v>65.5</v>
      </c>
      <c r="J8" s="102">
        <v>47.3</v>
      </c>
      <c r="K8" s="102">
        <v>115.6</v>
      </c>
      <c r="L8" s="102">
        <v>45.9</v>
      </c>
      <c r="M8" s="102">
        <v>9</v>
      </c>
      <c r="N8" s="102">
        <f t="shared" si="1"/>
        <v>70.599999999999994</v>
      </c>
      <c r="O8" s="102">
        <f t="shared" si="2"/>
        <v>517.1</v>
      </c>
      <c r="P8" s="102">
        <f t="shared" si="3"/>
        <v>170.5</v>
      </c>
      <c r="Q8" s="102">
        <f t="shared" si="4"/>
        <v>758.19999999999993</v>
      </c>
    </row>
    <row r="9" spans="1:33">
      <c r="A9" s="102">
        <v>1970</v>
      </c>
      <c r="B9" s="102">
        <v>10.7</v>
      </c>
      <c r="C9" s="102">
        <v>11.1</v>
      </c>
      <c r="D9" s="102">
        <v>55.1</v>
      </c>
      <c r="E9" s="102">
        <v>39</v>
      </c>
      <c r="F9" s="102">
        <v>68.8</v>
      </c>
      <c r="G9" s="102">
        <v>240.4</v>
      </c>
      <c r="H9" s="102">
        <v>87.1</v>
      </c>
      <c r="I9" s="102">
        <v>76.599999999999994</v>
      </c>
      <c r="J9" s="102">
        <v>55.6</v>
      </c>
      <c r="K9" s="102">
        <v>49.6</v>
      </c>
      <c r="L9" s="102">
        <v>59.1</v>
      </c>
      <c r="M9" s="102">
        <v>47</v>
      </c>
      <c r="N9" s="102">
        <f t="shared" si="1"/>
        <v>115.9</v>
      </c>
      <c r="O9" s="102">
        <f t="shared" si="2"/>
        <v>528.5</v>
      </c>
      <c r="P9" s="102">
        <f t="shared" si="3"/>
        <v>155.69999999999999</v>
      </c>
      <c r="Q9" s="102">
        <f t="shared" si="4"/>
        <v>800.10000000000014</v>
      </c>
    </row>
    <row r="10" spans="1:33">
      <c r="A10" s="102">
        <v>1971</v>
      </c>
      <c r="B10" s="102">
        <v>9</v>
      </c>
      <c r="C10" s="102">
        <v>5.5</v>
      </c>
      <c r="D10" s="102">
        <v>20.399999999999999</v>
      </c>
      <c r="E10" s="102">
        <v>34.5</v>
      </c>
      <c r="F10" s="102">
        <v>40.700000000000003</v>
      </c>
      <c r="G10" s="102">
        <v>143.9</v>
      </c>
      <c r="H10" s="102">
        <v>54.5</v>
      </c>
      <c r="I10" s="102">
        <v>71.5</v>
      </c>
      <c r="J10" s="102">
        <v>76.900000000000006</v>
      </c>
      <c r="K10" s="102">
        <v>114.6</v>
      </c>
      <c r="L10" s="102">
        <v>16</v>
      </c>
      <c r="M10" s="102">
        <v>49</v>
      </c>
      <c r="N10" s="102">
        <f t="shared" si="1"/>
        <v>69.400000000000006</v>
      </c>
      <c r="O10" s="102">
        <f t="shared" si="2"/>
        <v>387.5</v>
      </c>
      <c r="P10" s="102">
        <f t="shared" si="3"/>
        <v>179.6</v>
      </c>
      <c r="Q10" s="102">
        <f t="shared" si="4"/>
        <v>636.5</v>
      </c>
    </row>
    <row r="11" spans="1:33">
      <c r="A11" s="102">
        <v>1972</v>
      </c>
      <c r="B11" s="102">
        <v>11.3</v>
      </c>
      <c r="C11" s="102">
        <v>10.6</v>
      </c>
      <c r="D11" s="102">
        <v>45.3</v>
      </c>
      <c r="E11" s="102">
        <v>40.799999999999997</v>
      </c>
      <c r="F11" s="102">
        <v>62.3</v>
      </c>
      <c r="G11" s="102">
        <v>170.5</v>
      </c>
      <c r="H11" s="102">
        <v>61.5</v>
      </c>
      <c r="I11" s="102">
        <v>172.1</v>
      </c>
      <c r="J11" s="102">
        <v>57.2</v>
      </c>
      <c r="K11" s="102">
        <v>129</v>
      </c>
      <c r="L11" s="102">
        <v>80.400000000000006</v>
      </c>
      <c r="M11" s="102">
        <v>12.6</v>
      </c>
      <c r="N11" s="102">
        <f t="shared" si="1"/>
        <v>107.99999999999999</v>
      </c>
      <c r="O11" s="102">
        <f t="shared" si="2"/>
        <v>523.6</v>
      </c>
      <c r="P11" s="102">
        <f t="shared" si="3"/>
        <v>222</v>
      </c>
      <c r="Q11" s="102">
        <f t="shared" si="4"/>
        <v>853.6</v>
      </c>
    </row>
    <row r="12" spans="1:33">
      <c r="A12" s="102">
        <v>1973</v>
      </c>
      <c r="B12" s="102">
        <v>8.1</v>
      </c>
      <c r="C12" s="102">
        <v>17.3</v>
      </c>
      <c r="D12" s="102">
        <v>39.5</v>
      </c>
      <c r="E12" s="102">
        <v>36.5</v>
      </c>
      <c r="F12" s="102">
        <v>54.2</v>
      </c>
      <c r="G12" s="102">
        <v>227.4</v>
      </c>
      <c r="H12" s="102">
        <v>105.2</v>
      </c>
      <c r="I12" s="102">
        <v>62.8</v>
      </c>
      <c r="J12" s="102">
        <v>62.8</v>
      </c>
      <c r="K12" s="102">
        <v>15.2</v>
      </c>
      <c r="L12" s="102">
        <v>45.8</v>
      </c>
      <c r="M12" s="102">
        <v>6</v>
      </c>
      <c r="N12" s="102">
        <f t="shared" si="1"/>
        <v>101.4</v>
      </c>
      <c r="O12" s="102">
        <f t="shared" si="2"/>
        <v>512.4</v>
      </c>
      <c r="P12" s="102">
        <f t="shared" si="3"/>
        <v>67</v>
      </c>
      <c r="Q12" s="102">
        <f t="shared" si="4"/>
        <v>680.8</v>
      </c>
    </row>
    <row r="13" spans="1:33">
      <c r="A13" s="102">
        <v>1974</v>
      </c>
      <c r="B13" s="102">
        <v>16.7</v>
      </c>
      <c r="C13" s="102">
        <v>3.9</v>
      </c>
      <c r="D13" s="102">
        <v>33.299999999999997</v>
      </c>
      <c r="E13" s="102">
        <v>25.5</v>
      </c>
      <c r="F13" s="102">
        <v>83.5</v>
      </c>
      <c r="G13" s="102">
        <v>222.8</v>
      </c>
      <c r="H13" s="102">
        <v>38.9</v>
      </c>
      <c r="I13" s="102">
        <v>56.4</v>
      </c>
      <c r="J13" s="102">
        <v>61.9</v>
      </c>
      <c r="K13" s="102">
        <v>46.8</v>
      </c>
      <c r="L13" s="102">
        <v>17.7</v>
      </c>
      <c r="M13" s="102">
        <v>19.3</v>
      </c>
      <c r="N13" s="102">
        <f t="shared" si="1"/>
        <v>79.399999999999991</v>
      </c>
      <c r="O13" s="102">
        <f t="shared" si="2"/>
        <v>463.49999999999994</v>
      </c>
      <c r="P13" s="102">
        <f t="shared" si="3"/>
        <v>83.8</v>
      </c>
      <c r="Q13" s="102">
        <f t="shared" si="4"/>
        <v>626.69999999999993</v>
      </c>
    </row>
    <row r="14" spans="1:33">
      <c r="A14" s="102">
        <v>1975</v>
      </c>
      <c r="B14" s="102">
        <v>24.1</v>
      </c>
      <c r="C14" s="102">
        <v>7.5</v>
      </c>
      <c r="D14" s="102">
        <v>31.2</v>
      </c>
      <c r="E14" s="102">
        <v>38.799999999999997</v>
      </c>
      <c r="F14" s="102">
        <v>143.30000000000001</v>
      </c>
      <c r="G14" s="102">
        <v>195.8</v>
      </c>
      <c r="H14" s="102">
        <v>29.8</v>
      </c>
      <c r="I14" s="102">
        <v>18.7</v>
      </c>
      <c r="J14" s="102">
        <v>86.5</v>
      </c>
      <c r="K14" s="102">
        <v>94.3</v>
      </c>
      <c r="L14" s="102">
        <v>94</v>
      </c>
      <c r="M14" s="102">
        <v>9.8000000000000007</v>
      </c>
      <c r="N14" s="102">
        <f t="shared" si="1"/>
        <v>101.6</v>
      </c>
      <c r="O14" s="102">
        <f t="shared" si="2"/>
        <v>474.1</v>
      </c>
      <c r="P14" s="102">
        <f t="shared" si="3"/>
        <v>198.10000000000002</v>
      </c>
      <c r="Q14" s="102">
        <f t="shared" si="4"/>
        <v>773.8</v>
      </c>
    </row>
    <row r="15" spans="1:33">
      <c r="A15" s="102">
        <v>1976</v>
      </c>
      <c r="B15" s="102">
        <v>28</v>
      </c>
      <c r="C15" s="102">
        <v>18.5</v>
      </c>
      <c r="D15" s="102">
        <v>25.1</v>
      </c>
      <c r="E15" s="102">
        <v>92.8</v>
      </c>
      <c r="F15" s="102">
        <v>329.5</v>
      </c>
      <c r="G15" s="102">
        <v>248.8</v>
      </c>
      <c r="H15" s="102">
        <v>220.5</v>
      </c>
      <c r="I15" s="102">
        <v>228.6</v>
      </c>
      <c r="J15" s="102">
        <v>112.7</v>
      </c>
      <c r="K15" s="102">
        <v>144</v>
      </c>
      <c r="L15" s="102">
        <v>66</v>
      </c>
      <c r="M15" s="102">
        <v>20.9</v>
      </c>
      <c r="N15" s="102">
        <f t="shared" si="1"/>
        <v>164.39999999999998</v>
      </c>
      <c r="O15" s="102">
        <f t="shared" si="2"/>
        <v>1140.0999999999999</v>
      </c>
      <c r="P15" s="102">
        <f t="shared" si="3"/>
        <v>230.9</v>
      </c>
      <c r="Q15" s="102">
        <f t="shared" si="4"/>
        <v>1535.4</v>
      </c>
    </row>
    <row r="16" spans="1:33">
      <c r="A16" s="102">
        <v>1977</v>
      </c>
      <c r="B16" s="102">
        <v>6.4</v>
      </c>
      <c r="C16" s="102">
        <v>25.7</v>
      </c>
      <c r="D16" s="102">
        <v>109.2</v>
      </c>
      <c r="E16" s="102">
        <v>170</v>
      </c>
      <c r="F16" s="102">
        <v>200.4</v>
      </c>
      <c r="G16" s="102">
        <v>286.10000000000002</v>
      </c>
      <c r="H16" s="102">
        <v>197.2</v>
      </c>
      <c r="I16" s="102">
        <v>110.2</v>
      </c>
      <c r="J16" s="102">
        <v>132.4</v>
      </c>
      <c r="K16" s="102">
        <v>168.8</v>
      </c>
      <c r="L16" s="102">
        <v>76.599999999999994</v>
      </c>
      <c r="M16" s="102">
        <v>13.8</v>
      </c>
      <c r="N16" s="102">
        <f t="shared" si="1"/>
        <v>311.3</v>
      </c>
      <c r="O16" s="102">
        <f t="shared" si="2"/>
        <v>926.30000000000007</v>
      </c>
      <c r="P16" s="102">
        <f t="shared" si="3"/>
        <v>259.2</v>
      </c>
      <c r="Q16" s="102">
        <f t="shared" si="4"/>
        <v>1496.8</v>
      </c>
    </row>
    <row r="17" spans="1:17">
      <c r="A17" s="102">
        <v>1978</v>
      </c>
      <c r="B17" s="102">
        <v>33.799999999999997</v>
      </c>
      <c r="C17" s="102">
        <v>15.2</v>
      </c>
      <c r="D17" s="102">
        <v>14.1</v>
      </c>
      <c r="E17" s="102">
        <v>161</v>
      </c>
      <c r="F17" s="102">
        <v>209.4</v>
      </c>
      <c r="G17" s="102">
        <v>257</v>
      </c>
      <c r="H17" s="102">
        <v>77.900000000000006</v>
      </c>
      <c r="I17" s="102">
        <v>190.5</v>
      </c>
      <c r="J17" s="102">
        <v>63.6</v>
      </c>
      <c r="K17" s="102">
        <v>124.7</v>
      </c>
      <c r="L17" s="102">
        <v>116.4</v>
      </c>
      <c r="M17" s="102">
        <v>8.6</v>
      </c>
      <c r="N17" s="102">
        <f t="shared" si="1"/>
        <v>224.1</v>
      </c>
      <c r="O17" s="102">
        <f t="shared" si="2"/>
        <v>798.4</v>
      </c>
      <c r="P17" s="102">
        <f t="shared" si="3"/>
        <v>249.70000000000002</v>
      </c>
      <c r="Q17" s="102">
        <f t="shared" si="4"/>
        <v>1272.2</v>
      </c>
    </row>
    <row r="18" spans="1:17">
      <c r="A18" s="102">
        <v>1979</v>
      </c>
      <c r="B18" s="102">
        <v>7.1</v>
      </c>
      <c r="C18" s="102">
        <v>25</v>
      </c>
      <c r="D18" s="102">
        <v>39.6</v>
      </c>
      <c r="E18" s="102">
        <v>43.3</v>
      </c>
      <c r="F18" s="102">
        <v>109.3</v>
      </c>
      <c r="G18" s="102">
        <v>211.1</v>
      </c>
      <c r="H18" s="102">
        <v>216.1</v>
      </c>
      <c r="I18" s="102">
        <v>123.1</v>
      </c>
      <c r="J18" s="102">
        <v>176.7</v>
      </c>
      <c r="K18" s="102">
        <v>46.2</v>
      </c>
      <c r="L18" s="102">
        <v>8.9</v>
      </c>
      <c r="M18" s="102">
        <v>33.4</v>
      </c>
      <c r="N18" s="102">
        <f t="shared" si="1"/>
        <v>115</v>
      </c>
      <c r="O18" s="102">
        <f t="shared" si="2"/>
        <v>836.3</v>
      </c>
      <c r="P18" s="102">
        <f t="shared" si="3"/>
        <v>88.5</v>
      </c>
      <c r="Q18" s="102">
        <f t="shared" si="4"/>
        <v>1039.8</v>
      </c>
    </row>
    <row r="19" spans="1:17">
      <c r="A19" s="102">
        <v>1980</v>
      </c>
      <c r="B19" s="102">
        <v>24.5</v>
      </c>
      <c r="C19" s="102">
        <v>9.5</v>
      </c>
      <c r="D19" s="102">
        <v>33.4</v>
      </c>
      <c r="E19" s="102">
        <v>114.5</v>
      </c>
      <c r="F19" s="102">
        <v>164</v>
      </c>
      <c r="G19" s="102">
        <v>228</v>
      </c>
      <c r="H19" s="102">
        <v>320.10000000000002</v>
      </c>
      <c r="I19" s="102">
        <v>255.6</v>
      </c>
      <c r="J19" s="102">
        <v>58.6</v>
      </c>
      <c r="K19" s="102">
        <v>154.69999999999999</v>
      </c>
      <c r="L19" s="102">
        <v>37.200000000000003</v>
      </c>
      <c r="M19" s="102">
        <v>15.1</v>
      </c>
      <c r="N19" s="102">
        <f t="shared" si="1"/>
        <v>181.9</v>
      </c>
      <c r="O19" s="102">
        <f t="shared" si="2"/>
        <v>1026.3</v>
      </c>
      <c r="P19" s="102">
        <f t="shared" si="3"/>
        <v>206.99999999999997</v>
      </c>
      <c r="Q19" s="102">
        <f t="shared" si="4"/>
        <v>1415.1999999999998</v>
      </c>
    </row>
    <row r="20" spans="1:17">
      <c r="A20" s="102">
        <v>1981</v>
      </c>
      <c r="B20" s="102">
        <v>10.8</v>
      </c>
      <c r="C20" s="102">
        <v>6.8</v>
      </c>
      <c r="D20" s="102">
        <v>45.5</v>
      </c>
      <c r="E20" s="102">
        <v>103.6</v>
      </c>
      <c r="F20" s="102">
        <v>217.8</v>
      </c>
      <c r="G20" s="102">
        <v>160.9</v>
      </c>
      <c r="H20" s="102">
        <v>28.8</v>
      </c>
      <c r="I20" s="102">
        <v>84.3</v>
      </c>
      <c r="J20" s="102">
        <v>75.400000000000006</v>
      </c>
      <c r="K20" s="102">
        <v>57.4</v>
      </c>
      <c r="L20" s="102">
        <v>29.5</v>
      </c>
      <c r="M20" s="102">
        <v>0.2</v>
      </c>
      <c r="N20" s="102">
        <f t="shared" si="1"/>
        <v>166.7</v>
      </c>
      <c r="O20" s="102">
        <f t="shared" si="2"/>
        <v>567.20000000000005</v>
      </c>
      <c r="P20" s="102">
        <f t="shared" si="3"/>
        <v>87.100000000000009</v>
      </c>
      <c r="Q20" s="102">
        <f t="shared" si="4"/>
        <v>820.99999999999989</v>
      </c>
    </row>
    <row r="21" spans="1:17">
      <c r="A21" s="102">
        <v>1982</v>
      </c>
      <c r="B21" s="102">
        <v>19.600000000000001</v>
      </c>
      <c r="C21" s="102">
        <v>25.6</v>
      </c>
      <c r="D21" s="102">
        <v>7.2</v>
      </c>
      <c r="E21" s="102">
        <v>117</v>
      </c>
      <c r="F21" s="102">
        <v>287.89999999999998</v>
      </c>
      <c r="G21" s="102">
        <v>139.1</v>
      </c>
      <c r="H21" s="102">
        <v>155.4</v>
      </c>
      <c r="I21" s="102">
        <v>197.4</v>
      </c>
      <c r="J21" s="102">
        <v>161.80000000000001</v>
      </c>
      <c r="K21" s="102">
        <v>93.7</v>
      </c>
      <c r="L21" s="102">
        <v>41.1</v>
      </c>
      <c r="M21" s="102">
        <v>33.1</v>
      </c>
      <c r="N21" s="102">
        <f t="shared" si="1"/>
        <v>169.4</v>
      </c>
      <c r="O21" s="102">
        <f t="shared" si="2"/>
        <v>941.59999999999991</v>
      </c>
      <c r="P21" s="102">
        <f t="shared" si="3"/>
        <v>167.9</v>
      </c>
      <c r="Q21" s="102">
        <f t="shared" si="4"/>
        <v>1278.8999999999999</v>
      </c>
    </row>
    <row r="22" spans="1:17">
      <c r="A22" s="102">
        <v>1983</v>
      </c>
      <c r="B22" s="102">
        <v>43.2</v>
      </c>
      <c r="C22" s="102">
        <v>23.5</v>
      </c>
      <c r="D22" s="102">
        <v>37.1</v>
      </c>
      <c r="E22" s="102">
        <v>105.9</v>
      </c>
      <c r="F22" s="102">
        <v>181.6</v>
      </c>
      <c r="G22" s="102">
        <v>332.8</v>
      </c>
      <c r="H22" s="102">
        <v>328.6</v>
      </c>
      <c r="I22" s="102">
        <v>118.6</v>
      </c>
      <c r="J22" s="102">
        <v>80.2</v>
      </c>
      <c r="K22" s="102">
        <v>93</v>
      </c>
      <c r="L22" s="102">
        <v>51.3</v>
      </c>
      <c r="M22" s="102">
        <v>13.5</v>
      </c>
      <c r="N22" s="102">
        <f t="shared" si="1"/>
        <v>209.70000000000002</v>
      </c>
      <c r="O22" s="102">
        <f t="shared" si="2"/>
        <v>1041.8</v>
      </c>
      <c r="P22" s="102">
        <f t="shared" si="3"/>
        <v>157.80000000000001</v>
      </c>
      <c r="Q22" s="102">
        <f t="shared" si="4"/>
        <v>1409.3</v>
      </c>
    </row>
    <row r="23" spans="1:17">
      <c r="A23" s="102">
        <v>1984</v>
      </c>
      <c r="B23" s="102">
        <v>8.9</v>
      </c>
      <c r="C23" s="102">
        <v>3.3</v>
      </c>
      <c r="D23" s="102">
        <v>27.8</v>
      </c>
      <c r="E23" s="102">
        <v>60.4</v>
      </c>
      <c r="F23" s="102">
        <v>197.5</v>
      </c>
      <c r="G23" s="102">
        <v>209.1</v>
      </c>
      <c r="H23" s="102">
        <v>232.1</v>
      </c>
      <c r="I23" s="102">
        <v>308.3</v>
      </c>
      <c r="J23" s="102">
        <v>183.3</v>
      </c>
      <c r="K23" s="102">
        <v>100.3</v>
      </c>
      <c r="L23" s="102">
        <v>38.6</v>
      </c>
      <c r="M23" s="102">
        <v>36.799999999999997</v>
      </c>
      <c r="N23" s="102">
        <f t="shared" si="1"/>
        <v>100.4</v>
      </c>
      <c r="O23" s="102">
        <f t="shared" si="2"/>
        <v>1130.3</v>
      </c>
      <c r="P23" s="102">
        <f t="shared" si="3"/>
        <v>175.7</v>
      </c>
      <c r="Q23" s="102">
        <f t="shared" si="4"/>
        <v>1406.3999999999999</v>
      </c>
    </row>
    <row r="24" spans="1:17">
      <c r="A24" s="102">
        <v>1985</v>
      </c>
      <c r="B24" s="102">
        <v>8.9</v>
      </c>
      <c r="C24" s="102">
        <v>3.3</v>
      </c>
      <c r="D24" s="102">
        <v>27.8</v>
      </c>
      <c r="E24" s="102">
        <v>76</v>
      </c>
      <c r="F24" s="102">
        <v>197.5</v>
      </c>
      <c r="G24" s="102">
        <v>209.1</v>
      </c>
      <c r="H24" s="102">
        <v>232.1</v>
      </c>
      <c r="I24" s="102">
        <v>308.3</v>
      </c>
      <c r="J24" s="102">
        <v>183.3</v>
      </c>
      <c r="K24" s="102">
        <v>100.3</v>
      </c>
      <c r="L24" s="102">
        <v>38.6</v>
      </c>
      <c r="M24" s="102">
        <v>36.799999999999997</v>
      </c>
      <c r="N24" s="102">
        <f t="shared" si="1"/>
        <v>116</v>
      </c>
      <c r="O24" s="102">
        <f t="shared" si="2"/>
        <v>1130.3</v>
      </c>
      <c r="P24" s="102">
        <f t="shared" si="3"/>
        <v>175.7</v>
      </c>
      <c r="Q24" s="102">
        <f t="shared" si="4"/>
        <v>1421.9999999999998</v>
      </c>
    </row>
    <row r="25" spans="1:17">
      <c r="A25" s="102">
        <v>1986</v>
      </c>
      <c r="B25" s="102">
        <v>14.6</v>
      </c>
      <c r="C25" s="102">
        <v>18.5</v>
      </c>
      <c r="D25" s="102">
        <v>22.6</v>
      </c>
      <c r="E25" s="102">
        <v>70.400000000000006</v>
      </c>
      <c r="F25" s="102">
        <v>109.6</v>
      </c>
      <c r="G25" s="102">
        <v>145</v>
      </c>
      <c r="H25" s="102">
        <v>307.89999999999998</v>
      </c>
      <c r="I25" s="102">
        <v>87.2</v>
      </c>
      <c r="J25" s="102">
        <v>59.5</v>
      </c>
      <c r="K25" s="102">
        <v>87.1</v>
      </c>
      <c r="L25" s="102">
        <v>56.4</v>
      </c>
      <c r="M25" s="102">
        <v>18.899999999999999</v>
      </c>
      <c r="N25" s="102">
        <f t="shared" si="1"/>
        <v>126.10000000000001</v>
      </c>
      <c r="O25" s="102">
        <f t="shared" si="2"/>
        <v>709.2</v>
      </c>
      <c r="P25" s="102">
        <f t="shared" si="3"/>
        <v>162.4</v>
      </c>
      <c r="Q25" s="102">
        <f t="shared" si="4"/>
        <v>997.69999999999993</v>
      </c>
    </row>
    <row r="26" spans="1:17">
      <c r="A26" s="102">
        <v>1987</v>
      </c>
      <c r="B26" s="102">
        <v>19.3</v>
      </c>
      <c r="C26" s="102">
        <v>4.9000000000000004</v>
      </c>
      <c r="D26" s="102">
        <v>31.8</v>
      </c>
      <c r="E26" s="102">
        <v>85.4</v>
      </c>
      <c r="F26" s="102">
        <v>128.6</v>
      </c>
      <c r="G26" s="102">
        <v>162.6</v>
      </c>
      <c r="H26" s="102">
        <v>163.80000000000001</v>
      </c>
      <c r="I26" s="102">
        <v>151.6</v>
      </c>
      <c r="J26" s="102">
        <v>78.2</v>
      </c>
      <c r="K26" s="102">
        <v>102.9</v>
      </c>
      <c r="L26" s="102">
        <v>47.6</v>
      </c>
      <c r="M26" s="102">
        <v>10</v>
      </c>
      <c r="N26" s="102">
        <f t="shared" si="1"/>
        <v>141.4</v>
      </c>
      <c r="O26" s="102">
        <f t="shared" si="2"/>
        <v>684.80000000000007</v>
      </c>
      <c r="P26" s="102">
        <f t="shared" si="3"/>
        <v>160.5</v>
      </c>
      <c r="Q26" s="102">
        <f t="shared" si="4"/>
        <v>986.70000000000016</v>
      </c>
    </row>
    <row r="27" spans="1:17">
      <c r="A27" s="102">
        <v>1988</v>
      </c>
      <c r="B27" s="102">
        <v>19.600000000000001</v>
      </c>
      <c r="C27" s="102">
        <v>14.4</v>
      </c>
      <c r="D27" s="102">
        <v>12.1</v>
      </c>
      <c r="E27" s="102">
        <v>64.400000000000006</v>
      </c>
      <c r="F27" s="102">
        <v>194</v>
      </c>
      <c r="G27" s="102">
        <v>139.9</v>
      </c>
      <c r="H27" s="102">
        <v>158.1</v>
      </c>
      <c r="I27" s="102">
        <v>190.7</v>
      </c>
      <c r="J27" s="102">
        <v>112.6</v>
      </c>
      <c r="K27" s="102">
        <v>67.3</v>
      </c>
      <c r="L27" s="102">
        <v>0.7</v>
      </c>
      <c r="M27" s="102">
        <v>18.7</v>
      </c>
      <c r="N27" s="102">
        <f t="shared" si="1"/>
        <v>110.5</v>
      </c>
      <c r="O27" s="102">
        <f t="shared" si="2"/>
        <v>795.30000000000007</v>
      </c>
      <c r="P27" s="102">
        <f t="shared" si="3"/>
        <v>86.7</v>
      </c>
      <c r="Q27" s="102">
        <f t="shared" si="4"/>
        <v>992.50000000000011</v>
      </c>
    </row>
    <row r="28" spans="1:17">
      <c r="A28" s="102">
        <v>1989</v>
      </c>
      <c r="B28" s="102">
        <v>14.5</v>
      </c>
      <c r="C28" s="102">
        <v>33.200000000000003</v>
      </c>
      <c r="D28" s="102">
        <v>54.5</v>
      </c>
      <c r="E28" s="102">
        <v>219.1</v>
      </c>
      <c r="F28" s="102">
        <v>92.5</v>
      </c>
      <c r="G28" s="102">
        <v>176.5</v>
      </c>
      <c r="H28" s="102">
        <v>54.6</v>
      </c>
      <c r="I28" s="102">
        <v>113.3</v>
      </c>
      <c r="J28" s="102">
        <v>143.1</v>
      </c>
      <c r="K28" s="102">
        <v>123.9</v>
      </c>
      <c r="L28" s="102">
        <v>82.8</v>
      </c>
      <c r="M28" s="102">
        <v>46.1</v>
      </c>
      <c r="N28" s="102">
        <f t="shared" si="1"/>
        <v>321.3</v>
      </c>
      <c r="O28" s="102">
        <f t="shared" si="2"/>
        <v>580</v>
      </c>
      <c r="P28" s="102">
        <f t="shared" si="3"/>
        <v>252.79999999999998</v>
      </c>
      <c r="Q28" s="102">
        <f t="shared" si="4"/>
        <v>1154.0999999999999</v>
      </c>
    </row>
    <row r="29" spans="1:17">
      <c r="A29" s="102">
        <v>1990</v>
      </c>
      <c r="B29" s="102">
        <v>18.8</v>
      </c>
      <c r="C29" s="102">
        <v>21.9</v>
      </c>
      <c r="D29" s="102">
        <v>73.7</v>
      </c>
      <c r="E29" s="102">
        <v>63.3</v>
      </c>
      <c r="F29" s="102">
        <v>198</v>
      </c>
      <c r="G29" s="102">
        <v>173.3</v>
      </c>
      <c r="H29" s="102">
        <v>96.6</v>
      </c>
      <c r="I29" s="102">
        <v>24.5</v>
      </c>
      <c r="J29" s="102">
        <v>157.4</v>
      </c>
      <c r="K29" s="102">
        <v>83.1</v>
      </c>
      <c r="L29" s="102">
        <v>74.7</v>
      </c>
      <c r="M29" s="102">
        <v>2</v>
      </c>
      <c r="N29" s="102">
        <f t="shared" si="1"/>
        <v>177.7</v>
      </c>
      <c r="O29" s="102">
        <f t="shared" si="2"/>
        <v>649.79999999999995</v>
      </c>
      <c r="P29" s="102">
        <f t="shared" si="3"/>
        <v>159.80000000000001</v>
      </c>
      <c r="Q29" s="102">
        <f t="shared" si="4"/>
        <v>987.30000000000007</v>
      </c>
    </row>
    <row r="30" spans="1:17">
      <c r="A30" s="102">
        <v>1991</v>
      </c>
      <c r="B30" s="102">
        <v>34</v>
      </c>
      <c r="C30" s="102">
        <v>9.1999999999999993</v>
      </c>
      <c r="D30" s="102">
        <v>51.4</v>
      </c>
      <c r="E30" s="102">
        <v>81.400000000000006</v>
      </c>
      <c r="F30" s="102">
        <v>121.4</v>
      </c>
      <c r="G30" s="102">
        <v>134.80000000000001</v>
      </c>
      <c r="H30" s="102">
        <v>194.8</v>
      </c>
      <c r="I30" s="102">
        <v>108.5</v>
      </c>
      <c r="J30" s="102">
        <v>47.4</v>
      </c>
      <c r="K30" s="102">
        <v>94.9</v>
      </c>
      <c r="L30" s="102">
        <v>35.5</v>
      </c>
      <c r="M30" s="102">
        <v>22.3</v>
      </c>
      <c r="N30" s="102">
        <f t="shared" si="1"/>
        <v>176</v>
      </c>
      <c r="O30" s="102">
        <f t="shared" si="2"/>
        <v>606.9</v>
      </c>
      <c r="P30" s="102">
        <f t="shared" si="3"/>
        <v>152.70000000000002</v>
      </c>
      <c r="Q30" s="102">
        <f t="shared" si="4"/>
        <v>935.59999999999991</v>
      </c>
    </row>
    <row r="31" spans="1:17">
      <c r="A31" s="102">
        <v>1992</v>
      </c>
      <c r="B31" s="102">
        <v>9.5</v>
      </c>
      <c r="C31" s="102">
        <v>43</v>
      </c>
      <c r="D31" s="102">
        <v>50.2</v>
      </c>
      <c r="E31" s="102">
        <v>85.4</v>
      </c>
      <c r="F31" s="102">
        <v>190.7</v>
      </c>
      <c r="G31" s="102">
        <v>240</v>
      </c>
      <c r="H31" s="102">
        <v>110.6</v>
      </c>
      <c r="I31" s="102">
        <v>64</v>
      </c>
      <c r="J31" s="102">
        <v>85.8</v>
      </c>
      <c r="K31" s="102">
        <v>115.1</v>
      </c>
      <c r="L31" s="102">
        <v>42.3</v>
      </c>
      <c r="M31" s="102">
        <v>19.8</v>
      </c>
      <c r="N31" s="102">
        <f t="shared" si="1"/>
        <v>188.10000000000002</v>
      </c>
      <c r="O31" s="102">
        <f t="shared" si="2"/>
        <v>691.09999999999991</v>
      </c>
      <c r="P31" s="102">
        <f t="shared" si="3"/>
        <v>177.2</v>
      </c>
      <c r="Q31" s="102">
        <f t="shared" si="4"/>
        <v>1056.3999999999999</v>
      </c>
    </row>
    <row r="32" spans="1:17">
      <c r="A32" s="102">
        <v>1993</v>
      </c>
      <c r="B32" s="102">
        <v>37</v>
      </c>
      <c r="C32" s="102">
        <v>42.1</v>
      </c>
      <c r="D32" s="102">
        <v>54.3</v>
      </c>
      <c r="E32" s="102">
        <v>67.400000000000006</v>
      </c>
      <c r="F32" s="102">
        <v>162.1</v>
      </c>
      <c r="G32" s="102">
        <v>231.1</v>
      </c>
      <c r="H32" s="102">
        <v>235.6</v>
      </c>
      <c r="I32" s="102">
        <v>237.4</v>
      </c>
      <c r="J32" s="102">
        <v>85.4</v>
      </c>
      <c r="K32" s="102">
        <v>88.8</v>
      </c>
      <c r="L32" s="102">
        <v>75.8</v>
      </c>
      <c r="M32" s="102">
        <v>13.1</v>
      </c>
      <c r="N32" s="102">
        <f t="shared" si="1"/>
        <v>200.79999999999998</v>
      </c>
      <c r="O32" s="102">
        <f t="shared" si="2"/>
        <v>951.59999999999991</v>
      </c>
      <c r="P32" s="102">
        <f t="shared" si="3"/>
        <v>177.7</v>
      </c>
      <c r="Q32" s="102">
        <f t="shared" si="4"/>
        <v>1330.1</v>
      </c>
    </row>
    <row r="33" spans="1:17">
      <c r="A33" s="102">
        <v>1994</v>
      </c>
      <c r="B33" s="102">
        <v>12.1</v>
      </c>
      <c r="C33" s="102">
        <v>8.1</v>
      </c>
      <c r="D33" s="102">
        <v>87.6</v>
      </c>
      <c r="E33" s="102">
        <v>55</v>
      </c>
      <c r="F33" s="102">
        <v>283</v>
      </c>
      <c r="G33" s="102">
        <v>118.4</v>
      </c>
      <c r="H33" s="102">
        <v>131.6</v>
      </c>
      <c r="I33" s="102">
        <v>106.8</v>
      </c>
      <c r="J33" s="102">
        <v>144</v>
      </c>
      <c r="K33" s="102">
        <v>171.9</v>
      </c>
      <c r="L33" s="102">
        <v>88.5</v>
      </c>
      <c r="M33" s="102">
        <v>33.4</v>
      </c>
      <c r="N33" s="102">
        <f t="shared" si="1"/>
        <v>162.80000000000001</v>
      </c>
      <c r="O33" s="102">
        <f t="shared" si="2"/>
        <v>783.8</v>
      </c>
      <c r="P33" s="102">
        <f t="shared" si="3"/>
        <v>293.79999999999995</v>
      </c>
      <c r="Q33" s="102">
        <f t="shared" si="4"/>
        <v>1240.4000000000001</v>
      </c>
    </row>
    <row r="34" spans="1:17">
      <c r="A34" s="102">
        <v>1995</v>
      </c>
      <c r="B34" s="102">
        <v>31.6</v>
      </c>
      <c r="C34" s="102">
        <v>38.9</v>
      </c>
      <c r="D34" s="102">
        <v>34.5</v>
      </c>
      <c r="E34" s="102">
        <v>54</v>
      </c>
      <c r="F34" s="102">
        <v>151.19999999999999</v>
      </c>
      <c r="G34" s="102">
        <v>237.5</v>
      </c>
      <c r="H34" s="102">
        <v>142.6</v>
      </c>
      <c r="I34" s="102">
        <v>155.1</v>
      </c>
      <c r="J34" s="102">
        <v>62.6</v>
      </c>
      <c r="K34" s="102">
        <v>85.8</v>
      </c>
      <c r="L34" s="102">
        <v>59.3</v>
      </c>
      <c r="M34" s="102">
        <v>8.9</v>
      </c>
      <c r="N34" s="102">
        <f t="shared" si="1"/>
        <v>159</v>
      </c>
      <c r="O34" s="102">
        <f t="shared" si="2"/>
        <v>749</v>
      </c>
      <c r="P34" s="102">
        <f t="shared" si="3"/>
        <v>154</v>
      </c>
      <c r="Q34" s="102">
        <f t="shared" si="4"/>
        <v>1062.0000000000002</v>
      </c>
    </row>
    <row r="35" spans="1:17">
      <c r="A35" s="102">
        <v>1996</v>
      </c>
      <c r="B35" s="102">
        <v>20.6</v>
      </c>
      <c r="C35" s="102">
        <v>0.8</v>
      </c>
      <c r="D35" s="102">
        <v>46.8</v>
      </c>
      <c r="E35" s="102">
        <v>41.8</v>
      </c>
      <c r="F35" s="102">
        <v>231.9</v>
      </c>
      <c r="G35" s="102">
        <v>353.9</v>
      </c>
      <c r="H35" s="102">
        <v>281.3</v>
      </c>
      <c r="I35" s="102">
        <v>140.5</v>
      </c>
      <c r="J35" s="102">
        <v>84.1</v>
      </c>
      <c r="K35" s="102">
        <v>40.9</v>
      </c>
      <c r="L35" s="102">
        <v>146.69999999999999</v>
      </c>
      <c r="M35" s="102">
        <v>6.4</v>
      </c>
      <c r="N35" s="102">
        <f t="shared" si="1"/>
        <v>110</v>
      </c>
      <c r="O35" s="102">
        <f t="shared" si="2"/>
        <v>1091.6999999999998</v>
      </c>
      <c r="P35" s="102">
        <f t="shared" si="3"/>
        <v>194</v>
      </c>
      <c r="Q35" s="102">
        <f t="shared" si="4"/>
        <v>1395.7</v>
      </c>
    </row>
    <row r="36" spans="1:17">
      <c r="A36" s="102">
        <v>1997</v>
      </c>
      <c r="B36" s="102">
        <v>38.700000000000003</v>
      </c>
      <c r="C36" s="102">
        <v>45.7</v>
      </c>
      <c r="D36" s="102">
        <v>24.8</v>
      </c>
      <c r="E36" s="102">
        <v>178</v>
      </c>
      <c r="F36" s="102">
        <v>135.5</v>
      </c>
      <c r="G36" s="102">
        <v>130.19999999999999</v>
      </c>
      <c r="H36" s="102">
        <v>207.5</v>
      </c>
      <c r="I36" s="102">
        <v>78.7</v>
      </c>
      <c r="J36" s="102">
        <v>113.9</v>
      </c>
      <c r="K36" s="102">
        <v>78.2</v>
      </c>
      <c r="L36" s="102">
        <v>20.7</v>
      </c>
      <c r="M36" s="102">
        <v>30.8</v>
      </c>
      <c r="N36" s="102">
        <f t="shared" si="1"/>
        <v>287.2</v>
      </c>
      <c r="O36" s="102">
        <f t="shared" si="2"/>
        <v>665.8</v>
      </c>
      <c r="P36" s="102">
        <f t="shared" si="3"/>
        <v>129.70000000000002</v>
      </c>
      <c r="Q36" s="102">
        <f t="shared" si="4"/>
        <v>1082.7</v>
      </c>
    </row>
    <row r="37" spans="1:17">
      <c r="A37" s="102">
        <v>1998</v>
      </c>
      <c r="B37" s="102">
        <v>20</v>
      </c>
      <c r="C37" s="102">
        <v>12.7</v>
      </c>
      <c r="D37" s="102">
        <v>27.1</v>
      </c>
      <c r="E37" s="102">
        <v>84.2</v>
      </c>
      <c r="F37" s="102">
        <v>230.5</v>
      </c>
      <c r="G37" s="102">
        <v>145.5</v>
      </c>
      <c r="H37" s="102">
        <v>203.3</v>
      </c>
      <c r="I37" s="102">
        <v>272.89999999999998</v>
      </c>
      <c r="J37" s="102">
        <v>48.7</v>
      </c>
      <c r="K37" s="102">
        <v>88.8</v>
      </c>
      <c r="L37" s="102">
        <v>6</v>
      </c>
      <c r="M37" s="102">
        <v>13.8</v>
      </c>
      <c r="N37" s="102">
        <f t="shared" si="1"/>
        <v>144</v>
      </c>
      <c r="O37" s="102">
        <f t="shared" si="2"/>
        <v>900.9</v>
      </c>
      <c r="P37" s="102">
        <f t="shared" si="3"/>
        <v>108.6</v>
      </c>
      <c r="Q37" s="102">
        <f t="shared" si="4"/>
        <v>1153.4999999999998</v>
      </c>
    </row>
    <row r="38" spans="1:17">
      <c r="A38" s="102">
        <v>1999</v>
      </c>
      <c r="B38" s="102">
        <v>35.4</v>
      </c>
      <c r="C38" s="102">
        <v>17.399999999999999</v>
      </c>
      <c r="D38" s="102">
        <v>10.9</v>
      </c>
      <c r="E38" s="102">
        <v>146.30000000000001</v>
      </c>
      <c r="F38" s="102">
        <v>163.6</v>
      </c>
      <c r="G38" s="102">
        <v>385</v>
      </c>
      <c r="H38" s="102">
        <v>266.89999999999998</v>
      </c>
      <c r="I38" s="102">
        <v>155.30000000000001</v>
      </c>
      <c r="J38" s="102">
        <v>91.2</v>
      </c>
      <c r="K38" s="102">
        <v>101.3</v>
      </c>
      <c r="L38" s="102">
        <v>66</v>
      </c>
      <c r="M38" s="102">
        <v>2.2999999999999998</v>
      </c>
      <c r="N38" s="102">
        <f t="shared" si="1"/>
        <v>210</v>
      </c>
      <c r="O38" s="102">
        <f t="shared" si="2"/>
        <v>1062</v>
      </c>
      <c r="P38" s="102">
        <f t="shared" si="3"/>
        <v>169.60000000000002</v>
      </c>
      <c r="Q38" s="102">
        <f t="shared" si="4"/>
        <v>1441.6</v>
      </c>
    </row>
    <row r="39" spans="1:17">
      <c r="A39" s="102">
        <v>2000</v>
      </c>
      <c r="B39" s="102">
        <v>39.1</v>
      </c>
      <c r="C39" s="102">
        <v>12.8</v>
      </c>
      <c r="D39" s="102">
        <v>48</v>
      </c>
      <c r="E39" s="102">
        <v>128.80000000000001</v>
      </c>
      <c r="F39" s="102">
        <v>100.4</v>
      </c>
      <c r="G39" s="102">
        <v>287.8</v>
      </c>
      <c r="H39" s="102">
        <v>115.4</v>
      </c>
      <c r="I39" s="102">
        <v>284.5</v>
      </c>
      <c r="J39" s="102">
        <v>81.599999999999994</v>
      </c>
      <c r="K39" s="102">
        <v>153.30000000000001</v>
      </c>
      <c r="L39" s="102">
        <v>30.6</v>
      </c>
      <c r="M39" s="102">
        <v>20.3</v>
      </c>
      <c r="N39" s="102">
        <f t="shared" si="1"/>
        <v>228.70000000000002</v>
      </c>
      <c r="O39" s="102">
        <f t="shared" si="2"/>
        <v>869.7</v>
      </c>
      <c r="P39" s="102">
        <f t="shared" si="3"/>
        <v>204.20000000000002</v>
      </c>
      <c r="Q39" s="102">
        <f t="shared" si="4"/>
        <v>1302.5999999999999</v>
      </c>
    </row>
    <row r="40" spans="1:17">
      <c r="A40" s="102">
        <v>2001</v>
      </c>
      <c r="B40" s="102">
        <v>13.4</v>
      </c>
      <c r="C40" s="102">
        <v>10.199999999999999</v>
      </c>
      <c r="D40" s="102">
        <v>52.8</v>
      </c>
      <c r="E40" s="102">
        <v>158.69999999999999</v>
      </c>
      <c r="F40" s="102">
        <v>140.30000000000001</v>
      </c>
      <c r="G40" s="102">
        <v>146.1</v>
      </c>
      <c r="H40" s="102">
        <v>147.30000000000001</v>
      </c>
      <c r="I40" s="102">
        <v>59.3</v>
      </c>
      <c r="J40" s="102">
        <v>18.7</v>
      </c>
      <c r="K40" s="102">
        <v>128.69999999999999</v>
      </c>
      <c r="L40" s="102">
        <v>15.8</v>
      </c>
      <c r="M40" s="102">
        <v>10.6</v>
      </c>
      <c r="N40" s="102">
        <f t="shared" si="1"/>
        <v>235.1</v>
      </c>
      <c r="O40" s="102">
        <f t="shared" si="2"/>
        <v>511.7</v>
      </c>
      <c r="P40" s="102">
        <f t="shared" si="3"/>
        <v>155.1</v>
      </c>
      <c r="Q40" s="102">
        <f t="shared" si="4"/>
        <v>901.9</v>
      </c>
    </row>
    <row r="41" spans="1:17">
      <c r="A41" s="102">
        <v>2002</v>
      </c>
      <c r="B41" s="102">
        <v>36.9</v>
      </c>
      <c r="C41" s="102">
        <v>33.299999999999997</v>
      </c>
      <c r="D41" s="102">
        <v>60.9</v>
      </c>
      <c r="E41" s="102">
        <v>115.8</v>
      </c>
      <c r="F41" s="102">
        <v>237.1</v>
      </c>
      <c r="G41" s="102">
        <v>303.60000000000002</v>
      </c>
      <c r="H41" s="102">
        <v>84.8</v>
      </c>
      <c r="I41" s="102">
        <v>176.8</v>
      </c>
      <c r="J41" s="102">
        <v>66.599999999999994</v>
      </c>
      <c r="K41" s="102">
        <v>87.7</v>
      </c>
      <c r="L41" s="102">
        <v>41.4</v>
      </c>
      <c r="M41" s="102">
        <v>35</v>
      </c>
      <c r="N41" s="102">
        <f t="shared" si="1"/>
        <v>246.89999999999998</v>
      </c>
      <c r="O41" s="102">
        <f t="shared" si="2"/>
        <v>868.9</v>
      </c>
      <c r="P41" s="102">
        <f t="shared" si="3"/>
        <v>164.1</v>
      </c>
      <c r="Q41" s="102">
        <f t="shared" si="4"/>
        <v>1279.9000000000001</v>
      </c>
    </row>
    <row r="42" spans="1:17">
      <c r="A42" s="102">
        <v>2003</v>
      </c>
      <c r="B42" s="102">
        <v>20.8</v>
      </c>
      <c r="C42" s="102">
        <v>28.8</v>
      </c>
      <c r="D42" s="102">
        <v>27.3</v>
      </c>
      <c r="E42" s="102">
        <v>129.9</v>
      </c>
      <c r="F42" s="102">
        <v>158.9</v>
      </c>
      <c r="G42" s="102">
        <v>194.6</v>
      </c>
      <c r="H42" s="102">
        <v>396.8</v>
      </c>
      <c r="I42" s="102">
        <v>86</v>
      </c>
      <c r="J42" s="102">
        <v>183.4</v>
      </c>
      <c r="K42" s="102">
        <v>58</v>
      </c>
      <c r="L42" s="102">
        <v>36.9</v>
      </c>
      <c r="M42" s="102">
        <v>43</v>
      </c>
      <c r="N42" s="102">
        <f t="shared" si="1"/>
        <v>206.8</v>
      </c>
      <c r="O42" s="102">
        <f t="shared" si="2"/>
        <v>1019.6999999999999</v>
      </c>
      <c r="P42" s="102">
        <f t="shared" si="3"/>
        <v>137.9</v>
      </c>
      <c r="Q42" s="102">
        <f t="shared" si="4"/>
        <v>1364.4000000000003</v>
      </c>
    </row>
    <row r="43" spans="1:17">
      <c r="A43" s="102">
        <v>2004</v>
      </c>
      <c r="B43" s="103">
        <v>37.4</v>
      </c>
      <c r="C43" s="103">
        <v>57.9</v>
      </c>
      <c r="D43" s="103">
        <v>65.400000000000006</v>
      </c>
      <c r="E43" s="103">
        <v>122.4</v>
      </c>
      <c r="F43" s="103">
        <v>240.7</v>
      </c>
      <c r="G43" s="103">
        <v>266.3</v>
      </c>
      <c r="H43" s="103">
        <v>176.2</v>
      </c>
      <c r="I43" s="103">
        <v>164.2</v>
      </c>
      <c r="J43" s="103">
        <v>181.1</v>
      </c>
      <c r="K43" s="103">
        <v>100.2</v>
      </c>
      <c r="L43" s="103">
        <v>63.5</v>
      </c>
      <c r="M43" s="103">
        <v>16.399999999999999</v>
      </c>
      <c r="N43" s="102">
        <f t="shared" si="1"/>
        <v>283.10000000000002</v>
      </c>
      <c r="O43" s="102">
        <f t="shared" si="2"/>
        <v>1028.5</v>
      </c>
      <c r="P43" s="102">
        <f t="shared" si="3"/>
        <v>180.1</v>
      </c>
      <c r="Q43" s="102">
        <f t="shared" si="4"/>
        <v>1491.7</v>
      </c>
    </row>
    <row r="44" spans="1:17">
      <c r="A44" s="102">
        <v>2005</v>
      </c>
      <c r="B44" s="102">
        <v>23.5</v>
      </c>
      <c r="C44" s="102">
        <v>36.700000000000003</v>
      </c>
      <c r="D44" s="102">
        <v>40.700000000000003</v>
      </c>
      <c r="E44" s="102">
        <v>85.1</v>
      </c>
      <c r="F44" s="102">
        <v>297.89999999999998</v>
      </c>
      <c r="G44" s="102">
        <v>85.2</v>
      </c>
      <c r="H44" s="102">
        <v>109.2</v>
      </c>
      <c r="I44" s="102">
        <v>132.19999999999999</v>
      </c>
      <c r="J44" s="102">
        <v>95.4</v>
      </c>
      <c r="K44" s="103">
        <v>100.1</v>
      </c>
      <c r="L44" s="103">
        <v>34.4</v>
      </c>
      <c r="M44" s="103">
        <v>10.6</v>
      </c>
      <c r="N44" s="102">
        <f t="shared" si="1"/>
        <v>186</v>
      </c>
      <c r="O44" s="102">
        <f t="shared" si="2"/>
        <v>719.9</v>
      </c>
      <c r="P44" s="102">
        <f t="shared" si="3"/>
        <v>145.1</v>
      </c>
      <c r="Q44" s="102">
        <f t="shared" si="4"/>
        <v>1051</v>
      </c>
    </row>
    <row r="45" spans="1:17">
      <c r="A45" s="102">
        <v>2006</v>
      </c>
      <c r="B45" s="102">
        <v>15</v>
      </c>
      <c r="C45" s="102">
        <v>61.4</v>
      </c>
      <c r="D45" s="102">
        <v>32.9</v>
      </c>
      <c r="E45" s="102">
        <v>113.1</v>
      </c>
      <c r="F45" s="102">
        <v>151.9</v>
      </c>
      <c r="G45" s="102">
        <v>177.4</v>
      </c>
      <c r="H45" s="102">
        <v>124.9</v>
      </c>
      <c r="I45" s="102">
        <v>54.1</v>
      </c>
      <c r="J45" s="102">
        <v>73.7</v>
      </c>
      <c r="K45" s="102">
        <v>148.30000000000001</v>
      </c>
      <c r="L45" s="102">
        <v>67.599999999999994</v>
      </c>
      <c r="M45" s="102">
        <v>26</v>
      </c>
      <c r="N45" s="102">
        <f t="shared" si="1"/>
        <v>222.4</v>
      </c>
      <c r="O45" s="102">
        <f t="shared" si="2"/>
        <v>582.00000000000011</v>
      </c>
      <c r="P45" s="102">
        <f t="shared" si="3"/>
        <v>241.9</v>
      </c>
      <c r="Q45" s="102">
        <f t="shared" si="4"/>
        <v>1046.3000000000002</v>
      </c>
    </row>
    <row r="46" spans="1:17">
      <c r="A46" s="102">
        <v>2007</v>
      </c>
      <c r="B46" s="102">
        <v>31.8</v>
      </c>
      <c r="C46" s="102">
        <v>27.6</v>
      </c>
      <c r="D46" s="102">
        <v>36.5</v>
      </c>
      <c r="E46" s="102">
        <v>93.2</v>
      </c>
      <c r="F46" s="102">
        <v>103.5</v>
      </c>
      <c r="G46" s="102">
        <v>191.5</v>
      </c>
      <c r="H46" s="102">
        <v>196.9</v>
      </c>
      <c r="I46" s="102">
        <v>124.4</v>
      </c>
      <c r="J46" s="102">
        <v>74.8</v>
      </c>
      <c r="K46" s="102">
        <v>105.2</v>
      </c>
      <c r="L46" s="102">
        <v>1.7</v>
      </c>
      <c r="M46" s="102">
        <v>18.600000000000001</v>
      </c>
      <c r="N46" s="102">
        <f t="shared" si="1"/>
        <v>189.10000000000002</v>
      </c>
      <c r="O46" s="102">
        <f t="shared" si="2"/>
        <v>691.09999999999991</v>
      </c>
      <c r="P46" s="102">
        <f t="shared" si="3"/>
        <v>125.5</v>
      </c>
      <c r="Q46" s="102">
        <f t="shared" si="4"/>
        <v>1005.7</v>
      </c>
    </row>
    <row r="47" spans="1:17">
      <c r="A47" s="102">
        <v>2008</v>
      </c>
      <c r="B47" s="102">
        <v>12</v>
      </c>
      <c r="C47" s="102">
        <v>28.8</v>
      </c>
      <c r="D47" s="102">
        <v>93.3</v>
      </c>
      <c r="E47" s="102">
        <v>68.3</v>
      </c>
      <c r="F47" s="102">
        <v>175.4</v>
      </c>
      <c r="G47" s="102">
        <v>83.8</v>
      </c>
      <c r="H47" s="102">
        <v>239</v>
      </c>
      <c r="I47" s="102">
        <v>187.2</v>
      </c>
      <c r="J47" s="102">
        <v>60.1</v>
      </c>
      <c r="K47" s="102">
        <v>151.69999999999999</v>
      </c>
      <c r="L47" s="102">
        <v>81.7</v>
      </c>
      <c r="M47" s="102">
        <v>8.3000000000000007</v>
      </c>
      <c r="N47" s="102">
        <f t="shared" si="1"/>
        <v>202.39999999999998</v>
      </c>
      <c r="O47" s="102">
        <f t="shared" si="2"/>
        <v>745.5</v>
      </c>
      <c r="P47" s="102">
        <f t="shared" si="3"/>
        <v>241.7</v>
      </c>
      <c r="Q47" s="102">
        <f t="shared" si="4"/>
        <v>1189.5999999999999</v>
      </c>
    </row>
    <row r="48" spans="1:17">
      <c r="A48" s="102">
        <v>2009</v>
      </c>
      <c r="B48" s="102">
        <v>20.7</v>
      </c>
      <c r="C48" s="102">
        <v>22.8</v>
      </c>
      <c r="D48" s="102">
        <v>48.3</v>
      </c>
      <c r="E48" s="102">
        <v>231.4</v>
      </c>
      <c r="F48" s="102">
        <v>97.4</v>
      </c>
      <c r="G48" s="102">
        <v>307</v>
      </c>
      <c r="H48" s="102">
        <v>108</v>
      </c>
      <c r="I48" s="102">
        <v>53.1</v>
      </c>
      <c r="J48" s="102">
        <v>51.4</v>
      </c>
      <c r="K48" s="102">
        <v>58.2</v>
      </c>
      <c r="L48" s="102">
        <v>17.100000000000001</v>
      </c>
      <c r="M48" s="102">
        <v>27.4</v>
      </c>
      <c r="N48" s="102">
        <f t="shared" si="1"/>
        <v>323.2</v>
      </c>
      <c r="O48" s="102">
        <f t="shared" si="2"/>
        <v>616.9</v>
      </c>
      <c r="P48" s="102">
        <f t="shared" si="3"/>
        <v>102.70000000000002</v>
      </c>
      <c r="Q48" s="102">
        <f t="shared" si="4"/>
        <v>1042.8000000000002</v>
      </c>
    </row>
    <row r="49" spans="1:33" ht="36">
      <c r="A49" s="102">
        <v>2010</v>
      </c>
      <c r="B49" s="102">
        <v>9.1</v>
      </c>
      <c r="C49" s="102">
        <v>0.3</v>
      </c>
      <c r="D49" s="102">
        <v>33.6</v>
      </c>
      <c r="E49" s="102">
        <v>98.2</v>
      </c>
      <c r="F49" s="102" t="s">
        <v>84</v>
      </c>
      <c r="N49" s="102">
        <f t="shared" si="1"/>
        <v>141.19999999999999</v>
      </c>
      <c r="O49" s="102">
        <f t="shared" si="2"/>
        <v>0</v>
      </c>
      <c r="P49" s="102">
        <f t="shared" si="3"/>
        <v>0</v>
      </c>
    </row>
    <row r="50" spans="1:33">
      <c r="A50" s="102">
        <v>2010</v>
      </c>
      <c r="F50" s="102">
        <v>243.7</v>
      </c>
      <c r="G50" s="102">
        <v>281.10000000000002</v>
      </c>
      <c r="H50" s="102">
        <v>235.3</v>
      </c>
      <c r="I50" s="102">
        <v>48.7</v>
      </c>
      <c r="J50" s="102">
        <v>113.2</v>
      </c>
      <c r="K50" s="102">
        <v>113.2</v>
      </c>
      <c r="L50" s="102">
        <v>103</v>
      </c>
      <c r="N50" s="102">
        <f t="shared" si="1"/>
        <v>0</v>
      </c>
      <c r="O50" s="102">
        <f t="shared" si="2"/>
        <v>922</v>
      </c>
      <c r="P50" s="102">
        <f t="shared" si="3"/>
        <v>216.2</v>
      </c>
      <c r="Q50" s="102">
        <f>SUM(B49:E49,F50:M50)</f>
        <v>1279.4000000000001</v>
      </c>
    </row>
    <row r="51" spans="1:33">
      <c r="A51" s="102">
        <v>2011</v>
      </c>
      <c r="B51" s="102">
        <v>9.3000000000000007</v>
      </c>
      <c r="C51" s="102">
        <v>7.3</v>
      </c>
      <c r="D51" s="102">
        <v>31.9</v>
      </c>
      <c r="E51" s="102">
        <v>29.9</v>
      </c>
      <c r="F51" s="102">
        <v>87.3</v>
      </c>
      <c r="G51" s="102">
        <v>266.39999999999998</v>
      </c>
      <c r="H51" s="102">
        <v>15.1</v>
      </c>
      <c r="I51" s="102">
        <v>97.1</v>
      </c>
      <c r="J51" s="102">
        <v>59.3</v>
      </c>
      <c r="K51" s="102">
        <v>176.2</v>
      </c>
      <c r="L51" s="102">
        <v>58.7</v>
      </c>
      <c r="M51" s="102">
        <v>18.5</v>
      </c>
      <c r="N51" s="102">
        <f t="shared" si="1"/>
        <v>78.400000000000006</v>
      </c>
      <c r="O51" s="102">
        <f t="shared" si="2"/>
        <v>525.19999999999993</v>
      </c>
      <c r="P51" s="102">
        <f t="shared" si="3"/>
        <v>253.39999999999998</v>
      </c>
      <c r="Q51" s="102">
        <f t="shared" si="4"/>
        <v>857</v>
      </c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</row>
    <row r="52" spans="1:33">
      <c r="A52" s="102">
        <v>2012</v>
      </c>
      <c r="B52" s="102">
        <v>26</v>
      </c>
      <c r="C52" s="102">
        <v>6.8</v>
      </c>
      <c r="D52" s="102">
        <v>47.6</v>
      </c>
      <c r="E52" s="102">
        <v>134.19999999999999</v>
      </c>
      <c r="F52" s="102">
        <v>143.30000000000001</v>
      </c>
      <c r="G52" s="102">
        <v>184</v>
      </c>
      <c r="H52" s="102">
        <v>163.69999999999999</v>
      </c>
      <c r="I52" s="102">
        <v>78.900000000000006</v>
      </c>
      <c r="J52" s="102">
        <v>78.3</v>
      </c>
      <c r="K52" s="102">
        <v>59.9</v>
      </c>
      <c r="L52" s="102">
        <v>47.6</v>
      </c>
      <c r="M52" s="102">
        <v>22</v>
      </c>
      <c r="N52" s="102">
        <f t="shared" si="1"/>
        <v>214.6</v>
      </c>
      <c r="O52" s="102">
        <f t="shared" si="2"/>
        <v>648.19999999999993</v>
      </c>
      <c r="P52" s="102">
        <f t="shared" si="3"/>
        <v>129.5</v>
      </c>
      <c r="Q52" s="102">
        <f t="shared" si="4"/>
        <v>992.29999999999984</v>
      </c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  <c r="AD52" s="104"/>
      <c r="AE52" s="104"/>
      <c r="AF52" s="104"/>
      <c r="AG52" s="104"/>
    </row>
    <row r="53" spans="1:33">
      <c r="A53" s="102">
        <v>2013</v>
      </c>
      <c r="B53" s="102">
        <v>18.399999999999999</v>
      </c>
      <c r="C53" s="102">
        <v>17</v>
      </c>
      <c r="D53" s="102">
        <v>68</v>
      </c>
      <c r="E53" s="102">
        <v>151.80000000000001</v>
      </c>
      <c r="F53" s="102">
        <v>168.1</v>
      </c>
      <c r="G53" s="102">
        <v>164.5</v>
      </c>
      <c r="H53" s="102">
        <v>24.1</v>
      </c>
      <c r="I53" s="102">
        <v>126.3</v>
      </c>
      <c r="J53" s="102">
        <v>141.80000000000001</v>
      </c>
      <c r="K53" s="102">
        <v>58.3</v>
      </c>
      <c r="L53" s="102">
        <v>41.3</v>
      </c>
      <c r="M53" s="102">
        <v>9.6999999999999993</v>
      </c>
      <c r="N53" s="102">
        <f t="shared" si="1"/>
        <v>255.20000000000002</v>
      </c>
      <c r="O53" s="102">
        <f t="shared" si="2"/>
        <v>624.80000000000007</v>
      </c>
      <c r="P53" s="102">
        <f t="shared" si="3"/>
        <v>109.3</v>
      </c>
      <c r="Q53" s="102">
        <f t="shared" si="4"/>
        <v>989.3</v>
      </c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  <c r="AD53" s="104"/>
      <c r="AE53" s="104"/>
      <c r="AF53" s="104"/>
      <c r="AG53" s="104"/>
    </row>
    <row r="54" spans="1:33">
      <c r="A54" s="102">
        <v>2014</v>
      </c>
      <c r="B54" s="114">
        <v>7.5</v>
      </c>
      <c r="C54" s="114">
        <v>25.5</v>
      </c>
      <c r="D54" s="114">
        <v>79.2</v>
      </c>
      <c r="E54" s="114">
        <v>131.69999999999999</v>
      </c>
      <c r="F54" s="114">
        <v>217.8</v>
      </c>
      <c r="G54" s="114">
        <v>212.4</v>
      </c>
      <c r="H54" s="114">
        <v>155</v>
      </c>
      <c r="I54" s="114">
        <v>215.9</v>
      </c>
      <c r="J54" s="114">
        <v>61.2</v>
      </c>
      <c r="K54" s="114">
        <v>194.9</v>
      </c>
      <c r="L54" s="114">
        <v>71</v>
      </c>
      <c r="M54" s="114">
        <v>7.4</v>
      </c>
      <c r="N54" s="102">
        <f t="shared" si="1"/>
        <v>243.89999999999998</v>
      </c>
      <c r="O54" s="102">
        <f t="shared" si="2"/>
        <v>862.30000000000007</v>
      </c>
      <c r="P54" s="102">
        <f t="shared" si="3"/>
        <v>273.29999999999995</v>
      </c>
      <c r="Q54" s="102">
        <f t="shared" si="4"/>
        <v>1379.5000000000002</v>
      </c>
    </row>
    <row r="55" spans="1:33">
      <c r="A55" s="102">
        <v>2015</v>
      </c>
      <c r="B55" s="114">
        <v>26.8</v>
      </c>
      <c r="C55" s="114">
        <v>41.9</v>
      </c>
      <c r="D55" s="114">
        <v>51.7</v>
      </c>
      <c r="E55" s="114">
        <v>79.5</v>
      </c>
      <c r="F55" s="114">
        <v>102.1</v>
      </c>
      <c r="G55" s="114">
        <v>193.7</v>
      </c>
      <c r="H55" s="114">
        <v>139.5</v>
      </c>
      <c r="I55" s="114">
        <v>183.8</v>
      </c>
      <c r="J55" s="114">
        <v>165.6</v>
      </c>
      <c r="K55" s="114">
        <v>34.4</v>
      </c>
      <c r="L55" s="114">
        <v>34.1</v>
      </c>
      <c r="M55" s="114">
        <v>62.3</v>
      </c>
      <c r="N55" s="102">
        <f t="shared" si="1"/>
        <v>199.9</v>
      </c>
      <c r="O55" s="102">
        <f t="shared" si="2"/>
        <v>784.69999999999993</v>
      </c>
      <c r="P55" s="102">
        <f t="shared" si="3"/>
        <v>130.80000000000001</v>
      </c>
      <c r="Q55" s="102">
        <f t="shared" si="4"/>
        <v>1115.3999999999999</v>
      </c>
    </row>
    <row r="56" spans="1:33">
      <c r="A56" s="108">
        <v>2016</v>
      </c>
      <c r="B56" s="115">
        <v>34.299999999999997</v>
      </c>
      <c r="C56" s="115">
        <v>19</v>
      </c>
      <c r="D56" s="115">
        <v>87.5</v>
      </c>
      <c r="E56" s="115">
        <v>152.69999999999999</v>
      </c>
      <c r="F56" s="115">
        <v>261.89999999999998</v>
      </c>
      <c r="G56" s="115">
        <v>310.60000000000002</v>
      </c>
      <c r="H56" s="115">
        <v>121.2</v>
      </c>
      <c r="I56" s="115">
        <v>158.1</v>
      </c>
      <c r="J56" s="115">
        <v>78.8</v>
      </c>
      <c r="K56" s="115">
        <v>95.5</v>
      </c>
      <c r="L56" s="115">
        <v>77.2</v>
      </c>
      <c r="M56" s="115">
        <v>21.7</v>
      </c>
      <c r="N56" s="108">
        <f>SUM(B56:E56)</f>
        <v>293.5</v>
      </c>
      <c r="O56" s="108">
        <f>SUM(F56:J56)</f>
        <v>930.6</v>
      </c>
      <c r="P56" s="108">
        <f>SUM(K56:M56)</f>
        <v>194.39999999999998</v>
      </c>
      <c r="Q56" s="108">
        <f>SUM(B56:M56)</f>
        <v>1418.5</v>
      </c>
      <c r="R56" s="108">
        <f t="shared" ref="R56:AG56" si="5">100*(B56-B4)/B4</f>
        <v>73.794081880826937</v>
      </c>
      <c r="S56" s="108">
        <f t="shared" si="5"/>
        <v>-1.981015270326008</v>
      </c>
      <c r="T56" s="108">
        <f t="shared" si="5"/>
        <v>108.25399847677079</v>
      </c>
      <c r="U56" s="108">
        <f t="shared" si="5"/>
        <v>68.312684625898285</v>
      </c>
      <c r="V56" s="108">
        <f t="shared" si="5"/>
        <v>65.625316199534552</v>
      </c>
      <c r="W56" s="108">
        <f t="shared" si="5"/>
        <v>47.594111441632364</v>
      </c>
      <c r="X56" s="108">
        <f t="shared" si="5"/>
        <v>-21.06188695958004</v>
      </c>
      <c r="Y56" s="108">
        <f t="shared" si="5"/>
        <v>19.569820909970964</v>
      </c>
      <c r="Z56" s="108">
        <f t="shared" si="5"/>
        <v>-16.23437367123055</v>
      </c>
      <c r="AA56" s="108">
        <f t="shared" si="5"/>
        <v>-6.1019015593966826</v>
      </c>
      <c r="AB56" s="108">
        <f t="shared" si="5"/>
        <v>52.478767529132966</v>
      </c>
      <c r="AC56" s="108">
        <f t="shared" si="5"/>
        <v>6.3938363017811115</v>
      </c>
      <c r="AD56" s="108">
        <f t="shared" si="5"/>
        <v>74.194111486093377</v>
      </c>
      <c r="AE56" s="108">
        <f t="shared" si="5"/>
        <v>26.831497426523661</v>
      </c>
      <c r="AF56" s="108">
        <f t="shared" si="5"/>
        <v>15.066966876349232</v>
      </c>
      <c r="AG56" s="108">
        <f t="shared" si="5"/>
        <v>29.829359282730522</v>
      </c>
    </row>
  </sheetData>
  <mergeCells count="6">
    <mergeCell ref="A1:A3"/>
    <mergeCell ref="B1:Q1"/>
    <mergeCell ref="B2:M2"/>
    <mergeCell ref="R1:AG1"/>
    <mergeCell ref="N2:Q2"/>
    <mergeCell ref="R2:AG2"/>
  </mergeCells>
  <phoneticPr fontId="2" type="noConversion"/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1"/>
  <dimension ref="A1:AG55"/>
  <sheetViews>
    <sheetView topLeftCell="D1" zoomScale="70" zoomScaleNormal="70" workbookViewId="0">
      <pane ySplit="5" topLeftCell="A6" activePane="bottomLeft" state="frozen"/>
      <selection pane="bottomLeft" activeCell="V49" sqref="V49"/>
    </sheetView>
  </sheetViews>
  <sheetFormatPr defaultRowHeight="12"/>
  <cols>
    <col min="1" max="33" width="7.125" style="102" customWidth="1"/>
    <col min="34" max="16384" width="9" style="102"/>
  </cols>
  <sheetData>
    <row r="1" spans="1:33" s="118" customFormat="1" ht="14.25" customHeight="1">
      <c r="A1" s="176" t="s">
        <v>0</v>
      </c>
      <c r="B1" s="176" t="s">
        <v>1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2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3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32</v>
      </c>
      <c r="O2" s="176"/>
      <c r="P2" s="176"/>
      <c r="Q2" s="176"/>
      <c r="R2" s="176" t="s">
        <v>6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 ht="24">
      <c r="A3" s="176"/>
      <c r="B3" s="106" t="s">
        <v>7</v>
      </c>
      <c r="C3" s="106" t="s">
        <v>8</v>
      </c>
      <c r="D3" s="106" t="s">
        <v>9</v>
      </c>
      <c r="E3" s="106" t="s">
        <v>10</v>
      </c>
      <c r="F3" s="106" t="s">
        <v>11</v>
      </c>
      <c r="G3" s="106" t="s">
        <v>12</v>
      </c>
      <c r="H3" s="106" t="s">
        <v>13</v>
      </c>
      <c r="I3" s="106" t="s">
        <v>14</v>
      </c>
      <c r="J3" s="106" t="s">
        <v>15</v>
      </c>
      <c r="K3" s="106" t="s">
        <v>16</v>
      </c>
      <c r="L3" s="106" t="s">
        <v>17</v>
      </c>
      <c r="M3" s="106" t="s">
        <v>18</v>
      </c>
      <c r="N3" s="106" t="s">
        <v>145</v>
      </c>
      <c r="O3" s="106" t="s">
        <v>146</v>
      </c>
      <c r="P3" s="106" t="s">
        <v>147</v>
      </c>
      <c r="Q3" s="106" t="s">
        <v>148</v>
      </c>
      <c r="R3" s="106" t="s">
        <v>7</v>
      </c>
      <c r="S3" s="106" t="s">
        <v>8</v>
      </c>
      <c r="T3" s="106" t="s">
        <v>151</v>
      </c>
      <c r="U3" s="106" t="s">
        <v>152</v>
      </c>
      <c r="V3" s="106" t="s">
        <v>23</v>
      </c>
      <c r="W3" s="106" t="s">
        <v>24</v>
      </c>
      <c r="X3" s="106" t="s">
        <v>25</v>
      </c>
      <c r="Y3" s="106" t="s">
        <v>26</v>
      </c>
      <c r="Z3" s="106" t="s">
        <v>27</v>
      </c>
      <c r="AA3" s="106" t="s">
        <v>155</v>
      </c>
      <c r="AB3" s="106" t="s">
        <v>156</v>
      </c>
      <c r="AC3" s="106" t="s">
        <v>157</v>
      </c>
      <c r="AD3" s="106" t="s">
        <v>90</v>
      </c>
      <c r="AE3" s="106" t="s">
        <v>4</v>
      </c>
      <c r="AF3" s="106" t="s">
        <v>91</v>
      </c>
      <c r="AG3" s="106" t="s">
        <v>5</v>
      </c>
    </row>
    <row r="4" spans="1:33" s="118" customFormat="1">
      <c r="A4" s="150" t="s">
        <v>261</v>
      </c>
      <c r="B4" s="150">
        <f t="shared" ref="B4:Q4" si="0">AVERAGE(B5:B54)</f>
        <v>20.706</v>
      </c>
      <c r="C4" s="150">
        <f t="shared" si="0"/>
        <v>20.470000000000006</v>
      </c>
      <c r="D4" s="150">
        <f t="shared" si="0"/>
        <v>43.457999999999991</v>
      </c>
      <c r="E4" s="150">
        <f t="shared" si="0"/>
        <v>77.510000000000005</v>
      </c>
      <c r="F4" s="150">
        <f t="shared" si="0"/>
        <v>158.84200000000001</v>
      </c>
      <c r="G4" s="150">
        <f t="shared" si="0"/>
        <v>219.88600000000002</v>
      </c>
      <c r="H4" s="150">
        <f t="shared" si="0"/>
        <v>158.636</v>
      </c>
      <c r="I4" s="150">
        <f t="shared" si="0"/>
        <v>125.98399999999998</v>
      </c>
      <c r="J4" s="150">
        <f t="shared" si="0"/>
        <v>92.513999999999996</v>
      </c>
      <c r="K4" s="150">
        <f t="shared" si="0"/>
        <v>109.00399999999998</v>
      </c>
      <c r="L4" s="150">
        <f t="shared" si="0"/>
        <v>53.137999999999991</v>
      </c>
      <c r="M4" s="150">
        <f t="shared" si="0"/>
        <v>20.94</v>
      </c>
      <c r="N4" s="150">
        <f t="shared" si="0"/>
        <v>162.14400000000001</v>
      </c>
      <c r="O4" s="150">
        <f t="shared" si="0"/>
        <v>755.86199999999997</v>
      </c>
      <c r="P4" s="150">
        <f t="shared" si="0"/>
        <v>183.08199999999997</v>
      </c>
      <c r="Q4" s="150">
        <f t="shared" si="0"/>
        <v>1101.0880000000002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1966</v>
      </c>
      <c r="B5" s="103">
        <v>14.1</v>
      </c>
      <c r="C5" s="103">
        <v>4.5</v>
      </c>
      <c r="D5" s="103">
        <v>39.1</v>
      </c>
      <c r="E5" s="103">
        <v>27</v>
      </c>
      <c r="F5" s="103">
        <v>58.8</v>
      </c>
      <c r="G5" s="103">
        <v>266.7</v>
      </c>
      <c r="H5" s="103">
        <v>98.8</v>
      </c>
      <c r="I5" s="103">
        <v>51.2</v>
      </c>
      <c r="J5" s="103">
        <v>55.3</v>
      </c>
      <c r="K5" s="103">
        <v>133.19999999999999</v>
      </c>
      <c r="L5" s="103">
        <v>17.899999999999999</v>
      </c>
      <c r="M5" s="103">
        <v>16.8</v>
      </c>
      <c r="N5" s="102">
        <f>SUM(B5:E5)</f>
        <v>84.7</v>
      </c>
      <c r="O5" s="102">
        <f>SUM(F5:J5)</f>
        <v>530.79999999999995</v>
      </c>
      <c r="P5" s="102">
        <f>SUM(K5:M5)</f>
        <v>167.9</v>
      </c>
      <c r="Q5" s="102">
        <f>SUM(B5:M5)</f>
        <v>783.4</v>
      </c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</row>
    <row r="6" spans="1:33">
      <c r="A6" s="102">
        <v>1967</v>
      </c>
      <c r="B6" s="103">
        <v>13.3</v>
      </c>
      <c r="C6" s="103">
        <v>9.6999999999999993</v>
      </c>
      <c r="D6" s="103">
        <v>25.2</v>
      </c>
      <c r="E6" s="103">
        <v>29.7</v>
      </c>
      <c r="F6" s="103">
        <v>126.1</v>
      </c>
      <c r="G6" s="103">
        <v>145.9</v>
      </c>
      <c r="H6" s="103">
        <v>35.700000000000003</v>
      </c>
      <c r="I6" s="103">
        <v>73</v>
      </c>
      <c r="J6" s="103">
        <v>84.7</v>
      </c>
      <c r="K6" s="103">
        <v>66.400000000000006</v>
      </c>
      <c r="L6" s="103">
        <v>57.2</v>
      </c>
      <c r="M6" s="103">
        <v>19</v>
      </c>
      <c r="N6" s="102">
        <f t="shared" ref="N6:N52" si="1">SUM(B6:E6)</f>
        <v>77.900000000000006</v>
      </c>
      <c r="O6" s="102">
        <f t="shared" ref="O6:O52" si="2">SUM(F6:J6)</f>
        <v>465.4</v>
      </c>
      <c r="P6" s="102">
        <f t="shared" ref="P6:P52" si="3">SUM(K6:M6)</f>
        <v>142.60000000000002</v>
      </c>
      <c r="Q6" s="102">
        <f t="shared" ref="Q6:Q52" si="4">SUM(B6:M6)</f>
        <v>685.9</v>
      </c>
      <c r="R6" s="103"/>
      <c r="S6" s="103"/>
      <c r="T6" s="103"/>
      <c r="U6" s="103"/>
      <c r="V6" s="103"/>
      <c r="W6" s="103"/>
      <c r="X6" s="103"/>
      <c r="Y6" s="103"/>
      <c r="Z6" s="103"/>
      <c r="AA6" s="103"/>
      <c r="AB6" s="103"/>
      <c r="AC6" s="103"/>
      <c r="AD6" s="103"/>
      <c r="AE6" s="103"/>
      <c r="AF6" s="103"/>
      <c r="AG6" s="103"/>
    </row>
    <row r="7" spans="1:33">
      <c r="A7" s="102">
        <v>1968</v>
      </c>
      <c r="B7" s="103">
        <v>8.8000000000000007</v>
      </c>
      <c r="C7" s="103">
        <v>7.9</v>
      </c>
      <c r="D7" s="103">
        <v>17.5</v>
      </c>
      <c r="E7" s="103">
        <v>19.2</v>
      </c>
      <c r="F7" s="103">
        <v>57.1</v>
      </c>
      <c r="G7" s="103">
        <v>218.5</v>
      </c>
      <c r="H7" s="103">
        <v>113.3</v>
      </c>
      <c r="I7" s="103">
        <v>79.5</v>
      </c>
      <c r="J7" s="103">
        <v>67.3</v>
      </c>
      <c r="K7" s="103">
        <v>85.9</v>
      </c>
      <c r="L7" s="103">
        <v>35.799999999999997</v>
      </c>
      <c r="M7" s="103">
        <v>14.5</v>
      </c>
      <c r="N7" s="102">
        <f t="shared" si="1"/>
        <v>53.400000000000006</v>
      </c>
      <c r="O7" s="102">
        <f t="shared" si="2"/>
        <v>535.70000000000005</v>
      </c>
      <c r="P7" s="102">
        <f t="shared" si="3"/>
        <v>136.19999999999999</v>
      </c>
      <c r="Q7" s="102">
        <f t="shared" si="4"/>
        <v>725.29999999999984</v>
      </c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</row>
    <row r="8" spans="1:33">
      <c r="A8" s="102">
        <v>1969</v>
      </c>
      <c r="B8" s="103">
        <v>6.1</v>
      </c>
      <c r="C8" s="103">
        <v>4.9000000000000004</v>
      </c>
      <c r="D8" s="103">
        <v>27</v>
      </c>
      <c r="E8" s="103">
        <v>32.6</v>
      </c>
      <c r="F8" s="103">
        <v>58.3</v>
      </c>
      <c r="G8" s="103">
        <v>289.10000000000002</v>
      </c>
      <c r="H8" s="103">
        <v>56.9</v>
      </c>
      <c r="I8" s="103">
        <v>65.5</v>
      </c>
      <c r="J8" s="103">
        <v>47.3</v>
      </c>
      <c r="K8" s="103">
        <v>176.2</v>
      </c>
      <c r="L8" s="103">
        <v>69.2</v>
      </c>
      <c r="M8" s="103">
        <v>0</v>
      </c>
      <c r="N8" s="102">
        <f t="shared" si="1"/>
        <v>70.599999999999994</v>
      </c>
      <c r="O8" s="102">
        <f t="shared" si="2"/>
        <v>517.1</v>
      </c>
      <c r="P8" s="102">
        <f t="shared" si="3"/>
        <v>245.39999999999998</v>
      </c>
      <c r="Q8" s="102">
        <f t="shared" si="4"/>
        <v>833.09999999999991</v>
      </c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</row>
    <row r="9" spans="1:33">
      <c r="A9" s="102">
        <v>1970</v>
      </c>
      <c r="B9" s="103">
        <v>10.7</v>
      </c>
      <c r="C9" s="103">
        <v>11.1</v>
      </c>
      <c r="D9" s="103">
        <v>55.1</v>
      </c>
      <c r="E9" s="103">
        <v>39</v>
      </c>
      <c r="F9" s="103">
        <v>68.8</v>
      </c>
      <c r="G9" s="103">
        <v>240.4</v>
      </c>
      <c r="H9" s="103">
        <v>87.1</v>
      </c>
      <c r="I9" s="103">
        <v>76.599999999999994</v>
      </c>
      <c r="J9" s="103">
        <v>55.6</v>
      </c>
      <c r="K9" s="103">
        <v>44.6</v>
      </c>
      <c r="L9" s="103">
        <v>43.1</v>
      </c>
      <c r="M9" s="103">
        <v>50.4</v>
      </c>
      <c r="N9" s="102">
        <f t="shared" si="1"/>
        <v>115.9</v>
      </c>
      <c r="O9" s="102">
        <f t="shared" si="2"/>
        <v>528.5</v>
      </c>
      <c r="P9" s="102">
        <f t="shared" si="3"/>
        <v>138.1</v>
      </c>
      <c r="Q9" s="102">
        <f t="shared" si="4"/>
        <v>782.50000000000011</v>
      </c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</row>
    <row r="10" spans="1:33">
      <c r="A10" s="102">
        <v>1971</v>
      </c>
      <c r="B10" s="102">
        <v>9</v>
      </c>
      <c r="C10" s="102">
        <v>5.5</v>
      </c>
      <c r="D10" s="102">
        <v>20.399999999999999</v>
      </c>
      <c r="E10" s="102">
        <v>34.5</v>
      </c>
      <c r="F10" s="102">
        <v>40.700000000000003</v>
      </c>
      <c r="G10" s="102">
        <v>143.9</v>
      </c>
      <c r="H10" s="102">
        <v>54.5</v>
      </c>
      <c r="I10" s="102">
        <v>71.5</v>
      </c>
      <c r="J10" s="102">
        <v>76.900000000000006</v>
      </c>
      <c r="K10" s="102">
        <v>105.4</v>
      </c>
      <c r="L10" s="102">
        <v>32</v>
      </c>
      <c r="M10" s="102">
        <v>50.8</v>
      </c>
      <c r="N10" s="102">
        <f t="shared" si="1"/>
        <v>69.400000000000006</v>
      </c>
      <c r="O10" s="102">
        <f t="shared" si="2"/>
        <v>387.5</v>
      </c>
      <c r="P10" s="102">
        <f t="shared" si="3"/>
        <v>188.2</v>
      </c>
      <c r="Q10" s="102">
        <f t="shared" si="4"/>
        <v>645.09999999999991</v>
      </c>
    </row>
    <row r="11" spans="1:33">
      <c r="A11" s="102">
        <v>1972</v>
      </c>
      <c r="B11" s="102">
        <v>11.3</v>
      </c>
      <c r="C11" s="102">
        <v>10.6</v>
      </c>
      <c r="D11" s="102">
        <v>45.3</v>
      </c>
      <c r="E11" s="102">
        <v>40.799999999999997</v>
      </c>
      <c r="F11" s="102">
        <v>62.3</v>
      </c>
      <c r="G11" s="102">
        <v>170.5</v>
      </c>
      <c r="H11" s="102">
        <v>61.5</v>
      </c>
      <c r="I11" s="102">
        <v>172.1</v>
      </c>
      <c r="J11" s="102">
        <v>57.2</v>
      </c>
      <c r="K11" s="102">
        <v>120.8</v>
      </c>
      <c r="L11" s="102">
        <v>62.5</v>
      </c>
      <c r="M11" s="102">
        <v>19.399999999999999</v>
      </c>
      <c r="N11" s="102">
        <f t="shared" si="1"/>
        <v>107.99999999999999</v>
      </c>
      <c r="O11" s="102">
        <f t="shared" si="2"/>
        <v>523.6</v>
      </c>
      <c r="P11" s="102">
        <f t="shared" si="3"/>
        <v>202.70000000000002</v>
      </c>
      <c r="Q11" s="102">
        <f t="shared" si="4"/>
        <v>834.3</v>
      </c>
    </row>
    <row r="12" spans="1:33">
      <c r="A12" s="102">
        <v>1973</v>
      </c>
      <c r="B12" s="102">
        <v>8.1</v>
      </c>
      <c r="C12" s="102">
        <v>17.3</v>
      </c>
      <c r="D12" s="102">
        <v>39.5</v>
      </c>
      <c r="E12" s="102">
        <v>36.5</v>
      </c>
      <c r="F12" s="102">
        <v>54.2</v>
      </c>
      <c r="G12" s="102">
        <v>227.4</v>
      </c>
      <c r="H12" s="102">
        <v>105.2</v>
      </c>
      <c r="I12" s="102">
        <v>62.8</v>
      </c>
      <c r="J12" s="102">
        <v>62.8</v>
      </c>
      <c r="K12" s="102">
        <v>45.8</v>
      </c>
      <c r="L12" s="102">
        <v>62.7</v>
      </c>
      <c r="M12" s="102">
        <v>6</v>
      </c>
      <c r="N12" s="102">
        <f t="shared" si="1"/>
        <v>101.4</v>
      </c>
      <c r="O12" s="102">
        <f t="shared" si="2"/>
        <v>512.4</v>
      </c>
      <c r="P12" s="102">
        <f t="shared" si="3"/>
        <v>114.5</v>
      </c>
      <c r="Q12" s="102">
        <f t="shared" si="4"/>
        <v>728.3</v>
      </c>
    </row>
    <row r="13" spans="1:33">
      <c r="A13" s="102">
        <v>1974</v>
      </c>
      <c r="B13" s="102">
        <v>16.7</v>
      </c>
      <c r="C13" s="102">
        <v>3.9</v>
      </c>
      <c r="D13" s="102">
        <v>33.299999999999997</v>
      </c>
      <c r="E13" s="102">
        <v>25.5</v>
      </c>
      <c r="F13" s="102">
        <v>83.5</v>
      </c>
      <c r="G13" s="102">
        <v>222.8</v>
      </c>
      <c r="H13" s="102">
        <v>38.9</v>
      </c>
      <c r="I13" s="102">
        <v>56.4</v>
      </c>
      <c r="J13" s="102">
        <v>61.9</v>
      </c>
      <c r="K13" s="102">
        <v>80.8</v>
      </c>
      <c r="L13" s="102">
        <v>122.7</v>
      </c>
      <c r="M13" s="102">
        <v>6.1</v>
      </c>
      <c r="N13" s="102">
        <f t="shared" si="1"/>
        <v>79.399999999999991</v>
      </c>
      <c r="O13" s="102">
        <f t="shared" si="2"/>
        <v>463.49999999999994</v>
      </c>
      <c r="P13" s="102">
        <f t="shared" si="3"/>
        <v>209.6</v>
      </c>
      <c r="Q13" s="102">
        <f t="shared" si="4"/>
        <v>752.5</v>
      </c>
    </row>
    <row r="14" spans="1:33">
      <c r="A14" s="102">
        <v>1975</v>
      </c>
      <c r="B14" s="102">
        <v>24.1</v>
      </c>
      <c r="C14" s="102">
        <v>7.5</v>
      </c>
      <c r="D14" s="102">
        <v>31.2</v>
      </c>
      <c r="E14" s="102">
        <v>38.799999999999997</v>
      </c>
      <c r="F14" s="102">
        <v>143.30000000000001</v>
      </c>
      <c r="G14" s="102">
        <v>195.8</v>
      </c>
      <c r="H14" s="102">
        <v>29.8</v>
      </c>
      <c r="I14" s="102">
        <v>18.7</v>
      </c>
      <c r="J14" s="102">
        <v>86.5</v>
      </c>
      <c r="K14" s="102">
        <v>80.8</v>
      </c>
      <c r="L14" s="102">
        <v>122.7</v>
      </c>
      <c r="M14" s="102">
        <v>6.1</v>
      </c>
      <c r="N14" s="102">
        <f t="shared" si="1"/>
        <v>101.6</v>
      </c>
      <c r="O14" s="102">
        <f t="shared" si="2"/>
        <v>474.1</v>
      </c>
      <c r="P14" s="102">
        <f t="shared" si="3"/>
        <v>209.6</v>
      </c>
      <c r="Q14" s="102">
        <f t="shared" si="4"/>
        <v>785.30000000000007</v>
      </c>
    </row>
    <row r="15" spans="1:33">
      <c r="A15" s="102">
        <v>1976</v>
      </c>
      <c r="B15" s="102">
        <v>17.600000000000001</v>
      </c>
      <c r="C15" s="102">
        <v>25.2</v>
      </c>
      <c r="D15" s="102">
        <v>23.6</v>
      </c>
      <c r="E15" s="102">
        <v>89.9</v>
      </c>
      <c r="F15" s="102">
        <v>207.4</v>
      </c>
      <c r="G15" s="102">
        <v>249.9</v>
      </c>
      <c r="H15" s="102">
        <v>274.39999999999998</v>
      </c>
      <c r="I15" s="102">
        <v>101.4</v>
      </c>
      <c r="J15" s="102">
        <v>109.7</v>
      </c>
      <c r="K15" s="102">
        <v>170.7</v>
      </c>
      <c r="L15" s="102">
        <v>48.7</v>
      </c>
      <c r="M15" s="102">
        <v>15.2</v>
      </c>
      <c r="N15" s="102">
        <f t="shared" si="1"/>
        <v>156.30000000000001</v>
      </c>
      <c r="O15" s="102">
        <f t="shared" si="2"/>
        <v>942.80000000000007</v>
      </c>
      <c r="P15" s="102">
        <f t="shared" si="3"/>
        <v>234.59999999999997</v>
      </c>
      <c r="Q15" s="102">
        <f t="shared" si="4"/>
        <v>1333.7</v>
      </c>
    </row>
    <row r="16" spans="1:33">
      <c r="A16" s="102">
        <v>1977</v>
      </c>
      <c r="B16" s="102">
        <v>14.5</v>
      </c>
      <c r="C16" s="102">
        <v>17.5</v>
      </c>
      <c r="D16" s="102">
        <v>81.3</v>
      </c>
      <c r="E16" s="102">
        <v>170.3</v>
      </c>
      <c r="F16" s="102">
        <v>249.3</v>
      </c>
      <c r="G16" s="102">
        <v>461.6</v>
      </c>
      <c r="H16" s="102">
        <v>483.8</v>
      </c>
      <c r="I16" s="102">
        <v>89</v>
      </c>
      <c r="J16" s="102">
        <v>103</v>
      </c>
      <c r="K16" s="102">
        <v>145.80000000000001</v>
      </c>
      <c r="L16" s="102">
        <v>66.3</v>
      </c>
      <c r="M16" s="102">
        <v>7.1</v>
      </c>
      <c r="N16" s="102">
        <f t="shared" si="1"/>
        <v>283.60000000000002</v>
      </c>
      <c r="O16" s="102">
        <f t="shared" si="2"/>
        <v>1386.7</v>
      </c>
      <c r="P16" s="102">
        <f t="shared" si="3"/>
        <v>219.20000000000002</v>
      </c>
      <c r="Q16" s="102">
        <f t="shared" si="4"/>
        <v>1889.5</v>
      </c>
    </row>
    <row r="17" spans="1:17">
      <c r="A17" s="102">
        <v>1978</v>
      </c>
      <c r="B17" s="102">
        <v>30</v>
      </c>
      <c r="C17" s="102">
        <v>6.7</v>
      </c>
      <c r="D17" s="102">
        <v>21.8</v>
      </c>
      <c r="E17" s="102">
        <v>92.9</v>
      </c>
      <c r="F17" s="102">
        <v>429.1</v>
      </c>
      <c r="G17" s="102">
        <v>261.3</v>
      </c>
      <c r="H17" s="102">
        <v>71.599999999999994</v>
      </c>
      <c r="I17" s="102">
        <v>92.2</v>
      </c>
      <c r="J17" s="102">
        <v>23.4</v>
      </c>
      <c r="K17" s="102">
        <v>99</v>
      </c>
      <c r="L17" s="102">
        <v>104</v>
      </c>
      <c r="M17" s="102">
        <v>14</v>
      </c>
      <c r="N17" s="102">
        <f t="shared" si="1"/>
        <v>151.4</v>
      </c>
      <c r="O17" s="102">
        <f t="shared" si="2"/>
        <v>877.60000000000014</v>
      </c>
      <c r="P17" s="102">
        <f t="shared" si="3"/>
        <v>217</v>
      </c>
      <c r="Q17" s="102">
        <f t="shared" si="4"/>
        <v>1246</v>
      </c>
    </row>
    <row r="18" spans="1:17">
      <c r="A18" s="102">
        <v>1979</v>
      </c>
      <c r="B18" s="102">
        <v>7.5</v>
      </c>
      <c r="C18" s="102">
        <v>48.4</v>
      </c>
      <c r="D18" s="102">
        <v>56.4</v>
      </c>
      <c r="E18" s="102">
        <v>22.7</v>
      </c>
      <c r="F18" s="102">
        <v>71.599999999999994</v>
      </c>
      <c r="G18" s="102">
        <v>230.5</v>
      </c>
      <c r="H18" s="102">
        <v>160.9</v>
      </c>
      <c r="I18" s="102">
        <v>158.69999999999999</v>
      </c>
      <c r="J18" s="102">
        <v>113.1</v>
      </c>
      <c r="K18" s="102">
        <v>56.7</v>
      </c>
      <c r="L18" s="102">
        <v>18.3</v>
      </c>
      <c r="M18" s="102">
        <v>39.299999999999997</v>
      </c>
      <c r="N18" s="102">
        <f t="shared" si="1"/>
        <v>135</v>
      </c>
      <c r="O18" s="102">
        <f t="shared" si="2"/>
        <v>734.80000000000007</v>
      </c>
      <c r="P18" s="102">
        <f t="shared" si="3"/>
        <v>114.3</v>
      </c>
      <c r="Q18" s="102">
        <f t="shared" si="4"/>
        <v>984.1</v>
      </c>
    </row>
    <row r="19" spans="1:17">
      <c r="A19" s="102">
        <v>1980</v>
      </c>
      <c r="B19" s="102">
        <v>19.3</v>
      </c>
      <c r="C19" s="102">
        <v>11.4</v>
      </c>
      <c r="D19" s="102">
        <v>49.3</v>
      </c>
      <c r="E19" s="102">
        <v>82.7</v>
      </c>
      <c r="F19" s="102">
        <v>310.2</v>
      </c>
      <c r="G19" s="102">
        <v>221.3</v>
      </c>
      <c r="H19" s="102">
        <v>140.69999999999999</v>
      </c>
      <c r="I19" s="102">
        <v>191.6</v>
      </c>
      <c r="J19" s="102">
        <v>70.7</v>
      </c>
      <c r="K19" s="102">
        <v>154.30000000000001</v>
      </c>
      <c r="L19" s="102">
        <v>30.7</v>
      </c>
      <c r="M19" s="102">
        <v>22.4</v>
      </c>
      <c r="N19" s="102">
        <f t="shared" si="1"/>
        <v>162.69999999999999</v>
      </c>
      <c r="O19" s="102">
        <f t="shared" si="2"/>
        <v>934.50000000000011</v>
      </c>
      <c r="P19" s="102">
        <f t="shared" si="3"/>
        <v>207.4</v>
      </c>
      <c r="Q19" s="102">
        <f t="shared" si="4"/>
        <v>1304.6000000000001</v>
      </c>
    </row>
    <row r="20" spans="1:17">
      <c r="A20" s="102">
        <v>1981</v>
      </c>
      <c r="B20" s="102">
        <v>22.3</v>
      </c>
      <c r="C20" s="102">
        <v>15.6</v>
      </c>
      <c r="D20" s="102">
        <v>29.9</v>
      </c>
      <c r="E20" s="102">
        <v>85.6</v>
      </c>
      <c r="F20" s="102">
        <v>153.6</v>
      </c>
      <c r="G20" s="102">
        <v>142.9</v>
      </c>
      <c r="H20" s="102">
        <v>88.3</v>
      </c>
      <c r="I20" s="102">
        <v>60.5</v>
      </c>
      <c r="J20" s="102">
        <v>68.400000000000006</v>
      </c>
      <c r="K20" s="102">
        <v>77.3</v>
      </c>
      <c r="L20" s="102">
        <v>28.2</v>
      </c>
      <c r="M20" s="102">
        <v>5.2</v>
      </c>
      <c r="N20" s="102">
        <f t="shared" si="1"/>
        <v>153.39999999999998</v>
      </c>
      <c r="O20" s="102">
        <f t="shared" si="2"/>
        <v>513.70000000000005</v>
      </c>
      <c r="P20" s="102">
        <f t="shared" si="3"/>
        <v>110.7</v>
      </c>
      <c r="Q20" s="102">
        <f t="shared" si="4"/>
        <v>777.8</v>
      </c>
    </row>
    <row r="21" spans="1:17">
      <c r="A21" s="102">
        <v>1982</v>
      </c>
      <c r="B21" s="102">
        <v>24</v>
      </c>
      <c r="C21" s="102">
        <v>17.3</v>
      </c>
      <c r="D21" s="102">
        <v>14.3</v>
      </c>
      <c r="E21" s="102">
        <v>113.9</v>
      </c>
      <c r="F21" s="102">
        <v>162</v>
      </c>
      <c r="G21" s="102">
        <v>190.5</v>
      </c>
      <c r="H21" s="102">
        <v>140</v>
      </c>
      <c r="I21" s="102">
        <v>153.4</v>
      </c>
      <c r="J21" s="102">
        <v>133.5</v>
      </c>
      <c r="K21" s="102">
        <v>51</v>
      </c>
      <c r="L21" s="102">
        <v>55</v>
      </c>
      <c r="M21" s="102">
        <v>34.5</v>
      </c>
      <c r="N21" s="102">
        <f t="shared" si="1"/>
        <v>169.5</v>
      </c>
      <c r="O21" s="102">
        <f t="shared" si="2"/>
        <v>779.4</v>
      </c>
      <c r="P21" s="102">
        <f t="shared" si="3"/>
        <v>140.5</v>
      </c>
      <c r="Q21" s="102">
        <f t="shared" si="4"/>
        <v>1089.4000000000001</v>
      </c>
    </row>
    <row r="22" spans="1:17">
      <c r="A22" s="102">
        <v>1983</v>
      </c>
      <c r="B22" s="102">
        <v>62.2</v>
      </c>
      <c r="C22" s="102">
        <v>32.200000000000003</v>
      </c>
      <c r="D22" s="102">
        <v>55.6</v>
      </c>
      <c r="E22" s="102">
        <v>109.5</v>
      </c>
      <c r="F22" s="102">
        <v>151</v>
      </c>
      <c r="G22" s="102">
        <v>218</v>
      </c>
      <c r="H22" s="102">
        <v>225.8</v>
      </c>
      <c r="I22" s="102">
        <v>181</v>
      </c>
      <c r="J22" s="102">
        <v>50.4</v>
      </c>
      <c r="K22" s="102">
        <v>70.900000000000006</v>
      </c>
      <c r="L22" s="102">
        <v>67.2</v>
      </c>
      <c r="M22" s="102">
        <v>18.399999999999999</v>
      </c>
      <c r="N22" s="102">
        <f t="shared" si="1"/>
        <v>259.5</v>
      </c>
      <c r="O22" s="102">
        <f t="shared" si="2"/>
        <v>826.19999999999993</v>
      </c>
      <c r="P22" s="102">
        <f t="shared" si="3"/>
        <v>156.50000000000003</v>
      </c>
      <c r="Q22" s="102">
        <f t="shared" si="4"/>
        <v>1242.2000000000003</v>
      </c>
    </row>
    <row r="23" spans="1:17">
      <c r="A23" s="102">
        <v>1984</v>
      </c>
      <c r="B23" s="102">
        <v>9.3000000000000007</v>
      </c>
      <c r="C23" s="102">
        <v>14</v>
      </c>
      <c r="D23" s="102">
        <v>28.9</v>
      </c>
      <c r="E23" s="102">
        <v>43.1</v>
      </c>
      <c r="F23" s="102">
        <v>192</v>
      </c>
      <c r="G23" s="102">
        <v>114.1</v>
      </c>
      <c r="H23" s="102">
        <v>230.6</v>
      </c>
      <c r="I23" s="102">
        <v>377.5</v>
      </c>
      <c r="J23" s="102">
        <v>203.9</v>
      </c>
      <c r="K23" s="102">
        <v>80.8</v>
      </c>
      <c r="L23" s="102">
        <v>18.899999999999999</v>
      </c>
      <c r="M23" s="102">
        <v>35.1</v>
      </c>
      <c r="N23" s="102">
        <f t="shared" si="1"/>
        <v>95.300000000000011</v>
      </c>
      <c r="O23" s="102">
        <f t="shared" si="2"/>
        <v>1118.1000000000001</v>
      </c>
      <c r="P23" s="102">
        <f t="shared" si="3"/>
        <v>134.79999999999998</v>
      </c>
      <c r="Q23" s="102">
        <f t="shared" si="4"/>
        <v>1348.2</v>
      </c>
    </row>
    <row r="24" spans="1:17">
      <c r="A24" s="102">
        <v>1985</v>
      </c>
      <c r="B24" s="102">
        <v>6.2</v>
      </c>
      <c r="C24" s="102">
        <v>27.2</v>
      </c>
      <c r="D24" s="102">
        <v>54.5</v>
      </c>
      <c r="E24" s="102">
        <v>63.3</v>
      </c>
      <c r="F24" s="102">
        <v>316.8</v>
      </c>
      <c r="G24" s="102">
        <v>157.80000000000001</v>
      </c>
      <c r="H24" s="102">
        <v>122.5</v>
      </c>
      <c r="I24" s="102">
        <v>265.39999999999998</v>
      </c>
      <c r="J24" s="102">
        <v>56.3</v>
      </c>
      <c r="K24" s="102">
        <v>76.3</v>
      </c>
      <c r="L24" s="102">
        <v>60.4</v>
      </c>
      <c r="M24" s="102">
        <v>23.1</v>
      </c>
      <c r="N24" s="102">
        <f t="shared" si="1"/>
        <v>151.19999999999999</v>
      </c>
      <c r="O24" s="102">
        <f t="shared" si="2"/>
        <v>918.8</v>
      </c>
      <c r="P24" s="102">
        <f t="shared" si="3"/>
        <v>159.79999999999998</v>
      </c>
      <c r="Q24" s="102">
        <f t="shared" si="4"/>
        <v>1229.8</v>
      </c>
    </row>
    <row r="25" spans="1:17">
      <c r="A25" s="102">
        <v>1986</v>
      </c>
      <c r="B25" s="102">
        <v>15.8</v>
      </c>
      <c r="C25" s="102">
        <v>14.8</v>
      </c>
      <c r="D25" s="102">
        <v>45.6</v>
      </c>
      <c r="E25" s="102">
        <v>56.3</v>
      </c>
      <c r="F25" s="102">
        <v>88.4</v>
      </c>
      <c r="G25" s="102">
        <v>254</v>
      </c>
      <c r="H25" s="102">
        <v>292</v>
      </c>
      <c r="I25" s="102">
        <v>121.1</v>
      </c>
      <c r="J25" s="102">
        <v>73.8</v>
      </c>
      <c r="K25" s="102">
        <v>138.69999999999999</v>
      </c>
      <c r="L25" s="102">
        <v>57</v>
      </c>
      <c r="M25" s="102">
        <v>7</v>
      </c>
      <c r="N25" s="102">
        <f t="shared" si="1"/>
        <v>132.5</v>
      </c>
      <c r="O25" s="102">
        <f t="shared" si="2"/>
        <v>829.3</v>
      </c>
      <c r="P25" s="102">
        <f t="shared" si="3"/>
        <v>202.7</v>
      </c>
      <c r="Q25" s="102">
        <f t="shared" si="4"/>
        <v>1164.5</v>
      </c>
    </row>
    <row r="26" spans="1:17">
      <c r="A26" s="102">
        <v>1987</v>
      </c>
      <c r="B26" s="102">
        <v>52.2</v>
      </c>
      <c r="C26" s="102">
        <v>9.6</v>
      </c>
      <c r="D26" s="102">
        <v>22.2</v>
      </c>
      <c r="E26" s="102">
        <v>60.2</v>
      </c>
      <c r="F26" s="102">
        <v>168.2</v>
      </c>
      <c r="G26" s="102">
        <v>277</v>
      </c>
      <c r="H26" s="102">
        <v>243</v>
      </c>
      <c r="I26" s="102">
        <v>228.6</v>
      </c>
      <c r="J26" s="102">
        <v>76</v>
      </c>
      <c r="K26" s="102">
        <v>242.6</v>
      </c>
      <c r="L26" s="102">
        <v>48.1</v>
      </c>
      <c r="M26" s="102">
        <v>14.6</v>
      </c>
      <c r="N26" s="102">
        <f t="shared" si="1"/>
        <v>144.19999999999999</v>
      </c>
      <c r="O26" s="102">
        <f t="shared" si="2"/>
        <v>992.80000000000007</v>
      </c>
      <c r="P26" s="102">
        <f t="shared" si="3"/>
        <v>305.3</v>
      </c>
      <c r="Q26" s="102">
        <f t="shared" si="4"/>
        <v>1442.2999999999997</v>
      </c>
    </row>
    <row r="27" spans="1:17">
      <c r="A27" s="102">
        <v>1988</v>
      </c>
      <c r="B27" s="102">
        <v>19.8</v>
      </c>
      <c r="C27" s="102">
        <v>15.1</v>
      </c>
      <c r="D27" s="102">
        <v>28</v>
      </c>
      <c r="E27" s="102">
        <v>132.6</v>
      </c>
      <c r="F27" s="102">
        <v>123</v>
      </c>
      <c r="G27" s="102">
        <v>161</v>
      </c>
      <c r="H27" s="102">
        <v>127.8</v>
      </c>
      <c r="I27" s="102">
        <v>119.5</v>
      </c>
      <c r="J27" s="102">
        <v>240.6</v>
      </c>
      <c r="K27" s="102">
        <v>77.3</v>
      </c>
      <c r="L27" s="102">
        <v>2.7</v>
      </c>
      <c r="M27" s="102">
        <v>14.3</v>
      </c>
      <c r="N27" s="102">
        <f t="shared" si="1"/>
        <v>195.5</v>
      </c>
      <c r="O27" s="102">
        <f t="shared" si="2"/>
        <v>771.9</v>
      </c>
      <c r="P27" s="102">
        <f t="shared" si="3"/>
        <v>94.3</v>
      </c>
      <c r="Q27" s="102">
        <f t="shared" si="4"/>
        <v>1061.7</v>
      </c>
    </row>
    <row r="28" spans="1:17">
      <c r="A28" s="102">
        <v>1989</v>
      </c>
      <c r="B28" s="102">
        <v>11.3</v>
      </c>
      <c r="C28" s="102">
        <v>49.6</v>
      </c>
      <c r="D28" s="102">
        <v>50.6</v>
      </c>
      <c r="E28" s="102">
        <v>147</v>
      </c>
      <c r="F28" s="102">
        <v>130.19999999999999</v>
      </c>
      <c r="G28" s="102">
        <v>181.3</v>
      </c>
      <c r="H28" s="102">
        <v>111.1</v>
      </c>
      <c r="I28" s="102">
        <v>166.7</v>
      </c>
      <c r="J28" s="102">
        <v>83.6</v>
      </c>
      <c r="K28" s="102">
        <v>130.6</v>
      </c>
      <c r="L28" s="102">
        <v>59</v>
      </c>
      <c r="M28" s="102">
        <v>65</v>
      </c>
      <c r="N28" s="102">
        <f t="shared" si="1"/>
        <v>258.5</v>
      </c>
      <c r="O28" s="102">
        <f t="shared" si="2"/>
        <v>672.9</v>
      </c>
      <c r="P28" s="102">
        <f t="shared" si="3"/>
        <v>254.6</v>
      </c>
      <c r="Q28" s="102">
        <f t="shared" si="4"/>
        <v>1186</v>
      </c>
    </row>
    <row r="29" spans="1:17">
      <c r="A29" s="102">
        <v>1990</v>
      </c>
      <c r="B29" s="102">
        <v>26.1</v>
      </c>
      <c r="C29" s="102">
        <v>16.100000000000001</v>
      </c>
      <c r="D29" s="102">
        <v>65.2</v>
      </c>
      <c r="E29" s="102">
        <v>95</v>
      </c>
      <c r="F29" s="102">
        <v>169.9</v>
      </c>
      <c r="G29" s="102">
        <v>155.6</v>
      </c>
      <c r="H29" s="102">
        <v>46.2</v>
      </c>
      <c r="I29" s="102">
        <v>41.4</v>
      </c>
      <c r="J29" s="102">
        <v>106.5</v>
      </c>
      <c r="K29" s="102">
        <v>100.9</v>
      </c>
      <c r="L29" s="102">
        <v>88.2</v>
      </c>
      <c r="M29" s="102">
        <v>6.3</v>
      </c>
      <c r="N29" s="102">
        <f t="shared" si="1"/>
        <v>202.4</v>
      </c>
      <c r="O29" s="102">
        <f t="shared" si="2"/>
        <v>519.59999999999991</v>
      </c>
      <c r="P29" s="102">
        <f t="shared" si="3"/>
        <v>195.40000000000003</v>
      </c>
      <c r="Q29" s="102">
        <f t="shared" si="4"/>
        <v>917.4</v>
      </c>
    </row>
    <row r="30" spans="1:17">
      <c r="A30" s="102">
        <v>1991</v>
      </c>
      <c r="B30" s="102">
        <v>30.8</v>
      </c>
      <c r="C30" s="102">
        <v>14.9</v>
      </c>
      <c r="D30" s="102">
        <v>37.4</v>
      </c>
      <c r="E30" s="102">
        <v>73.099999999999994</v>
      </c>
      <c r="F30" s="102">
        <v>83.8</v>
      </c>
      <c r="G30" s="102">
        <v>120.4</v>
      </c>
      <c r="H30" s="102">
        <v>337.3</v>
      </c>
      <c r="I30" s="102">
        <v>160.19999999999999</v>
      </c>
      <c r="J30" s="102">
        <v>45</v>
      </c>
      <c r="K30" s="102">
        <v>84.7</v>
      </c>
      <c r="L30" s="102">
        <v>48.8</v>
      </c>
      <c r="M30" s="102">
        <v>18.8</v>
      </c>
      <c r="N30" s="102">
        <f t="shared" si="1"/>
        <v>156.19999999999999</v>
      </c>
      <c r="O30" s="102">
        <f t="shared" si="2"/>
        <v>746.7</v>
      </c>
      <c r="P30" s="102">
        <f t="shared" si="3"/>
        <v>152.30000000000001</v>
      </c>
      <c r="Q30" s="102">
        <f t="shared" si="4"/>
        <v>1055.2</v>
      </c>
    </row>
    <row r="31" spans="1:17">
      <c r="A31" s="102">
        <v>1992</v>
      </c>
      <c r="B31" s="102">
        <v>11.8</v>
      </c>
      <c r="C31" s="102">
        <v>43.4</v>
      </c>
      <c r="D31" s="102">
        <v>50.8</v>
      </c>
      <c r="E31" s="102">
        <v>117.8</v>
      </c>
      <c r="F31" s="102">
        <v>218.1</v>
      </c>
      <c r="G31" s="102">
        <v>290.89999999999998</v>
      </c>
      <c r="H31" s="102">
        <v>71.599999999999994</v>
      </c>
      <c r="I31" s="102">
        <v>93.9</v>
      </c>
      <c r="J31" s="102">
        <v>41.9</v>
      </c>
      <c r="K31" s="102">
        <v>193.5</v>
      </c>
      <c r="L31" s="102">
        <v>34.9</v>
      </c>
      <c r="M31" s="102">
        <v>22.4</v>
      </c>
      <c r="N31" s="102">
        <f t="shared" si="1"/>
        <v>223.8</v>
      </c>
      <c r="O31" s="102">
        <f t="shared" si="2"/>
        <v>716.4</v>
      </c>
      <c r="P31" s="102">
        <f t="shared" si="3"/>
        <v>250.8</v>
      </c>
      <c r="Q31" s="102">
        <f t="shared" si="4"/>
        <v>1191</v>
      </c>
    </row>
    <row r="32" spans="1:17">
      <c r="A32" s="102">
        <v>1993</v>
      </c>
      <c r="B32" s="102">
        <v>33</v>
      </c>
      <c r="C32" s="102">
        <v>43.7</v>
      </c>
      <c r="D32" s="102">
        <v>37.1</v>
      </c>
      <c r="E32" s="102">
        <v>69.599999999999994</v>
      </c>
      <c r="F32" s="102">
        <v>124.5</v>
      </c>
      <c r="G32" s="102">
        <v>200.5</v>
      </c>
      <c r="H32" s="102">
        <v>243.6</v>
      </c>
      <c r="I32" s="102">
        <v>230.2</v>
      </c>
      <c r="J32" s="102">
        <v>84.9</v>
      </c>
      <c r="K32" s="102">
        <v>78</v>
      </c>
      <c r="L32" s="102">
        <v>44.1</v>
      </c>
      <c r="M32" s="102">
        <v>9.8000000000000007</v>
      </c>
      <c r="N32" s="102">
        <f t="shared" si="1"/>
        <v>183.4</v>
      </c>
      <c r="O32" s="102">
        <f t="shared" si="2"/>
        <v>883.69999999999993</v>
      </c>
      <c r="P32" s="102">
        <f t="shared" si="3"/>
        <v>131.9</v>
      </c>
      <c r="Q32" s="102">
        <f t="shared" si="4"/>
        <v>1199</v>
      </c>
    </row>
    <row r="33" spans="1:17">
      <c r="A33" s="102">
        <v>1994</v>
      </c>
      <c r="B33" s="102">
        <v>12.1</v>
      </c>
      <c r="C33" s="102">
        <v>8.1</v>
      </c>
      <c r="D33" s="102">
        <v>87.6</v>
      </c>
      <c r="E33" s="102">
        <v>55</v>
      </c>
      <c r="F33" s="102">
        <v>283</v>
      </c>
      <c r="G33" s="102">
        <v>118.4</v>
      </c>
      <c r="H33" s="102">
        <v>131.6</v>
      </c>
      <c r="I33" s="102">
        <v>106.8</v>
      </c>
      <c r="J33" s="102">
        <v>144</v>
      </c>
      <c r="K33" s="102">
        <v>171.9</v>
      </c>
      <c r="L33" s="102">
        <v>88.5</v>
      </c>
      <c r="M33" s="102">
        <v>33.4</v>
      </c>
      <c r="N33" s="102">
        <f t="shared" si="1"/>
        <v>162.80000000000001</v>
      </c>
      <c r="O33" s="102">
        <f t="shared" si="2"/>
        <v>783.8</v>
      </c>
      <c r="P33" s="102">
        <f t="shared" si="3"/>
        <v>293.79999999999995</v>
      </c>
      <c r="Q33" s="102">
        <f t="shared" si="4"/>
        <v>1240.4000000000001</v>
      </c>
    </row>
    <row r="34" spans="1:17">
      <c r="A34" s="102">
        <v>1995</v>
      </c>
      <c r="B34" s="102">
        <v>31.6</v>
      </c>
      <c r="C34" s="102">
        <v>38.9</v>
      </c>
      <c r="D34" s="102">
        <v>34.5</v>
      </c>
      <c r="E34" s="102">
        <v>54</v>
      </c>
      <c r="F34" s="102">
        <v>151.19999999999999</v>
      </c>
      <c r="G34" s="102">
        <v>237.5</v>
      </c>
      <c r="H34" s="102">
        <v>142.6</v>
      </c>
      <c r="I34" s="102">
        <v>155.1</v>
      </c>
      <c r="J34" s="102">
        <v>62.6</v>
      </c>
      <c r="K34" s="102">
        <v>85.8</v>
      </c>
      <c r="L34" s="102">
        <v>59.3</v>
      </c>
      <c r="M34" s="102">
        <v>8.9</v>
      </c>
      <c r="N34" s="102">
        <f t="shared" si="1"/>
        <v>159</v>
      </c>
      <c r="O34" s="102">
        <f t="shared" si="2"/>
        <v>749</v>
      </c>
      <c r="P34" s="102">
        <f t="shared" si="3"/>
        <v>154</v>
      </c>
      <c r="Q34" s="102">
        <f t="shared" si="4"/>
        <v>1062.0000000000002</v>
      </c>
    </row>
    <row r="35" spans="1:17">
      <c r="A35" s="102">
        <v>1996</v>
      </c>
      <c r="B35" s="102">
        <v>20.6</v>
      </c>
      <c r="C35" s="102">
        <v>0.8</v>
      </c>
      <c r="D35" s="102">
        <v>46.8</v>
      </c>
      <c r="E35" s="102">
        <v>41.8</v>
      </c>
      <c r="F35" s="102">
        <v>231.9</v>
      </c>
      <c r="G35" s="102">
        <v>353.9</v>
      </c>
      <c r="H35" s="102">
        <v>281.3</v>
      </c>
      <c r="I35" s="102">
        <v>140.5</v>
      </c>
      <c r="J35" s="102">
        <v>84.1</v>
      </c>
      <c r="K35" s="102">
        <v>40.9</v>
      </c>
      <c r="L35" s="102">
        <v>146.69999999999999</v>
      </c>
      <c r="M35" s="102">
        <v>6.4</v>
      </c>
      <c r="N35" s="102">
        <f t="shared" si="1"/>
        <v>110</v>
      </c>
      <c r="O35" s="102">
        <f t="shared" si="2"/>
        <v>1091.6999999999998</v>
      </c>
      <c r="P35" s="102">
        <f t="shared" si="3"/>
        <v>194</v>
      </c>
      <c r="Q35" s="102">
        <f t="shared" si="4"/>
        <v>1395.7</v>
      </c>
    </row>
    <row r="36" spans="1:17">
      <c r="A36" s="102">
        <v>1997</v>
      </c>
      <c r="B36" s="102">
        <v>35.200000000000003</v>
      </c>
      <c r="C36" s="102">
        <v>50.7</v>
      </c>
      <c r="D36" s="102">
        <v>26.5</v>
      </c>
      <c r="E36" s="102">
        <v>109.5</v>
      </c>
      <c r="F36" s="102">
        <v>139.5</v>
      </c>
      <c r="G36" s="102">
        <v>255.3</v>
      </c>
      <c r="H36" s="102">
        <v>291.3</v>
      </c>
      <c r="I36" s="102">
        <v>101.1</v>
      </c>
      <c r="J36" s="102">
        <v>165.9</v>
      </c>
      <c r="K36" s="102">
        <v>153.9</v>
      </c>
      <c r="L36" s="102">
        <v>12.5</v>
      </c>
      <c r="M36" s="102">
        <v>24.2</v>
      </c>
      <c r="N36" s="102">
        <f t="shared" si="1"/>
        <v>221.9</v>
      </c>
      <c r="O36" s="102">
        <f t="shared" si="2"/>
        <v>953.1</v>
      </c>
      <c r="P36" s="102">
        <f t="shared" si="3"/>
        <v>190.6</v>
      </c>
      <c r="Q36" s="102">
        <f t="shared" si="4"/>
        <v>1365.6000000000001</v>
      </c>
    </row>
    <row r="37" spans="1:17">
      <c r="A37" s="102">
        <v>1998</v>
      </c>
      <c r="B37" s="102">
        <v>14.4</v>
      </c>
      <c r="C37" s="102">
        <v>19</v>
      </c>
      <c r="D37" s="102">
        <v>17.5</v>
      </c>
      <c r="E37" s="102">
        <v>139.19999999999999</v>
      </c>
      <c r="F37" s="102">
        <v>224.8</v>
      </c>
      <c r="G37" s="102">
        <v>290.8</v>
      </c>
      <c r="H37" s="102">
        <v>193.3</v>
      </c>
      <c r="I37" s="102">
        <v>258.2</v>
      </c>
      <c r="J37" s="102">
        <v>45.4</v>
      </c>
      <c r="K37" s="102">
        <v>109.2</v>
      </c>
      <c r="L37" s="102">
        <v>24</v>
      </c>
      <c r="M37" s="102">
        <v>17.7</v>
      </c>
      <c r="N37" s="102">
        <f t="shared" si="1"/>
        <v>190.1</v>
      </c>
      <c r="O37" s="102">
        <f t="shared" si="2"/>
        <v>1012.5000000000001</v>
      </c>
      <c r="P37" s="102">
        <f t="shared" si="3"/>
        <v>150.89999999999998</v>
      </c>
      <c r="Q37" s="102">
        <f t="shared" si="4"/>
        <v>1353.5000000000002</v>
      </c>
    </row>
    <row r="38" spans="1:17">
      <c r="A38" s="102">
        <v>1999</v>
      </c>
      <c r="B38" s="102">
        <v>56</v>
      </c>
      <c r="C38" s="102">
        <v>10.1</v>
      </c>
      <c r="D38" s="102">
        <v>14.6</v>
      </c>
      <c r="E38" s="102">
        <v>92.4</v>
      </c>
      <c r="F38" s="102">
        <v>217.9</v>
      </c>
      <c r="G38" s="102">
        <v>383.1</v>
      </c>
      <c r="H38" s="102">
        <v>282.8</v>
      </c>
      <c r="I38" s="102">
        <v>89.7</v>
      </c>
      <c r="J38" s="102">
        <v>38</v>
      </c>
      <c r="K38" s="102">
        <v>87</v>
      </c>
      <c r="L38" s="102">
        <v>48.9</v>
      </c>
      <c r="M38" s="102">
        <v>10.3</v>
      </c>
      <c r="N38" s="102">
        <f t="shared" si="1"/>
        <v>173.1</v>
      </c>
      <c r="O38" s="102">
        <f t="shared" si="2"/>
        <v>1011.5</v>
      </c>
      <c r="P38" s="102">
        <f t="shared" si="3"/>
        <v>146.20000000000002</v>
      </c>
      <c r="Q38" s="102">
        <f t="shared" si="4"/>
        <v>1330.8000000000002</v>
      </c>
    </row>
    <row r="39" spans="1:17">
      <c r="A39" s="102">
        <v>2000</v>
      </c>
      <c r="B39" s="102">
        <v>41.1</v>
      </c>
      <c r="C39" s="102">
        <v>22.3</v>
      </c>
      <c r="D39" s="102">
        <v>43.6</v>
      </c>
      <c r="E39" s="102">
        <v>115.1</v>
      </c>
      <c r="F39" s="102">
        <v>82.1</v>
      </c>
      <c r="G39" s="102">
        <v>299.10000000000002</v>
      </c>
      <c r="H39" s="102">
        <v>99.3</v>
      </c>
      <c r="I39" s="102">
        <v>221.2</v>
      </c>
      <c r="J39" s="102">
        <v>181.3</v>
      </c>
      <c r="K39" s="102">
        <v>131.6</v>
      </c>
      <c r="L39" s="102">
        <v>32.9</v>
      </c>
      <c r="M39" s="102">
        <v>21.5</v>
      </c>
      <c r="N39" s="102">
        <f t="shared" si="1"/>
        <v>222.1</v>
      </c>
      <c r="O39" s="102">
        <f t="shared" si="2"/>
        <v>883</v>
      </c>
      <c r="P39" s="102">
        <f t="shared" si="3"/>
        <v>186</v>
      </c>
      <c r="Q39" s="102">
        <f t="shared" si="4"/>
        <v>1291.0999999999999</v>
      </c>
    </row>
    <row r="40" spans="1:17">
      <c r="A40" s="102">
        <v>2001</v>
      </c>
      <c r="B40" s="102">
        <v>20.399999999999999</v>
      </c>
      <c r="C40" s="102">
        <v>15.5</v>
      </c>
      <c r="D40" s="102">
        <v>38.700000000000003</v>
      </c>
      <c r="E40" s="102">
        <v>101</v>
      </c>
      <c r="F40" s="102">
        <v>142.80000000000001</v>
      </c>
      <c r="G40" s="102">
        <v>306.7</v>
      </c>
      <c r="H40" s="102">
        <v>164.7</v>
      </c>
      <c r="I40" s="102">
        <v>61</v>
      </c>
      <c r="J40" s="102">
        <v>34.299999999999997</v>
      </c>
      <c r="K40" s="102">
        <v>150.80000000000001</v>
      </c>
      <c r="L40" s="102">
        <v>23.6</v>
      </c>
      <c r="M40" s="102">
        <v>19.8</v>
      </c>
      <c r="N40" s="102">
        <f t="shared" si="1"/>
        <v>175.6</v>
      </c>
      <c r="O40" s="102">
        <f t="shared" si="2"/>
        <v>709.5</v>
      </c>
      <c r="P40" s="102">
        <f t="shared" si="3"/>
        <v>194.20000000000002</v>
      </c>
      <c r="Q40" s="102">
        <f t="shared" si="4"/>
        <v>1079.2999999999997</v>
      </c>
    </row>
    <row r="41" spans="1:17">
      <c r="A41" s="102">
        <v>2002</v>
      </c>
      <c r="B41" s="102">
        <v>20.3</v>
      </c>
      <c r="C41" s="102">
        <v>32.1</v>
      </c>
      <c r="D41" s="102">
        <v>57.8</v>
      </c>
      <c r="E41" s="102">
        <v>76.3</v>
      </c>
      <c r="F41" s="102">
        <v>214.2</v>
      </c>
      <c r="G41" s="102">
        <v>456.5</v>
      </c>
      <c r="H41" s="102">
        <v>74.400000000000006</v>
      </c>
      <c r="I41" s="102">
        <v>233.5</v>
      </c>
      <c r="J41" s="102">
        <v>73.099999999999994</v>
      </c>
      <c r="K41" s="102">
        <v>79</v>
      </c>
      <c r="L41" s="102">
        <v>32.1</v>
      </c>
      <c r="M41" s="102">
        <v>26.9</v>
      </c>
      <c r="N41" s="102">
        <f t="shared" si="1"/>
        <v>186.5</v>
      </c>
      <c r="O41" s="102">
        <f t="shared" si="2"/>
        <v>1051.7</v>
      </c>
      <c r="P41" s="102">
        <f t="shared" si="3"/>
        <v>138</v>
      </c>
      <c r="Q41" s="102">
        <f t="shared" si="4"/>
        <v>1376.1999999999998</v>
      </c>
    </row>
    <row r="42" spans="1:17">
      <c r="A42" s="102">
        <v>2003</v>
      </c>
      <c r="B42" s="102">
        <v>34.6</v>
      </c>
      <c r="C42" s="102">
        <v>8.1999999999999993</v>
      </c>
      <c r="D42" s="102">
        <v>44.1</v>
      </c>
      <c r="E42" s="102">
        <v>101</v>
      </c>
      <c r="F42" s="102">
        <v>163.9</v>
      </c>
      <c r="G42" s="102">
        <v>247.5</v>
      </c>
      <c r="H42" s="102">
        <v>287.89999999999998</v>
      </c>
      <c r="I42" s="102">
        <v>42.8</v>
      </c>
      <c r="J42" s="102">
        <v>211.9</v>
      </c>
      <c r="K42" s="102">
        <v>41.6</v>
      </c>
      <c r="L42" s="102">
        <v>45.7</v>
      </c>
      <c r="M42" s="102">
        <v>55</v>
      </c>
      <c r="N42" s="102">
        <f t="shared" si="1"/>
        <v>187.9</v>
      </c>
      <c r="O42" s="102">
        <f t="shared" si="2"/>
        <v>953.99999999999989</v>
      </c>
      <c r="P42" s="102">
        <f t="shared" si="3"/>
        <v>142.30000000000001</v>
      </c>
      <c r="Q42" s="102">
        <f t="shared" si="4"/>
        <v>1284.1999999999998</v>
      </c>
    </row>
    <row r="43" spans="1:17">
      <c r="A43" s="102">
        <v>2004</v>
      </c>
      <c r="B43" s="103">
        <v>36.299999999999997</v>
      </c>
      <c r="C43" s="103">
        <v>50.5</v>
      </c>
      <c r="D43" s="103">
        <v>45</v>
      </c>
      <c r="E43" s="103">
        <v>148.30000000000001</v>
      </c>
      <c r="F43" s="103">
        <v>162.5</v>
      </c>
      <c r="G43" s="103">
        <v>190.6</v>
      </c>
      <c r="H43" s="103">
        <v>239.7</v>
      </c>
      <c r="I43" s="103">
        <v>60.8</v>
      </c>
      <c r="J43" s="103">
        <v>246.5</v>
      </c>
      <c r="K43" s="103">
        <v>74</v>
      </c>
      <c r="L43" s="103">
        <v>68.5</v>
      </c>
      <c r="M43" s="103">
        <v>10</v>
      </c>
      <c r="N43" s="102">
        <f t="shared" si="1"/>
        <v>280.10000000000002</v>
      </c>
      <c r="O43" s="102">
        <f t="shared" si="2"/>
        <v>900.09999999999991</v>
      </c>
      <c r="P43" s="102">
        <f t="shared" si="3"/>
        <v>152.5</v>
      </c>
      <c r="Q43" s="102">
        <f t="shared" si="4"/>
        <v>1332.7</v>
      </c>
    </row>
    <row r="44" spans="1:17">
      <c r="A44" s="102">
        <v>2005</v>
      </c>
      <c r="B44" s="102">
        <v>27.1</v>
      </c>
      <c r="C44" s="102">
        <v>19.100000000000001</v>
      </c>
      <c r="D44" s="102">
        <v>55.7</v>
      </c>
      <c r="E44" s="102">
        <v>72.5</v>
      </c>
      <c r="F44" s="102">
        <v>279.10000000000002</v>
      </c>
      <c r="G44" s="102">
        <v>51.3</v>
      </c>
      <c r="H44" s="102">
        <v>94.7</v>
      </c>
      <c r="I44" s="102">
        <v>123.2</v>
      </c>
      <c r="J44" s="102">
        <v>59.1</v>
      </c>
      <c r="K44" s="103">
        <v>115.4</v>
      </c>
      <c r="L44" s="103">
        <v>37.6</v>
      </c>
      <c r="M44" s="103">
        <v>18.5</v>
      </c>
      <c r="N44" s="102">
        <f t="shared" si="1"/>
        <v>174.4</v>
      </c>
      <c r="O44" s="102">
        <f t="shared" si="2"/>
        <v>607.40000000000009</v>
      </c>
      <c r="P44" s="102">
        <f t="shared" si="3"/>
        <v>171.5</v>
      </c>
      <c r="Q44" s="102">
        <f t="shared" si="4"/>
        <v>953.30000000000007</v>
      </c>
    </row>
    <row r="45" spans="1:17">
      <c r="A45" s="102">
        <v>2006</v>
      </c>
      <c r="B45" s="102">
        <v>12.1</v>
      </c>
      <c r="C45" s="102">
        <v>51</v>
      </c>
      <c r="D45" s="102">
        <v>27.4</v>
      </c>
      <c r="E45" s="102">
        <v>57.8</v>
      </c>
      <c r="F45" s="102">
        <v>164</v>
      </c>
      <c r="G45" s="102">
        <v>178.3</v>
      </c>
      <c r="H45" s="102">
        <v>36</v>
      </c>
      <c r="I45" s="102">
        <v>88</v>
      </c>
      <c r="J45" s="102">
        <v>90.7</v>
      </c>
      <c r="K45" s="102">
        <v>170.4</v>
      </c>
      <c r="L45" s="102">
        <v>69.2</v>
      </c>
      <c r="M45" s="102">
        <v>24.6</v>
      </c>
      <c r="N45" s="102">
        <f t="shared" si="1"/>
        <v>148.30000000000001</v>
      </c>
      <c r="O45" s="102">
        <f t="shared" si="2"/>
        <v>557</v>
      </c>
      <c r="P45" s="102">
        <f t="shared" si="3"/>
        <v>264.20000000000005</v>
      </c>
      <c r="Q45" s="102">
        <f t="shared" si="4"/>
        <v>969.50000000000011</v>
      </c>
    </row>
    <row r="46" spans="1:17">
      <c r="A46" s="102">
        <v>2007</v>
      </c>
      <c r="B46" s="102">
        <v>22.5</v>
      </c>
      <c r="C46" s="102">
        <v>12.1</v>
      </c>
      <c r="D46" s="102">
        <v>32</v>
      </c>
      <c r="E46" s="102">
        <v>118.7</v>
      </c>
      <c r="F46" s="102">
        <v>97.1</v>
      </c>
      <c r="G46" s="102">
        <v>164.7</v>
      </c>
      <c r="H46" s="102">
        <v>312</v>
      </c>
      <c r="I46" s="102">
        <v>98</v>
      </c>
      <c r="J46" s="102">
        <v>107.4</v>
      </c>
      <c r="K46" s="102">
        <v>98.9</v>
      </c>
      <c r="L46" s="102">
        <v>6.4</v>
      </c>
      <c r="M46" s="102">
        <v>18.5</v>
      </c>
      <c r="N46" s="102">
        <f t="shared" si="1"/>
        <v>185.3</v>
      </c>
      <c r="O46" s="102">
        <f t="shared" si="2"/>
        <v>779.19999999999993</v>
      </c>
      <c r="P46" s="102">
        <f t="shared" si="3"/>
        <v>123.80000000000001</v>
      </c>
      <c r="Q46" s="102">
        <f t="shared" si="4"/>
        <v>1088.3</v>
      </c>
    </row>
    <row r="47" spans="1:17">
      <c r="A47" s="102">
        <v>2008</v>
      </c>
      <c r="B47" s="102">
        <v>13.3</v>
      </c>
      <c r="C47" s="102">
        <v>23</v>
      </c>
      <c r="D47" s="102">
        <v>87.6</v>
      </c>
      <c r="E47" s="102">
        <v>88.7</v>
      </c>
      <c r="F47" s="102">
        <v>205.3</v>
      </c>
      <c r="G47" s="102">
        <v>84.4</v>
      </c>
      <c r="H47" s="102">
        <v>217</v>
      </c>
      <c r="I47" s="102">
        <v>139.30000000000001</v>
      </c>
      <c r="J47" s="102">
        <v>82.4</v>
      </c>
      <c r="K47" s="102">
        <v>221.2</v>
      </c>
      <c r="L47" s="102">
        <v>89.1</v>
      </c>
      <c r="M47" s="102">
        <v>19.7</v>
      </c>
      <c r="N47" s="102">
        <f t="shared" si="1"/>
        <v>212.6</v>
      </c>
      <c r="O47" s="102">
        <f t="shared" si="2"/>
        <v>728.4</v>
      </c>
      <c r="P47" s="102">
        <f t="shared" si="3"/>
        <v>329.99999999999994</v>
      </c>
      <c r="Q47" s="102">
        <f t="shared" si="4"/>
        <v>1270.9999999999998</v>
      </c>
    </row>
    <row r="48" spans="1:17">
      <c r="A48" s="102">
        <v>2009</v>
      </c>
      <c r="B48" s="102">
        <v>21.3</v>
      </c>
      <c r="C48" s="102">
        <v>32.700000000000003</v>
      </c>
      <c r="D48" s="102">
        <v>39.299999999999997</v>
      </c>
      <c r="E48" s="102">
        <v>97.5</v>
      </c>
      <c r="F48" s="102">
        <v>153.5</v>
      </c>
      <c r="G48" s="102">
        <v>131.69999999999999</v>
      </c>
      <c r="H48" s="102">
        <v>114.7</v>
      </c>
      <c r="I48" s="102">
        <v>132.4</v>
      </c>
      <c r="J48" s="102">
        <v>93.6</v>
      </c>
      <c r="K48" s="102">
        <v>76.400000000000006</v>
      </c>
      <c r="L48" s="102">
        <v>10.199999999999999</v>
      </c>
      <c r="M48" s="102">
        <v>28.5</v>
      </c>
      <c r="N48" s="102">
        <f t="shared" si="1"/>
        <v>190.8</v>
      </c>
      <c r="O48" s="102">
        <f t="shared" si="2"/>
        <v>625.9</v>
      </c>
      <c r="P48" s="102">
        <f t="shared" si="3"/>
        <v>115.10000000000001</v>
      </c>
      <c r="Q48" s="102">
        <f t="shared" si="4"/>
        <v>931.80000000000007</v>
      </c>
    </row>
    <row r="49" spans="1:33">
      <c r="A49" s="102">
        <v>2010</v>
      </c>
      <c r="B49" s="102">
        <v>8.6</v>
      </c>
      <c r="C49" s="102">
        <v>3.1</v>
      </c>
      <c r="D49" s="102">
        <v>91.3</v>
      </c>
      <c r="E49" s="102">
        <v>81.400000000000006</v>
      </c>
      <c r="F49" s="102">
        <v>194.2</v>
      </c>
      <c r="G49" s="102">
        <v>281</v>
      </c>
      <c r="H49" s="102">
        <v>103.9</v>
      </c>
      <c r="I49" s="102">
        <v>77.900000000000006</v>
      </c>
      <c r="J49" s="102">
        <v>107.9</v>
      </c>
      <c r="K49" s="102">
        <v>126.7</v>
      </c>
      <c r="L49" s="102">
        <v>44.5</v>
      </c>
      <c r="M49" s="102">
        <v>21.5</v>
      </c>
      <c r="N49" s="102">
        <f t="shared" si="1"/>
        <v>184.4</v>
      </c>
      <c r="O49" s="102">
        <f t="shared" si="2"/>
        <v>764.9</v>
      </c>
      <c r="P49" s="102">
        <f t="shared" si="3"/>
        <v>192.7</v>
      </c>
      <c r="Q49" s="102">
        <f t="shared" si="4"/>
        <v>1142</v>
      </c>
    </row>
    <row r="50" spans="1:33">
      <c r="A50" s="102">
        <v>2011</v>
      </c>
      <c r="B50" s="102">
        <v>10.7</v>
      </c>
      <c r="C50" s="102">
        <v>11.1</v>
      </c>
      <c r="D50" s="102">
        <v>55.1</v>
      </c>
      <c r="E50" s="102">
        <v>39</v>
      </c>
      <c r="F50" s="102">
        <v>68.8</v>
      </c>
      <c r="G50" s="102">
        <v>240.4</v>
      </c>
      <c r="H50" s="102">
        <v>87.1</v>
      </c>
      <c r="I50" s="102">
        <v>76.599999999999994</v>
      </c>
      <c r="J50" s="102">
        <v>55.6</v>
      </c>
      <c r="K50" s="102">
        <v>177.1</v>
      </c>
      <c r="L50" s="102">
        <v>105.3</v>
      </c>
      <c r="M50" s="102">
        <v>20.5</v>
      </c>
      <c r="N50" s="102">
        <f t="shared" si="1"/>
        <v>115.9</v>
      </c>
      <c r="O50" s="102">
        <f t="shared" si="2"/>
        <v>528.5</v>
      </c>
      <c r="P50" s="102">
        <f t="shared" si="3"/>
        <v>302.89999999999998</v>
      </c>
      <c r="Q50" s="102">
        <f t="shared" si="4"/>
        <v>947.30000000000007</v>
      </c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</row>
    <row r="51" spans="1:33">
      <c r="A51" s="102">
        <v>2012</v>
      </c>
      <c r="B51" s="102">
        <v>21.3</v>
      </c>
      <c r="C51" s="102">
        <v>11.4</v>
      </c>
      <c r="D51" s="102">
        <v>39.9</v>
      </c>
      <c r="E51" s="102">
        <v>116.8</v>
      </c>
      <c r="F51" s="102">
        <v>170.3</v>
      </c>
      <c r="G51" s="102">
        <v>196.7</v>
      </c>
      <c r="H51" s="102">
        <v>305.89999999999998</v>
      </c>
      <c r="I51" s="102">
        <v>38.299999999999997</v>
      </c>
      <c r="J51" s="102">
        <v>84.9</v>
      </c>
      <c r="K51" s="102">
        <v>103.3</v>
      </c>
      <c r="L51" s="102">
        <v>68.900000000000006</v>
      </c>
      <c r="M51" s="102">
        <v>24.2</v>
      </c>
      <c r="N51" s="102">
        <f t="shared" si="1"/>
        <v>189.39999999999998</v>
      </c>
      <c r="O51" s="102">
        <f t="shared" si="2"/>
        <v>796.09999999999991</v>
      </c>
      <c r="P51" s="102">
        <f t="shared" si="3"/>
        <v>196.39999999999998</v>
      </c>
      <c r="Q51" s="102">
        <f t="shared" si="4"/>
        <v>1181.9000000000001</v>
      </c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</row>
    <row r="52" spans="1:33">
      <c r="A52" s="102">
        <v>2013</v>
      </c>
      <c r="B52" s="102">
        <v>14.8</v>
      </c>
      <c r="C52" s="102">
        <v>31.7</v>
      </c>
      <c r="D52" s="102">
        <v>65.5</v>
      </c>
      <c r="E52" s="102">
        <v>91</v>
      </c>
      <c r="F52" s="102">
        <v>111.9</v>
      </c>
      <c r="G52" s="102">
        <v>146.9</v>
      </c>
      <c r="H52" s="102">
        <v>31.8</v>
      </c>
      <c r="I52" s="102">
        <v>77.900000000000006</v>
      </c>
      <c r="J52" s="102">
        <v>109.4</v>
      </c>
      <c r="K52" s="102">
        <v>78.7</v>
      </c>
      <c r="L52" s="102">
        <v>27.4</v>
      </c>
      <c r="M52" s="102">
        <v>13.7</v>
      </c>
      <c r="N52" s="102">
        <f t="shared" si="1"/>
        <v>203</v>
      </c>
      <c r="O52" s="102">
        <f t="shared" si="2"/>
        <v>477.9</v>
      </c>
      <c r="P52" s="102">
        <f t="shared" si="3"/>
        <v>119.8</v>
      </c>
      <c r="Q52" s="102">
        <f t="shared" si="4"/>
        <v>800.7</v>
      </c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  <c r="AD52" s="104"/>
      <c r="AE52" s="104"/>
      <c r="AF52" s="104"/>
      <c r="AG52" s="104"/>
    </row>
    <row r="53" spans="1:33">
      <c r="A53" s="102">
        <v>2014</v>
      </c>
      <c r="B53" s="114">
        <v>9.9</v>
      </c>
      <c r="C53" s="114">
        <v>26</v>
      </c>
      <c r="D53" s="114">
        <v>102.5</v>
      </c>
      <c r="E53" s="114">
        <v>91.9</v>
      </c>
      <c r="F53" s="114">
        <v>194.4</v>
      </c>
      <c r="G53" s="114">
        <v>148.9</v>
      </c>
      <c r="H53" s="114">
        <v>229.3</v>
      </c>
      <c r="I53" s="114">
        <v>197.2</v>
      </c>
      <c r="J53" s="114">
        <v>83.4</v>
      </c>
      <c r="K53" s="114">
        <v>107.1</v>
      </c>
      <c r="L53" s="114">
        <v>75.7</v>
      </c>
      <c r="M53" s="114">
        <v>10</v>
      </c>
      <c r="N53" s="102">
        <f t="shared" ref="N53:N54" si="5">SUM(B53:E53)</f>
        <v>230.3</v>
      </c>
      <c r="O53" s="102">
        <f t="shared" ref="O53" si="6">SUM(F53:J53)</f>
        <v>853.19999999999993</v>
      </c>
      <c r="P53" s="102">
        <f t="shared" ref="P53" si="7">SUM(K53:M53)</f>
        <v>192.8</v>
      </c>
      <c r="Q53" s="102">
        <f>SUM(B53:M53)</f>
        <v>1276.3000000000002</v>
      </c>
    </row>
    <row r="54" spans="1:33">
      <c r="A54" s="102">
        <v>2015</v>
      </c>
      <c r="B54" s="114">
        <v>15.2</v>
      </c>
      <c r="C54" s="114">
        <v>40.5</v>
      </c>
      <c r="D54" s="114">
        <v>33.799999999999997</v>
      </c>
      <c r="E54" s="114">
        <v>37.5</v>
      </c>
      <c r="F54" s="114">
        <v>187.5</v>
      </c>
      <c r="G54" s="114">
        <v>221</v>
      </c>
      <c r="H54" s="114">
        <v>117.6</v>
      </c>
      <c r="I54" s="114">
        <v>220.1</v>
      </c>
      <c r="J54" s="114">
        <v>124</v>
      </c>
      <c r="K54" s="114">
        <v>80.3</v>
      </c>
      <c r="L54" s="114">
        <v>33.6</v>
      </c>
      <c r="M54" s="114">
        <v>51.6</v>
      </c>
      <c r="N54" s="102">
        <f t="shared" si="5"/>
        <v>127</v>
      </c>
      <c r="O54" s="102">
        <f>SUM(F54:J54)</f>
        <v>870.2</v>
      </c>
      <c r="P54" s="102">
        <f>SUM(K54:M54)</f>
        <v>165.5</v>
      </c>
      <c r="Q54" s="102">
        <f>SUM(B54:M54)</f>
        <v>1162.6999999999998</v>
      </c>
    </row>
    <row r="55" spans="1:33">
      <c r="A55" s="108">
        <v>2016</v>
      </c>
      <c r="B55" s="115">
        <v>32.4</v>
      </c>
      <c r="C55" s="115">
        <v>19.600000000000001</v>
      </c>
      <c r="D55" s="115">
        <v>97.4</v>
      </c>
      <c r="E55" s="115">
        <v>117.2</v>
      </c>
      <c r="F55" s="115">
        <v>142.19999999999999</v>
      </c>
      <c r="G55" s="115">
        <v>219.3</v>
      </c>
      <c r="H55" s="115">
        <v>87.7</v>
      </c>
      <c r="I55" s="115">
        <v>136.30000000000001</v>
      </c>
      <c r="J55" s="115">
        <v>69.7</v>
      </c>
      <c r="K55" s="115">
        <v>89.6</v>
      </c>
      <c r="L55" s="115">
        <v>59.5</v>
      </c>
      <c r="M55" s="115">
        <v>17.600000000000001</v>
      </c>
      <c r="N55" s="108">
        <f>SUM(B55:E55)</f>
        <v>266.60000000000002</v>
      </c>
      <c r="O55" s="108">
        <f>SUM(F55:J55)</f>
        <v>655.20000000000005</v>
      </c>
      <c r="P55" s="108">
        <f>SUM(K55:M55)</f>
        <v>166.7</v>
      </c>
      <c r="Q55" s="108">
        <f>SUM(B55:M55)</f>
        <v>1088.5</v>
      </c>
      <c r="R55" s="108">
        <f t="shared" ref="R55:AG55" si="8">100*(B55-B4)/B4</f>
        <v>56.476383656911032</v>
      </c>
      <c r="S55" s="108">
        <f t="shared" si="8"/>
        <v>-4.2501221299462841</v>
      </c>
      <c r="T55" s="108">
        <f t="shared" si="8"/>
        <v>124.12444198996739</v>
      </c>
      <c r="U55" s="108">
        <f t="shared" si="8"/>
        <v>51.206295961811378</v>
      </c>
      <c r="V55" s="108">
        <f t="shared" si="8"/>
        <v>-10.477077850946239</v>
      </c>
      <c r="W55" s="108">
        <f t="shared" si="8"/>
        <v>-0.26650173271604954</v>
      </c>
      <c r="X55" s="108">
        <f t="shared" si="8"/>
        <v>-44.71620565319347</v>
      </c>
      <c r="Y55" s="108">
        <f t="shared" si="8"/>
        <v>8.1883413766827786</v>
      </c>
      <c r="Z55" s="108">
        <f t="shared" si="8"/>
        <v>-24.660051451672171</v>
      </c>
      <c r="AA55" s="108">
        <f t="shared" si="8"/>
        <v>-17.801181608014375</v>
      </c>
      <c r="AB55" s="108">
        <f t="shared" si="8"/>
        <v>11.972599646204243</v>
      </c>
      <c r="AC55" s="108">
        <f t="shared" si="8"/>
        <v>-15.95033428844317</v>
      </c>
      <c r="AD55" s="108">
        <f t="shared" si="8"/>
        <v>64.42174856917309</v>
      </c>
      <c r="AE55" s="108">
        <f t="shared" si="8"/>
        <v>-13.317510339188889</v>
      </c>
      <c r="AF55" s="108">
        <f t="shared" si="8"/>
        <v>-8.9479031253755039</v>
      </c>
      <c r="AG55" s="108">
        <f t="shared" si="8"/>
        <v>-1.1432328751198988</v>
      </c>
    </row>
  </sheetData>
  <mergeCells count="6">
    <mergeCell ref="A1:A3"/>
    <mergeCell ref="B1:Q1"/>
    <mergeCell ref="B2:M2"/>
    <mergeCell ref="R1:AG1"/>
    <mergeCell ref="N2:Q2"/>
    <mergeCell ref="R2:AG2"/>
  </mergeCells>
  <phoneticPr fontId="2" type="noConversion"/>
  <pageMargins left="0.75" right="0.75" top="1" bottom="1" header="0.5" footer="0.5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2"/>
  <dimension ref="A1:AG60"/>
  <sheetViews>
    <sheetView zoomScale="70" zoomScaleNormal="70" workbookViewId="0">
      <pane ySplit="5" topLeftCell="A6" activePane="bottomLeft" state="frozen"/>
      <selection pane="bottomLeft" activeCell="R65" sqref="R65"/>
    </sheetView>
  </sheetViews>
  <sheetFormatPr defaultRowHeight="12"/>
  <cols>
    <col min="1" max="34" width="7.125" style="102" customWidth="1"/>
    <col min="35" max="16384" width="9" style="102"/>
  </cols>
  <sheetData>
    <row r="1" spans="1:33" s="118" customFormat="1" ht="14.25" customHeight="1">
      <c r="A1" s="176" t="s">
        <v>0</v>
      </c>
      <c r="B1" s="176" t="s">
        <v>1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2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3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32</v>
      </c>
      <c r="O2" s="176"/>
      <c r="P2" s="176"/>
      <c r="Q2" s="176"/>
      <c r="R2" s="176" t="s">
        <v>6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 ht="24">
      <c r="A3" s="176"/>
      <c r="B3" s="106" t="s">
        <v>7</v>
      </c>
      <c r="C3" s="106" t="s">
        <v>8</v>
      </c>
      <c r="D3" s="106" t="s">
        <v>9</v>
      </c>
      <c r="E3" s="106" t="s">
        <v>10</v>
      </c>
      <c r="F3" s="106" t="s">
        <v>11</v>
      </c>
      <c r="G3" s="106" t="s">
        <v>12</v>
      </c>
      <c r="H3" s="106" t="s">
        <v>13</v>
      </c>
      <c r="I3" s="106" t="s">
        <v>14</v>
      </c>
      <c r="J3" s="106" t="s">
        <v>15</v>
      </c>
      <c r="K3" s="106" t="s">
        <v>16</v>
      </c>
      <c r="L3" s="106" t="s">
        <v>17</v>
      </c>
      <c r="M3" s="106" t="s">
        <v>18</v>
      </c>
      <c r="N3" s="106" t="s">
        <v>145</v>
      </c>
      <c r="O3" s="106" t="s">
        <v>146</v>
      </c>
      <c r="P3" s="106" t="s">
        <v>147</v>
      </c>
      <c r="Q3" s="106" t="s">
        <v>148</v>
      </c>
      <c r="R3" s="106" t="s">
        <v>7</v>
      </c>
      <c r="S3" s="106" t="s">
        <v>8</v>
      </c>
      <c r="T3" s="106" t="s">
        <v>151</v>
      </c>
      <c r="U3" s="106" t="s">
        <v>152</v>
      </c>
      <c r="V3" s="106" t="s">
        <v>23</v>
      </c>
      <c r="W3" s="106" t="s">
        <v>24</v>
      </c>
      <c r="X3" s="106" t="s">
        <v>25</v>
      </c>
      <c r="Y3" s="106" t="s">
        <v>26</v>
      </c>
      <c r="Z3" s="106" t="s">
        <v>27</v>
      </c>
      <c r="AA3" s="106" t="s">
        <v>155</v>
      </c>
      <c r="AB3" s="106" t="s">
        <v>156</v>
      </c>
      <c r="AC3" s="106" t="s">
        <v>157</v>
      </c>
      <c r="AD3" s="106" t="s">
        <v>90</v>
      </c>
      <c r="AE3" s="106" t="s">
        <v>4</v>
      </c>
      <c r="AF3" s="106" t="s">
        <v>91</v>
      </c>
      <c r="AG3" s="106" t="s">
        <v>5</v>
      </c>
    </row>
    <row r="4" spans="1:33" s="118" customFormat="1">
      <c r="A4" s="150" t="s">
        <v>261</v>
      </c>
      <c r="B4" s="150">
        <f t="shared" ref="B4:Q4" si="0">AVERAGE(B5:B59)</f>
        <v>17.143636363636368</v>
      </c>
      <c r="C4" s="150">
        <f t="shared" si="0"/>
        <v>19.298181818181824</v>
      </c>
      <c r="D4" s="150">
        <f t="shared" si="0"/>
        <v>38.421818181818189</v>
      </c>
      <c r="E4" s="150">
        <f t="shared" si="0"/>
        <v>89.323636363636368</v>
      </c>
      <c r="F4" s="150">
        <f t="shared" si="0"/>
        <v>147.41090909090906</v>
      </c>
      <c r="G4" s="150">
        <f t="shared" si="0"/>
        <v>182.40909090909088</v>
      </c>
      <c r="H4" s="150">
        <f t="shared" si="0"/>
        <v>141.51999999999998</v>
      </c>
      <c r="I4" s="150">
        <f t="shared" si="0"/>
        <v>127.94727272727272</v>
      </c>
      <c r="J4" s="150">
        <f t="shared" si="0"/>
        <v>94.767272727272712</v>
      </c>
      <c r="K4" s="150">
        <f t="shared" si="0"/>
        <v>94.561818181818168</v>
      </c>
      <c r="L4" s="150">
        <f t="shared" si="0"/>
        <v>47.124363636363654</v>
      </c>
      <c r="M4" s="150">
        <f t="shared" si="0"/>
        <v>18.870909090909088</v>
      </c>
      <c r="N4" s="150">
        <f t="shared" si="0"/>
        <v>164.18727272727273</v>
      </c>
      <c r="O4" s="150">
        <f t="shared" si="0"/>
        <v>694.05454545454529</v>
      </c>
      <c r="P4" s="150">
        <f t="shared" si="0"/>
        <v>160.5570909090909</v>
      </c>
      <c r="Q4" s="150">
        <f t="shared" si="0"/>
        <v>1018.798909090909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1961</v>
      </c>
      <c r="B5" s="102">
        <v>14.1</v>
      </c>
      <c r="C5" s="102">
        <v>4.5</v>
      </c>
      <c r="D5" s="102">
        <v>39.1</v>
      </c>
      <c r="E5" s="102">
        <v>27</v>
      </c>
      <c r="F5" s="102">
        <v>58.8</v>
      </c>
      <c r="G5" s="102">
        <v>266.7</v>
      </c>
      <c r="H5" s="102">
        <v>98.8</v>
      </c>
      <c r="I5" s="102">
        <v>51.2</v>
      </c>
      <c r="J5" s="102">
        <v>55.3</v>
      </c>
      <c r="K5" s="102">
        <v>110.2</v>
      </c>
      <c r="L5" s="102">
        <v>66</v>
      </c>
      <c r="M5" s="102">
        <v>32.299999999999997</v>
      </c>
      <c r="N5" s="102">
        <f>SUM(B5:E5)</f>
        <v>84.7</v>
      </c>
      <c r="O5" s="102">
        <f>SUM(F5:J5)</f>
        <v>530.79999999999995</v>
      </c>
      <c r="P5" s="102">
        <f>SUM(K5:M5)</f>
        <v>208.5</v>
      </c>
      <c r="Q5" s="102">
        <f>SUM(B5:M5)</f>
        <v>824</v>
      </c>
    </row>
    <row r="6" spans="1:33">
      <c r="A6" s="102">
        <v>1962</v>
      </c>
      <c r="B6" s="102">
        <v>13.3</v>
      </c>
      <c r="C6" s="102">
        <v>9.6999999999999993</v>
      </c>
      <c r="D6" s="102">
        <v>25.2</v>
      </c>
      <c r="E6" s="102">
        <v>29.7</v>
      </c>
      <c r="F6" s="102">
        <v>126.1</v>
      </c>
      <c r="G6" s="102">
        <v>145.9</v>
      </c>
      <c r="H6" s="102">
        <v>35.700000000000003</v>
      </c>
      <c r="I6" s="102">
        <v>73</v>
      </c>
      <c r="J6" s="102">
        <v>84.7</v>
      </c>
      <c r="K6" s="102">
        <v>138.80000000000001</v>
      </c>
      <c r="L6" s="102">
        <v>45.7</v>
      </c>
      <c r="M6" s="102">
        <v>17.8</v>
      </c>
      <c r="N6" s="102">
        <f t="shared" ref="N6:N57" si="1">SUM(B6:E6)</f>
        <v>77.900000000000006</v>
      </c>
      <c r="O6" s="102">
        <f t="shared" ref="O6:O57" si="2">SUM(F6:J6)</f>
        <v>465.4</v>
      </c>
      <c r="P6" s="102">
        <f t="shared" ref="P6:P57" si="3">SUM(K6:M6)</f>
        <v>202.3</v>
      </c>
      <c r="Q6" s="102">
        <f t="shared" ref="Q6:Q57" si="4">SUM(B6:M6)</f>
        <v>745.59999999999991</v>
      </c>
    </row>
    <row r="7" spans="1:33">
      <c r="A7" s="102">
        <v>1963</v>
      </c>
      <c r="B7" s="102">
        <v>8.8000000000000007</v>
      </c>
      <c r="C7" s="102">
        <v>7.9</v>
      </c>
      <c r="D7" s="102">
        <v>17.5</v>
      </c>
      <c r="E7" s="102">
        <v>19.2</v>
      </c>
      <c r="F7" s="102">
        <v>57.1</v>
      </c>
      <c r="G7" s="102">
        <v>218.5</v>
      </c>
      <c r="H7" s="102">
        <v>113.3</v>
      </c>
      <c r="I7" s="102">
        <v>79.5</v>
      </c>
      <c r="J7" s="102">
        <v>67.3</v>
      </c>
      <c r="K7" s="102">
        <v>162.1</v>
      </c>
      <c r="L7" s="102">
        <v>102.8</v>
      </c>
      <c r="M7" s="102">
        <v>30.6</v>
      </c>
      <c r="N7" s="102">
        <f t="shared" si="1"/>
        <v>53.400000000000006</v>
      </c>
      <c r="O7" s="102">
        <f t="shared" si="2"/>
        <v>535.70000000000005</v>
      </c>
      <c r="P7" s="102">
        <f t="shared" si="3"/>
        <v>295.5</v>
      </c>
      <c r="Q7" s="102">
        <f t="shared" si="4"/>
        <v>884.59999999999991</v>
      </c>
    </row>
    <row r="8" spans="1:33">
      <c r="A8" s="102">
        <v>1964</v>
      </c>
      <c r="B8" s="102">
        <v>6.1</v>
      </c>
      <c r="C8" s="102">
        <v>4.9000000000000004</v>
      </c>
      <c r="D8" s="102">
        <v>27</v>
      </c>
      <c r="E8" s="102">
        <v>32.6</v>
      </c>
      <c r="F8" s="102">
        <v>58.3</v>
      </c>
      <c r="G8" s="102">
        <v>289.10000000000002</v>
      </c>
      <c r="H8" s="102">
        <v>56.9</v>
      </c>
      <c r="I8" s="102">
        <v>65.5</v>
      </c>
      <c r="J8" s="102">
        <v>47.3</v>
      </c>
      <c r="K8" s="102">
        <v>108.4</v>
      </c>
      <c r="L8" s="102">
        <v>43.3</v>
      </c>
      <c r="M8" s="102">
        <v>36.700000000000003</v>
      </c>
      <c r="N8" s="102">
        <f t="shared" si="1"/>
        <v>70.599999999999994</v>
      </c>
      <c r="O8" s="102">
        <f t="shared" si="2"/>
        <v>517.1</v>
      </c>
      <c r="P8" s="102">
        <f t="shared" si="3"/>
        <v>188.39999999999998</v>
      </c>
      <c r="Q8" s="102">
        <f t="shared" si="4"/>
        <v>776.09999999999991</v>
      </c>
    </row>
    <row r="9" spans="1:33">
      <c r="A9" s="102">
        <v>1965</v>
      </c>
      <c r="B9" s="102">
        <v>10.7</v>
      </c>
      <c r="C9" s="102">
        <v>11.1</v>
      </c>
      <c r="D9" s="102">
        <v>55.1</v>
      </c>
      <c r="E9" s="102">
        <v>39</v>
      </c>
      <c r="F9" s="102">
        <v>68.8</v>
      </c>
      <c r="G9" s="102">
        <v>240.4</v>
      </c>
      <c r="H9" s="102">
        <v>87.1</v>
      </c>
      <c r="I9" s="102">
        <v>76.599999999999994</v>
      </c>
      <c r="J9" s="102">
        <v>55.6</v>
      </c>
      <c r="K9" s="102">
        <v>85.3</v>
      </c>
      <c r="L9" s="102">
        <v>41.8</v>
      </c>
      <c r="M9" s="102">
        <v>20.7</v>
      </c>
      <c r="N9" s="102">
        <f t="shared" si="1"/>
        <v>115.9</v>
      </c>
      <c r="O9" s="102">
        <f t="shared" si="2"/>
        <v>528.5</v>
      </c>
      <c r="P9" s="102">
        <f t="shared" si="3"/>
        <v>147.79999999999998</v>
      </c>
      <c r="Q9" s="102">
        <f t="shared" si="4"/>
        <v>792.2</v>
      </c>
    </row>
    <row r="10" spans="1:33">
      <c r="A10" s="102">
        <v>1966</v>
      </c>
      <c r="B10" s="102">
        <v>9</v>
      </c>
      <c r="C10" s="102">
        <v>5.5</v>
      </c>
      <c r="D10" s="102">
        <v>20.399999999999999</v>
      </c>
      <c r="E10" s="102">
        <v>34.5</v>
      </c>
      <c r="F10" s="102">
        <v>40.700000000000003</v>
      </c>
      <c r="G10" s="102">
        <v>143.9</v>
      </c>
      <c r="H10" s="102">
        <v>54.5</v>
      </c>
      <c r="I10" s="102">
        <v>71.5</v>
      </c>
      <c r="J10" s="102">
        <v>76.900000000000006</v>
      </c>
      <c r="K10" s="102">
        <v>222.3</v>
      </c>
      <c r="L10" s="102">
        <v>17.8</v>
      </c>
      <c r="M10" s="102">
        <v>10.1</v>
      </c>
      <c r="N10" s="102">
        <f t="shared" si="1"/>
        <v>69.400000000000006</v>
      </c>
      <c r="O10" s="102">
        <f t="shared" si="2"/>
        <v>387.5</v>
      </c>
      <c r="P10" s="102">
        <f t="shared" si="3"/>
        <v>250.20000000000002</v>
      </c>
      <c r="Q10" s="102">
        <f t="shared" si="4"/>
        <v>707.1</v>
      </c>
    </row>
    <row r="11" spans="1:33">
      <c r="A11" s="102">
        <v>1967</v>
      </c>
      <c r="B11" s="102">
        <v>11.3</v>
      </c>
      <c r="C11" s="102">
        <v>10.6</v>
      </c>
      <c r="D11" s="102">
        <v>45.3</v>
      </c>
      <c r="E11" s="102">
        <v>40.799999999999997</v>
      </c>
      <c r="F11" s="102">
        <v>62.3</v>
      </c>
      <c r="G11" s="102">
        <v>170.5</v>
      </c>
      <c r="H11" s="102">
        <v>61.5</v>
      </c>
      <c r="I11" s="102">
        <v>172.1</v>
      </c>
      <c r="J11" s="102">
        <v>57.2</v>
      </c>
      <c r="K11" s="102">
        <v>68.099999999999994</v>
      </c>
      <c r="L11" s="102">
        <v>44.9</v>
      </c>
      <c r="M11" s="102">
        <v>17.7</v>
      </c>
      <c r="N11" s="102">
        <f t="shared" si="1"/>
        <v>107.99999999999999</v>
      </c>
      <c r="O11" s="102">
        <f t="shared" si="2"/>
        <v>523.6</v>
      </c>
      <c r="P11" s="102">
        <f t="shared" si="3"/>
        <v>130.69999999999999</v>
      </c>
      <c r="Q11" s="102">
        <f t="shared" si="4"/>
        <v>762.30000000000007</v>
      </c>
    </row>
    <row r="12" spans="1:33">
      <c r="A12" s="102">
        <v>1968</v>
      </c>
      <c r="B12" s="102">
        <v>8.1</v>
      </c>
      <c r="C12" s="102">
        <v>17.3</v>
      </c>
      <c r="D12" s="102">
        <v>39.5</v>
      </c>
      <c r="E12" s="102">
        <v>36.5</v>
      </c>
      <c r="F12" s="102">
        <v>54.2</v>
      </c>
      <c r="G12" s="102">
        <v>227.4</v>
      </c>
      <c r="H12" s="102">
        <v>105.2</v>
      </c>
      <c r="I12" s="102">
        <v>62.8</v>
      </c>
      <c r="J12" s="102">
        <v>62.8</v>
      </c>
      <c r="K12" s="102">
        <v>73.099999999999994</v>
      </c>
      <c r="L12" s="102">
        <v>42.24</v>
      </c>
      <c r="M12" s="102">
        <v>13.6</v>
      </c>
      <c r="N12" s="102">
        <f t="shared" si="1"/>
        <v>101.4</v>
      </c>
      <c r="O12" s="102">
        <f t="shared" si="2"/>
        <v>512.4</v>
      </c>
      <c r="P12" s="102">
        <f t="shared" si="3"/>
        <v>128.94</v>
      </c>
      <c r="Q12" s="102">
        <f t="shared" si="4"/>
        <v>742.74</v>
      </c>
    </row>
    <row r="13" spans="1:33">
      <c r="A13" s="102">
        <v>1969</v>
      </c>
      <c r="B13" s="102">
        <v>16.7</v>
      </c>
      <c r="C13" s="102">
        <v>3.9</v>
      </c>
      <c r="D13" s="102">
        <v>33.299999999999997</v>
      </c>
      <c r="E13" s="102">
        <v>25.5</v>
      </c>
      <c r="F13" s="102">
        <v>83.5</v>
      </c>
      <c r="G13" s="102">
        <v>222.8</v>
      </c>
      <c r="H13" s="102">
        <v>38.9</v>
      </c>
      <c r="I13" s="102">
        <v>56.4</v>
      </c>
      <c r="J13" s="102">
        <v>61.9</v>
      </c>
      <c r="K13" s="102">
        <v>126.6</v>
      </c>
      <c r="L13" s="102">
        <v>47.8</v>
      </c>
      <c r="M13" s="102">
        <v>10.5</v>
      </c>
      <c r="N13" s="102">
        <f t="shared" si="1"/>
        <v>79.399999999999991</v>
      </c>
      <c r="O13" s="102">
        <f t="shared" si="2"/>
        <v>463.49999999999994</v>
      </c>
      <c r="P13" s="102">
        <f t="shared" si="3"/>
        <v>184.89999999999998</v>
      </c>
      <c r="Q13" s="102">
        <f t="shared" si="4"/>
        <v>727.8</v>
      </c>
    </row>
    <row r="14" spans="1:33">
      <c r="A14" s="102">
        <v>1970</v>
      </c>
      <c r="B14" s="102">
        <v>24.1</v>
      </c>
      <c r="C14" s="102">
        <v>7.5</v>
      </c>
      <c r="D14" s="102">
        <v>31.2</v>
      </c>
      <c r="E14" s="102">
        <v>38.799999999999997</v>
      </c>
      <c r="F14" s="102">
        <v>143.30000000000001</v>
      </c>
      <c r="G14" s="102">
        <v>195.8</v>
      </c>
      <c r="H14" s="102">
        <v>29.8</v>
      </c>
      <c r="I14" s="102">
        <v>18.7</v>
      </c>
      <c r="J14" s="102">
        <v>86.5</v>
      </c>
      <c r="K14" s="102">
        <v>36.799999999999997</v>
      </c>
      <c r="L14" s="102">
        <v>50.6</v>
      </c>
      <c r="M14" s="102">
        <v>31.1</v>
      </c>
      <c r="N14" s="102">
        <f t="shared" si="1"/>
        <v>101.6</v>
      </c>
      <c r="O14" s="102">
        <f t="shared" si="2"/>
        <v>474.1</v>
      </c>
      <c r="P14" s="102">
        <f t="shared" si="3"/>
        <v>118.5</v>
      </c>
      <c r="Q14" s="102">
        <f t="shared" si="4"/>
        <v>694.2</v>
      </c>
    </row>
    <row r="15" spans="1:33">
      <c r="A15" s="102">
        <v>1971</v>
      </c>
      <c r="B15" s="102">
        <v>29.5</v>
      </c>
      <c r="C15" s="102">
        <v>23.9</v>
      </c>
      <c r="D15" s="102">
        <v>74.099999999999994</v>
      </c>
      <c r="E15" s="102">
        <v>59.9</v>
      </c>
      <c r="F15" s="102">
        <v>172</v>
      </c>
      <c r="G15" s="102">
        <v>147.30000000000001</v>
      </c>
      <c r="H15" s="102">
        <v>45.9</v>
      </c>
      <c r="I15" s="102">
        <v>74.5</v>
      </c>
      <c r="J15" s="102">
        <v>220</v>
      </c>
      <c r="K15" s="102">
        <v>88.4</v>
      </c>
      <c r="L15" s="102">
        <v>24.4</v>
      </c>
      <c r="M15" s="102">
        <v>39.6</v>
      </c>
      <c r="N15" s="102">
        <f t="shared" si="1"/>
        <v>187.4</v>
      </c>
      <c r="O15" s="102">
        <f t="shared" si="2"/>
        <v>659.7</v>
      </c>
      <c r="P15" s="102">
        <f t="shared" si="3"/>
        <v>152.4</v>
      </c>
      <c r="Q15" s="102">
        <f t="shared" si="4"/>
        <v>999.5</v>
      </c>
    </row>
    <row r="16" spans="1:33">
      <c r="A16" s="102">
        <v>1972</v>
      </c>
      <c r="B16" s="102">
        <v>5.0999999999999996</v>
      </c>
      <c r="C16" s="102">
        <v>7.6</v>
      </c>
      <c r="D16" s="102">
        <v>57.4</v>
      </c>
      <c r="E16" s="102">
        <v>164.7</v>
      </c>
      <c r="F16" s="102">
        <v>174.1</v>
      </c>
      <c r="G16" s="102">
        <v>92.2</v>
      </c>
      <c r="H16" s="102">
        <v>47.2</v>
      </c>
      <c r="I16" s="102">
        <v>131.69999999999999</v>
      </c>
      <c r="J16" s="102">
        <v>200</v>
      </c>
      <c r="K16" s="102">
        <v>99.9</v>
      </c>
      <c r="L16" s="102">
        <v>66.400000000000006</v>
      </c>
      <c r="M16" s="102">
        <v>10.8</v>
      </c>
      <c r="N16" s="102">
        <f t="shared" si="1"/>
        <v>234.79999999999998</v>
      </c>
      <c r="O16" s="102">
        <f t="shared" si="2"/>
        <v>645.20000000000005</v>
      </c>
      <c r="P16" s="102">
        <f t="shared" si="3"/>
        <v>177.10000000000002</v>
      </c>
      <c r="Q16" s="102">
        <f t="shared" si="4"/>
        <v>1057.0999999999999</v>
      </c>
    </row>
    <row r="17" spans="1:17">
      <c r="A17" s="102">
        <v>1973</v>
      </c>
      <c r="B17" s="102">
        <v>14</v>
      </c>
      <c r="C17" s="102">
        <v>23.6</v>
      </c>
      <c r="D17" s="102">
        <v>43.4</v>
      </c>
      <c r="E17" s="102">
        <v>146.1</v>
      </c>
      <c r="F17" s="102">
        <v>199.3</v>
      </c>
      <c r="G17" s="102">
        <v>229.9</v>
      </c>
      <c r="H17" s="102">
        <v>195</v>
      </c>
      <c r="I17" s="102">
        <v>110.3</v>
      </c>
      <c r="J17" s="102">
        <v>297.3</v>
      </c>
      <c r="K17" s="102">
        <v>21.2</v>
      </c>
      <c r="L17" s="102">
        <v>42.6</v>
      </c>
      <c r="M17" s="102">
        <v>6.7</v>
      </c>
      <c r="N17" s="102">
        <f t="shared" si="1"/>
        <v>227.1</v>
      </c>
      <c r="O17" s="102">
        <f t="shared" si="2"/>
        <v>1031.8</v>
      </c>
      <c r="P17" s="102">
        <f t="shared" si="3"/>
        <v>70.5</v>
      </c>
      <c r="Q17" s="102">
        <f t="shared" si="4"/>
        <v>1329.3999999999999</v>
      </c>
    </row>
    <row r="18" spans="1:17">
      <c r="A18" s="102">
        <v>1974</v>
      </c>
      <c r="B18" s="102">
        <v>9</v>
      </c>
      <c r="C18" s="102">
        <v>6.8</v>
      </c>
      <c r="D18" s="102">
        <v>87.2</v>
      </c>
      <c r="E18" s="102">
        <v>82</v>
      </c>
      <c r="F18" s="102">
        <v>138.5</v>
      </c>
      <c r="G18" s="102">
        <v>169.5</v>
      </c>
      <c r="H18" s="102">
        <v>59.9</v>
      </c>
      <c r="I18" s="102">
        <v>225.2</v>
      </c>
      <c r="J18" s="102">
        <v>92.8</v>
      </c>
      <c r="K18" s="102">
        <v>110.3</v>
      </c>
      <c r="L18" s="102">
        <v>18.899999999999999</v>
      </c>
      <c r="M18" s="102">
        <v>13.9</v>
      </c>
      <c r="N18" s="102">
        <f t="shared" si="1"/>
        <v>185</v>
      </c>
      <c r="O18" s="102">
        <f t="shared" si="2"/>
        <v>685.89999999999986</v>
      </c>
      <c r="P18" s="102">
        <f t="shared" si="3"/>
        <v>143.1</v>
      </c>
      <c r="Q18" s="102">
        <f t="shared" si="4"/>
        <v>1013.9999999999998</v>
      </c>
    </row>
    <row r="19" spans="1:17">
      <c r="A19" s="102">
        <v>1975</v>
      </c>
      <c r="B19" s="102">
        <v>20.3</v>
      </c>
      <c r="C19" s="102">
        <v>15.4</v>
      </c>
      <c r="D19" s="102">
        <v>18.7</v>
      </c>
      <c r="E19" s="102">
        <v>125.2</v>
      </c>
      <c r="F19" s="102">
        <v>190.3</v>
      </c>
      <c r="G19" s="102">
        <v>204.7</v>
      </c>
      <c r="H19" s="102">
        <v>99</v>
      </c>
      <c r="I19" s="102">
        <v>40.799999999999997</v>
      </c>
      <c r="J19" s="102">
        <v>149.1</v>
      </c>
      <c r="K19" s="102">
        <v>77.3</v>
      </c>
      <c r="L19" s="102">
        <v>91.9</v>
      </c>
      <c r="M19" s="102">
        <v>10.5</v>
      </c>
      <c r="N19" s="102">
        <f t="shared" si="1"/>
        <v>179.60000000000002</v>
      </c>
      <c r="O19" s="102">
        <f t="shared" si="2"/>
        <v>683.9</v>
      </c>
      <c r="P19" s="102">
        <f t="shared" si="3"/>
        <v>179.7</v>
      </c>
      <c r="Q19" s="102">
        <f t="shared" si="4"/>
        <v>1043.2</v>
      </c>
    </row>
    <row r="20" spans="1:17">
      <c r="A20" s="102">
        <v>1976</v>
      </c>
      <c r="B20" s="102">
        <v>22.9</v>
      </c>
      <c r="C20" s="102">
        <v>22</v>
      </c>
      <c r="D20" s="102">
        <v>18.899999999999999</v>
      </c>
      <c r="E20" s="102">
        <v>85.1</v>
      </c>
      <c r="F20" s="102">
        <v>233.2</v>
      </c>
      <c r="G20" s="102">
        <v>237.4</v>
      </c>
      <c r="H20" s="102">
        <v>182.1</v>
      </c>
      <c r="I20" s="102">
        <v>99.7</v>
      </c>
      <c r="J20" s="102">
        <v>123.3</v>
      </c>
      <c r="K20" s="102">
        <v>85</v>
      </c>
      <c r="L20" s="102">
        <v>49.5</v>
      </c>
      <c r="M20" s="102">
        <v>18.2</v>
      </c>
      <c r="N20" s="102">
        <f t="shared" si="1"/>
        <v>148.89999999999998</v>
      </c>
      <c r="O20" s="102">
        <f t="shared" si="2"/>
        <v>875.7</v>
      </c>
      <c r="P20" s="102">
        <f t="shared" si="3"/>
        <v>152.69999999999999</v>
      </c>
      <c r="Q20" s="102">
        <f t="shared" si="4"/>
        <v>1177.3000000000002</v>
      </c>
    </row>
    <row r="21" spans="1:17">
      <c r="A21" s="102">
        <v>1977</v>
      </c>
      <c r="B21" s="102">
        <v>6.4</v>
      </c>
      <c r="C21" s="102">
        <v>24.1</v>
      </c>
      <c r="D21" s="102">
        <v>89.9</v>
      </c>
      <c r="E21" s="102">
        <v>221.3</v>
      </c>
      <c r="F21" s="102">
        <v>219.4</v>
      </c>
      <c r="G21" s="102">
        <v>238.6</v>
      </c>
      <c r="H21" s="102">
        <v>289.7</v>
      </c>
      <c r="I21" s="102">
        <v>69.8</v>
      </c>
      <c r="J21" s="102">
        <v>90</v>
      </c>
      <c r="K21" s="102">
        <v>168.1</v>
      </c>
      <c r="L21" s="102">
        <v>69.900000000000006</v>
      </c>
      <c r="M21" s="102">
        <v>12.9</v>
      </c>
      <c r="N21" s="102">
        <f t="shared" si="1"/>
        <v>341.70000000000005</v>
      </c>
      <c r="O21" s="102">
        <f t="shared" si="2"/>
        <v>907.5</v>
      </c>
      <c r="P21" s="102">
        <f t="shared" si="3"/>
        <v>250.9</v>
      </c>
      <c r="Q21" s="102">
        <f t="shared" si="4"/>
        <v>1500.1000000000001</v>
      </c>
    </row>
    <row r="22" spans="1:17">
      <c r="A22" s="102">
        <v>1978</v>
      </c>
      <c r="B22" s="102">
        <v>18.100000000000001</v>
      </c>
      <c r="C22" s="102">
        <v>8.1</v>
      </c>
      <c r="D22" s="102">
        <v>15</v>
      </c>
      <c r="E22" s="102">
        <v>107.1</v>
      </c>
      <c r="F22" s="102">
        <v>237.7</v>
      </c>
      <c r="G22" s="102">
        <v>200.2</v>
      </c>
      <c r="H22" s="102">
        <v>88.1</v>
      </c>
      <c r="I22" s="102">
        <v>151</v>
      </c>
      <c r="J22" s="102">
        <v>78.5</v>
      </c>
      <c r="K22" s="102">
        <v>89.6</v>
      </c>
      <c r="L22" s="102">
        <v>109.6</v>
      </c>
      <c r="M22" s="102">
        <v>2.5</v>
      </c>
      <c r="N22" s="102">
        <f t="shared" si="1"/>
        <v>148.30000000000001</v>
      </c>
      <c r="O22" s="102">
        <f t="shared" si="2"/>
        <v>755.5</v>
      </c>
      <c r="P22" s="102">
        <f t="shared" si="3"/>
        <v>201.7</v>
      </c>
      <c r="Q22" s="102">
        <f t="shared" si="4"/>
        <v>1105.5</v>
      </c>
    </row>
    <row r="23" spans="1:17">
      <c r="A23" s="102">
        <v>1979</v>
      </c>
      <c r="B23" s="102">
        <v>6.5</v>
      </c>
      <c r="C23" s="102">
        <v>29</v>
      </c>
      <c r="D23" s="102">
        <v>27.3</v>
      </c>
      <c r="E23" s="102">
        <v>37.9</v>
      </c>
      <c r="F23" s="102">
        <v>83.7</v>
      </c>
      <c r="G23" s="102">
        <v>293.60000000000002</v>
      </c>
      <c r="H23" s="102">
        <v>122</v>
      </c>
      <c r="I23" s="102">
        <v>170.4</v>
      </c>
      <c r="J23" s="102">
        <v>113.3</v>
      </c>
      <c r="K23" s="102">
        <v>54.4</v>
      </c>
      <c r="L23" s="102">
        <v>13.4</v>
      </c>
      <c r="M23" s="102">
        <v>32.700000000000003</v>
      </c>
      <c r="N23" s="102">
        <f t="shared" si="1"/>
        <v>100.69999999999999</v>
      </c>
      <c r="O23" s="102">
        <f t="shared" si="2"/>
        <v>783</v>
      </c>
      <c r="P23" s="102">
        <f t="shared" si="3"/>
        <v>100.5</v>
      </c>
      <c r="Q23" s="102">
        <f t="shared" si="4"/>
        <v>984.19999999999993</v>
      </c>
    </row>
    <row r="24" spans="1:17">
      <c r="A24" s="102">
        <v>1980</v>
      </c>
      <c r="B24" s="102">
        <v>19.8</v>
      </c>
      <c r="C24" s="102">
        <v>11.8</v>
      </c>
      <c r="D24" s="102">
        <v>31.9</v>
      </c>
      <c r="E24" s="102">
        <v>80.599999999999994</v>
      </c>
      <c r="F24" s="102">
        <v>92.2</v>
      </c>
      <c r="G24" s="102">
        <v>191.9</v>
      </c>
      <c r="H24" s="102">
        <v>233.9</v>
      </c>
      <c r="I24" s="102">
        <v>200.4</v>
      </c>
      <c r="J24" s="102">
        <v>48.8</v>
      </c>
      <c r="K24" s="102">
        <v>166.1</v>
      </c>
      <c r="L24" s="102">
        <v>35.1</v>
      </c>
      <c r="M24" s="102">
        <v>11.7</v>
      </c>
      <c r="N24" s="102">
        <f t="shared" si="1"/>
        <v>144.1</v>
      </c>
      <c r="O24" s="102">
        <f t="shared" si="2"/>
        <v>767.19999999999993</v>
      </c>
      <c r="P24" s="102">
        <f t="shared" si="3"/>
        <v>212.89999999999998</v>
      </c>
      <c r="Q24" s="102">
        <f t="shared" si="4"/>
        <v>1124.1999999999998</v>
      </c>
    </row>
    <row r="25" spans="1:17">
      <c r="A25" s="102">
        <v>1981</v>
      </c>
      <c r="B25" s="102">
        <v>5.6</v>
      </c>
      <c r="C25" s="102">
        <v>3.4</v>
      </c>
      <c r="D25" s="102">
        <v>25.4</v>
      </c>
      <c r="E25" s="102">
        <v>76.599999999999994</v>
      </c>
      <c r="F25" s="102">
        <v>220.2</v>
      </c>
      <c r="G25" s="102">
        <v>173.3</v>
      </c>
      <c r="H25" s="102">
        <v>138.4</v>
      </c>
      <c r="I25" s="102">
        <v>121.4</v>
      </c>
      <c r="J25" s="102">
        <v>141.30000000000001</v>
      </c>
      <c r="K25" s="102">
        <v>64.7</v>
      </c>
      <c r="L25" s="102">
        <v>20.6</v>
      </c>
      <c r="M25" s="102">
        <v>1.6</v>
      </c>
      <c r="N25" s="102">
        <f t="shared" si="1"/>
        <v>111</v>
      </c>
      <c r="O25" s="102">
        <f t="shared" si="2"/>
        <v>794.59999999999991</v>
      </c>
      <c r="P25" s="102">
        <f t="shared" si="3"/>
        <v>86.9</v>
      </c>
      <c r="Q25" s="102">
        <f t="shared" si="4"/>
        <v>992.5</v>
      </c>
    </row>
    <row r="26" spans="1:17">
      <c r="A26" s="102">
        <v>1982</v>
      </c>
      <c r="B26" s="102">
        <v>23.4</v>
      </c>
      <c r="C26" s="102">
        <v>23.1</v>
      </c>
      <c r="D26" s="102">
        <v>7.8</v>
      </c>
      <c r="E26" s="102">
        <v>102.3</v>
      </c>
      <c r="F26" s="102">
        <v>218.3</v>
      </c>
      <c r="G26" s="102">
        <v>151.1</v>
      </c>
      <c r="H26" s="102">
        <v>156</v>
      </c>
      <c r="I26" s="102">
        <v>281.89999999999998</v>
      </c>
      <c r="J26" s="102">
        <v>141</v>
      </c>
      <c r="K26" s="102">
        <v>64.7</v>
      </c>
      <c r="L26" s="102">
        <v>43.7</v>
      </c>
      <c r="M26" s="102">
        <v>43.8</v>
      </c>
      <c r="N26" s="102">
        <f t="shared" si="1"/>
        <v>156.6</v>
      </c>
      <c r="O26" s="102">
        <f t="shared" si="2"/>
        <v>948.3</v>
      </c>
      <c r="P26" s="102">
        <f t="shared" si="3"/>
        <v>152.19999999999999</v>
      </c>
      <c r="Q26" s="102">
        <f t="shared" si="4"/>
        <v>1257.1000000000001</v>
      </c>
    </row>
    <row r="27" spans="1:17">
      <c r="A27" s="102">
        <v>1983</v>
      </c>
      <c r="B27" s="102">
        <v>52.5</v>
      </c>
      <c r="C27" s="102">
        <v>45.2</v>
      </c>
      <c r="D27" s="102">
        <v>43.2</v>
      </c>
      <c r="E27" s="102">
        <v>128.69999999999999</v>
      </c>
      <c r="F27" s="102">
        <v>124.8</v>
      </c>
      <c r="G27" s="102">
        <v>196.9</v>
      </c>
      <c r="H27" s="102">
        <v>394.2</v>
      </c>
      <c r="I27" s="102">
        <v>115.3</v>
      </c>
      <c r="J27" s="102">
        <v>82.2</v>
      </c>
      <c r="K27" s="102">
        <v>84.3</v>
      </c>
      <c r="L27" s="102">
        <v>50.5</v>
      </c>
      <c r="M27" s="102">
        <v>15.3</v>
      </c>
      <c r="N27" s="102">
        <f t="shared" si="1"/>
        <v>269.60000000000002</v>
      </c>
      <c r="O27" s="102">
        <f t="shared" si="2"/>
        <v>913.4</v>
      </c>
      <c r="P27" s="102">
        <f t="shared" si="3"/>
        <v>150.10000000000002</v>
      </c>
      <c r="Q27" s="102">
        <f t="shared" si="4"/>
        <v>1333.1</v>
      </c>
    </row>
    <row r="28" spans="1:17">
      <c r="A28" s="102">
        <v>1984</v>
      </c>
      <c r="B28" s="102">
        <v>16.899999999999999</v>
      </c>
      <c r="C28" s="102">
        <v>6.4</v>
      </c>
      <c r="D28" s="102">
        <v>24.9</v>
      </c>
      <c r="E28" s="102">
        <v>67.7</v>
      </c>
      <c r="F28" s="102">
        <v>169.4</v>
      </c>
      <c r="G28" s="102">
        <v>132.19999999999999</v>
      </c>
      <c r="H28" s="102">
        <v>234.1</v>
      </c>
      <c r="I28" s="102">
        <v>311.10000000000002</v>
      </c>
      <c r="J28" s="102">
        <v>151.80000000000001</v>
      </c>
      <c r="K28" s="102">
        <v>71.2</v>
      </c>
      <c r="L28" s="102">
        <v>41</v>
      </c>
      <c r="M28" s="102">
        <v>20</v>
      </c>
      <c r="N28" s="102">
        <f t="shared" si="1"/>
        <v>115.9</v>
      </c>
      <c r="O28" s="102">
        <f t="shared" si="2"/>
        <v>998.60000000000014</v>
      </c>
      <c r="P28" s="102">
        <f t="shared" si="3"/>
        <v>132.19999999999999</v>
      </c>
      <c r="Q28" s="102">
        <f t="shared" si="4"/>
        <v>1246.7</v>
      </c>
    </row>
    <row r="29" spans="1:17">
      <c r="A29" s="102">
        <v>1985</v>
      </c>
      <c r="B29" s="102">
        <v>8.6999999999999993</v>
      </c>
      <c r="C29" s="102">
        <v>24</v>
      </c>
      <c r="D29" s="102">
        <v>44</v>
      </c>
      <c r="E29" s="102">
        <v>73.900000000000006</v>
      </c>
      <c r="F29" s="102">
        <v>157.5</v>
      </c>
      <c r="G29" s="102">
        <v>142.30000000000001</v>
      </c>
      <c r="H29" s="102">
        <v>90</v>
      </c>
      <c r="I29" s="102">
        <v>167.6</v>
      </c>
      <c r="J29" s="102">
        <v>61.1</v>
      </c>
      <c r="K29" s="102">
        <v>62.3</v>
      </c>
      <c r="L29" s="102">
        <v>65.8</v>
      </c>
      <c r="M29" s="102">
        <v>25.3</v>
      </c>
      <c r="N29" s="102">
        <f t="shared" si="1"/>
        <v>150.60000000000002</v>
      </c>
      <c r="O29" s="102">
        <f t="shared" si="2"/>
        <v>618.5</v>
      </c>
      <c r="P29" s="102">
        <f t="shared" si="3"/>
        <v>153.4</v>
      </c>
      <c r="Q29" s="102">
        <f t="shared" si="4"/>
        <v>922.5</v>
      </c>
    </row>
    <row r="30" spans="1:17">
      <c r="A30" s="102">
        <v>1986</v>
      </c>
      <c r="B30" s="102">
        <v>11.6</v>
      </c>
      <c r="C30" s="102">
        <v>15</v>
      </c>
      <c r="D30" s="102">
        <v>22.6</v>
      </c>
      <c r="E30" s="102">
        <v>40</v>
      </c>
      <c r="F30" s="102">
        <v>135.9</v>
      </c>
      <c r="G30" s="102">
        <v>144.80000000000001</v>
      </c>
      <c r="H30" s="102">
        <v>251</v>
      </c>
      <c r="I30" s="102">
        <v>91.9</v>
      </c>
      <c r="J30" s="102">
        <v>40.9</v>
      </c>
      <c r="K30" s="102">
        <v>52.7</v>
      </c>
      <c r="L30" s="102">
        <v>56.7</v>
      </c>
      <c r="M30" s="102">
        <v>15.6</v>
      </c>
      <c r="N30" s="102">
        <f t="shared" si="1"/>
        <v>89.2</v>
      </c>
      <c r="O30" s="102">
        <f t="shared" si="2"/>
        <v>664.5</v>
      </c>
      <c r="P30" s="102">
        <f t="shared" si="3"/>
        <v>125</v>
      </c>
      <c r="Q30" s="102">
        <f t="shared" si="4"/>
        <v>878.70000000000016</v>
      </c>
    </row>
    <row r="31" spans="1:17">
      <c r="A31" s="102">
        <v>1987</v>
      </c>
      <c r="B31" s="102">
        <v>20.8</v>
      </c>
      <c r="C31" s="102">
        <v>4.0999999999999996</v>
      </c>
      <c r="D31" s="102">
        <v>32.6</v>
      </c>
      <c r="E31" s="102">
        <v>50.8</v>
      </c>
      <c r="F31" s="102">
        <v>135.5</v>
      </c>
      <c r="G31" s="102">
        <v>190.1</v>
      </c>
      <c r="H31" s="102">
        <v>145.69999999999999</v>
      </c>
      <c r="I31" s="102">
        <v>157.9</v>
      </c>
      <c r="J31" s="102">
        <v>72.2</v>
      </c>
      <c r="K31" s="102">
        <v>83.2</v>
      </c>
      <c r="L31" s="102">
        <v>30.7</v>
      </c>
      <c r="M31" s="102">
        <v>11.2</v>
      </c>
      <c r="N31" s="102">
        <f t="shared" si="1"/>
        <v>108.3</v>
      </c>
      <c r="O31" s="102">
        <f t="shared" si="2"/>
        <v>701.40000000000009</v>
      </c>
      <c r="P31" s="102">
        <f t="shared" si="3"/>
        <v>125.10000000000001</v>
      </c>
      <c r="Q31" s="102">
        <f t="shared" si="4"/>
        <v>934.80000000000007</v>
      </c>
    </row>
    <row r="32" spans="1:17">
      <c r="A32" s="102">
        <v>1988</v>
      </c>
      <c r="B32" s="102">
        <v>22.2</v>
      </c>
      <c r="C32" s="102">
        <v>28.8</v>
      </c>
      <c r="D32" s="102">
        <v>34.799999999999997</v>
      </c>
      <c r="E32" s="102">
        <v>84.7</v>
      </c>
      <c r="F32" s="102">
        <v>111.4</v>
      </c>
      <c r="G32" s="102">
        <v>138.30000000000001</v>
      </c>
      <c r="H32" s="102">
        <v>151.1</v>
      </c>
      <c r="I32" s="102">
        <v>140</v>
      </c>
      <c r="J32" s="102">
        <v>73.900000000000006</v>
      </c>
      <c r="K32" s="102">
        <v>50.9</v>
      </c>
      <c r="L32" s="102">
        <v>41.4</v>
      </c>
      <c r="M32" s="102">
        <v>18.600000000000001</v>
      </c>
      <c r="N32" s="102">
        <f t="shared" si="1"/>
        <v>170.5</v>
      </c>
      <c r="O32" s="102">
        <f t="shared" si="2"/>
        <v>614.69999999999993</v>
      </c>
      <c r="P32" s="102">
        <f t="shared" si="3"/>
        <v>110.9</v>
      </c>
      <c r="Q32" s="102">
        <f t="shared" si="4"/>
        <v>896.09999999999991</v>
      </c>
    </row>
    <row r="33" spans="1:17">
      <c r="A33" s="102">
        <v>1989</v>
      </c>
      <c r="B33" s="102">
        <v>10.4</v>
      </c>
      <c r="C33" s="102">
        <v>39.1</v>
      </c>
      <c r="D33" s="102">
        <v>46.4</v>
      </c>
      <c r="E33" s="102">
        <v>221.5</v>
      </c>
      <c r="F33" s="102">
        <v>106.8</v>
      </c>
      <c r="G33" s="102">
        <v>128</v>
      </c>
      <c r="H33" s="102">
        <v>141.5</v>
      </c>
      <c r="I33" s="102">
        <v>188.4</v>
      </c>
      <c r="J33" s="102">
        <v>59.3</v>
      </c>
      <c r="K33" s="102">
        <v>85.5</v>
      </c>
      <c r="L33" s="102">
        <v>52.2</v>
      </c>
      <c r="M33" s="102">
        <v>41.1</v>
      </c>
      <c r="N33" s="102">
        <f t="shared" si="1"/>
        <v>317.39999999999998</v>
      </c>
      <c r="O33" s="102">
        <f t="shared" si="2"/>
        <v>624</v>
      </c>
      <c r="P33" s="102">
        <f t="shared" si="3"/>
        <v>178.79999999999998</v>
      </c>
      <c r="Q33" s="102">
        <f t="shared" si="4"/>
        <v>1120.2</v>
      </c>
    </row>
    <row r="34" spans="1:17">
      <c r="A34" s="102">
        <v>1990</v>
      </c>
      <c r="B34" s="102">
        <v>15.1</v>
      </c>
      <c r="C34" s="102">
        <v>13.8</v>
      </c>
      <c r="D34" s="102">
        <v>66</v>
      </c>
      <c r="E34" s="102">
        <v>45.3</v>
      </c>
      <c r="F34" s="102">
        <v>195.5</v>
      </c>
      <c r="G34" s="102">
        <v>147.80000000000001</v>
      </c>
      <c r="H34" s="102">
        <v>93.7</v>
      </c>
      <c r="I34" s="102">
        <v>26.2</v>
      </c>
      <c r="J34" s="102">
        <v>105.2</v>
      </c>
      <c r="K34" s="102">
        <v>98.4</v>
      </c>
      <c r="L34" s="102">
        <v>103</v>
      </c>
      <c r="M34" s="102">
        <v>0.3</v>
      </c>
      <c r="N34" s="102">
        <f t="shared" si="1"/>
        <v>140.19999999999999</v>
      </c>
      <c r="O34" s="102">
        <f t="shared" si="2"/>
        <v>568.4</v>
      </c>
      <c r="P34" s="102">
        <f t="shared" si="3"/>
        <v>201.70000000000002</v>
      </c>
      <c r="Q34" s="102">
        <f t="shared" si="4"/>
        <v>910.30000000000007</v>
      </c>
    </row>
    <row r="35" spans="1:17">
      <c r="A35" s="102">
        <v>1991</v>
      </c>
      <c r="B35" s="102">
        <v>34</v>
      </c>
      <c r="C35" s="102">
        <v>10.6</v>
      </c>
      <c r="D35" s="102">
        <v>23</v>
      </c>
      <c r="E35" s="102">
        <v>88.3</v>
      </c>
      <c r="F35" s="102">
        <v>150.5</v>
      </c>
      <c r="G35" s="102">
        <v>101.3</v>
      </c>
      <c r="H35" s="102">
        <v>210.9</v>
      </c>
      <c r="I35" s="102">
        <v>101.2</v>
      </c>
      <c r="J35" s="102">
        <v>50.6</v>
      </c>
      <c r="K35" s="102">
        <v>75.599999999999994</v>
      </c>
      <c r="L35" s="102">
        <v>23.4</v>
      </c>
      <c r="M35" s="102">
        <v>22.5</v>
      </c>
      <c r="N35" s="102">
        <f t="shared" si="1"/>
        <v>155.89999999999998</v>
      </c>
      <c r="O35" s="102">
        <f t="shared" si="2"/>
        <v>614.50000000000011</v>
      </c>
      <c r="P35" s="102">
        <f t="shared" si="3"/>
        <v>121.5</v>
      </c>
      <c r="Q35" s="102">
        <f t="shared" si="4"/>
        <v>891.90000000000009</v>
      </c>
    </row>
    <row r="36" spans="1:17">
      <c r="A36" s="102">
        <v>1992</v>
      </c>
      <c r="B36" s="102">
        <v>4</v>
      </c>
      <c r="C36" s="102">
        <v>50.9</v>
      </c>
      <c r="D36" s="102">
        <v>31.6</v>
      </c>
      <c r="E36" s="102">
        <v>73.900000000000006</v>
      </c>
      <c r="F36" s="102">
        <v>205.2</v>
      </c>
      <c r="G36" s="102">
        <v>156</v>
      </c>
      <c r="H36" s="102">
        <v>31.4</v>
      </c>
      <c r="I36" s="102">
        <v>71.400000000000006</v>
      </c>
      <c r="J36" s="102">
        <v>84.5</v>
      </c>
      <c r="K36" s="102">
        <v>138.1</v>
      </c>
      <c r="L36" s="102">
        <v>46</v>
      </c>
      <c r="M36" s="102">
        <v>15.9</v>
      </c>
      <c r="N36" s="102">
        <f t="shared" si="1"/>
        <v>160.4</v>
      </c>
      <c r="O36" s="102">
        <f t="shared" si="2"/>
        <v>548.5</v>
      </c>
      <c r="P36" s="102">
        <f t="shared" si="3"/>
        <v>200</v>
      </c>
      <c r="Q36" s="102">
        <f t="shared" si="4"/>
        <v>908.9</v>
      </c>
    </row>
    <row r="37" spans="1:17">
      <c r="A37" s="102">
        <v>1993</v>
      </c>
      <c r="B37" s="102">
        <v>36.200000000000003</v>
      </c>
      <c r="C37" s="102">
        <v>57.2</v>
      </c>
      <c r="D37" s="102">
        <v>45.7</v>
      </c>
      <c r="E37" s="102">
        <v>82</v>
      </c>
      <c r="F37" s="102">
        <v>107.2</v>
      </c>
      <c r="G37" s="102">
        <v>206</v>
      </c>
      <c r="H37" s="102">
        <v>123.5</v>
      </c>
      <c r="I37" s="102">
        <v>147.4</v>
      </c>
      <c r="J37" s="102">
        <v>85.9</v>
      </c>
      <c r="K37" s="102">
        <v>95</v>
      </c>
      <c r="L37" s="102">
        <v>52.4</v>
      </c>
      <c r="M37" s="102">
        <v>6.4</v>
      </c>
      <c r="N37" s="102">
        <f t="shared" si="1"/>
        <v>221.10000000000002</v>
      </c>
      <c r="O37" s="102">
        <f t="shared" si="2"/>
        <v>670</v>
      </c>
      <c r="P37" s="102">
        <f t="shared" si="3"/>
        <v>153.80000000000001</v>
      </c>
      <c r="Q37" s="102">
        <f t="shared" si="4"/>
        <v>1044.9000000000001</v>
      </c>
    </row>
    <row r="38" spans="1:17">
      <c r="A38" s="102">
        <v>1994</v>
      </c>
      <c r="B38" s="102">
        <v>7.2</v>
      </c>
      <c r="C38" s="102">
        <v>4.5999999999999996</v>
      </c>
      <c r="D38" s="102">
        <v>49.2</v>
      </c>
      <c r="E38" s="102">
        <v>48</v>
      </c>
      <c r="F38" s="102">
        <v>177.2</v>
      </c>
      <c r="G38" s="102">
        <v>99.5</v>
      </c>
      <c r="H38" s="102">
        <v>170.7</v>
      </c>
      <c r="I38" s="102">
        <v>138.6</v>
      </c>
      <c r="J38" s="102">
        <v>140.5</v>
      </c>
      <c r="K38" s="102">
        <v>93.3</v>
      </c>
      <c r="L38" s="102">
        <v>64</v>
      </c>
      <c r="M38" s="102">
        <v>25.1</v>
      </c>
      <c r="N38" s="102">
        <f t="shared" si="1"/>
        <v>109</v>
      </c>
      <c r="O38" s="102">
        <f t="shared" si="2"/>
        <v>726.5</v>
      </c>
      <c r="P38" s="102">
        <f t="shared" si="3"/>
        <v>182.4</v>
      </c>
      <c r="Q38" s="102">
        <f t="shared" si="4"/>
        <v>1017.9</v>
      </c>
    </row>
    <row r="39" spans="1:17">
      <c r="A39" s="102">
        <v>1995</v>
      </c>
      <c r="B39" s="102">
        <v>17.399999999999999</v>
      </c>
      <c r="C39" s="102">
        <v>31.5</v>
      </c>
      <c r="D39" s="102">
        <v>25</v>
      </c>
      <c r="E39" s="102">
        <v>75.900000000000006</v>
      </c>
      <c r="F39" s="102">
        <v>196.1</v>
      </c>
      <c r="G39" s="102">
        <v>202.6</v>
      </c>
      <c r="H39" s="102">
        <v>126.2</v>
      </c>
      <c r="I39" s="102">
        <v>149.4</v>
      </c>
      <c r="J39" s="102">
        <v>38.9</v>
      </c>
      <c r="K39" s="102">
        <v>83.2</v>
      </c>
      <c r="L39" s="102">
        <v>40.200000000000003</v>
      </c>
      <c r="M39" s="102">
        <v>7.5</v>
      </c>
      <c r="N39" s="102">
        <f t="shared" si="1"/>
        <v>149.80000000000001</v>
      </c>
      <c r="O39" s="102">
        <f t="shared" si="2"/>
        <v>713.19999999999993</v>
      </c>
      <c r="P39" s="102">
        <f t="shared" si="3"/>
        <v>130.9</v>
      </c>
      <c r="Q39" s="102">
        <f t="shared" si="4"/>
        <v>993.90000000000009</v>
      </c>
    </row>
    <row r="40" spans="1:17">
      <c r="A40" s="102">
        <v>1996</v>
      </c>
      <c r="B40" s="102">
        <v>14.6</v>
      </c>
      <c r="C40" s="102">
        <v>7.8</v>
      </c>
      <c r="D40" s="102">
        <v>51</v>
      </c>
      <c r="E40" s="102">
        <v>34.9</v>
      </c>
      <c r="F40" s="102">
        <v>179.5</v>
      </c>
      <c r="G40" s="102">
        <v>279.8</v>
      </c>
      <c r="H40" s="102">
        <v>348.7</v>
      </c>
      <c r="I40" s="102">
        <v>87</v>
      </c>
      <c r="J40" s="102">
        <v>39.799999999999997</v>
      </c>
      <c r="K40" s="102">
        <v>70.900000000000006</v>
      </c>
      <c r="L40" s="102">
        <v>146</v>
      </c>
      <c r="M40" s="102">
        <v>4.7</v>
      </c>
      <c r="N40" s="102">
        <f t="shared" si="1"/>
        <v>108.30000000000001</v>
      </c>
      <c r="O40" s="102">
        <f t="shared" si="2"/>
        <v>934.8</v>
      </c>
      <c r="P40" s="102">
        <f t="shared" si="3"/>
        <v>221.6</v>
      </c>
      <c r="Q40" s="102">
        <f t="shared" si="4"/>
        <v>1264.7</v>
      </c>
    </row>
    <row r="41" spans="1:17">
      <c r="A41" s="102">
        <v>1997</v>
      </c>
      <c r="B41" s="102">
        <v>30.3</v>
      </c>
      <c r="C41" s="102">
        <v>35.1</v>
      </c>
      <c r="D41" s="102">
        <v>31.8</v>
      </c>
      <c r="E41" s="102">
        <v>183.9</v>
      </c>
      <c r="F41" s="102">
        <v>129.9</v>
      </c>
      <c r="G41" s="102">
        <v>128.69999999999999</v>
      </c>
      <c r="H41" s="102">
        <v>266.60000000000002</v>
      </c>
      <c r="I41" s="102">
        <v>130.5</v>
      </c>
      <c r="J41" s="102">
        <v>111.6</v>
      </c>
      <c r="K41" s="102">
        <v>46.6</v>
      </c>
      <c r="L41" s="102">
        <v>26.2</v>
      </c>
      <c r="M41" s="102">
        <v>31.6</v>
      </c>
      <c r="N41" s="102">
        <f t="shared" si="1"/>
        <v>281.10000000000002</v>
      </c>
      <c r="O41" s="102">
        <f t="shared" si="2"/>
        <v>767.30000000000007</v>
      </c>
      <c r="P41" s="102">
        <f t="shared" si="3"/>
        <v>104.4</v>
      </c>
      <c r="Q41" s="102">
        <f t="shared" si="4"/>
        <v>1152.8</v>
      </c>
    </row>
    <row r="42" spans="1:17">
      <c r="A42" s="102">
        <v>1998</v>
      </c>
      <c r="B42" s="102">
        <v>19.600000000000001</v>
      </c>
      <c r="C42" s="102">
        <v>14.4</v>
      </c>
      <c r="D42" s="102">
        <v>29.7</v>
      </c>
      <c r="E42" s="102">
        <v>165.4</v>
      </c>
      <c r="F42" s="102">
        <v>238.5</v>
      </c>
      <c r="G42" s="102">
        <v>182.6</v>
      </c>
      <c r="H42" s="102">
        <v>213.7</v>
      </c>
      <c r="I42" s="102">
        <v>223.2</v>
      </c>
      <c r="J42" s="102">
        <v>73.099999999999994</v>
      </c>
      <c r="K42" s="102">
        <v>78.7</v>
      </c>
      <c r="L42" s="102">
        <v>3.2</v>
      </c>
      <c r="M42" s="102">
        <v>25.4</v>
      </c>
      <c r="N42" s="102">
        <f t="shared" si="1"/>
        <v>229.10000000000002</v>
      </c>
      <c r="O42" s="102">
        <f t="shared" si="2"/>
        <v>931.1</v>
      </c>
      <c r="P42" s="102">
        <f t="shared" si="3"/>
        <v>107.30000000000001</v>
      </c>
      <c r="Q42" s="102">
        <f t="shared" si="4"/>
        <v>1267.5000000000002</v>
      </c>
    </row>
    <row r="43" spans="1:17">
      <c r="A43" s="102">
        <v>1999</v>
      </c>
      <c r="B43" s="102">
        <v>21.7</v>
      </c>
      <c r="C43" s="102">
        <v>24.1</v>
      </c>
      <c r="D43" s="102">
        <v>13.1</v>
      </c>
      <c r="E43" s="102">
        <v>97</v>
      </c>
      <c r="F43" s="102">
        <v>234.2</v>
      </c>
      <c r="G43" s="102">
        <v>397.9</v>
      </c>
      <c r="H43" s="102">
        <v>144.19999999999999</v>
      </c>
      <c r="I43" s="102">
        <v>216.4</v>
      </c>
      <c r="J43" s="102">
        <v>63</v>
      </c>
      <c r="K43" s="102">
        <v>119.9</v>
      </c>
      <c r="L43" s="102">
        <v>78.8</v>
      </c>
      <c r="M43" s="102">
        <v>9.9</v>
      </c>
      <c r="N43" s="102">
        <f t="shared" si="1"/>
        <v>155.9</v>
      </c>
      <c r="O43" s="102">
        <f t="shared" si="2"/>
        <v>1055.6999999999998</v>
      </c>
      <c r="P43" s="102">
        <f t="shared" si="3"/>
        <v>208.6</v>
      </c>
      <c r="Q43" s="102">
        <f t="shared" si="4"/>
        <v>1420.2000000000003</v>
      </c>
    </row>
    <row r="44" spans="1:17">
      <c r="A44" s="102">
        <v>2000</v>
      </c>
      <c r="B44" s="102">
        <v>39.6</v>
      </c>
      <c r="C44" s="102">
        <v>16.100000000000001</v>
      </c>
      <c r="D44" s="102">
        <v>43.8</v>
      </c>
      <c r="E44" s="102">
        <v>120.9</v>
      </c>
      <c r="F44" s="102">
        <v>102</v>
      </c>
      <c r="G44" s="102">
        <v>230.8</v>
      </c>
      <c r="H44" s="102">
        <v>171.9</v>
      </c>
      <c r="I44" s="102">
        <v>220.2</v>
      </c>
      <c r="J44" s="102">
        <v>105.8</v>
      </c>
      <c r="K44" s="102">
        <v>121.7</v>
      </c>
      <c r="L44" s="102">
        <v>22.8</v>
      </c>
      <c r="M44" s="102">
        <v>17.3</v>
      </c>
      <c r="N44" s="102">
        <f t="shared" si="1"/>
        <v>220.4</v>
      </c>
      <c r="O44" s="102">
        <f t="shared" si="2"/>
        <v>830.7</v>
      </c>
      <c r="P44" s="102">
        <f t="shared" si="3"/>
        <v>161.80000000000001</v>
      </c>
      <c r="Q44" s="102">
        <f t="shared" si="4"/>
        <v>1212.8999999999999</v>
      </c>
    </row>
    <row r="45" spans="1:17">
      <c r="A45" s="102">
        <v>2001</v>
      </c>
      <c r="B45" s="102">
        <v>15.1</v>
      </c>
      <c r="C45" s="102">
        <v>15.2</v>
      </c>
      <c r="D45" s="102">
        <v>23.4</v>
      </c>
      <c r="E45" s="102">
        <v>167.1</v>
      </c>
      <c r="F45" s="102">
        <v>104.9</v>
      </c>
      <c r="G45" s="102">
        <v>118.5</v>
      </c>
      <c r="H45" s="102">
        <v>195.1</v>
      </c>
      <c r="I45" s="102">
        <v>80</v>
      </c>
      <c r="J45" s="102">
        <v>25</v>
      </c>
      <c r="K45" s="102">
        <v>89.1</v>
      </c>
      <c r="L45" s="102">
        <v>29.4</v>
      </c>
      <c r="M45" s="102">
        <v>7.4</v>
      </c>
      <c r="N45" s="102">
        <f t="shared" si="1"/>
        <v>220.79999999999998</v>
      </c>
      <c r="O45" s="102">
        <f t="shared" si="2"/>
        <v>523.5</v>
      </c>
      <c r="P45" s="102">
        <f t="shared" si="3"/>
        <v>125.9</v>
      </c>
      <c r="Q45" s="102">
        <f t="shared" si="4"/>
        <v>870.19999999999993</v>
      </c>
    </row>
    <row r="46" spans="1:17">
      <c r="A46" s="102">
        <v>2002</v>
      </c>
      <c r="B46" s="102">
        <v>38.1</v>
      </c>
      <c r="C46" s="102">
        <v>39.799999999999997</v>
      </c>
      <c r="D46" s="102">
        <v>60.7</v>
      </c>
      <c r="E46" s="102">
        <v>90.6</v>
      </c>
      <c r="F46" s="102">
        <v>149.9</v>
      </c>
      <c r="G46" s="102">
        <v>227.8</v>
      </c>
      <c r="H46" s="102">
        <v>77.900000000000006</v>
      </c>
      <c r="I46" s="102">
        <v>231.6</v>
      </c>
      <c r="J46" s="102">
        <v>72.7</v>
      </c>
      <c r="K46" s="102">
        <v>90.6</v>
      </c>
      <c r="L46" s="102">
        <v>30.1</v>
      </c>
      <c r="M46" s="102">
        <v>21.9</v>
      </c>
      <c r="N46" s="102">
        <f t="shared" si="1"/>
        <v>229.20000000000002</v>
      </c>
      <c r="O46" s="102">
        <f t="shared" si="2"/>
        <v>759.90000000000009</v>
      </c>
      <c r="P46" s="102">
        <f t="shared" si="3"/>
        <v>142.6</v>
      </c>
      <c r="Q46" s="102">
        <f t="shared" si="4"/>
        <v>1131.7</v>
      </c>
    </row>
    <row r="47" spans="1:17">
      <c r="A47" s="102">
        <v>2003</v>
      </c>
      <c r="B47" s="102">
        <v>33.700000000000003</v>
      </c>
      <c r="C47" s="102">
        <v>36.799999999999997</v>
      </c>
      <c r="D47" s="102">
        <v>7.6</v>
      </c>
      <c r="E47" s="102">
        <v>80.3</v>
      </c>
      <c r="F47" s="102">
        <v>152.1</v>
      </c>
      <c r="G47" s="102">
        <v>220.8</v>
      </c>
      <c r="H47" s="102">
        <v>204.6</v>
      </c>
      <c r="I47" s="102">
        <v>87.4</v>
      </c>
      <c r="J47" s="102">
        <v>156.19999999999999</v>
      </c>
      <c r="K47" s="102">
        <v>34.1</v>
      </c>
      <c r="L47" s="102">
        <v>47.9</v>
      </c>
      <c r="M47" s="102">
        <v>46</v>
      </c>
      <c r="N47" s="102">
        <f t="shared" si="1"/>
        <v>158.39999999999998</v>
      </c>
      <c r="O47" s="102">
        <f t="shared" si="2"/>
        <v>821.09999999999991</v>
      </c>
      <c r="P47" s="102">
        <f t="shared" si="3"/>
        <v>128</v>
      </c>
      <c r="Q47" s="102">
        <f t="shared" si="4"/>
        <v>1107.5</v>
      </c>
    </row>
    <row r="48" spans="1:17">
      <c r="A48" s="102">
        <v>2004</v>
      </c>
      <c r="B48" s="103">
        <v>17.2</v>
      </c>
      <c r="C48" s="103">
        <v>46</v>
      </c>
      <c r="D48" s="103">
        <v>50.2</v>
      </c>
      <c r="E48" s="103">
        <v>95</v>
      </c>
      <c r="F48" s="103">
        <v>230.4</v>
      </c>
      <c r="G48" s="103">
        <v>162.4</v>
      </c>
      <c r="H48" s="103">
        <v>172.7</v>
      </c>
      <c r="I48" s="103">
        <v>100.4</v>
      </c>
      <c r="J48" s="103">
        <v>219.4</v>
      </c>
      <c r="K48" s="103">
        <v>58.3</v>
      </c>
      <c r="L48" s="103">
        <v>82.8</v>
      </c>
      <c r="M48" s="103">
        <v>10.8</v>
      </c>
      <c r="N48" s="102">
        <f t="shared" si="1"/>
        <v>208.4</v>
      </c>
      <c r="O48" s="102">
        <f t="shared" si="2"/>
        <v>885.3</v>
      </c>
      <c r="P48" s="102">
        <f t="shared" si="3"/>
        <v>151.9</v>
      </c>
      <c r="Q48" s="102">
        <f t="shared" si="4"/>
        <v>1245.5999999999999</v>
      </c>
    </row>
    <row r="49" spans="1:33">
      <c r="A49" s="102">
        <v>2005</v>
      </c>
      <c r="B49" s="102">
        <v>13.6</v>
      </c>
      <c r="C49" s="102">
        <v>39.200000000000003</v>
      </c>
      <c r="D49" s="102">
        <v>29.2</v>
      </c>
      <c r="E49" s="102">
        <v>118.1</v>
      </c>
      <c r="F49" s="102">
        <v>386.1</v>
      </c>
      <c r="G49" s="102">
        <v>52.8</v>
      </c>
      <c r="H49" s="102">
        <v>194.4</v>
      </c>
      <c r="I49" s="102">
        <v>186.2</v>
      </c>
      <c r="J49" s="102">
        <v>166.9</v>
      </c>
      <c r="K49" s="103">
        <v>82.9</v>
      </c>
      <c r="L49" s="103">
        <v>23.6</v>
      </c>
      <c r="M49" s="103">
        <v>1.3</v>
      </c>
      <c r="N49" s="102">
        <f t="shared" si="1"/>
        <v>200.1</v>
      </c>
      <c r="O49" s="102">
        <f t="shared" si="2"/>
        <v>986.4</v>
      </c>
      <c r="P49" s="102">
        <f t="shared" si="3"/>
        <v>107.8</v>
      </c>
      <c r="Q49" s="102">
        <f t="shared" si="4"/>
        <v>1294.3</v>
      </c>
    </row>
    <row r="50" spans="1:33">
      <c r="A50" s="102">
        <v>2006</v>
      </c>
      <c r="B50" s="102">
        <v>10</v>
      </c>
      <c r="C50" s="102">
        <v>60.6</v>
      </c>
      <c r="D50" s="102">
        <v>37.700000000000003</v>
      </c>
      <c r="E50" s="102">
        <v>80.5</v>
      </c>
      <c r="F50" s="102">
        <v>139.5</v>
      </c>
      <c r="G50" s="102">
        <v>124.5</v>
      </c>
      <c r="H50" s="102">
        <v>54.9</v>
      </c>
      <c r="I50" s="102">
        <v>35.6</v>
      </c>
      <c r="J50" s="102">
        <v>85.5</v>
      </c>
      <c r="K50" s="102">
        <v>121.1</v>
      </c>
      <c r="L50" s="102">
        <v>44.1</v>
      </c>
      <c r="M50" s="102">
        <v>21.5</v>
      </c>
      <c r="N50" s="102">
        <f t="shared" si="1"/>
        <v>188.8</v>
      </c>
      <c r="O50" s="102">
        <f t="shared" si="2"/>
        <v>440</v>
      </c>
      <c r="P50" s="102">
        <f t="shared" si="3"/>
        <v>186.7</v>
      </c>
      <c r="Q50" s="102">
        <f t="shared" si="4"/>
        <v>815.5</v>
      </c>
    </row>
    <row r="51" spans="1:33">
      <c r="A51" s="102">
        <v>2007</v>
      </c>
      <c r="B51" s="102">
        <v>31</v>
      </c>
      <c r="C51" s="102">
        <v>34.5</v>
      </c>
      <c r="D51" s="102">
        <v>19.3</v>
      </c>
      <c r="E51" s="102">
        <v>119.1</v>
      </c>
      <c r="F51" s="102">
        <v>126.6</v>
      </c>
      <c r="G51" s="102">
        <v>253.6</v>
      </c>
      <c r="H51" s="102">
        <v>186.3</v>
      </c>
      <c r="I51" s="102">
        <v>123.6</v>
      </c>
      <c r="J51" s="102">
        <v>81.400000000000006</v>
      </c>
      <c r="K51" s="102">
        <v>122.1</v>
      </c>
      <c r="L51" s="102">
        <v>7.5</v>
      </c>
      <c r="M51" s="102">
        <v>15.1</v>
      </c>
      <c r="N51" s="102">
        <f t="shared" si="1"/>
        <v>203.89999999999998</v>
      </c>
      <c r="O51" s="102">
        <f t="shared" si="2"/>
        <v>771.5</v>
      </c>
      <c r="P51" s="102">
        <f t="shared" si="3"/>
        <v>144.69999999999999</v>
      </c>
      <c r="Q51" s="102">
        <f t="shared" si="4"/>
        <v>1120.0999999999999</v>
      </c>
    </row>
    <row r="52" spans="1:33">
      <c r="A52" s="102">
        <v>2008</v>
      </c>
      <c r="B52" s="102">
        <v>10.199999999999999</v>
      </c>
      <c r="C52" s="102">
        <v>13.7</v>
      </c>
      <c r="D52" s="102">
        <v>74</v>
      </c>
      <c r="E52" s="102">
        <v>109.5</v>
      </c>
      <c r="F52" s="102">
        <v>153.69999999999999</v>
      </c>
      <c r="G52" s="102">
        <v>62.8</v>
      </c>
      <c r="H52" s="102">
        <v>182.6</v>
      </c>
      <c r="I52" s="102">
        <v>131.19999999999999</v>
      </c>
      <c r="J52" s="102">
        <v>43.9</v>
      </c>
      <c r="K52" s="102">
        <v>141.80000000000001</v>
      </c>
      <c r="L52" s="102">
        <v>25.8</v>
      </c>
      <c r="M52" s="102">
        <v>4.5999999999999996</v>
      </c>
      <c r="N52" s="102">
        <f t="shared" si="1"/>
        <v>207.4</v>
      </c>
      <c r="O52" s="102">
        <f t="shared" si="2"/>
        <v>574.19999999999993</v>
      </c>
      <c r="P52" s="102">
        <f t="shared" si="3"/>
        <v>172.20000000000002</v>
      </c>
      <c r="Q52" s="102">
        <f t="shared" si="4"/>
        <v>953.80000000000007</v>
      </c>
    </row>
    <row r="53" spans="1:33">
      <c r="A53" s="102">
        <v>2009</v>
      </c>
      <c r="B53" s="102">
        <v>15.5</v>
      </c>
      <c r="C53" s="102">
        <v>10.5</v>
      </c>
      <c r="D53" s="102">
        <v>36</v>
      </c>
      <c r="E53" s="102">
        <v>159.9</v>
      </c>
      <c r="F53" s="102">
        <v>69.2</v>
      </c>
      <c r="G53" s="102">
        <v>247</v>
      </c>
      <c r="H53" s="102">
        <v>89.8</v>
      </c>
      <c r="I53" s="102">
        <v>102.2</v>
      </c>
      <c r="J53" s="102">
        <v>40.4</v>
      </c>
      <c r="K53" s="102">
        <v>85.1</v>
      </c>
      <c r="L53" s="102">
        <v>37.799999999999997</v>
      </c>
      <c r="M53" s="102">
        <v>15.5</v>
      </c>
      <c r="N53" s="102">
        <f t="shared" si="1"/>
        <v>221.9</v>
      </c>
      <c r="O53" s="102">
        <f t="shared" si="2"/>
        <v>548.6</v>
      </c>
      <c r="P53" s="102">
        <f t="shared" si="3"/>
        <v>138.39999999999998</v>
      </c>
      <c r="Q53" s="102">
        <f t="shared" si="4"/>
        <v>908.9</v>
      </c>
    </row>
    <row r="54" spans="1:33">
      <c r="A54" s="102">
        <v>2010</v>
      </c>
      <c r="B54" s="102">
        <v>10.7</v>
      </c>
      <c r="C54" s="102">
        <v>2.1</v>
      </c>
      <c r="D54" s="102">
        <v>88.3</v>
      </c>
      <c r="E54" s="102">
        <v>96.6</v>
      </c>
      <c r="F54" s="102">
        <v>137.4</v>
      </c>
      <c r="G54" s="102">
        <v>190.3</v>
      </c>
      <c r="H54" s="102">
        <v>332.2</v>
      </c>
      <c r="I54" s="102">
        <v>146.80000000000001</v>
      </c>
      <c r="J54" s="102">
        <v>84</v>
      </c>
      <c r="K54" s="102">
        <v>67.5</v>
      </c>
      <c r="L54" s="102">
        <v>49.8</v>
      </c>
      <c r="M54" s="102">
        <v>18.3</v>
      </c>
      <c r="N54" s="102">
        <f t="shared" si="1"/>
        <v>197.7</v>
      </c>
      <c r="O54" s="102">
        <f t="shared" si="2"/>
        <v>890.7</v>
      </c>
      <c r="P54" s="102">
        <f t="shared" si="3"/>
        <v>135.6</v>
      </c>
      <c r="Q54" s="102">
        <f t="shared" si="4"/>
        <v>1224</v>
      </c>
    </row>
    <row r="55" spans="1:33">
      <c r="A55" s="102">
        <v>2011</v>
      </c>
      <c r="B55" s="102">
        <v>6</v>
      </c>
      <c r="C55" s="102">
        <v>17.2</v>
      </c>
      <c r="D55" s="102">
        <v>22.1</v>
      </c>
      <c r="E55" s="102">
        <v>22.5</v>
      </c>
      <c r="F55" s="102">
        <v>58.2</v>
      </c>
      <c r="G55" s="102">
        <v>187.3</v>
      </c>
      <c r="H55" s="102">
        <v>77</v>
      </c>
      <c r="I55" s="102">
        <v>132</v>
      </c>
      <c r="J55" s="102">
        <v>60.7</v>
      </c>
      <c r="K55" s="102">
        <v>160.6</v>
      </c>
      <c r="L55" s="102">
        <v>73.400000000000006</v>
      </c>
      <c r="M55" s="102">
        <v>22.6</v>
      </c>
      <c r="N55" s="102">
        <f t="shared" si="1"/>
        <v>67.8</v>
      </c>
      <c r="O55" s="102">
        <f t="shared" si="2"/>
        <v>515.20000000000005</v>
      </c>
      <c r="P55" s="102">
        <f t="shared" si="3"/>
        <v>256.60000000000002</v>
      </c>
      <c r="Q55" s="102">
        <f t="shared" si="4"/>
        <v>839.6</v>
      </c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  <c r="AD55" s="104"/>
      <c r="AE55" s="104"/>
      <c r="AF55" s="104"/>
      <c r="AG55" s="104"/>
    </row>
    <row r="56" spans="1:33">
      <c r="A56" s="102">
        <v>2012</v>
      </c>
      <c r="B56" s="102">
        <v>12.5</v>
      </c>
      <c r="C56" s="102">
        <v>3.5</v>
      </c>
      <c r="D56" s="102">
        <v>30.5</v>
      </c>
      <c r="E56" s="102">
        <v>55.7</v>
      </c>
      <c r="F56" s="102">
        <v>176</v>
      </c>
      <c r="G56" s="102">
        <v>168</v>
      </c>
      <c r="H56" s="102">
        <v>107.6</v>
      </c>
      <c r="I56" s="102">
        <v>39.700000000000003</v>
      </c>
      <c r="J56" s="102">
        <v>64.400000000000006</v>
      </c>
      <c r="K56" s="102">
        <v>68.900000000000006</v>
      </c>
      <c r="L56" s="102">
        <v>18.3</v>
      </c>
      <c r="M56" s="102">
        <v>44.5</v>
      </c>
      <c r="N56" s="102">
        <f t="shared" si="1"/>
        <v>102.2</v>
      </c>
      <c r="O56" s="102">
        <f t="shared" si="2"/>
        <v>555.70000000000005</v>
      </c>
      <c r="P56" s="102">
        <f t="shared" si="3"/>
        <v>131.69999999999999</v>
      </c>
      <c r="Q56" s="102">
        <f t="shared" si="4"/>
        <v>789.59999999999991</v>
      </c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</row>
    <row r="57" spans="1:33">
      <c r="A57" s="102">
        <v>2013</v>
      </c>
      <c r="B57" s="102">
        <v>11.9</v>
      </c>
      <c r="C57" s="102">
        <v>2.7</v>
      </c>
      <c r="D57" s="102">
        <v>55.4</v>
      </c>
      <c r="E57" s="102">
        <v>178.8</v>
      </c>
      <c r="F57" s="102">
        <v>157.69999999999999</v>
      </c>
      <c r="G57" s="102">
        <v>96.9</v>
      </c>
      <c r="H57" s="102">
        <v>9.5</v>
      </c>
      <c r="I57" s="102">
        <v>199.2</v>
      </c>
      <c r="J57" s="102">
        <v>139.30000000000001</v>
      </c>
      <c r="K57" s="102">
        <v>64.2</v>
      </c>
      <c r="L57" s="102">
        <v>24</v>
      </c>
      <c r="M57" s="102">
        <v>10.9</v>
      </c>
      <c r="N57" s="102">
        <f t="shared" si="1"/>
        <v>248.8</v>
      </c>
      <c r="O57" s="102">
        <f t="shared" si="2"/>
        <v>602.6</v>
      </c>
      <c r="P57" s="102">
        <f t="shared" si="3"/>
        <v>99.100000000000009</v>
      </c>
      <c r="Q57" s="102">
        <f t="shared" si="4"/>
        <v>950.49999999999989</v>
      </c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</row>
    <row r="58" spans="1:33">
      <c r="A58" s="102">
        <v>2014</v>
      </c>
      <c r="B58" s="114">
        <v>0.8</v>
      </c>
      <c r="C58" s="114">
        <v>15.4</v>
      </c>
      <c r="D58" s="114">
        <v>59.4</v>
      </c>
      <c r="E58" s="114">
        <v>149</v>
      </c>
      <c r="F58" s="114">
        <v>200.2</v>
      </c>
      <c r="G58" s="114">
        <v>133.9</v>
      </c>
      <c r="H58" s="114">
        <v>144.30000000000001</v>
      </c>
      <c r="I58" s="114">
        <v>182.1</v>
      </c>
      <c r="J58" s="114">
        <v>88.1</v>
      </c>
      <c r="K58" s="114">
        <v>212.2</v>
      </c>
      <c r="L58" s="114">
        <v>49.1</v>
      </c>
      <c r="M58" s="114">
        <v>13.1</v>
      </c>
      <c r="N58" s="102">
        <f t="shared" ref="N58:N59" si="5">SUM(B58:E58)</f>
        <v>224.6</v>
      </c>
      <c r="O58" s="102">
        <f t="shared" ref="O58:O59" si="6">SUM(F58:J58)</f>
        <v>748.6</v>
      </c>
      <c r="P58" s="102">
        <f t="shared" ref="P58:P59" si="7">SUM(K58:M58)</f>
        <v>274.40000000000003</v>
      </c>
      <c r="Q58" s="102">
        <f t="shared" ref="Q58:Q59" si="8">SUM(B58:M58)</f>
        <v>1247.5999999999999</v>
      </c>
    </row>
    <row r="59" spans="1:33">
      <c r="A59" s="102">
        <v>2015</v>
      </c>
      <c r="B59" s="114">
        <v>31</v>
      </c>
      <c r="C59" s="114">
        <v>13.8</v>
      </c>
      <c r="D59" s="114">
        <v>30.4</v>
      </c>
      <c r="E59" s="114">
        <v>94.9</v>
      </c>
      <c r="F59" s="114">
        <v>76.599999999999994</v>
      </c>
      <c r="G59" s="114">
        <v>129.6</v>
      </c>
      <c r="H59" s="114">
        <v>106.7</v>
      </c>
      <c r="I59" s="114">
        <v>171</v>
      </c>
      <c r="J59" s="114">
        <v>93.1</v>
      </c>
      <c r="K59" s="114">
        <v>69.5</v>
      </c>
      <c r="L59" s="114">
        <v>15</v>
      </c>
      <c r="M59" s="114">
        <v>44.7</v>
      </c>
      <c r="N59" s="102">
        <f t="shared" si="5"/>
        <v>170.1</v>
      </c>
      <c r="O59" s="102">
        <f t="shared" si="6"/>
        <v>577</v>
      </c>
      <c r="P59" s="102">
        <f t="shared" si="7"/>
        <v>129.19999999999999</v>
      </c>
      <c r="Q59" s="102">
        <f t="shared" si="8"/>
        <v>876.30000000000007</v>
      </c>
    </row>
    <row r="60" spans="1:33">
      <c r="A60" s="108">
        <v>2016</v>
      </c>
      <c r="B60" s="115">
        <v>9.3000000000000007</v>
      </c>
      <c r="C60" s="115">
        <v>17.5</v>
      </c>
      <c r="D60" s="115">
        <v>68.900000000000006</v>
      </c>
      <c r="E60" s="115">
        <v>209.6</v>
      </c>
      <c r="F60" s="115">
        <v>238.5</v>
      </c>
      <c r="G60" s="115">
        <v>370.4</v>
      </c>
      <c r="H60" s="115">
        <v>37.1</v>
      </c>
      <c r="I60" s="115">
        <v>125.7</v>
      </c>
      <c r="J60" s="115">
        <v>73.7</v>
      </c>
      <c r="K60" s="115">
        <v>59.1</v>
      </c>
      <c r="L60" s="115">
        <v>37.799999999999997</v>
      </c>
      <c r="M60" s="115">
        <v>7.8</v>
      </c>
      <c r="N60" s="108">
        <f>SUM(B60:E60)</f>
        <v>305.3</v>
      </c>
      <c r="O60" s="108">
        <f>SUM(F60:J60)</f>
        <v>845.40000000000009</v>
      </c>
      <c r="P60" s="108">
        <f>SUM(K60:M60)</f>
        <v>104.7</v>
      </c>
      <c r="Q60" s="108">
        <f>SUM(B60:M60)</f>
        <v>1255.3999999999999</v>
      </c>
      <c r="R60" s="108">
        <f t="shared" ref="R60:AG60" si="9">100*(B60-B4)/B4</f>
        <v>-45.752465797009236</v>
      </c>
      <c r="S60" s="108">
        <f t="shared" si="9"/>
        <v>-9.3178820425852926</v>
      </c>
      <c r="T60" s="108">
        <f t="shared" si="9"/>
        <v>79.32519401855005</v>
      </c>
      <c r="U60" s="108">
        <f t="shared" si="9"/>
        <v>134.65233675297182</v>
      </c>
      <c r="V60" s="108">
        <f t="shared" si="9"/>
        <v>61.792639005377701</v>
      </c>
      <c r="W60" s="108">
        <f t="shared" si="9"/>
        <v>103.06005482182908</v>
      </c>
      <c r="X60" s="108">
        <f t="shared" si="9"/>
        <v>-73.784624081401915</v>
      </c>
      <c r="Y60" s="108">
        <f t="shared" si="9"/>
        <v>-1.7564053374259192</v>
      </c>
      <c r="Z60" s="108">
        <f t="shared" si="9"/>
        <v>-22.230536050036434</v>
      </c>
      <c r="AA60" s="108">
        <f t="shared" si="9"/>
        <v>-37.50120171508776</v>
      </c>
      <c r="AB60" s="108">
        <f t="shared" si="9"/>
        <v>-19.786715229335183</v>
      </c>
      <c r="AC60" s="108">
        <f t="shared" si="9"/>
        <v>-58.666538202138931</v>
      </c>
      <c r="AD60" s="108">
        <f t="shared" si="9"/>
        <v>85.946203337652136</v>
      </c>
      <c r="AE60" s="108">
        <f t="shared" si="9"/>
        <v>21.805988525921503</v>
      </c>
      <c r="AF60" s="108">
        <f t="shared" si="9"/>
        <v>-34.789550927226109</v>
      </c>
      <c r="AG60" s="108">
        <f t="shared" si="9"/>
        <v>23.223532023627108</v>
      </c>
    </row>
  </sheetData>
  <mergeCells count="6">
    <mergeCell ref="A1:A3"/>
    <mergeCell ref="B1:Q1"/>
    <mergeCell ref="B2:M2"/>
    <mergeCell ref="R1:AG1"/>
    <mergeCell ref="N2:Q2"/>
    <mergeCell ref="R2:AG2"/>
  </mergeCells>
  <phoneticPr fontId="2" type="noConversion"/>
  <pageMargins left="0.75" right="0.75" top="1" bottom="1" header="0.5" footer="0.5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3"/>
  <dimension ref="A1:AG53"/>
  <sheetViews>
    <sheetView zoomScale="85" zoomScaleNormal="85" workbookViewId="0">
      <pane ySplit="5" topLeftCell="A6" activePane="bottomLeft" state="frozen"/>
      <selection pane="bottomLeft" activeCell="M57" sqref="M57"/>
    </sheetView>
  </sheetViews>
  <sheetFormatPr defaultRowHeight="12"/>
  <cols>
    <col min="1" max="35" width="7.125" style="102" customWidth="1"/>
    <col min="36" max="16384" width="9" style="102"/>
  </cols>
  <sheetData>
    <row r="1" spans="1:33" s="118" customFormat="1" ht="14.25" customHeight="1">
      <c r="A1" s="176" t="s">
        <v>0</v>
      </c>
      <c r="B1" s="176" t="s">
        <v>1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2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3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32</v>
      </c>
      <c r="O2" s="176"/>
      <c r="P2" s="176"/>
      <c r="Q2" s="176"/>
      <c r="R2" s="176" t="s">
        <v>6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 ht="24">
      <c r="A3" s="176"/>
      <c r="B3" s="106" t="s">
        <v>7</v>
      </c>
      <c r="C3" s="106" t="s">
        <v>8</v>
      </c>
      <c r="D3" s="106" t="s">
        <v>9</v>
      </c>
      <c r="E3" s="106" t="s">
        <v>10</v>
      </c>
      <c r="F3" s="106" t="s">
        <v>11</v>
      </c>
      <c r="G3" s="106" t="s">
        <v>12</v>
      </c>
      <c r="H3" s="106" t="s">
        <v>13</v>
      </c>
      <c r="I3" s="106" t="s">
        <v>14</v>
      </c>
      <c r="J3" s="106" t="s">
        <v>15</v>
      </c>
      <c r="K3" s="106" t="s">
        <v>16</v>
      </c>
      <c r="L3" s="106" t="s">
        <v>17</v>
      </c>
      <c r="M3" s="106" t="s">
        <v>18</v>
      </c>
      <c r="N3" s="106" t="s">
        <v>145</v>
      </c>
      <c r="O3" s="106" t="s">
        <v>146</v>
      </c>
      <c r="P3" s="106" t="s">
        <v>147</v>
      </c>
      <c r="Q3" s="106" t="s">
        <v>148</v>
      </c>
      <c r="R3" s="106" t="s">
        <v>7</v>
      </c>
      <c r="S3" s="106" t="s">
        <v>8</v>
      </c>
      <c r="T3" s="106" t="s">
        <v>151</v>
      </c>
      <c r="U3" s="106" t="s">
        <v>152</v>
      </c>
      <c r="V3" s="106" t="s">
        <v>23</v>
      </c>
      <c r="W3" s="106" t="s">
        <v>24</v>
      </c>
      <c r="X3" s="106" t="s">
        <v>25</v>
      </c>
      <c r="Y3" s="106" t="s">
        <v>26</v>
      </c>
      <c r="Z3" s="106" t="s">
        <v>27</v>
      </c>
      <c r="AA3" s="106" t="s">
        <v>155</v>
      </c>
      <c r="AB3" s="106" t="s">
        <v>156</v>
      </c>
      <c r="AC3" s="106" t="s">
        <v>157</v>
      </c>
      <c r="AD3" s="106" t="s">
        <v>90</v>
      </c>
      <c r="AE3" s="106" t="s">
        <v>4</v>
      </c>
      <c r="AF3" s="106" t="s">
        <v>91</v>
      </c>
      <c r="AG3" s="106" t="s">
        <v>5</v>
      </c>
    </row>
    <row r="4" spans="1:33" s="118" customFormat="1">
      <c r="A4" s="150" t="s">
        <v>261</v>
      </c>
      <c r="B4" s="150">
        <f t="shared" ref="B4:Q4" si="0">AVERAGE(B5:B52)</f>
        <v>14.518749999999995</v>
      </c>
      <c r="C4" s="150">
        <f t="shared" si="0"/>
        <v>17.243750000000002</v>
      </c>
      <c r="D4" s="150">
        <f t="shared" si="0"/>
        <v>35.968750000000007</v>
      </c>
      <c r="E4" s="150">
        <f t="shared" si="0"/>
        <v>87.2</v>
      </c>
      <c r="F4" s="150">
        <f t="shared" si="0"/>
        <v>135.53125</v>
      </c>
      <c r="G4" s="150">
        <f t="shared" si="0"/>
        <v>182.84166666666667</v>
      </c>
      <c r="H4" s="150">
        <f t="shared" si="0"/>
        <v>142.06249999999994</v>
      </c>
      <c r="I4" s="150">
        <f t="shared" si="0"/>
        <v>134.59583333333336</v>
      </c>
      <c r="J4" s="150">
        <f t="shared" si="0"/>
        <v>80.491666666666674</v>
      </c>
      <c r="K4" s="150">
        <f t="shared" si="0"/>
        <v>84.414583333333312</v>
      </c>
      <c r="L4" s="150">
        <f t="shared" si="0"/>
        <v>43.79375000000001</v>
      </c>
      <c r="M4" s="150">
        <f t="shared" si="0"/>
        <v>16.418749999999996</v>
      </c>
      <c r="N4" s="150">
        <f t="shared" si="0"/>
        <v>154.93124999999998</v>
      </c>
      <c r="O4" s="150">
        <f t="shared" si="0"/>
        <v>675.52291666666645</v>
      </c>
      <c r="P4" s="150">
        <f t="shared" si="0"/>
        <v>144.62708333333339</v>
      </c>
      <c r="Q4" s="150">
        <f t="shared" si="0"/>
        <v>975.08125000000007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1968</v>
      </c>
      <c r="B5" s="102">
        <v>8.8000000000000007</v>
      </c>
      <c r="C5" s="102">
        <v>7.9</v>
      </c>
      <c r="D5" s="102">
        <v>17.5</v>
      </c>
      <c r="E5" s="102">
        <v>19.2</v>
      </c>
      <c r="F5" s="102">
        <v>57.1</v>
      </c>
      <c r="G5" s="102">
        <v>218.5</v>
      </c>
      <c r="H5" s="102">
        <v>113.3</v>
      </c>
      <c r="I5" s="102">
        <v>79.5</v>
      </c>
      <c r="J5" s="102">
        <v>67.3</v>
      </c>
      <c r="K5" s="102">
        <v>46.1</v>
      </c>
      <c r="L5" s="102">
        <v>37.799999999999997</v>
      </c>
      <c r="M5" s="102">
        <v>31.8</v>
      </c>
      <c r="N5" s="102">
        <f>SUM(B5:E5)</f>
        <v>53.400000000000006</v>
      </c>
      <c r="O5" s="102">
        <f>SUM(F5:J5)</f>
        <v>535.70000000000005</v>
      </c>
      <c r="P5" s="102">
        <f>SUM(K5:M5)</f>
        <v>115.7</v>
      </c>
      <c r="Q5" s="102">
        <f>SUM(B5:M5)</f>
        <v>704.79999999999984</v>
      </c>
    </row>
    <row r="6" spans="1:33">
      <c r="A6" s="102">
        <v>1969</v>
      </c>
      <c r="B6" s="102">
        <v>6.1</v>
      </c>
      <c r="C6" s="102">
        <v>4.9000000000000004</v>
      </c>
      <c r="D6" s="102">
        <v>27</v>
      </c>
      <c r="E6" s="102">
        <v>32.6</v>
      </c>
      <c r="F6" s="102">
        <v>58.3</v>
      </c>
      <c r="G6" s="102">
        <v>289.10000000000002</v>
      </c>
      <c r="H6" s="102">
        <v>56.9</v>
      </c>
      <c r="I6" s="102">
        <v>65.5</v>
      </c>
      <c r="J6" s="102">
        <v>47.3</v>
      </c>
      <c r="K6" s="102">
        <v>74.2</v>
      </c>
      <c r="L6" s="102">
        <v>46.7</v>
      </c>
      <c r="M6" s="102">
        <v>7.6</v>
      </c>
      <c r="N6" s="102">
        <f t="shared" ref="N6:N51" si="1">SUM(B6:E6)</f>
        <v>70.599999999999994</v>
      </c>
      <c r="O6" s="102">
        <f t="shared" ref="O6:O51" si="2">SUM(F6:J6)</f>
        <v>517.1</v>
      </c>
      <c r="P6" s="102">
        <f t="shared" ref="P6:P51" si="3">SUM(K6:M6)</f>
        <v>128.5</v>
      </c>
      <c r="Q6" s="102">
        <f t="shared" ref="Q6:Q51" si="4">SUM(B6:M6)</f>
        <v>716.2</v>
      </c>
    </row>
    <row r="7" spans="1:33">
      <c r="A7" s="102">
        <v>1970</v>
      </c>
      <c r="B7" s="102">
        <v>10.7</v>
      </c>
      <c r="C7" s="102">
        <v>11.1</v>
      </c>
      <c r="D7" s="102">
        <v>55.1</v>
      </c>
      <c r="E7" s="102">
        <v>39</v>
      </c>
      <c r="F7" s="102">
        <v>68.8</v>
      </c>
      <c r="G7" s="102">
        <v>240.4</v>
      </c>
      <c r="H7" s="102">
        <v>87.1</v>
      </c>
      <c r="I7" s="102">
        <v>76.599999999999994</v>
      </c>
      <c r="J7" s="102">
        <v>55.6</v>
      </c>
      <c r="K7" s="102">
        <v>46.1</v>
      </c>
      <c r="L7" s="102">
        <v>37.799999999999997</v>
      </c>
      <c r="M7" s="102">
        <v>31.8</v>
      </c>
      <c r="N7" s="102">
        <f t="shared" si="1"/>
        <v>115.9</v>
      </c>
      <c r="O7" s="102">
        <f t="shared" si="2"/>
        <v>528.5</v>
      </c>
      <c r="P7" s="102">
        <f t="shared" si="3"/>
        <v>115.7</v>
      </c>
      <c r="Q7" s="102">
        <f t="shared" si="4"/>
        <v>760.1</v>
      </c>
    </row>
    <row r="8" spans="1:33">
      <c r="A8" s="102">
        <v>1971</v>
      </c>
      <c r="B8" s="102">
        <v>9</v>
      </c>
      <c r="C8" s="102">
        <v>5.5</v>
      </c>
      <c r="D8" s="102">
        <v>20.399999999999999</v>
      </c>
      <c r="E8" s="102">
        <v>34.5</v>
      </c>
      <c r="F8" s="102">
        <v>40.700000000000003</v>
      </c>
      <c r="G8" s="102">
        <v>143.9</v>
      </c>
      <c r="H8" s="102">
        <v>54.5</v>
      </c>
      <c r="I8" s="102">
        <v>71.5</v>
      </c>
      <c r="J8" s="102">
        <v>76.900000000000006</v>
      </c>
      <c r="K8" s="102">
        <v>108.9</v>
      </c>
      <c r="L8" s="102">
        <v>25.6</v>
      </c>
      <c r="M8" s="102">
        <v>27.4</v>
      </c>
      <c r="N8" s="102">
        <f t="shared" si="1"/>
        <v>69.400000000000006</v>
      </c>
      <c r="O8" s="102">
        <f t="shared" si="2"/>
        <v>387.5</v>
      </c>
      <c r="P8" s="102">
        <f t="shared" si="3"/>
        <v>161.9</v>
      </c>
      <c r="Q8" s="102">
        <f t="shared" si="4"/>
        <v>618.79999999999995</v>
      </c>
    </row>
    <row r="9" spans="1:33">
      <c r="A9" s="102">
        <v>1972</v>
      </c>
      <c r="B9" s="102">
        <v>11.3</v>
      </c>
      <c r="C9" s="102">
        <v>10.6</v>
      </c>
      <c r="D9" s="102">
        <v>45.3</v>
      </c>
      <c r="E9" s="102">
        <v>40.799999999999997</v>
      </c>
      <c r="F9" s="102">
        <v>62.3</v>
      </c>
      <c r="G9" s="102">
        <v>170.5</v>
      </c>
      <c r="H9" s="102">
        <v>61.5</v>
      </c>
      <c r="I9" s="102">
        <v>172.1</v>
      </c>
      <c r="J9" s="102">
        <v>57.2</v>
      </c>
      <c r="K9" s="102">
        <v>88.1</v>
      </c>
      <c r="L9" s="102">
        <v>69.099999999999994</v>
      </c>
      <c r="M9" s="102">
        <v>15.9</v>
      </c>
      <c r="N9" s="102">
        <f t="shared" si="1"/>
        <v>107.99999999999999</v>
      </c>
      <c r="O9" s="102">
        <f t="shared" si="2"/>
        <v>523.6</v>
      </c>
      <c r="P9" s="102">
        <f t="shared" si="3"/>
        <v>173.1</v>
      </c>
      <c r="Q9" s="102">
        <f t="shared" si="4"/>
        <v>804.7</v>
      </c>
    </row>
    <row r="10" spans="1:33">
      <c r="A10" s="102">
        <v>1973</v>
      </c>
      <c r="B10" s="102">
        <v>8.1</v>
      </c>
      <c r="C10" s="102">
        <v>17.3</v>
      </c>
      <c r="D10" s="102">
        <v>39.5</v>
      </c>
      <c r="E10" s="102">
        <v>36.5</v>
      </c>
      <c r="F10" s="102">
        <v>54.2</v>
      </c>
      <c r="G10" s="102">
        <v>227.4</v>
      </c>
      <c r="H10" s="102">
        <v>105.2</v>
      </c>
      <c r="I10" s="102">
        <v>62.8</v>
      </c>
      <c r="J10" s="102">
        <v>62.8</v>
      </c>
      <c r="K10" s="102">
        <v>20.399999999999999</v>
      </c>
      <c r="L10" s="102">
        <v>32.6</v>
      </c>
      <c r="M10" s="102">
        <v>4.9000000000000004</v>
      </c>
      <c r="N10" s="102">
        <f t="shared" si="1"/>
        <v>101.4</v>
      </c>
      <c r="O10" s="102">
        <f t="shared" si="2"/>
        <v>512.4</v>
      </c>
      <c r="P10" s="102">
        <f t="shared" si="3"/>
        <v>57.9</v>
      </c>
      <c r="Q10" s="102">
        <f t="shared" si="4"/>
        <v>671.69999999999993</v>
      </c>
    </row>
    <row r="11" spans="1:33">
      <c r="A11" s="102">
        <v>1974</v>
      </c>
      <c r="B11" s="102">
        <v>16.7</v>
      </c>
      <c r="C11" s="102">
        <v>3.9</v>
      </c>
      <c r="D11" s="102">
        <v>33.299999999999997</v>
      </c>
      <c r="E11" s="102">
        <v>25.5</v>
      </c>
      <c r="F11" s="102">
        <v>83.5</v>
      </c>
      <c r="G11" s="102">
        <v>222.8</v>
      </c>
      <c r="H11" s="102">
        <v>38.9</v>
      </c>
      <c r="I11" s="102">
        <v>56.4</v>
      </c>
      <c r="J11" s="102">
        <v>61.9</v>
      </c>
      <c r="K11" s="102">
        <v>105.6</v>
      </c>
      <c r="L11" s="102">
        <v>16.600000000000001</v>
      </c>
      <c r="M11" s="102">
        <v>6.7</v>
      </c>
      <c r="N11" s="102">
        <f t="shared" si="1"/>
        <v>79.399999999999991</v>
      </c>
      <c r="O11" s="102">
        <f t="shared" si="2"/>
        <v>463.49999999999994</v>
      </c>
      <c r="P11" s="102">
        <f t="shared" si="3"/>
        <v>128.89999999999998</v>
      </c>
      <c r="Q11" s="102">
        <f t="shared" si="4"/>
        <v>671.80000000000007</v>
      </c>
    </row>
    <row r="12" spans="1:33">
      <c r="A12" s="102">
        <v>1975</v>
      </c>
      <c r="B12" s="102">
        <v>24.1</v>
      </c>
      <c r="C12" s="102">
        <v>7.5</v>
      </c>
      <c r="D12" s="102">
        <v>31.2</v>
      </c>
      <c r="E12" s="102">
        <v>38.799999999999997</v>
      </c>
      <c r="F12" s="102">
        <v>143.30000000000001</v>
      </c>
      <c r="G12" s="102">
        <v>195.8</v>
      </c>
      <c r="H12" s="102">
        <v>29.8</v>
      </c>
      <c r="I12" s="102">
        <v>18.7</v>
      </c>
      <c r="J12" s="102">
        <v>86.5</v>
      </c>
      <c r="K12" s="102">
        <v>81.2</v>
      </c>
      <c r="L12" s="102">
        <v>90.1</v>
      </c>
      <c r="M12" s="102">
        <v>7.2</v>
      </c>
      <c r="N12" s="102">
        <f t="shared" si="1"/>
        <v>101.6</v>
      </c>
      <c r="O12" s="102">
        <f t="shared" si="2"/>
        <v>474.1</v>
      </c>
      <c r="P12" s="102">
        <f t="shared" si="3"/>
        <v>178.5</v>
      </c>
      <c r="Q12" s="102">
        <f t="shared" si="4"/>
        <v>754.20000000000016</v>
      </c>
    </row>
    <row r="13" spans="1:33">
      <c r="A13" s="102">
        <v>1976</v>
      </c>
      <c r="B13" s="102">
        <v>18.2</v>
      </c>
      <c r="C13" s="102">
        <v>15.1</v>
      </c>
      <c r="D13" s="102">
        <v>21.9</v>
      </c>
      <c r="E13" s="102">
        <v>82.1</v>
      </c>
      <c r="F13" s="102">
        <v>214.5</v>
      </c>
      <c r="G13" s="102">
        <v>282.10000000000002</v>
      </c>
      <c r="H13" s="102">
        <v>194.7</v>
      </c>
      <c r="I13" s="102">
        <v>45.8</v>
      </c>
      <c r="J13" s="102">
        <v>117.2</v>
      </c>
      <c r="K13" s="102">
        <v>93.4</v>
      </c>
      <c r="L13" s="102">
        <v>54</v>
      </c>
      <c r="M13" s="102">
        <v>16.8</v>
      </c>
      <c r="N13" s="102">
        <f t="shared" si="1"/>
        <v>137.29999999999998</v>
      </c>
      <c r="O13" s="102">
        <f t="shared" si="2"/>
        <v>854.3</v>
      </c>
      <c r="P13" s="102">
        <f t="shared" si="3"/>
        <v>164.20000000000002</v>
      </c>
      <c r="Q13" s="102">
        <f t="shared" si="4"/>
        <v>1155.8</v>
      </c>
    </row>
    <row r="14" spans="1:33">
      <c r="A14" s="102">
        <v>1977</v>
      </c>
      <c r="B14" s="102">
        <v>3.5</v>
      </c>
      <c r="C14" s="102">
        <v>27.3</v>
      </c>
      <c r="D14" s="102">
        <v>73.3</v>
      </c>
      <c r="E14" s="102">
        <v>183.4</v>
      </c>
      <c r="F14" s="102">
        <v>240.5</v>
      </c>
      <c r="G14" s="102">
        <v>204.7</v>
      </c>
      <c r="H14" s="102">
        <v>344.5</v>
      </c>
      <c r="I14" s="102">
        <v>93.7</v>
      </c>
      <c r="J14" s="102">
        <v>80</v>
      </c>
      <c r="K14" s="102">
        <v>175.5</v>
      </c>
      <c r="L14" s="102">
        <v>64.599999999999994</v>
      </c>
      <c r="M14" s="102">
        <v>7.1</v>
      </c>
      <c r="N14" s="102">
        <f t="shared" si="1"/>
        <v>287.5</v>
      </c>
      <c r="O14" s="102">
        <f t="shared" si="2"/>
        <v>963.40000000000009</v>
      </c>
      <c r="P14" s="102">
        <f t="shared" si="3"/>
        <v>247.2</v>
      </c>
      <c r="Q14" s="102">
        <f t="shared" si="4"/>
        <v>1498.1</v>
      </c>
    </row>
    <row r="15" spans="1:33">
      <c r="A15" s="102">
        <v>1978</v>
      </c>
      <c r="B15" s="102">
        <v>15.3</v>
      </c>
      <c r="C15" s="102">
        <v>6.1</v>
      </c>
      <c r="D15" s="102">
        <v>18.2</v>
      </c>
      <c r="E15" s="102">
        <v>110.1</v>
      </c>
      <c r="F15" s="102">
        <v>257.39999999999998</v>
      </c>
      <c r="G15" s="102">
        <v>235.6</v>
      </c>
      <c r="H15" s="102">
        <v>66.8</v>
      </c>
      <c r="I15" s="102">
        <v>179.6</v>
      </c>
      <c r="J15" s="102">
        <v>99.4</v>
      </c>
      <c r="K15" s="102">
        <v>65.900000000000006</v>
      </c>
      <c r="L15" s="102">
        <v>105.8</v>
      </c>
      <c r="M15" s="102">
        <v>1.6</v>
      </c>
      <c r="N15" s="102">
        <f t="shared" si="1"/>
        <v>149.69999999999999</v>
      </c>
      <c r="O15" s="102">
        <f t="shared" si="2"/>
        <v>838.8</v>
      </c>
      <c r="P15" s="102">
        <f t="shared" si="3"/>
        <v>173.29999999999998</v>
      </c>
      <c r="Q15" s="102">
        <f t="shared" si="4"/>
        <v>1161.7999999999997</v>
      </c>
    </row>
    <row r="16" spans="1:33">
      <c r="A16" s="102">
        <v>1979</v>
      </c>
      <c r="B16" s="102">
        <v>4.0999999999999996</v>
      </c>
      <c r="C16" s="102">
        <v>17.8</v>
      </c>
      <c r="D16" s="102">
        <v>28.8</v>
      </c>
      <c r="E16" s="102">
        <v>46</v>
      </c>
      <c r="F16" s="102">
        <v>72.400000000000006</v>
      </c>
      <c r="G16" s="102">
        <v>308.89999999999998</v>
      </c>
      <c r="H16" s="102">
        <v>98.6</v>
      </c>
      <c r="I16" s="102">
        <v>128.4</v>
      </c>
      <c r="J16" s="102">
        <v>103.2</v>
      </c>
      <c r="K16" s="102">
        <v>47.8</v>
      </c>
      <c r="L16" s="102">
        <v>13.4</v>
      </c>
      <c r="M16" s="102">
        <v>31.1</v>
      </c>
      <c r="N16" s="102">
        <f t="shared" si="1"/>
        <v>96.7</v>
      </c>
      <c r="O16" s="102">
        <f t="shared" si="2"/>
        <v>711.5</v>
      </c>
      <c r="P16" s="102">
        <f t="shared" si="3"/>
        <v>92.3</v>
      </c>
      <c r="Q16" s="102">
        <f t="shared" si="4"/>
        <v>900.5</v>
      </c>
    </row>
    <row r="17" spans="1:17">
      <c r="A17" s="102">
        <v>1980</v>
      </c>
      <c r="B17" s="102">
        <v>24.2</v>
      </c>
      <c r="C17" s="102">
        <v>10.3</v>
      </c>
      <c r="D17" s="102">
        <v>32.5</v>
      </c>
      <c r="E17" s="102">
        <v>74.2</v>
      </c>
      <c r="F17" s="102">
        <v>81.5</v>
      </c>
      <c r="G17" s="102">
        <v>186.7</v>
      </c>
      <c r="H17" s="102">
        <v>182.4</v>
      </c>
      <c r="I17" s="102">
        <v>230.6</v>
      </c>
      <c r="J17" s="102">
        <v>44.5</v>
      </c>
      <c r="K17" s="102">
        <v>171.3</v>
      </c>
      <c r="L17" s="102">
        <v>33.799999999999997</v>
      </c>
      <c r="M17" s="102">
        <v>10.1</v>
      </c>
      <c r="N17" s="102">
        <f t="shared" si="1"/>
        <v>141.19999999999999</v>
      </c>
      <c r="O17" s="102">
        <f t="shared" si="2"/>
        <v>725.7</v>
      </c>
      <c r="P17" s="102">
        <f t="shared" si="3"/>
        <v>215.20000000000002</v>
      </c>
      <c r="Q17" s="102">
        <f t="shared" si="4"/>
        <v>1082.0999999999999</v>
      </c>
    </row>
    <row r="18" spans="1:17">
      <c r="A18" s="102">
        <v>1981</v>
      </c>
      <c r="B18" s="102">
        <v>3.3</v>
      </c>
      <c r="C18" s="102">
        <v>6.6</v>
      </c>
      <c r="D18" s="102">
        <v>26.4</v>
      </c>
      <c r="E18" s="102">
        <v>76.2</v>
      </c>
      <c r="F18" s="102">
        <v>192.9</v>
      </c>
      <c r="G18" s="102">
        <v>151.69999999999999</v>
      </c>
      <c r="H18" s="102">
        <v>100.7</v>
      </c>
      <c r="I18" s="102">
        <v>114.9</v>
      </c>
      <c r="J18" s="102">
        <v>76.599999999999994</v>
      </c>
      <c r="K18" s="102">
        <v>60.7</v>
      </c>
      <c r="L18" s="102">
        <v>18</v>
      </c>
      <c r="M18" s="102">
        <v>2.6</v>
      </c>
      <c r="N18" s="102">
        <f t="shared" si="1"/>
        <v>112.5</v>
      </c>
      <c r="O18" s="102">
        <f t="shared" si="2"/>
        <v>636.80000000000007</v>
      </c>
      <c r="P18" s="102">
        <f t="shared" si="3"/>
        <v>81.3</v>
      </c>
      <c r="Q18" s="102">
        <f t="shared" si="4"/>
        <v>830.6</v>
      </c>
    </row>
    <row r="19" spans="1:17">
      <c r="A19" s="102">
        <v>1982</v>
      </c>
      <c r="B19" s="102">
        <v>18.600000000000001</v>
      </c>
      <c r="C19" s="102">
        <v>18.8</v>
      </c>
      <c r="D19" s="102">
        <v>10</v>
      </c>
      <c r="E19" s="102">
        <v>92.9</v>
      </c>
      <c r="F19" s="102">
        <v>144.5</v>
      </c>
      <c r="G19" s="102">
        <v>192.4</v>
      </c>
      <c r="H19" s="102">
        <v>159</v>
      </c>
      <c r="I19" s="102">
        <v>293.7</v>
      </c>
      <c r="J19" s="102">
        <v>146.69999999999999</v>
      </c>
      <c r="K19" s="102">
        <v>69.8</v>
      </c>
      <c r="L19" s="102">
        <v>31.7</v>
      </c>
      <c r="M19" s="102">
        <v>42.4</v>
      </c>
      <c r="N19" s="102">
        <f t="shared" si="1"/>
        <v>140.30000000000001</v>
      </c>
      <c r="O19" s="102">
        <f t="shared" si="2"/>
        <v>936.3</v>
      </c>
      <c r="P19" s="102">
        <f t="shared" si="3"/>
        <v>143.9</v>
      </c>
      <c r="Q19" s="102">
        <f t="shared" si="4"/>
        <v>1220.5000000000002</v>
      </c>
    </row>
    <row r="20" spans="1:17">
      <c r="A20" s="102">
        <v>1983</v>
      </c>
      <c r="B20" s="102">
        <v>35.5</v>
      </c>
      <c r="C20" s="102">
        <v>22.6</v>
      </c>
      <c r="D20" s="102">
        <v>34.1</v>
      </c>
      <c r="E20" s="102">
        <v>110</v>
      </c>
      <c r="F20" s="102">
        <v>113.2</v>
      </c>
      <c r="G20" s="102">
        <v>189.4</v>
      </c>
      <c r="H20" s="102">
        <v>386.3</v>
      </c>
      <c r="I20" s="102">
        <v>155.80000000000001</v>
      </c>
      <c r="J20" s="102">
        <v>77.900000000000006</v>
      </c>
      <c r="K20" s="102">
        <v>73.400000000000006</v>
      </c>
      <c r="L20" s="102">
        <v>34.1</v>
      </c>
      <c r="M20" s="102">
        <v>9.4</v>
      </c>
      <c r="N20" s="102">
        <f t="shared" si="1"/>
        <v>202.2</v>
      </c>
      <c r="O20" s="102">
        <f t="shared" si="2"/>
        <v>922.6</v>
      </c>
      <c r="P20" s="102">
        <f t="shared" si="3"/>
        <v>116.9</v>
      </c>
      <c r="Q20" s="102">
        <f t="shared" si="4"/>
        <v>1241.7</v>
      </c>
    </row>
    <row r="21" spans="1:17">
      <c r="A21" s="102">
        <v>1984</v>
      </c>
      <c r="B21" s="102">
        <v>13.6</v>
      </c>
      <c r="C21" s="102">
        <v>0.9</v>
      </c>
      <c r="D21" s="102">
        <v>22.5</v>
      </c>
      <c r="E21" s="102">
        <v>58.5</v>
      </c>
      <c r="F21" s="102">
        <v>137.30000000000001</v>
      </c>
      <c r="G21" s="102">
        <v>145.69999999999999</v>
      </c>
      <c r="H21" s="102">
        <v>220.5</v>
      </c>
      <c r="I21" s="102">
        <v>362.4</v>
      </c>
      <c r="J21" s="102">
        <v>127.9</v>
      </c>
      <c r="K21" s="102">
        <v>78.5</v>
      </c>
      <c r="L21" s="102">
        <v>30.7</v>
      </c>
      <c r="M21" s="102">
        <v>12</v>
      </c>
      <c r="N21" s="102">
        <f t="shared" si="1"/>
        <v>95.5</v>
      </c>
      <c r="O21" s="102">
        <f t="shared" si="2"/>
        <v>993.8</v>
      </c>
      <c r="P21" s="102">
        <f t="shared" si="3"/>
        <v>121.2</v>
      </c>
      <c r="Q21" s="102">
        <f t="shared" si="4"/>
        <v>1210.5</v>
      </c>
    </row>
    <row r="22" spans="1:17">
      <c r="A22" s="102">
        <v>1985</v>
      </c>
      <c r="B22" s="102">
        <v>9.6</v>
      </c>
      <c r="C22" s="102">
        <v>20.9</v>
      </c>
      <c r="D22" s="102">
        <v>44.7</v>
      </c>
      <c r="E22" s="102">
        <v>76.2</v>
      </c>
      <c r="F22" s="102">
        <v>168.4</v>
      </c>
      <c r="G22" s="102">
        <v>118.6</v>
      </c>
      <c r="H22" s="102">
        <v>65.2</v>
      </c>
      <c r="I22" s="102">
        <v>206.2</v>
      </c>
      <c r="J22" s="102">
        <v>61</v>
      </c>
      <c r="K22" s="102">
        <v>80.5</v>
      </c>
      <c r="L22" s="102">
        <v>67.400000000000006</v>
      </c>
      <c r="M22" s="102">
        <v>20</v>
      </c>
      <c r="N22" s="102">
        <f t="shared" si="1"/>
        <v>151.4</v>
      </c>
      <c r="O22" s="102">
        <f t="shared" si="2"/>
        <v>619.4</v>
      </c>
      <c r="P22" s="102">
        <f t="shared" si="3"/>
        <v>167.9</v>
      </c>
      <c r="Q22" s="102">
        <f t="shared" si="4"/>
        <v>938.69999999999993</v>
      </c>
    </row>
    <row r="23" spans="1:17">
      <c r="A23" s="102">
        <v>1986</v>
      </c>
      <c r="B23" s="102">
        <v>10.5</v>
      </c>
      <c r="C23" s="102">
        <v>13.8</v>
      </c>
      <c r="D23" s="102">
        <v>24.4</v>
      </c>
      <c r="E23" s="102">
        <v>38.6</v>
      </c>
      <c r="F23" s="102">
        <v>103.2</v>
      </c>
      <c r="G23" s="102">
        <v>107.5</v>
      </c>
      <c r="H23" s="102">
        <v>217.3</v>
      </c>
      <c r="I23" s="102">
        <v>76.099999999999994</v>
      </c>
      <c r="J23" s="102">
        <v>36.700000000000003</v>
      </c>
      <c r="K23" s="102">
        <v>58.8</v>
      </c>
      <c r="L23" s="102">
        <v>48.2</v>
      </c>
      <c r="M23" s="102">
        <v>25.4</v>
      </c>
      <c r="N23" s="102">
        <f t="shared" si="1"/>
        <v>87.300000000000011</v>
      </c>
      <c r="O23" s="102">
        <f t="shared" si="2"/>
        <v>540.80000000000007</v>
      </c>
      <c r="P23" s="102">
        <f t="shared" si="3"/>
        <v>132.4</v>
      </c>
      <c r="Q23" s="102">
        <f t="shared" si="4"/>
        <v>760.5</v>
      </c>
    </row>
    <row r="24" spans="1:17">
      <c r="A24" s="102">
        <v>1987</v>
      </c>
      <c r="B24" s="102">
        <v>15.6</v>
      </c>
      <c r="C24" s="102">
        <v>1.7</v>
      </c>
      <c r="D24" s="102">
        <v>23.2</v>
      </c>
      <c r="E24" s="102">
        <v>62.2</v>
      </c>
      <c r="F24" s="102">
        <v>76.900000000000006</v>
      </c>
      <c r="G24" s="102">
        <v>170.9</v>
      </c>
      <c r="H24" s="102">
        <v>164.4</v>
      </c>
      <c r="I24" s="102">
        <v>167.5</v>
      </c>
      <c r="J24" s="102">
        <v>73.599999999999994</v>
      </c>
      <c r="K24" s="102">
        <v>52.1</v>
      </c>
      <c r="L24" s="102">
        <v>21.3</v>
      </c>
      <c r="M24" s="102">
        <v>9.1999999999999993</v>
      </c>
      <c r="N24" s="102">
        <f t="shared" si="1"/>
        <v>102.7</v>
      </c>
      <c r="O24" s="102">
        <f t="shared" si="2"/>
        <v>653.30000000000007</v>
      </c>
      <c r="P24" s="102">
        <f t="shared" si="3"/>
        <v>82.600000000000009</v>
      </c>
      <c r="Q24" s="102">
        <f t="shared" si="4"/>
        <v>838.6</v>
      </c>
    </row>
    <row r="25" spans="1:17">
      <c r="A25" s="102">
        <v>1988</v>
      </c>
      <c r="B25" s="102">
        <v>13.4</v>
      </c>
      <c r="C25" s="102">
        <v>14.1</v>
      </c>
      <c r="D25" s="102">
        <v>8.5</v>
      </c>
      <c r="E25" s="102">
        <v>88.9</v>
      </c>
      <c r="F25" s="102">
        <v>110.9</v>
      </c>
      <c r="G25" s="102">
        <v>199.9</v>
      </c>
      <c r="H25" s="102">
        <v>90.7</v>
      </c>
      <c r="I25" s="102">
        <v>181.2</v>
      </c>
      <c r="J25" s="102">
        <v>115.1</v>
      </c>
      <c r="K25" s="102">
        <v>53.4</v>
      </c>
      <c r="L25" s="102">
        <v>1.5</v>
      </c>
      <c r="M25" s="102">
        <v>13</v>
      </c>
      <c r="N25" s="102">
        <f t="shared" si="1"/>
        <v>124.9</v>
      </c>
      <c r="O25" s="102">
        <f t="shared" si="2"/>
        <v>697.80000000000007</v>
      </c>
      <c r="P25" s="102">
        <f t="shared" si="3"/>
        <v>67.900000000000006</v>
      </c>
      <c r="Q25" s="102">
        <f t="shared" si="4"/>
        <v>890.60000000000014</v>
      </c>
    </row>
    <row r="26" spans="1:17">
      <c r="A26" s="102">
        <v>1989</v>
      </c>
      <c r="B26" s="102">
        <v>12.4</v>
      </c>
      <c r="C26" s="102">
        <v>25</v>
      </c>
      <c r="D26" s="102">
        <v>40.799999999999997</v>
      </c>
      <c r="E26" s="102">
        <v>261.89999999999998</v>
      </c>
      <c r="F26" s="102">
        <v>99.7</v>
      </c>
      <c r="G26" s="102">
        <v>134.4</v>
      </c>
      <c r="H26" s="102">
        <v>95.7</v>
      </c>
      <c r="I26" s="102">
        <v>160.30000000000001</v>
      </c>
      <c r="J26" s="102">
        <v>44.8</v>
      </c>
      <c r="K26" s="102">
        <v>82.3</v>
      </c>
      <c r="L26" s="102">
        <v>54.3</v>
      </c>
      <c r="M26" s="102">
        <v>38.1</v>
      </c>
      <c r="N26" s="102">
        <f t="shared" si="1"/>
        <v>340.09999999999997</v>
      </c>
      <c r="O26" s="102">
        <f t="shared" si="2"/>
        <v>534.9</v>
      </c>
      <c r="P26" s="102">
        <f t="shared" si="3"/>
        <v>174.7</v>
      </c>
      <c r="Q26" s="102">
        <f t="shared" si="4"/>
        <v>1049.6999999999998</v>
      </c>
    </row>
    <row r="27" spans="1:17">
      <c r="A27" s="102">
        <v>1990</v>
      </c>
      <c r="B27" s="102">
        <v>10.6</v>
      </c>
      <c r="C27" s="102">
        <v>11.7</v>
      </c>
      <c r="D27" s="102">
        <v>50</v>
      </c>
      <c r="E27" s="102">
        <v>56.4</v>
      </c>
      <c r="F27" s="102">
        <v>212.8</v>
      </c>
      <c r="G27" s="102">
        <v>156</v>
      </c>
      <c r="H27" s="102">
        <v>104.4</v>
      </c>
      <c r="I27" s="102">
        <v>46.4</v>
      </c>
      <c r="J27" s="102">
        <v>92.3</v>
      </c>
      <c r="K27" s="102">
        <v>91.8</v>
      </c>
      <c r="L27" s="102">
        <v>74.2</v>
      </c>
      <c r="M27" s="102">
        <v>0.4</v>
      </c>
      <c r="N27" s="102">
        <f t="shared" si="1"/>
        <v>128.69999999999999</v>
      </c>
      <c r="O27" s="102">
        <f t="shared" si="2"/>
        <v>611.9</v>
      </c>
      <c r="P27" s="102">
        <f t="shared" si="3"/>
        <v>166.4</v>
      </c>
      <c r="Q27" s="102">
        <f t="shared" si="4"/>
        <v>906.99999999999989</v>
      </c>
    </row>
    <row r="28" spans="1:17">
      <c r="A28" s="102">
        <v>1991</v>
      </c>
      <c r="B28" s="102">
        <v>26.8</v>
      </c>
      <c r="C28" s="102">
        <v>7.7</v>
      </c>
      <c r="D28" s="102">
        <v>25.1</v>
      </c>
      <c r="E28" s="102">
        <v>94.2</v>
      </c>
      <c r="F28" s="102">
        <v>154.5</v>
      </c>
      <c r="G28" s="102">
        <v>50.4</v>
      </c>
      <c r="H28" s="102">
        <v>177</v>
      </c>
      <c r="I28" s="102">
        <v>62.7</v>
      </c>
      <c r="J28" s="102">
        <v>49.6</v>
      </c>
      <c r="K28" s="102">
        <v>73.599999999999994</v>
      </c>
      <c r="L28" s="102">
        <v>22.9</v>
      </c>
      <c r="M28" s="102">
        <v>19.8</v>
      </c>
      <c r="N28" s="102">
        <f t="shared" si="1"/>
        <v>153.80000000000001</v>
      </c>
      <c r="O28" s="102">
        <f t="shared" si="2"/>
        <v>494.2</v>
      </c>
      <c r="P28" s="102">
        <f t="shared" si="3"/>
        <v>116.3</v>
      </c>
      <c r="Q28" s="102">
        <f t="shared" si="4"/>
        <v>764.30000000000007</v>
      </c>
    </row>
    <row r="29" spans="1:17">
      <c r="A29" s="102">
        <v>1992</v>
      </c>
      <c r="B29" s="102">
        <v>4.2</v>
      </c>
      <c r="C29" s="102">
        <v>46.1</v>
      </c>
      <c r="D29" s="102">
        <v>40.700000000000003</v>
      </c>
      <c r="E29" s="102">
        <v>54.6</v>
      </c>
      <c r="F29" s="102">
        <v>214.7</v>
      </c>
      <c r="G29" s="102">
        <v>160.80000000000001</v>
      </c>
      <c r="H29" s="102">
        <v>28.6</v>
      </c>
      <c r="I29" s="102">
        <v>70.900000000000006</v>
      </c>
      <c r="J29" s="102">
        <v>53.4</v>
      </c>
      <c r="K29" s="102">
        <v>101.9</v>
      </c>
      <c r="L29" s="102">
        <v>48.9</v>
      </c>
      <c r="M29" s="102">
        <v>19</v>
      </c>
      <c r="N29" s="102">
        <f t="shared" si="1"/>
        <v>145.6</v>
      </c>
      <c r="O29" s="102">
        <f t="shared" si="2"/>
        <v>528.4</v>
      </c>
      <c r="P29" s="102">
        <f t="shared" si="3"/>
        <v>169.8</v>
      </c>
      <c r="Q29" s="102">
        <f t="shared" si="4"/>
        <v>843.79999999999984</v>
      </c>
    </row>
    <row r="30" spans="1:17">
      <c r="A30" s="102">
        <v>1993</v>
      </c>
      <c r="B30" s="102">
        <v>32.5</v>
      </c>
      <c r="C30" s="102">
        <v>55.2</v>
      </c>
      <c r="D30" s="102">
        <v>52.3</v>
      </c>
      <c r="E30" s="102">
        <v>82.2</v>
      </c>
      <c r="F30" s="102">
        <v>94.8</v>
      </c>
      <c r="G30" s="102">
        <v>167.6</v>
      </c>
      <c r="H30" s="102">
        <v>105.2</v>
      </c>
      <c r="I30" s="102">
        <v>141.4</v>
      </c>
      <c r="J30" s="102">
        <v>89.3</v>
      </c>
      <c r="K30" s="102">
        <v>79</v>
      </c>
      <c r="L30" s="102">
        <v>33</v>
      </c>
      <c r="M30" s="102">
        <v>12.1</v>
      </c>
      <c r="N30" s="102">
        <f t="shared" si="1"/>
        <v>222.2</v>
      </c>
      <c r="O30" s="102">
        <f t="shared" si="2"/>
        <v>598.29999999999995</v>
      </c>
      <c r="P30" s="102">
        <f t="shared" si="3"/>
        <v>124.1</v>
      </c>
      <c r="Q30" s="102">
        <f t="shared" si="4"/>
        <v>944.6</v>
      </c>
    </row>
    <row r="31" spans="1:17">
      <c r="A31" s="102">
        <v>1994</v>
      </c>
      <c r="B31" s="102">
        <v>4.7</v>
      </c>
      <c r="C31" s="102">
        <v>5.9</v>
      </c>
      <c r="D31" s="102">
        <v>45.4</v>
      </c>
      <c r="E31" s="102">
        <v>35.9</v>
      </c>
      <c r="F31" s="102">
        <v>219.8</v>
      </c>
      <c r="G31" s="102">
        <v>105.7</v>
      </c>
      <c r="H31" s="102">
        <v>134.9</v>
      </c>
      <c r="I31" s="102">
        <v>118.5</v>
      </c>
      <c r="J31" s="102">
        <v>99.7</v>
      </c>
      <c r="K31" s="102">
        <v>83.1</v>
      </c>
      <c r="L31" s="102">
        <v>78.7</v>
      </c>
      <c r="M31" s="102">
        <v>34.299999999999997</v>
      </c>
      <c r="N31" s="102">
        <f t="shared" si="1"/>
        <v>91.9</v>
      </c>
      <c r="O31" s="102">
        <f t="shared" si="2"/>
        <v>678.6</v>
      </c>
      <c r="P31" s="102">
        <f t="shared" si="3"/>
        <v>196.10000000000002</v>
      </c>
      <c r="Q31" s="102">
        <f t="shared" si="4"/>
        <v>966.60000000000014</v>
      </c>
    </row>
    <row r="32" spans="1:17">
      <c r="A32" s="102">
        <v>1995</v>
      </c>
      <c r="B32" s="102">
        <v>13.9</v>
      </c>
      <c r="C32" s="102">
        <v>31.5</v>
      </c>
      <c r="D32" s="102">
        <v>25.6</v>
      </c>
      <c r="E32" s="102">
        <v>59.1</v>
      </c>
      <c r="F32" s="102">
        <v>114.9</v>
      </c>
      <c r="G32" s="102">
        <v>228.1</v>
      </c>
      <c r="H32" s="102">
        <v>111.2</v>
      </c>
      <c r="I32" s="102">
        <v>89.3</v>
      </c>
      <c r="J32" s="102">
        <v>44.3</v>
      </c>
      <c r="K32" s="102">
        <v>78.599999999999994</v>
      </c>
      <c r="L32" s="102">
        <v>48.2</v>
      </c>
      <c r="M32" s="102">
        <v>4.8</v>
      </c>
      <c r="N32" s="102">
        <f t="shared" si="1"/>
        <v>130.1</v>
      </c>
      <c r="O32" s="102">
        <f t="shared" si="2"/>
        <v>587.79999999999995</v>
      </c>
      <c r="P32" s="102">
        <f t="shared" si="3"/>
        <v>131.6</v>
      </c>
      <c r="Q32" s="102">
        <f t="shared" si="4"/>
        <v>849.5</v>
      </c>
    </row>
    <row r="33" spans="1:33">
      <c r="A33" s="102">
        <v>1996</v>
      </c>
      <c r="B33" s="102">
        <v>7.9</v>
      </c>
      <c r="C33" s="102">
        <v>8.4</v>
      </c>
      <c r="D33" s="102">
        <v>45.9</v>
      </c>
      <c r="E33" s="102">
        <v>26.9</v>
      </c>
      <c r="F33" s="102">
        <v>124.4</v>
      </c>
      <c r="G33" s="102">
        <v>282.3</v>
      </c>
      <c r="H33" s="102">
        <v>373.5</v>
      </c>
      <c r="I33" s="102">
        <v>127.9</v>
      </c>
      <c r="J33" s="102">
        <v>33.5</v>
      </c>
      <c r="K33" s="102">
        <v>64.599999999999994</v>
      </c>
      <c r="L33" s="102">
        <v>137.80000000000001</v>
      </c>
      <c r="M33" s="102">
        <v>10.3</v>
      </c>
      <c r="N33" s="102">
        <f t="shared" si="1"/>
        <v>89.1</v>
      </c>
      <c r="O33" s="102">
        <f t="shared" si="2"/>
        <v>941.6</v>
      </c>
      <c r="P33" s="102">
        <f t="shared" si="3"/>
        <v>212.70000000000002</v>
      </c>
      <c r="Q33" s="102">
        <f t="shared" si="4"/>
        <v>1243.3999999999996</v>
      </c>
    </row>
    <row r="34" spans="1:33">
      <c r="A34" s="102">
        <v>1997</v>
      </c>
      <c r="B34" s="102">
        <v>29.9</v>
      </c>
      <c r="C34" s="102">
        <v>32.5</v>
      </c>
      <c r="D34" s="102">
        <v>30.7</v>
      </c>
      <c r="E34" s="102">
        <v>160.1</v>
      </c>
      <c r="F34" s="102">
        <v>122.4</v>
      </c>
      <c r="G34" s="102">
        <v>109.6</v>
      </c>
      <c r="H34" s="102">
        <v>363.4</v>
      </c>
      <c r="I34" s="102">
        <v>119.7</v>
      </c>
      <c r="J34" s="102">
        <v>74</v>
      </c>
      <c r="K34" s="102">
        <v>48.7</v>
      </c>
      <c r="L34" s="102">
        <v>16.5</v>
      </c>
      <c r="M34" s="102">
        <v>23.4</v>
      </c>
      <c r="N34" s="102">
        <f t="shared" si="1"/>
        <v>253.2</v>
      </c>
      <c r="O34" s="102">
        <f t="shared" si="2"/>
        <v>789.1</v>
      </c>
      <c r="P34" s="102">
        <f t="shared" si="3"/>
        <v>88.6</v>
      </c>
      <c r="Q34" s="102">
        <f t="shared" si="4"/>
        <v>1130.9000000000003</v>
      </c>
    </row>
    <row r="35" spans="1:33">
      <c r="A35" s="102">
        <v>1998</v>
      </c>
      <c r="B35" s="102">
        <v>18</v>
      </c>
      <c r="C35" s="102">
        <v>17.600000000000001</v>
      </c>
      <c r="D35" s="102">
        <v>21.4</v>
      </c>
      <c r="E35" s="102">
        <v>142.69999999999999</v>
      </c>
      <c r="F35" s="102">
        <v>160.80000000000001</v>
      </c>
      <c r="G35" s="102">
        <v>158</v>
      </c>
      <c r="H35" s="102">
        <v>227.1</v>
      </c>
      <c r="I35" s="102">
        <v>246.2</v>
      </c>
      <c r="J35" s="102">
        <v>58.5</v>
      </c>
      <c r="K35" s="102">
        <v>93.9</v>
      </c>
      <c r="L35" s="102">
        <v>3</v>
      </c>
      <c r="M35" s="102">
        <v>12</v>
      </c>
      <c r="N35" s="102">
        <f t="shared" si="1"/>
        <v>199.7</v>
      </c>
      <c r="O35" s="102">
        <f t="shared" si="2"/>
        <v>850.59999999999991</v>
      </c>
      <c r="P35" s="102">
        <f t="shared" si="3"/>
        <v>108.9</v>
      </c>
      <c r="Q35" s="102">
        <f t="shared" si="4"/>
        <v>1159.2</v>
      </c>
    </row>
    <row r="36" spans="1:33">
      <c r="A36" s="102">
        <v>1999</v>
      </c>
      <c r="B36" s="102">
        <v>19</v>
      </c>
      <c r="C36" s="102">
        <v>19.399999999999999</v>
      </c>
      <c r="D36" s="102">
        <v>9.5</v>
      </c>
      <c r="E36" s="102">
        <v>106.5</v>
      </c>
      <c r="F36" s="102">
        <v>166.1</v>
      </c>
      <c r="G36" s="102">
        <v>379.4</v>
      </c>
      <c r="H36" s="102">
        <v>102.5</v>
      </c>
      <c r="I36" s="102">
        <v>122.9</v>
      </c>
      <c r="J36" s="102">
        <v>64.3</v>
      </c>
      <c r="K36" s="102">
        <v>79.2</v>
      </c>
      <c r="L36" s="102">
        <v>82</v>
      </c>
      <c r="M36" s="102">
        <v>8.4</v>
      </c>
      <c r="N36" s="102">
        <f t="shared" si="1"/>
        <v>154.4</v>
      </c>
      <c r="O36" s="102">
        <f t="shared" si="2"/>
        <v>835.19999999999993</v>
      </c>
      <c r="P36" s="102">
        <f t="shared" si="3"/>
        <v>169.6</v>
      </c>
      <c r="Q36" s="102">
        <f t="shared" si="4"/>
        <v>1159.2</v>
      </c>
    </row>
    <row r="37" spans="1:33">
      <c r="A37" s="102">
        <v>2000</v>
      </c>
      <c r="B37" s="102">
        <v>26</v>
      </c>
      <c r="C37" s="102">
        <v>10.199999999999999</v>
      </c>
      <c r="D37" s="102">
        <v>30.5</v>
      </c>
      <c r="E37" s="102">
        <v>137</v>
      </c>
      <c r="F37" s="102">
        <v>104.7</v>
      </c>
      <c r="G37" s="102">
        <v>226</v>
      </c>
      <c r="H37" s="102">
        <v>256.8</v>
      </c>
      <c r="I37" s="102">
        <v>190.9</v>
      </c>
      <c r="J37" s="102">
        <v>101</v>
      </c>
      <c r="K37" s="102">
        <v>120.6</v>
      </c>
      <c r="L37" s="102">
        <v>18</v>
      </c>
      <c r="M37" s="102">
        <v>14.5</v>
      </c>
      <c r="N37" s="102">
        <f t="shared" si="1"/>
        <v>203.7</v>
      </c>
      <c r="O37" s="102">
        <f t="shared" si="2"/>
        <v>879.4</v>
      </c>
      <c r="P37" s="102">
        <f t="shared" si="3"/>
        <v>153.1</v>
      </c>
      <c r="Q37" s="102">
        <f t="shared" si="4"/>
        <v>1236.1999999999998</v>
      </c>
    </row>
    <row r="38" spans="1:33">
      <c r="A38" s="102">
        <v>2001</v>
      </c>
      <c r="B38" s="102">
        <v>13.9</v>
      </c>
      <c r="C38" s="102">
        <v>11.6</v>
      </c>
      <c r="D38" s="102">
        <v>22.7</v>
      </c>
      <c r="E38" s="102">
        <v>158.69999999999999</v>
      </c>
      <c r="F38" s="102">
        <v>98.1</v>
      </c>
      <c r="G38" s="102">
        <v>115.3</v>
      </c>
      <c r="H38" s="102">
        <v>197.9</v>
      </c>
      <c r="I38" s="102">
        <v>80.599999999999994</v>
      </c>
      <c r="J38" s="102">
        <v>22.5</v>
      </c>
      <c r="K38" s="102">
        <v>83.7</v>
      </c>
      <c r="L38" s="102">
        <v>29.5</v>
      </c>
      <c r="M38" s="102">
        <v>3.8</v>
      </c>
      <c r="N38" s="102">
        <f t="shared" si="1"/>
        <v>206.89999999999998</v>
      </c>
      <c r="O38" s="102">
        <f t="shared" si="2"/>
        <v>514.4</v>
      </c>
      <c r="P38" s="102">
        <f t="shared" si="3"/>
        <v>117</v>
      </c>
      <c r="Q38" s="102">
        <f t="shared" si="4"/>
        <v>838.30000000000007</v>
      </c>
    </row>
    <row r="39" spans="1:33">
      <c r="A39" s="102">
        <v>2002</v>
      </c>
      <c r="B39" s="102">
        <v>26.5</v>
      </c>
      <c r="C39" s="102">
        <v>44.5</v>
      </c>
      <c r="D39" s="102">
        <v>68.7</v>
      </c>
      <c r="E39" s="102">
        <v>73.900000000000006</v>
      </c>
      <c r="F39" s="102">
        <v>155</v>
      </c>
      <c r="G39" s="102">
        <v>269.7</v>
      </c>
      <c r="H39" s="102">
        <v>36.700000000000003</v>
      </c>
      <c r="I39" s="102">
        <v>236.8</v>
      </c>
      <c r="J39" s="102">
        <v>65.900000000000006</v>
      </c>
      <c r="K39" s="102">
        <v>61.9</v>
      </c>
      <c r="L39" s="102">
        <v>28.2</v>
      </c>
      <c r="M39" s="102">
        <v>20.5</v>
      </c>
      <c r="N39" s="102">
        <f t="shared" si="1"/>
        <v>213.6</v>
      </c>
      <c r="O39" s="102">
        <f t="shared" si="2"/>
        <v>764.1</v>
      </c>
      <c r="P39" s="102">
        <f t="shared" si="3"/>
        <v>110.6</v>
      </c>
      <c r="Q39" s="102">
        <f t="shared" si="4"/>
        <v>1088.3</v>
      </c>
    </row>
    <row r="40" spans="1:33">
      <c r="A40" s="102">
        <v>2003</v>
      </c>
      <c r="B40" s="102">
        <v>26.8</v>
      </c>
      <c r="C40" s="102">
        <v>25.2</v>
      </c>
      <c r="D40" s="102">
        <v>11</v>
      </c>
      <c r="E40" s="102">
        <v>95.5</v>
      </c>
      <c r="F40" s="102">
        <v>129.6</v>
      </c>
      <c r="G40" s="102">
        <v>234.1</v>
      </c>
      <c r="H40" s="102">
        <v>200.4</v>
      </c>
      <c r="I40" s="102">
        <v>206.1</v>
      </c>
      <c r="J40" s="102">
        <v>160.9</v>
      </c>
      <c r="K40" s="102">
        <v>33.200000000000003</v>
      </c>
      <c r="L40" s="102">
        <v>52.3</v>
      </c>
      <c r="M40" s="102">
        <v>24.8</v>
      </c>
      <c r="N40" s="102">
        <f t="shared" si="1"/>
        <v>158.5</v>
      </c>
      <c r="O40" s="102">
        <f t="shared" si="2"/>
        <v>931.1</v>
      </c>
      <c r="P40" s="102">
        <f t="shared" si="3"/>
        <v>110.3</v>
      </c>
      <c r="Q40" s="102">
        <f t="shared" si="4"/>
        <v>1199.9000000000001</v>
      </c>
    </row>
    <row r="41" spans="1:33">
      <c r="A41" s="102">
        <v>2004</v>
      </c>
      <c r="B41" s="103">
        <v>18.600000000000001</v>
      </c>
      <c r="C41" s="103">
        <v>55</v>
      </c>
      <c r="D41" s="103">
        <v>66</v>
      </c>
      <c r="E41" s="103">
        <v>76.7</v>
      </c>
      <c r="F41" s="103">
        <v>214.7</v>
      </c>
      <c r="G41" s="103">
        <v>167.3</v>
      </c>
      <c r="H41" s="103">
        <v>162.1</v>
      </c>
      <c r="I41" s="103">
        <v>135.19999999999999</v>
      </c>
      <c r="J41" s="103">
        <v>167.1</v>
      </c>
      <c r="K41" s="103">
        <v>54</v>
      </c>
      <c r="L41" s="103">
        <v>80.2</v>
      </c>
      <c r="M41" s="103">
        <v>9.9</v>
      </c>
      <c r="N41" s="102">
        <f t="shared" si="1"/>
        <v>216.3</v>
      </c>
      <c r="O41" s="102">
        <f t="shared" si="2"/>
        <v>846.4</v>
      </c>
      <c r="P41" s="102">
        <f t="shared" si="3"/>
        <v>144.1</v>
      </c>
      <c r="Q41" s="102">
        <f t="shared" si="4"/>
        <v>1206.8</v>
      </c>
    </row>
    <row r="42" spans="1:33">
      <c r="A42" s="102">
        <v>2005</v>
      </c>
      <c r="B42" s="102">
        <v>13.5</v>
      </c>
      <c r="C42" s="102">
        <v>30.9</v>
      </c>
      <c r="D42" s="102">
        <v>27.9</v>
      </c>
      <c r="E42" s="102">
        <v>90.9</v>
      </c>
      <c r="F42" s="102">
        <v>381</v>
      </c>
      <c r="G42" s="102">
        <v>62.5</v>
      </c>
      <c r="H42" s="102">
        <v>112.5</v>
      </c>
      <c r="I42" s="102">
        <v>186.5</v>
      </c>
      <c r="J42" s="102">
        <v>85.8</v>
      </c>
      <c r="K42" s="103">
        <v>97.3</v>
      </c>
      <c r="L42" s="103">
        <v>17.5</v>
      </c>
      <c r="M42" s="103">
        <v>1.4</v>
      </c>
      <c r="N42" s="102">
        <f t="shared" si="1"/>
        <v>163.19999999999999</v>
      </c>
      <c r="O42" s="102">
        <f t="shared" si="2"/>
        <v>828.3</v>
      </c>
      <c r="P42" s="102">
        <f t="shared" si="3"/>
        <v>116.2</v>
      </c>
      <c r="Q42" s="102">
        <f t="shared" si="4"/>
        <v>1107.7</v>
      </c>
    </row>
    <row r="43" spans="1:33">
      <c r="A43" s="102">
        <v>2006</v>
      </c>
      <c r="B43" s="102">
        <v>7.6</v>
      </c>
      <c r="C43" s="102">
        <v>43.8</v>
      </c>
      <c r="D43" s="102">
        <v>32</v>
      </c>
      <c r="E43" s="102">
        <v>75.8</v>
      </c>
      <c r="F43" s="102">
        <v>134.1</v>
      </c>
      <c r="G43" s="102">
        <v>103</v>
      </c>
      <c r="H43" s="102">
        <v>64.900000000000006</v>
      </c>
      <c r="I43" s="102">
        <v>44.5</v>
      </c>
      <c r="J43" s="102">
        <v>133.19999999999999</v>
      </c>
      <c r="K43" s="102">
        <v>108.6</v>
      </c>
      <c r="L43" s="102">
        <v>54.7</v>
      </c>
      <c r="M43" s="102">
        <v>17.3</v>
      </c>
      <c r="N43" s="102">
        <f t="shared" si="1"/>
        <v>159.19999999999999</v>
      </c>
      <c r="O43" s="102">
        <f t="shared" si="2"/>
        <v>479.7</v>
      </c>
      <c r="P43" s="102">
        <f t="shared" si="3"/>
        <v>180.60000000000002</v>
      </c>
      <c r="Q43" s="102">
        <f t="shared" si="4"/>
        <v>819.49999999999989</v>
      </c>
    </row>
    <row r="44" spans="1:33">
      <c r="A44" s="102">
        <v>2007</v>
      </c>
      <c r="B44" s="102">
        <v>30.8</v>
      </c>
      <c r="C44" s="102">
        <v>32</v>
      </c>
      <c r="D44" s="102">
        <v>15.2</v>
      </c>
      <c r="E44" s="102">
        <v>125.2</v>
      </c>
      <c r="F44" s="102">
        <v>88</v>
      </c>
      <c r="G44" s="102">
        <v>317.10000000000002</v>
      </c>
      <c r="H44" s="102">
        <v>217.4</v>
      </c>
      <c r="I44" s="102">
        <v>193.3</v>
      </c>
      <c r="J44" s="102">
        <v>86.6</v>
      </c>
      <c r="K44" s="102">
        <v>112.9</v>
      </c>
      <c r="L44" s="102">
        <v>7.8</v>
      </c>
      <c r="M44" s="102">
        <v>19</v>
      </c>
      <c r="N44" s="102">
        <f t="shared" si="1"/>
        <v>203.2</v>
      </c>
      <c r="O44" s="102">
        <f t="shared" si="2"/>
        <v>902.4</v>
      </c>
      <c r="P44" s="102">
        <f t="shared" si="3"/>
        <v>139.69999999999999</v>
      </c>
      <c r="Q44" s="102">
        <f t="shared" si="4"/>
        <v>1245.3</v>
      </c>
    </row>
    <row r="45" spans="1:33">
      <c r="A45" s="102">
        <v>2008</v>
      </c>
      <c r="B45" s="102">
        <v>10.3</v>
      </c>
      <c r="C45" s="102">
        <v>24.2</v>
      </c>
      <c r="D45" s="102">
        <v>77.400000000000006</v>
      </c>
      <c r="E45" s="102">
        <v>99.7</v>
      </c>
      <c r="F45" s="102">
        <v>140</v>
      </c>
      <c r="G45" s="102">
        <v>52.3</v>
      </c>
      <c r="H45" s="102">
        <v>182.5</v>
      </c>
      <c r="I45" s="102">
        <v>141.30000000000001</v>
      </c>
      <c r="J45" s="102">
        <v>61.5</v>
      </c>
      <c r="K45" s="102">
        <v>140.19999999999999</v>
      </c>
      <c r="L45" s="102">
        <v>39.799999999999997</v>
      </c>
      <c r="M45" s="102">
        <v>17.399999999999999</v>
      </c>
      <c r="N45" s="102">
        <f t="shared" si="1"/>
        <v>211.60000000000002</v>
      </c>
      <c r="O45" s="102">
        <f t="shared" si="2"/>
        <v>577.6</v>
      </c>
      <c r="P45" s="102">
        <f t="shared" si="3"/>
        <v>197.4</v>
      </c>
      <c r="Q45" s="102">
        <f t="shared" si="4"/>
        <v>986.6</v>
      </c>
    </row>
    <row r="46" spans="1:33">
      <c r="A46" s="102">
        <v>2009</v>
      </c>
      <c r="B46" s="102">
        <v>14.7</v>
      </c>
      <c r="C46" s="102">
        <v>7.5</v>
      </c>
      <c r="D46" s="102">
        <v>27.3</v>
      </c>
      <c r="E46" s="102">
        <v>164.9</v>
      </c>
      <c r="F46" s="102">
        <v>63.9</v>
      </c>
      <c r="G46" s="102">
        <v>151.80000000000001</v>
      </c>
      <c r="H46" s="102">
        <v>76.7</v>
      </c>
      <c r="I46" s="102">
        <v>54.8</v>
      </c>
      <c r="J46" s="102">
        <v>71.8</v>
      </c>
      <c r="K46" s="102">
        <v>62.4</v>
      </c>
      <c r="L46" s="102">
        <v>28.1</v>
      </c>
      <c r="M46" s="102">
        <v>22.1</v>
      </c>
      <c r="N46" s="102">
        <f t="shared" si="1"/>
        <v>214.4</v>
      </c>
      <c r="O46" s="102">
        <f t="shared" si="2"/>
        <v>419.00000000000006</v>
      </c>
      <c r="P46" s="102">
        <f t="shared" si="3"/>
        <v>112.6</v>
      </c>
      <c r="Q46" s="102">
        <f t="shared" si="4"/>
        <v>746</v>
      </c>
    </row>
    <row r="47" spans="1:33">
      <c r="A47" s="102">
        <v>2010</v>
      </c>
      <c r="B47" s="102">
        <v>6</v>
      </c>
      <c r="C47" s="102">
        <v>0.8</v>
      </c>
      <c r="D47" s="102">
        <v>103.3</v>
      </c>
      <c r="E47" s="102">
        <v>125.3</v>
      </c>
      <c r="F47" s="102">
        <v>115.4</v>
      </c>
      <c r="G47" s="102">
        <v>219.2</v>
      </c>
      <c r="H47" s="102">
        <v>230.9</v>
      </c>
      <c r="I47" s="102">
        <v>122.6</v>
      </c>
      <c r="J47" s="102">
        <v>86.2</v>
      </c>
      <c r="K47" s="102">
        <v>79.599999999999994</v>
      </c>
      <c r="L47" s="102">
        <v>46.8</v>
      </c>
      <c r="M47" s="102">
        <v>15.9</v>
      </c>
      <c r="N47" s="102">
        <f t="shared" si="1"/>
        <v>235.39999999999998</v>
      </c>
      <c r="O47" s="102">
        <f t="shared" si="2"/>
        <v>774.30000000000007</v>
      </c>
      <c r="P47" s="102">
        <f t="shared" si="3"/>
        <v>142.29999999999998</v>
      </c>
      <c r="Q47" s="102">
        <f t="shared" si="4"/>
        <v>1152</v>
      </c>
    </row>
    <row r="48" spans="1:33">
      <c r="A48" s="102">
        <v>2011</v>
      </c>
      <c r="B48" s="102">
        <v>11.3</v>
      </c>
      <c r="C48" s="102">
        <v>10.6</v>
      </c>
      <c r="D48" s="102">
        <v>45.3</v>
      </c>
      <c r="E48" s="102">
        <v>40.799999999999997</v>
      </c>
      <c r="F48" s="102">
        <v>62.3</v>
      </c>
      <c r="G48" s="102">
        <v>170.5</v>
      </c>
      <c r="H48" s="102">
        <v>61.5</v>
      </c>
      <c r="I48" s="102">
        <v>172.1</v>
      </c>
      <c r="J48" s="102">
        <v>57.2</v>
      </c>
      <c r="K48" s="102">
        <v>155.30000000000001</v>
      </c>
      <c r="L48" s="102">
        <v>63.7</v>
      </c>
      <c r="M48" s="102">
        <v>25.7</v>
      </c>
      <c r="N48" s="102">
        <f t="shared" si="1"/>
        <v>107.99999999999999</v>
      </c>
      <c r="O48" s="102">
        <f t="shared" si="2"/>
        <v>523.6</v>
      </c>
      <c r="P48" s="102">
        <f t="shared" si="3"/>
        <v>244.7</v>
      </c>
      <c r="Q48" s="102">
        <f t="shared" si="4"/>
        <v>876.30000000000018</v>
      </c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  <c r="AF48" s="104"/>
      <c r="AG48" s="104"/>
    </row>
    <row r="49" spans="1:33">
      <c r="A49" s="102">
        <v>2012</v>
      </c>
      <c r="B49" s="102">
        <v>9.4</v>
      </c>
      <c r="C49" s="102">
        <v>0.4</v>
      </c>
      <c r="D49" s="102">
        <v>41</v>
      </c>
      <c r="E49" s="102">
        <v>93.9</v>
      </c>
      <c r="F49" s="102">
        <v>208.8</v>
      </c>
      <c r="G49" s="102">
        <v>193.1</v>
      </c>
      <c r="H49" s="102">
        <v>112.5</v>
      </c>
      <c r="I49" s="102">
        <v>65</v>
      </c>
      <c r="J49" s="102">
        <v>54.8</v>
      </c>
      <c r="K49" s="102">
        <v>83.3</v>
      </c>
      <c r="L49" s="102">
        <v>46.1</v>
      </c>
      <c r="M49" s="102">
        <v>9.4</v>
      </c>
      <c r="N49" s="102">
        <f t="shared" si="1"/>
        <v>144.69999999999999</v>
      </c>
      <c r="O49" s="102">
        <f t="shared" si="2"/>
        <v>634.19999999999993</v>
      </c>
      <c r="P49" s="102">
        <f t="shared" si="3"/>
        <v>138.80000000000001</v>
      </c>
      <c r="Q49" s="102">
        <f t="shared" si="4"/>
        <v>917.69999999999993</v>
      </c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  <c r="AD49" s="104"/>
      <c r="AE49" s="104"/>
      <c r="AF49" s="104"/>
      <c r="AG49" s="104"/>
    </row>
    <row r="50" spans="1:33">
      <c r="A50" s="102">
        <v>2013</v>
      </c>
      <c r="B50" s="102">
        <v>6.1</v>
      </c>
      <c r="C50" s="102">
        <v>4.0999999999999996</v>
      </c>
      <c r="D50" s="102">
        <v>30</v>
      </c>
      <c r="E50" s="102">
        <v>154.1</v>
      </c>
      <c r="F50" s="102">
        <v>152.9</v>
      </c>
      <c r="G50" s="102">
        <v>78.3</v>
      </c>
      <c r="H50" s="102">
        <v>11</v>
      </c>
      <c r="I50" s="102">
        <v>194.7</v>
      </c>
      <c r="J50" s="102">
        <v>149</v>
      </c>
      <c r="K50" s="102">
        <v>103.2</v>
      </c>
      <c r="L50" s="102">
        <v>30.3</v>
      </c>
      <c r="M50" s="102">
        <v>7.3</v>
      </c>
      <c r="N50" s="102">
        <f t="shared" si="1"/>
        <v>194.3</v>
      </c>
      <c r="O50" s="102">
        <f t="shared" si="2"/>
        <v>585.9</v>
      </c>
      <c r="P50" s="102">
        <f t="shared" si="3"/>
        <v>140.80000000000001</v>
      </c>
      <c r="Q50" s="102">
        <f t="shared" si="4"/>
        <v>921</v>
      </c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</row>
    <row r="51" spans="1:33">
      <c r="A51" s="102">
        <v>2014</v>
      </c>
      <c r="B51" s="114">
        <v>4.4000000000000004</v>
      </c>
      <c r="C51" s="114">
        <v>9.5</v>
      </c>
      <c r="D51" s="114">
        <v>72.7</v>
      </c>
      <c r="E51" s="114">
        <v>140.4</v>
      </c>
      <c r="F51" s="114">
        <v>200.9</v>
      </c>
      <c r="G51" s="114">
        <v>145.30000000000001</v>
      </c>
      <c r="H51" s="114">
        <v>141</v>
      </c>
      <c r="I51" s="114">
        <v>161.9</v>
      </c>
      <c r="J51" s="114">
        <v>74.2</v>
      </c>
      <c r="K51" s="114">
        <v>197.7</v>
      </c>
      <c r="L51" s="114">
        <v>59.5</v>
      </c>
      <c r="M51" s="114">
        <v>11.3</v>
      </c>
      <c r="N51" s="102">
        <f t="shared" si="1"/>
        <v>227</v>
      </c>
      <c r="O51" s="102">
        <f t="shared" si="2"/>
        <v>723.30000000000007</v>
      </c>
      <c r="P51" s="102">
        <f t="shared" si="3"/>
        <v>268.5</v>
      </c>
      <c r="Q51" s="102">
        <f t="shared" si="4"/>
        <v>1218.8</v>
      </c>
    </row>
    <row r="52" spans="1:33">
      <c r="A52" s="102">
        <v>2015</v>
      </c>
      <c r="B52" s="114">
        <v>10.9</v>
      </c>
      <c r="C52" s="114">
        <v>11.7</v>
      </c>
      <c r="D52" s="114">
        <v>30.3</v>
      </c>
      <c r="E52" s="114">
        <v>86.1</v>
      </c>
      <c r="F52" s="114">
        <v>89.4</v>
      </c>
      <c r="G52" s="114">
        <v>136.1</v>
      </c>
      <c r="H52" s="114">
        <v>92.4</v>
      </c>
      <c r="I52" s="114">
        <v>129.1</v>
      </c>
      <c r="J52" s="114">
        <v>106.9</v>
      </c>
      <c r="K52" s="114">
        <v>29.6</v>
      </c>
      <c r="L52" s="114">
        <v>19.3</v>
      </c>
      <c r="M52" s="114">
        <v>51.2</v>
      </c>
      <c r="N52" s="102">
        <f>SUM(B52:E52)</f>
        <v>139</v>
      </c>
      <c r="O52" s="102">
        <f>SUM(F52:J52)</f>
        <v>553.9</v>
      </c>
      <c r="P52" s="102">
        <f>SUM(K52:M52)</f>
        <v>100.10000000000001</v>
      </c>
      <c r="Q52" s="102">
        <f>SUM(B52:M52)</f>
        <v>793</v>
      </c>
    </row>
    <row r="53" spans="1:33">
      <c r="A53" s="108">
        <v>2016</v>
      </c>
      <c r="B53" s="115">
        <v>15.6</v>
      </c>
      <c r="C53" s="115">
        <v>12.9</v>
      </c>
      <c r="D53" s="115">
        <v>64.7</v>
      </c>
      <c r="E53" s="115">
        <v>201</v>
      </c>
      <c r="F53" s="115">
        <v>179.4</v>
      </c>
      <c r="G53" s="115">
        <v>403</v>
      </c>
      <c r="H53" s="115">
        <v>69.900000000000006</v>
      </c>
      <c r="I53" s="115">
        <v>127.4</v>
      </c>
      <c r="J53" s="115">
        <v>64.099999999999994</v>
      </c>
      <c r="K53" s="115">
        <v>65.8</v>
      </c>
      <c r="L53" s="115">
        <v>45.7</v>
      </c>
      <c r="M53" s="115">
        <v>5.0999999999999996</v>
      </c>
      <c r="N53" s="108">
        <f>SUM(B53:E53)</f>
        <v>294.2</v>
      </c>
      <c r="O53" s="108">
        <f>SUM(F53:J53)</f>
        <v>843.8</v>
      </c>
      <c r="P53" s="108">
        <f>SUM(K53:M53)</f>
        <v>116.6</v>
      </c>
      <c r="Q53" s="108">
        <f>SUM(B53:M53)</f>
        <v>1254.5999999999999</v>
      </c>
      <c r="R53" s="108">
        <f t="shared" ref="R53:AG53" si="5">100*(B53-B4)/B4</f>
        <v>7.4472664657770444</v>
      </c>
      <c r="S53" s="108">
        <f t="shared" si="5"/>
        <v>-25.190286335628858</v>
      </c>
      <c r="T53" s="108">
        <f t="shared" si="5"/>
        <v>79.878366637706307</v>
      </c>
      <c r="U53" s="108">
        <f t="shared" si="5"/>
        <v>130.50458715596329</v>
      </c>
      <c r="V53" s="108">
        <f t="shared" si="5"/>
        <v>32.367996310813936</v>
      </c>
      <c r="W53" s="108">
        <f t="shared" si="5"/>
        <v>120.40927943120185</v>
      </c>
      <c r="X53" s="108">
        <f t="shared" si="5"/>
        <v>-50.796304443466759</v>
      </c>
      <c r="Y53" s="108">
        <f t="shared" si="5"/>
        <v>-5.3462526700306618</v>
      </c>
      <c r="Z53" s="108">
        <f t="shared" si="5"/>
        <v>-20.364426959312571</v>
      </c>
      <c r="AA53" s="108">
        <f t="shared" si="5"/>
        <v>-22.051383301660934</v>
      </c>
      <c r="AB53" s="108">
        <f t="shared" si="5"/>
        <v>4.3527900670757642</v>
      </c>
      <c r="AC53" s="108">
        <f t="shared" si="5"/>
        <v>-68.937952036543578</v>
      </c>
      <c r="AD53" s="108">
        <f t="shared" si="5"/>
        <v>89.890677316551717</v>
      </c>
      <c r="AE53" s="108">
        <f t="shared" si="5"/>
        <v>24.910640213908394</v>
      </c>
      <c r="AF53" s="108">
        <f t="shared" si="5"/>
        <v>-19.378862303913834</v>
      </c>
      <c r="AG53" s="108">
        <f t="shared" si="5"/>
        <v>28.666200893515267</v>
      </c>
    </row>
  </sheetData>
  <mergeCells count="6">
    <mergeCell ref="A1:A3"/>
    <mergeCell ref="B1:Q1"/>
    <mergeCell ref="B2:M2"/>
    <mergeCell ref="R1:AG1"/>
    <mergeCell ref="N2:Q2"/>
    <mergeCell ref="R2:AG2"/>
  </mergeCells>
  <phoneticPr fontId="2" type="noConversion"/>
  <pageMargins left="0.75" right="0.75" top="1" bottom="1" header="0.5" footer="0.5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4"/>
  <dimension ref="A1:AH62"/>
  <sheetViews>
    <sheetView zoomScale="85" zoomScaleNormal="85" workbookViewId="0">
      <pane ySplit="5" topLeftCell="A6" activePane="bottomLeft" state="frozen"/>
      <selection pane="bottomLeft" activeCell="F62" sqref="F62"/>
    </sheetView>
  </sheetViews>
  <sheetFormatPr defaultRowHeight="12"/>
  <cols>
    <col min="1" max="37" width="7.125" style="102" customWidth="1"/>
    <col min="38" max="16384" width="9" style="102"/>
  </cols>
  <sheetData>
    <row r="1" spans="1:33" s="118" customFormat="1" ht="14.25" customHeight="1">
      <c r="A1" s="176" t="s">
        <v>53</v>
      </c>
      <c r="B1" s="176" t="s">
        <v>171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2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116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32</v>
      </c>
      <c r="O2" s="176"/>
      <c r="P2" s="176"/>
      <c r="Q2" s="176"/>
      <c r="R2" s="176" t="s">
        <v>38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 ht="24">
      <c r="A3" s="176"/>
      <c r="B3" s="124" t="s">
        <v>149</v>
      </c>
      <c r="C3" s="124" t="s">
        <v>150</v>
      </c>
      <c r="D3" s="124" t="s">
        <v>9</v>
      </c>
      <c r="E3" s="124" t="s">
        <v>10</v>
      </c>
      <c r="F3" s="124" t="s">
        <v>11</v>
      </c>
      <c r="G3" s="124" t="s">
        <v>12</v>
      </c>
      <c r="H3" s="124" t="s">
        <v>13</v>
      </c>
      <c r="I3" s="124" t="s">
        <v>14</v>
      </c>
      <c r="J3" s="124" t="s">
        <v>15</v>
      </c>
      <c r="K3" s="124" t="s">
        <v>16</v>
      </c>
      <c r="L3" s="124" t="s">
        <v>17</v>
      </c>
      <c r="M3" s="124" t="s">
        <v>18</v>
      </c>
      <c r="N3" s="124" t="s">
        <v>145</v>
      </c>
      <c r="O3" s="124" t="s">
        <v>146</v>
      </c>
      <c r="P3" s="124" t="s">
        <v>147</v>
      </c>
      <c r="Q3" s="124" t="s">
        <v>148</v>
      </c>
      <c r="R3" s="124" t="s">
        <v>149</v>
      </c>
      <c r="S3" s="124" t="s">
        <v>150</v>
      </c>
      <c r="T3" s="124" t="s">
        <v>151</v>
      </c>
      <c r="U3" s="124" t="s">
        <v>152</v>
      </c>
      <c r="V3" s="124" t="s">
        <v>153</v>
      </c>
      <c r="W3" s="124" t="s">
        <v>154</v>
      </c>
      <c r="X3" s="124" t="s">
        <v>25</v>
      </c>
      <c r="Y3" s="124" t="s">
        <v>26</v>
      </c>
      <c r="Z3" s="124" t="s">
        <v>27</v>
      </c>
      <c r="AA3" s="124" t="s">
        <v>155</v>
      </c>
      <c r="AB3" s="124" t="s">
        <v>156</v>
      </c>
      <c r="AC3" s="124" t="s">
        <v>157</v>
      </c>
      <c r="AD3" s="124" t="s">
        <v>90</v>
      </c>
      <c r="AE3" s="124" t="s">
        <v>42</v>
      </c>
      <c r="AF3" s="124" t="s">
        <v>111</v>
      </c>
      <c r="AG3" s="124" t="s">
        <v>66</v>
      </c>
    </row>
    <row r="4" spans="1:33" s="118" customFormat="1">
      <c r="A4" s="150" t="s">
        <v>261</v>
      </c>
      <c r="B4" s="150">
        <f t="shared" ref="B4:Q4" si="0">AVERAGE(B5:B58)</f>
        <v>23.270370370370372</v>
      </c>
      <c r="C4" s="150">
        <f t="shared" si="0"/>
        <v>23.707407407407409</v>
      </c>
      <c r="D4" s="150">
        <f t="shared" si="0"/>
        <v>36.859259259259247</v>
      </c>
      <c r="E4" s="150">
        <f t="shared" si="0"/>
        <v>83.338888888888889</v>
      </c>
      <c r="F4" s="150">
        <f t="shared" si="0"/>
        <v>179.50370370370362</v>
      </c>
      <c r="G4" s="150">
        <f t="shared" si="0"/>
        <v>239.31481481481489</v>
      </c>
      <c r="H4" s="150">
        <f t="shared" si="0"/>
        <v>190.13333333333333</v>
      </c>
      <c r="I4" s="150">
        <f t="shared" si="0"/>
        <v>148.91111111111113</v>
      </c>
      <c r="J4" s="150">
        <f t="shared" si="0"/>
        <v>104.04074074074076</v>
      </c>
      <c r="K4" s="150">
        <f t="shared" si="0"/>
        <v>93.040740740740731</v>
      </c>
      <c r="L4" s="150">
        <f t="shared" si="0"/>
        <v>41.955555555555556</v>
      </c>
      <c r="M4" s="150">
        <f t="shared" si="0"/>
        <v>23.68148148148148</v>
      </c>
      <c r="N4" s="150">
        <f t="shared" si="0"/>
        <v>167.17592592592592</v>
      </c>
      <c r="O4" s="150">
        <f t="shared" si="0"/>
        <v>861.90370370370374</v>
      </c>
      <c r="P4" s="150">
        <f t="shared" si="0"/>
        <v>158.67777777777775</v>
      </c>
      <c r="Q4" s="150">
        <f t="shared" si="0"/>
        <v>1187.7574074074071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1962</v>
      </c>
      <c r="B5" s="102">
        <v>14.7</v>
      </c>
      <c r="C5" s="102">
        <v>11.3</v>
      </c>
      <c r="D5" s="102">
        <v>13.6</v>
      </c>
      <c r="E5" s="102">
        <v>93.1</v>
      </c>
      <c r="F5" s="102">
        <v>97</v>
      </c>
      <c r="G5" s="102">
        <v>149.5</v>
      </c>
      <c r="H5" s="102">
        <v>43.3</v>
      </c>
      <c r="I5" s="102">
        <v>186.7</v>
      </c>
      <c r="J5" s="102">
        <v>52.3</v>
      </c>
      <c r="K5" s="102">
        <v>85.2</v>
      </c>
      <c r="L5" s="102">
        <v>15.5</v>
      </c>
      <c r="M5" s="102">
        <v>11.6</v>
      </c>
      <c r="N5" s="102">
        <f>SUM(B5:E5)</f>
        <v>132.69999999999999</v>
      </c>
      <c r="O5" s="102">
        <f>SUM(F5:J5)</f>
        <v>528.79999999999995</v>
      </c>
      <c r="P5" s="102">
        <f>SUM(K5:M5)</f>
        <v>112.3</v>
      </c>
      <c r="Q5" s="102">
        <f>SUM(B5:M5)</f>
        <v>773.80000000000007</v>
      </c>
    </row>
    <row r="6" spans="1:33">
      <c r="A6" s="102">
        <v>1963</v>
      </c>
      <c r="B6" s="102">
        <v>3.6</v>
      </c>
      <c r="C6" s="102">
        <v>13</v>
      </c>
      <c r="D6" s="102">
        <v>18.5</v>
      </c>
      <c r="E6" s="102">
        <v>16.8</v>
      </c>
      <c r="F6" s="102">
        <v>247.7</v>
      </c>
      <c r="G6" s="102">
        <v>109</v>
      </c>
      <c r="H6" s="102">
        <v>310</v>
      </c>
      <c r="I6" s="102">
        <v>45</v>
      </c>
      <c r="J6" s="102">
        <v>50.9</v>
      </c>
      <c r="K6" s="102">
        <v>58.8</v>
      </c>
      <c r="L6" s="102">
        <v>187.7</v>
      </c>
      <c r="M6" s="102">
        <v>37.1</v>
      </c>
      <c r="N6" s="102">
        <f t="shared" ref="N6:N57" si="1">SUM(B6:E6)</f>
        <v>51.900000000000006</v>
      </c>
      <c r="O6" s="102">
        <f t="shared" ref="O6:O56" si="2">SUM(F6:J6)</f>
        <v>762.6</v>
      </c>
      <c r="P6" s="102">
        <f t="shared" ref="P6:P56" si="3">SUM(K6:M6)</f>
        <v>283.60000000000002</v>
      </c>
      <c r="Q6" s="102">
        <f t="shared" ref="Q6:Q56" si="4">SUM(B6:M6)</f>
        <v>1098.0999999999999</v>
      </c>
    </row>
    <row r="7" spans="1:33">
      <c r="A7" s="102">
        <v>1964</v>
      </c>
      <c r="B7" s="102">
        <v>8.4</v>
      </c>
      <c r="C7" s="102">
        <v>20.9</v>
      </c>
      <c r="D7" s="102">
        <v>17.3</v>
      </c>
      <c r="E7" s="102">
        <v>246.9</v>
      </c>
      <c r="F7" s="102">
        <v>112.3</v>
      </c>
      <c r="G7" s="102">
        <v>380.6</v>
      </c>
      <c r="H7" s="102">
        <v>149.1</v>
      </c>
      <c r="I7" s="102">
        <v>243</v>
      </c>
      <c r="J7" s="102">
        <v>65.5</v>
      </c>
      <c r="K7" s="102">
        <v>97</v>
      </c>
      <c r="L7" s="102">
        <v>37.200000000000003</v>
      </c>
      <c r="M7" s="102">
        <v>48.6</v>
      </c>
      <c r="N7" s="102">
        <f t="shared" si="1"/>
        <v>293.5</v>
      </c>
      <c r="O7" s="102">
        <f t="shared" si="2"/>
        <v>950.5</v>
      </c>
      <c r="P7" s="102">
        <f t="shared" si="3"/>
        <v>182.79999999999998</v>
      </c>
      <c r="Q7" s="102">
        <f t="shared" si="4"/>
        <v>1426.8</v>
      </c>
    </row>
    <row r="8" spans="1:33">
      <c r="A8" s="102">
        <v>1965</v>
      </c>
      <c r="B8" s="102">
        <v>27.9</v>
      </c>
      <c r="C8" s="102">
        <v>15.2</v>
      </c>
      <c r="D8" s="102">
        <v>38.4</v>
      </c>
      <c r="E8" s="102">
        <v>139.19999999999999</v>
      </c>
      <c r="F8" s="102">
        <v>188.1</v>
      </c>
      <c r="G8" s="102">
        <v>294.10000000000002</v>
      </c>
      <c r="H8" s="102">
        <v>129.4</v>
      </c>
      <c r="I8" s="102">
        <v>175.3</v>
      </c>
      <c r="J8" s="102">
        <v>47.5</v>
      </c>
      <c r="K8" s="102">
        <v>206</v>
      </c>
      <c r="L8" s="102">
        <v>45.1</v>
      </c>
      <c r="M8" s="102">
        <v>22</v>
      </c>
      <c r="N8" s="102">
        <f t="shared" si="1"/>
        <v>220.7</v>
      </c>
      <c r="O8" s="102">
        <f t="shared" si="2"/>
        <v>834.40000000000009</v>
      </c>
      <c r="P8" s="102">
        <f t="shared" si="3"/>
        <v>273.10000000000002</v>
      </c>
      <c r="Q8" s="102">
        <f t="shared" si="4"/>
        <v>1328.1999999999998</v>
      </c>
    </row>
    <row r="9" spans="1:33">
      <c r="A9" s="102">
        <v>1966</v>
      </c>
      <c r="B9" s="102">
        <v>22.6</v>
      </c>
      <c r="C9" s="102">
        <v>10.199999999999999</v>
      </c>
      <c r="D9" s="102">
        <v>14.8</v>
      </c>
      <c r="E9" s="102">
        <v>112.5</v>
      </c>
      <c r="F9" s="102">
        <v>172.5</v>
      </c>
      <c r="G9" s="102">
        <v>192.4</v>
      </c>
      <c r="H9" s="102">
        <v>80.8</v>
      </c>
      <c r="I9" s="102">
        <v>98.7</v>
      </c>
      <c r="J9" s="102">
        <v>24.7</v>
      </c>
      <c r="K9" s="102">
        <v>108.6</v>
      </c>
      <c r="L9" s="102">
        <v>19.399999999999999</v>
      </c>
      <c r="M9" s="102">
        <v>19.899999999999999</v>
      </c>
      <c r="N9" s="102">
        <f t="shared" si="1"/>
        <v>160.1</v>
      </c>
      <c r="O9" s="102">
        <f t="shared" si="2"/>
        <v>569.1</v>
      </c>
      <c r="P9" s="102">
        <f t="shared" si="3"/>
        <v>147.9</v>
      </c>
      <c r="Q9" s="102">
        <f t="shared" si="4"/>
        <v>877.1</v>
      </c>
    </row>
    <row r="10" spans="1:33">
      <c r="A10" s="102">
        <v>1967</v>
      </c>
      <c r="B10" s="102">
        <v>8.6</v>
      </c>
      <c r="C10" s="102">
        <v>43.6</v>
      </c>
      <c r="D10" s="102">
        <v>39.200000000000003</v>
      </c>
      <c r="E10" s="102">
        <v>156.1</v>
      </c>
      <c r="F10" s="102">
        <v>216.3</v>
      </c>
      <c r="G10" s="102">
        <v>212.8</v>
      </c>
      <c r="H10" s="102">
        <v>229.7</v>
      </c>
      <c r="I10" s="102">
        <v>153.1</v>
      </c>
      <c r="J10" s="102">
        <v>202.4</v>
      </c>
      <c r="K10" s="102">
        <v>42.7</v>
      </c>
      <c r="L10" s="102">
        <v>65.900000000000006</v>
      </c>
      <c r="M10" s="102">
        <v>25.6</v>
      </c>
      <c r="N10" s="102">
        <f t="shared" si="1"/>
        <v>247.5</v>
      </c>
      <c r="O10" s="102">
        <f t="shared" si="2"/>
        <v>1014.3</v>
      </c>
      <c r="P10" s="102">
        <f t="shared" si="3"/>
        <v>134.20000000000002</v>
      </c>
      <c r="Q10" s="102">
        <f t="shared" si="4"/>
        <v>1396</v>
      </c>
    </row>
    <row r="11" spans="1:33">
      <c r="A11" s="102">
        <v>1968</v>
      </c>
      <c r="B11" s="102">
        <v>17.100000000000001</v>
      </c>
      <c r="C11" s="102">
        <v>27.5</v>
      </c>
      <c r="D11" s="102">
        <v>37.6</v>
      </c>
      <c r="E11" s="102">
        <v>105.4</v>
      </c>
      <c r="F11" s="102">
        <v>173</v>
      </c>
      <c r="G11" s="102">
        <v>311.7</v>
      </c>
      <c r="H11" s="102">
        <v>143.30000000000001</v>
      </c>
      <c r="I11" s="102">
        <v>129.4</v>
      </c>
      <c r="J11" s="102">
        <v>41.8</v>
      </c>
      <c r="K11" s="102">
        <v>144.6</v>
      </c>
      <c r="L11" s="102">
        <v>35.200000000000003</v>
      </c>
      <c r="M11" s="102">
        <v>11.8</v>
      </c>
      <c r="N11" s="102">
        <f t="shared" si="1"/>
        <v>187.60000000000002</v>
      </c>
      <c r="O11" s="102">
        <f t="shared" si="2"/>
        <v>799.19999999999993</v>
      </c>
      <c r="P11" s="102">
        <f t="shared" si="3"/>
        <v>191.60000000000002</v>
      </c>
      <c r="Q11" s="102">
        <f t="shared" si="4"/>
        <v>1178.3999999999999</v>
      </c>
    </row>
    <row r="12" spans="1:33">
      <c r="A12" s="102">
        <v>1969</v>
      </c>
      <c r="B12" s="102">
        <v>16.100000000000001</v>
      </c>
      <c r="C12" s="102">
        <v>5.6</v>
      </c>
      <c r="D12" s="102">
        <v>30.6</v>
      </c>
      <c r="E12" s="102">
        <v>72.5</v>
      </c>
      <c r="F12" s="102">
        <v>121.9</v>
      </c>
      <c r="G12" s="102">
        <v>300.5</v>
      </c>
      <c r="H12" s="102">
        <v>266.39999999999998</v>
      </c>
      <c r="I12" s="102">
        <v>215.7</v>
      </c>
      <c r="J12" s="102">
        <v>12.1</v>
      </c>
      <c r="K12" s="102">
        <v>114.3</v>
      </c>
      <c r="L12" s="102">
        <v>27.4</v>
      </c>
      <c r="M12" s="102">
        <v>7.5</v>
      </c>
      <c r="N12" s="102">
        <f t="shared" si="1"/>
        <v>124.80000000000001</v>
      </c>
      <c r="O12" s="102">
        <f t="shared" si="2"/>
        <v>916.6</v>
      </c>
      <c r="P12" s="102">
        <f t="shared" si="3"/>
        <v>149.19999999999999</v>
      </c>
      <c r="Q12" s="102">
        <f t="shared" si="4"/>
        <v>1190.5999999999999</v>
      </c>
    </row>
    <row r="13" spans="1:33">
      <c r="A13" s="102">
        <v>1970</v>
      </c>
      <c r="B13" s="102">
        <v>34.299999999999997</v>
      </c>
      <c r="C13" s="102">
        <v>11</v>
      </c>
      <c r="D13" s="102">
        <v>87.2</v>
      </c>
      <c r="E13" s="102">
        <v>80.5</v>
      </c>
      <c r="F13" s="102">
        <v>110.1</v>
      </c>
      <c r="G13" s="102">
        <v>113.5</v>
      </c>
      <c r="H13" s="102">
        <v>347.8</v>
      </c>
      <c r="I13" s="102">
        <v>83.6</v>
      </c>
      <c r="J13" s="102">
        <v>232.1</v>
      </c>
      <c r="K13" s="102">
        <v>47.5</v>
      </c>
      <c r="L13" s="102">
        <v>39.299999999999997</v>
      </c>
      <c r="M13" s="102">
        <v>50.9</v>
      </c>
      <c r="N13" s="102">
        <f t="shared" si="1"/>
        <v>213</v>
      </c>
      <c r="O13" s="102">
        <f t="shared" si="2"/>
        <v>887.1</v>
      </c>
      <c r="P13" s="102">
        <f t="shared" si="3"/>
        <v>137.69999999999999</v>
      </c>
      <c r="Q13" s="102">
        <f t="shared" si="4"/>
        <v>1237.8000000000002</v>
      </c>
    </row>
    <row r="14" spans="1:33">
      <c r="A14" s="102">
        <v>1971</v>
      </c>
      <c r="B14" s="102">
        <v>23.2</v>
      </c>
      <c r="C14" s="102">
        <v>23.6</v>
      </c>
      <c r="D14" s="102">
        <v>21.7</v>
      </c>
      <c r="E14" s="102">
        <v>184.2</v>
      </c>
      <c r="F14" s="102">
        <v>300</v>
      </c>
      <c r="G14" s="102">
        <v>280.5</v>
      </c>
      <c r="H14" s="102">
        <v>151.1</v>
      </c>
      <c r="I14" s="102">
        <v>213.5</v>
      </c>
      <c r="J14" s="102">
        <v>101</v>
      </c>
      <c r="K14" s="102">
        <v>106.9</v>
      </c>
      <c r="L14" s="102">
        <v>28</v>
      </c>
      <c r="M14" s="102">
        <v>55.6</v>
      </c>
      <c r="N14" s="102">
        <f t="shared" si="1"/>
        <v>252.7</v>
      </c>
      <c r="O14" s="102">
        <f t="shared" si="2"/>
        <v>1046.0999999999999</v>
      </c>
      <c r="P14" s="102">
        <f t="shared" si="3"/>
        <v>190.5</v>
      </c>
      <c r="Q14" s="102">
        <f t="shared" si="4"/>
        <v>1489.3000000000002</v>
      </c>
    </row>
    <row r="15" spans="1:33">
      <c r="A15" s="102">
        <v>1972</v>
      </c>
      <c r="B15" s="102">
        <v>15</v>
      </c>
      <c r="C15" s="102">
        <v>17</v>
      </c>
      <c r="D15" s="102">
        <v>47.9</v>
      </c>
      <c r="E15" s="102">
        <v>96.8</v>
      </c>
      <c r="F15" s="102">
        <v>326.5</v>
      </c>
      <c r="G15" s="102">
        <v>180.4</v>
      </c>
      <c r="H15" s="102">
        <v>58.2</v>
      </c>
      <c r="I15" s="102">
        <v>40.1</v>
      </c>
      <c r="J15" s="102">
        <v>318.2</v>
      </c>
      <c r="K15" s="102">
        <v>99.9</v>
      </c>
      <c r="L15" s="102">
        <v>65.5</v>
      </c>
      <c r="M15" s="102">
        <v>25.6</v>
      </c>
      <c r="N15" s="102">
        <f t="shared" si="1"/>
        <v>176.7</v>
      </c>
      <c r="O15" s="102">
        <f t="shared" si="2"/>
        <v>923.40000000000009</v>
      </c>
      <c r="P15" s="102">
        <f t="shared" si="3"/>
        <v>191</v>
      </c>
      <c r="Q15" s="102">
        <f t="shared" si="4"/>
        <v>1291.1000000000001</v>
      </c>
    </row>
    <row r="16" spans="1:33">
      <c r="A16" s="102">
        <v>1973</v>
      </c>
      <c r="B16" s="102">
        <v>33.4</v>
      </c>
      <c r="C16" s="102">
        <v>21.1</v>
      </c>
      <c r="D16" s="102">
        <v>46.8</v>
      </c>
      <c r="E16" s="102">
        <v>69.099999999999994</v>
      </c>
      <c r="F16" s="102">
        <v>168.7</v>
      </c>
      <c r="G16" s="102">
        <v>269.3</v>
      </c>
      <c r="H16" s="102">
        <v>206.9</v>
      </c>
      <c r="I16" s="102">
        <v>129</v>
      </c>
      <c r="J16" s="102">
        <v>98.3</v>
      </c>
      <c r="K16" s="102">
        <v>56.4</v>
      </c>
      <c r="L16" s="102">
        <v>43.6</v>
      </c>
      <c r="M16" s="102">
        <v>8.1999999999999993</v>
      </c>
      <c r="N16" s="102">
        <f t="shared" si="1"/>
        <v>170.39999999999998</v>
      </c>
      <c r="O16" s="102">
        <f t="shared" si="2"/>
        <v>872.19999999999993</v>
      </c>
      <c r="P16" s="102">
        <f t="shared" si="3"/>
        <v>108.2</v>
      </c>
      <c r="Q16" s="102">
        <f t="shared" si="4"/>
        <v>1150.8</v>
      </c>
    </row>
    <row r="17" spans="1:17">
      <c r="A17" s="102">
        <v>1974</v>
      </c>
      <c r="B17" s="102">
        <v>30.7</v>
      </c>
      <c r="C17" s="102">
        <v>4.5</v>
      </c>
      <c r="D17" s="102">
        <v>57.5</v>
      </c>
      <c r="E17" s="102">
        <v>186</v>
      </c>
      <c r="F17" s="102">
        <v>187.8</v>
      </c>
      <c r="G17" s="102">
        <v>221.2</v>
      </c>
      <c r="H17" s="102">
        <v>130</v>
      </c>
      <c r="I17" s="102">
        <v>239.7</v>
      </c>
      <c r="J17" s="102">
        <v>145.30000000000001</v>
      </c>
      <c r="K17" s="102">
        <v>68.3</v>
      </c>
      <c r="L17" s="102">
        <v>22.3</v>
      </c>
      <c r="M17" s="102">
        <v>28</v>
      </c>
      <c r="N17" s="102">
        <f t="shared" si="1"/>
        <v>278.7</v>
      </c>
      <c r="O17" s="102">
        <f t="shared" si="2"/>
        <v>924</v>
      </c>
      <c r="P17" s="102">
        <f t="shared" si="3"/>
        <v>118.6</v>
      </c>
      <c r="Q17" s="102">
        <f t="shared" si="4"/>
        <v>1321.3</v>
      </c>
    </row>
    <row r="18" spans="1:17">
      <c r="A18" s="102">
        <v>1975</v>
      </c>
      <c r="B18" s="102">
        <v>37.299999999999997</v>
      </c>
      <c r="C18" s="102">
        <v>16.2</v>
      </c>
      <c r="D18" s="102">
        <v>47.2</v>
      </c>
      <c r="E18" s="102">
        <v>84.1</v>
      </c>
      <c r="F18" s="102">
        <v>293.10000000000002</v>
      </c>
      <c r="G18" s="102">
        <v>66.599999999999994</v>
      </c>
      <c r="H18" s="102">
        <v>83.4</v>
      </c>
      <c r="I18" s="102">
        <v>190.6</v>
      </c>
      <c r="J18" s="102">
        <v>113.1</v>
      </c>
      <c r="K18" s="102">
        <v>60.2</v>
      </c>
      <c r="L18" s="102">
        <v>70.8</v>
      </c>
      <c r="M18" s="102">
        <v>2.7</v>
      </c>
      <c r="N18" s="102">
        <f t="shared" si="1"/>
        <v>184.8</v>
      </c>
      <c r="O18" s="102">
        <f t="shared" si="2"/>
        <v>746.80000000000007</v>
      </c>
      <c r="P18" s="102">
        <f t="shared" si="3"/>
        <v>133.69999999999999</v>
      </c>
      <c r="Q18" s="102">
        <f t="shared" si="4"/>
        <v>1065.3000000000002</v>
      </c>
    </row>
    <row r="19" spans="1:17">
      <c r="A19" s="102">
        <v>1976</v>
      </c>
      <c r="B19" s="102">
        <v>18.100000000000001</v>
      </c>
      <c r="C19" s="102">
        <v>8.6</v>
      </c>
      <c r="D19" s="102">
        <v>29.8</v>
      </c>
      <c r="E19" s="102">
        <v>84.3</v>
      </c>
      <c r="F19" s="102">
        <v>154.5</v>
      </c>
      <c r="G19" s="102">
        <v>230.7</v>
      </c>
      <c r="H19" s="102">
        <v>223.4</v>
      </c>
      <c r="I19" s="102">
        <v>52.7</v>
      </c>
      <c r="J19" s="102">
        <v>147.4</v>
      </c>
      <c r="K19" s="102">
        <v>133.30000000000001</v>
      </c>
      <c r="L19" s="102">
        <v>37.1</v>
      </c>
      <c r="M19" s="102">
        <v>16.3</v>
      </c>
      <c r="N19" s="102">
        <f t="shared" si="1"/>
        <v>140.80000000000001</v>
      </c>
      <c r="O19" s="102">
        <f t="shared" si="2"/>
        <v>808.7</v>
      </c>
      <c r="P19" s="102">
        <f t="shared" si="3"/>
        <v>186.70000000000002</v>
      </c>
      <c r="Q19" s="102">
        <f t="shared" si="4"/>
        <v>1136.1999999999998</v>
      </c>
    </row>
    <row r="20" spans="1:17">
      <c r="A20" s="102">
        <v>1977</v>
      </c>
      <c r="B20" s="102">
        <v>20.8</v>
      </c>
      <c r="C20" s="102">
        <v>7.2</v>
      </c>
      <c r="D20" s="102">
        <v>13.4</v>
      </c>
      <c r="E20" s="102">
        <v>77.3</v>
      </c>
      <c r="F20" s="102">
        <v>191.5</v>
      </c>
      <c r="G20" s="102">
        <v>478.1</v>
      </c>
      <c r="H20" s="102">
        <v>252.4</v>
      </c>
      <c r="I20" s="102">
        <v>126.4</v>
      </c>
      <c r="J20" s="102">
        <v>63.5</v>
      </c>
      <c r="K20" s="102">
        <v>164.7</v>
      </c>
      <c r="L20" s="102">
        <v>30.4</v>
      </c>
      <c r="M20" s="102">
        <v>1.2</v>
      </c>
      <c r="N20" s="102">
        <f t="shared" si="1"/>
        <v>118.69999999999999</v>
      </c>
      <c r="O20" s="102">
        <f t="shared" si="2"/>
        <v>1111.9000000000001</v>
      </c>
      <c r="P20" s="102">
        <f t="shared" si="3"/>
        <v>196.29999999999998</v>
      </c>
      <c r="Q20" s="102">
        <f t="shared" si="4"/>
        <v>1426.9000000000003</v>
      </c>
    </row>
    <row r="21" spans="1:17">
      <c r="A21" s="102">
        <v>1978</v>
      </c>
      <c r="B21" s="102">
        <v>9.1</v>
      </c>
      <c r="C21" s="102">
        <v>4.4000000000000004</v>
      </c>
      <c r="D21" s="102">
        <v>7.6</v>
      </c>
      <c r="E21" s="102">
        <v>23.5</v>
      </c>
      <c r="F21" s="102">
        <v>208</v>
      </c>
      <c r="G21" s="102">
        <v>208.3</v>
      </c>
      <c r="H21" s="102">
        <v>154.69999999999999</v>
      </c>
      <c r="I21" s="102">
        <v>136.6</v>
      </c>
      <c r="J21" s="102">
        <v>59</v>
      </c>
      <c r="K21" s="102">
        <v>82.8</v>
      </c>
      <c r="L21" s="102">
        <v>45.9</v>
      </c>
      <c r="M21" s="102">
        <v>6.4</v>
      </c>
      <c r="N21" s="102">
        <f t="shared" si="1"/>
        <v>44.6</v>
      </c>
      <c r="O21" s="102">
        <f t="shared" si="2"/>
        <v>766.6</v>
      </c>
      <c r="P21" s="102">
        <f t="shared" si="3"/>
        <v>135.1</v>
      </c>
      <c r="Q21" s="102">
        <f t="shared" si="4"/>
        <v>946.29999999999984</v>
      </c>
    </row>
    <row r="22" spans="1:17">
      <c r="A22" s="102">
        <v>1979</v>
      </c>
      <c r="B22" s="102">
        <v>5.3</v>
      </c>
      <c r="C22" s="102">
        <v>18.399999999999999</v>
      </c>
      <c r="D22" s="102">
        <v>10.8</v>
      </c>
      <c r="E22" s="102">
        <v>84.3</v>
      </c>
      <c r="F22" s="102">
        <v>111</v>
      </c>
      <c r="G22" s="102">
        <v>296</v>
      </c>
      <c r="H22" s="102">
        <v>328.6</v>
      </c>
      <c r="I22" s="102">
        <v>187.2</v>
      </c>
      <c r="J22" s="102">
        <v>130.6</v>
      </c>
      <c r="K22" s="102">
        <v>34.4</v>
      </c>
      <c r="L22" s="102">
        <v>10.5</v>
      </c>
      <c r="M22" s="102">
        <v>46.2</v>
      </c>
      <c r="N22" s="102">
        <f t="shared" si="1"/>
        <v>118.8</v>
      </c>
      <c r="O22" s="102">
        <f t="shared" si="2"/>
        <v>1053.3999999999999</v>
      </c>
      <c r="P22" s="102">
        <f t="shared" si="3"/>
        <v>91.1</v>
      </c>
      <c r="Q22" s="102">
        <f t="shared" si="4"/>
        <v>1263.3</v>
      </c>
    </row>
    <row r="23" spans="1:17">
      <c r="A23" s="102">
        <v>1980</v>
      </c>
      <c r="B23" s="102">
        <v>16.2</v>
      </c>
      <c r="C23" s="102">
        <v>28.3</v>
      </c>
      <c r="D23" s="102">
        <v>20.9</v>
      </c>
      <c r="E23" s="102">
        <v>65.900000000000006</v>
      </c>
      <c r="F23" s="102">
        <v>222.1</v>
      </c>
      <c r="G23" s="102">
        <v>203.4</v>
      </c>
      <c r="H23" s="102">
        <v>182.9</v>
      </c>
      <c r="I23" s="102">
        <v>199.3</v>
      </c>
      <c r="J23" s="102">
        <v>68.8</v>
      </c>
      <c r="K23" s="102">
        <v>105.1</v>
      </c>
      <c r="L23" s="102">
        <v>60.1</v>
      </c>
      <c r="M23" s="102">
        <v>35.9</v>
      </c>
      <c r="N23" s="102">
        <f t="shared" si="1"/>
        <v>131.30000000000001</v>
      </c>
      <c r="O23" s="102">
        <f t="shared" si="2"/>
        <v>876.5</v>
      </c>
      <c r="P23" s="102">
        <f t="shared" si="3"/>
        <v>201.1</v>
      </c>
      <c r="Q23" s="102">
        <f t="shared" si="4"/>
        <v>1208.8999999999999</v>
      </c>
    </row>
    <row r="24" spans="1:17">
      <c r="A24" s="102">
        <v>1981</v>
      </c>
      <c r="B24" s="102">
        <v>20.5</v>
      </c>
      <c r="C24" s="102">
        <v>31.6</v>
      </c>
      <c r="D24" s="102">
        <v>7.8</v>
      </c>
      <c r="E24" s="102">
        <v>68.400000000000006</v>
      </c>
      <c r="F24" s="102">
        <v>128.19999999999999</v>
      </c>
      <c r="G24" s="102">
        <v>80.099999999999994</v>
      </c>
      <c r="H24" s="102">
        <v>79.2</v>
      </c>
      <c r="I24" s="102">
        <v>114.2</v>
      </c>
      <c r="J24" s="102">
        <v>164.1</v>
      </c>
      <c r="K24" s="102">
        <v>75.599999999999994</v>
      </c>
      <c r="L24" s="102">
        <v>75.3</v>
      </c>
      <c r="M24" s="102">
        <v>12.1</v>
      </c>
      <c r="N24" s="102">
        <f t="shared" si="1"/>
        <v>128.30000000000001</v>
      </c>
      <c r="O24" s="102">
        <f t="shared" si="2"/>
        <v>565.79999999999995</v>
      </c>
      <c r="P24" s="102">
        <f t="shared" si="3"/>
        <v>162.99999999999997</v>
      </c>
      <c r="Q24" s="102">
        <f t="shared" si="4"/>
        <v>857.1</v>
      </c>
    </row>
    <row r="25" spans="1:17">
      <c r="A25" s="102">
        <v>1982</v>
      </c>
      <c r="B25" s="102">
        <v>24.6</v>
      </c>
      <c r="C25" s="102">
        <v>69.099999999999994</v>
      </c>
      <c r="D25" s="102">
        <v>30.3</v>
      </c>
      <c r="E25" s="102">
        <v>144.9</v>
      </c>
      <c r="F25" s="102">
        <v>204.8</v>
      </c>
      <c r="G25" s="102">
        <v>212.2</v>
      </c>
      <c r="H25" s="102">
        <v>147.69999999999999</v>
      </c>
      <c r="I25" s="102">
        <v>121.9</v>
      </c>
      <c r="J25" s="102">
        <v>170.1</v>
      </c>
      <c r="K25" s="102">
        <v>54.7</v>
      </c>
      <c r="L25" s="102">
        <v>76.400000000000006</v>
      </c>
      <c r="M25" s="102">
        <v>20.3</v>
      </c>
      <c r="N25" s="102">
        <f t="shared" si="1"/>
        <v>268.89999999999998</v>
      </c>
      <c r="O25" s="102">
        <f t="shared" si="2"/>
        <v>856.7</v>
      </c>
      <c r="P25" s="102">
        <f t="shared" si="3"/>
        <v>151.40000000000003</v>
      </c>
      <c r="Q25" s="102">
        <f t="shared" si="4"/>
        <v>1277</v>
      </c>
    </row>
    <row r="26" spans="1:17">
      <c r="A26" s="102">
        <v>1983</v>
      </c>
      <c r="B26" s="102">
        <v>38</v>
      </c>
      <c r="C26" s="102">
        <v>44</v>
      </c>
      <c r="D26" s="102">
        <v>43.3</v>
      </c>
      <c r="E26" s="102">
        <v>99.6</v>
      </c>
      <c r="F26" s="102">
        <v>178.1</v>
      </c>
      <c r="G26" s="102">
        <v>172.6</v>
      </c>
      <c r="H26" s="102">
        <v>178.2</v>
      </c>
      <c r="I26" s="102">
        <v>118.5</v>
      </c>
      <c r="J26" s="102">
        <v>198.7</v>
      </c>
      <c r="K26" s="102">
        <v>107.2</v>
      </c>
      <c r="L26" s="102">
        <v>59</v>
      </c>
      <c r="M26" s="102">
        <v>32.200000000000003</v>
      </c>
      <c r="N26" s="102">
        <f t="shared" si="1"/>
        <v>224.89999999999998</v>
      </c>
      <c r="O26" s="102">
        <f t="shared" si="2"/>
        <v>846.09999999999991</v>
      </c>
      <c r="P26" s="102">
        <f t="shared" si="3"/>
        <v>198.39999999999998</v>
      </c>
      <c r="Q26" s="102">
        <f t="shared" si="4"/>
        <v>1269.4000000000001</v>
      </c>
    </row>
    <row r="27" spans="1:17">
      <c r="A27" s="102">
        <v>1984</v>
      </c>
      <c r="B27" s="102">
        <v>22.6</v>
      </c>
      <c r="C27" s="102">
        <v>27.6</v>
      </c>
      <c r="D27" s="102">
        <v>38.1</v>
      </c>
      <c r="E27" s="102">
        <v>124.3</v>
      </c>
      <c r="F27" s="102">
        <v>214.9</v>
      </c>
      <c r="G27" s="102">
        <v>212.1</v>
      </c>
      <c r="H27" s="102">
        <v>121.7</v>
      </c>
      <c r="I27" s="102">
        <v>232.4</v>
      </c>
      <c r="J27" s="102">
        <v>138.1</v>
      </c>
      <c r="K27" s="102">
        <v>62.1</v>
      </c>
      <c r="L27" s="102">
        <v>16.600000000000001</v>
      </c>
      <c r="M27" s="102">
        <v>53.8</v>
      </c>
      <c r="N27" s="102">
        <f t="shared" si="1"/>
        <v>212.60000000000002</v>
      </c>
      <c r="O27" s="102">
        <f t="shared" si="2"/>
        <v>919.2</v>
      </c>
      <c r="P27" s="102">
        <f t="shared" si="3"/>
        <v>132.5</v>
      </c>
      <c r="Q27" s="102">
        <f t="shared" si="4"/>
        <v>1264.2999999999997</v>
      </c>
    </row>
    <row r="28" spans="1:17">
      <c r="A28" s="102">
        <v>1985</v>
      </c>
      <c r="B28" s="102">
        <v>15.6</v>
      </c>
      <c r="C28" s="102">
        <v>29.2</v>
      </c>
      <c r="D28" s="102">
        <v>43</v>
      </c>
      <c r="E28" s="102">
        <v>74.7</v>
      </c>
      <c r="F28" s="102">
        <v>306.3</v>
      </c>
      <c r="G28" s="102">
        <v>228.1</v>
      </c>
      <c r="H28" s="102">
        <v>151.80000000000001</v>
      </c>
      <c r="I28" s="102">
        <v>139.6</v>
      </c>
      <c r="J28" s="102">
        <v>66.8</v>
      </c>
      <c r="K28" s="102">
        <v>66.099999999999994</v>
      </c>
      <c r="L28" s="102">
        <v>35.5</v>
      </c>
      <c r="M28" s="102">
        <v>17.5</v>
      </c>
      <c r="N28" s="102">
        <f t="shared" si="1"/>
        <v>162.5</v>
      </c>
      <c r="O28" s="102">
        <f t="shared" si="2"/>
        <v>892.6</v>
      </c>
      <c r="P28" s="102">
        <f t="shared" si="3"/>
        <v>119.1</v>
      </c>
      <c r="Q28" s="102">
        <f t="shared" si="4"/>
        <v>1174.2</v>
      </c>
    </row>
    <row r="29" spans="1:17">
      <c r="A29" s="102">
        <v>1986</v>
      </c>
      <c r="B29" s="102">
        <v>12.9</v>
      </c>
      <c r="C29" s="102">
        <v>19</v>
      </c>
      <c r="D29" s="102">
        <v>30.2</v>
      </c>
      <c r="E29" s="102">
        <v>86.3</v>
      </c>
      <c r="F29" s="102">
        <v>141.80000000000001</v>
      </c>
      <c r="G29" s="102">
        <v>178.3</v>
      </c>
      <c r="H29" s="102">
        <v>123.5</v>
      </c>
      <c r="I29" s="102">
        <v>241.5</v>
      </c>
      <c r="J29" s="102">
        <v>95.6</v>
      </c>
      <c r="K29" s="102">
        <v>94</v>
      </c>
      <c r="L29" s="102">
        <v>47.9</v>
      </c>
      <c r="M29" s="102">
        <v>4.8</v>
      </c>
      <c r="N29" s="102">
        <f t="shared" si="1"/>
        <v>148.39999999999998</v>
      </c>
      <c r="O29" s="102">
        <f t="shared" si="2"/>
        <v>780.7</v>
      </c>
      <c r="P29" s="102">
        <f t="shared" si="3"/>
        <v>146.70000000000002</v>
      </c>
      <c r="Q29" s="102">
        <f t="shared" si="4"/>
        <v>1075.8</v>
      </c>
    </row>
    <row r="30" spans="1:17">
      <c r="A30" s="102">
        <v>1987</v>
      </c>
      <c r="B30" s="102">
        <v>20.6</v>
      </c>
      <c r="C30" s="102">
        <v>6.8</v>
      </c>
      <c r="D30" s="102">
        <v>47.2</v>
      </c>
      <c r="E30" s="102">
        <v>9.8000000000000007</v>
      </c>
      <c r="F30" s="102">
        <v>79.900000000000006</v>
      </c>
      <c r="G30" s="102">
        <v>92</v>
      </c>
      <c r="H30" s="102">
        <v>208.7</v>
      </c>
      <c r="I30" s="102">
        <v>222.3</v>
      </c>
      <c r="J30" s="102">
        <v>97.1</v>
      </c>
      <c r="K30" s="102">
        <v>206.5</v>
      </c>
      <c r="L30" s="102">
        <v>52.8</v>
      </c>
      <c r="M30" s="102">
        <v>8.3000000000000007</v>
      </c>
      <c r="N30" s="102">
        <f t="shared" si="1"/>
        <v>84.4</v>
      </c>
      <c r="O30" s="102">
        <f t="shared" si="2"/>
        <v>700.00000000000011</v>
      </c>
      <c r="P30" s="102">
        <f t="shared" si="3"/>
        <v>267.60000000000002</v>
      </c>
      <c r="Q30" s="102">
        <f t="shared" si="4"/>
        <v>1052</v>
      </c>
    </row>
    <row r="31" spans="1:17">
      <c r="A31" s="102">
        <v>1988</v>
      </c>
      <c r="B31" s="102">
        <v>14.7</v>
      </c>
      <c r="C31" s="102">
        <v>36.5</v>
      </c>
      <c r="D31" s="102">
        <v>13.3</v>
      </c>
      <c r="E31" s="102">
        <v>62.2</v>
      </c>
      <c r="F31" s="102">
        <v>149.19999999999999</v>
      </c>
      <c r="G31" s="102">
        <v>280.5</v>
      </c>
      <c r="H31" s="102">
        <v>79.3</v>
      </c>
      <c r="I31" s="102">
        <v>314</v>
      </c>
      <c r="J31" s="102">
        <v>233.9</v>
      </c>
      <c r="K31" s="102">
        <v>45.2</v>
      </c>
      <c r="L31" s="102">
        <v>3.6</v>
      </c>
      <c r="M31" s="102">
        <v>11.3</v>
      </c>
      <c r="N31" s="102">
        <f t="shared" si="1"/>
        <v>126.7</v>
      </c>
      <c r="O31" s="102">
        <f t="shared" si="2"/>
        <v>1056.9000000000001</v>
      </c>
      <c r="P31" s="102">
        <f t="shared" si="3"/>
        <v>60.100000000000009</v>
      </c>
      <c r="Q31" s="102">
        <f t="shared" si="4"/>
        <v>1243.6999999999998</v>
      </c>
    </row>
    <row r="32" spans="1:17">
      <c r="A32" s="102">
        <v>1989</v>
      </c>
      <c r="B32" s="102">
        <v>12.6</v>
      </c>
      <c r="C32" s="102">
        <v>27.6</v>
      </c>
      <c r="D32" s="102">
        <v>48.5</v>
      </c>
      <c r="E32" s="102">
        <v>21.6</v>
      </c>
      <c r="F32" s="102">
        <v>76.900000000000006</v>
      </c>
      <c r="G32" s="102">
        <v>315.39999999999998</v>
      </c>
      <c r="H32" s="102">
        <v>100.7</v>
      </c>
      <c r="I32" s="102">
        <v>155.9</v>
      </c>
      <c r="J32" s="102">
        <v>90.6</v>
      </c>
      <c r="K32" s="102">
        <v>65.900000000000006</v>
      </c>
      <c r="L32" s="102">
        <v>26.4</v>
      </c>
      <c r="M32" s="102">
        <v>38.200000000000003</v>
      </c>
      <c r="N32" s="102">
        <f t="shared" si="1"/>
        <v>110.30000000000001</v>
      </c>
      <c r="O32" s="102">
        <f t="shared" si="2"/>
        <v>739.5</v>
      </c>
      <c r="P32" s="102">
        <f t="shared" si="3"/>
        <v>130.5</v>
      </c>
      <c r="Q32" s="102">
        <f t="shared" si="4"/>
        <v>980.30000000000007</v>
      </c>
    </row>
    <row r="33" spans="1:17">
      <c r="A33" s="102">
        <v>1990</v>
      </c>
      <c r="B33" s="102">
        <v>20.8</v>
      </c>
      <c r="C33" s="102">
        <v>20.9</v>
      </c>
      <c r="D33" s="102">
        <v>61.6</v>
      </c>
      <c r="E33" s="102">
        <v>73.8</v>
      </c>
      <c r="F33" s="102">
        <v>274.39999999999998</v>
      </c>
      <c r="G33" s="102">
        <v>241.8</v>
      </c>
      <c r="H33" s="102">
        <v>85.8</v>
      </c>
      <c r="I33" s="102">
        <v>30.1</v>
      </c>
      <c r="J33" s="102">
        <v>118.3</v>
      </c>
      <c r="K33" s="102">
        <v>80.2</v>
      </c>
      <c r="L33" s="102">
        <v>46.8</v>
      </c>
      <c r="M33" s="102">
        <v>14.8</v>
      </c>
      <c r="N33" s="102">
        <f t="shared" si="1"/>
        <v>177.10000000000002</v>
      </c>
      <c r="O33" s="102">
        <f t="shared" si="2"/>
        <v>750.4</v>
      </c>
      <c r="P33" s="102">
        <f t="shared" si="3"/>
        <v>141.80000000000001</v>
      </c>
      <c r="Q33" s="102">
        <f t="shared" si="4"/>
        <v>1069.3</v>
      </c>
    </row>
    <row r="34" spans="1:17">
      <c r="A34" s="102">
        <v>1991</v>
      </c>
      <c r="B34" s="102">
        <v>67.5</v>
      </c>
      <c r="C34" s="102">
        <v>16.3</v>
      </c>
      <c r="D34" s="102">
        <v>42.4</v>
      </c>
      <c r="E34" s="102">
        <v>42.3</v>
      </c>
      <c r="F34" s="102">
        <v>69</v>
      </c>
      <c r="G34" s="102">
        <v>220.3</v>
      </c>
      <c r="H34" s="102">
        <v>605</v>
      </c>
      <c r="I34" s="102">
        <v>89.2</v>
      </c>
      <c r="J34" s="102">
        <v>74.8</v>
      </c>
      <c r="K34" s="102">
        <v>42</v>
      </c>
      <c r="L34" s="102">
        <v>48.8</v>
      </c>
      <c r="M34" s="102">
        <v>22.8</v>
      </c>
      <c r="N34" s="102">
        <f t="shared" si="1"/>
        <v>168.5</v>
      </c>
      <c r="O34" s="102">
        <f t="shared" si="2"/>
        <v>1058.3</v>
      </c>
      <c r="P34" s="102">
        <f t="shared" si="3"/>
        <v>113.6</v>
      </c>
      <c r="Q34" s="102">
        <f t="shared" si="4"/>
        <v>1340.3999999999999</v>
      </c>
    </row>
    <row r="35" spans="1:17">
      <c r="A35" s="102">
        <v>1992</v>
      </c>
      <c r="B35" s="102">
        <v>45.2</v>
      </c>
      <c r="C35" s="102">
        <v>36.799999999999997</v>
      </c>
      <c r="D35" s="102">
        <v>51.2</v>
      </c>
      <c r="E35" s="102">
        <v>102</v>
      </c>
      <c r="F35" s="102">
        <v>221.5</v>
      </c>
      <c r="G35" s="102">
        <v>474.4</v>
      </c>
      <c r="H35" s="102">
        <v>219.2</v>
      </c>
      <c r="I35" s="102">
        <v>34.6</v>
      </c>
      <c r="J35" s="102">
        <v>24.5</v>
      </c>
      <c r="K35" s="102">
        <v>205.1</v>
      </c>
      <c r="L35" s="102">
        <v>15.1</v>
      </c>
      <c r="M35" s="102">
        <v>17.600000000000001</v>
      </c>
      <c r="N35" s="102">
        <f t="shared" si="1"/>
        <v>235.2</v>
      </c>
      <c r="O35" s="102">
        <f t="shared" si="2"/>
        <v>974.19999999999993</v>
      </c>
      <c r="P35" s="102">
        <f t="shared" si="3"/>
        <v>237.79999999999998</v>
      </c>
      <c r="Q35" s="102">
        <f t="shared" si="4"/>
        <v>1447.1999999999996</v>
      </c>
    </row>
    <row r="36" spans="1:17">
      <c r="A36" s="102">
        <v>1993</v>
      </c>
      <c r="B36" s="102">
        <v>26.1</v>
      </c>
      <c r="C36" s="102">
        <v>52.3</v>
      </c>
      <c r="D36" s="102">
        <v>9.1999999999999993</v>
      </c>
      <c r="E36" s="102">
        <v>56.5</v>
      </c>
      <c r="F36" s="102">
        <v>127.9</v>
      </c>
      <c r="G36" s="102">
        <v>263.5</v>
      </c>
      <c r="H36" s="102">
        <v>292.8</v>
      </c>
      <c r="I36" s="102">
        <v>202.9</v>
      </c>
      <c r="J36" s="102">
        <v>115.7</v>
      </c>
      <c r="K36" s="102">
        <v>31.6</v>
      </c>
      <c r="L36" s="102">
        <v>48.8</v>
      </c>
      <c r="M36" s="102">
        <v>11.8</v>
      </c>
      <c r="N36" s="102">
        <f t="shared" si="1"/>
        <v>144.10000000000002</v>
      </c>
      <c r="O36" s="102">
        <f t="shared" si="2"/>
        <v>1002.8000000000001</v>
      </c>
      <c r="P36" s="102">
        <f t="shared" si="3"/>
        <v>92.2</v>
      </c>
      <c r="Q36" s="102">
        <f t="shared" si="4"/>
        <v>1239.0999999999999</v>
      </c>
    </row>
    <row r="37" spans="1:17">
      <c r="A37" s="102">
        <v>1994</v>
      </c>
      <c r="B37" s="102">
        <v>28.8</v>
      </c>
      <c r="C37" s="102">
        <v>15.5</v>
      </c>
      <c r="D37" s="102">
        <v>63.4</v>
      </c>
      <c r="E37" s="102">
        <v>19.5</v>
      </c>
      <c r="F37" s="102">
        <v>181.4</v>
      </c>
      <c r="G37" s="102">
        <v>330.8</v>
      </c>
      <c r="H37" s="102">
        <v>138.4</v>
      </c>
      <c r="I37" s="102">
        <v>55.1</v>
      </c>
      <c r="J37" s="102">
        <v>127.2</v>
      </c>
      <c r="K37" s="102">
        <v>139.4</v>
      </c>
      <c r="L37" s="102">
        <v>78.900000000000006</v>
      </c>
      <c r="M37" s="102">
        <v>44.5</v>
      </c>
      <c r="N37" s="102">
        <f t="shared" si="1"/>
        <v>127.19999999999999</v>
      </c>
      <c r="O37" s="102">
        <f t="shared" si="2"/>
        <v>832.90000000000009</v>
      </c>
      <c r="P37" s="102">
        <f t="shared" si="3"/>
        <v>262.8</v>
      </c>
      <c r="Q37" s="102">
        <f t="shared" si="4"/>
        <v>1222.9000000000003</v>
      </c>
    </row>
    <row r="38" spans="1:17">
      <c r="A38" s="102">
        <v>1995</v>
      </c>
      <c r="B38" s="102">
        <v>26.5</v>
      </c>
      <c r="C38" s="102">
        <v>53.5</v>
      </c>
      <c r="D38" s="102">
        <v>28.8</v>
      </c>
      <c r="E38" s="102">
        <v>56.6</v>
      </c>
      <c r="F38" s="102">
        <v>186.4</v>
      </c>
      <c r="G38" s="102">
        <v>257.10000000000002</v>
      </c>
      <c r="H38" s="102">
        <v>179.6</v>
      </c>
      <c r="I38" s="102">
        <v>180.8</v>
      </c>
      <c r="J38" s="102">
        <v>119.4</v>
      </c>
      <c r="K38" s="102">
        <v>55.8</v>
      </c>
      <c r="L38" s="102">
        <v>45</v>
      </c>
      <c r="M38" s="102">
        <v>5.7</v>
      </c>
      <c r="N38" s="102">
        <f t="shared" si="1"/>
        <v>165.4</v>
      </c>
      <c r="O38" s="102">
        <f t="shared" si="2"/>
        <v>923.30000000000007</v>
      </c>
      <c r="P38" s="102">
        <f t="shared" si="3"/>
        <v>106.5</v>
      </c>
      <c r="Q38" s="102">
        <f t="shared" si="4"/>
        <v>1195.2000000000003</v>
      </c>
    </row>
    <row r="39" spans="1:17">
      <c r="A39" s="102">
        <v>1996</v>
      </c>
      <c r="B39" s="102">
        <v>22.7</v>
      </c>
      <c r="C39" s="102">
        <v>10.1</v>
      </c>
      <c r="D39" s="102">
        <v>61.7</v>
      </c>
      <c r="E39" s="102">
        <v>60.9</v>
      </c>
      <c r="F39" s="102">
        <v>301.5</v>
      </c>
      <c r="G39" s="102">
        <v>314.39999999999998</v>
      </c>
      <c r="H39" s="102">
        <v>327.2</v>
      </c>
      <c r="I39" s="102">
        <v>116.1</v>
      </c>
      <c r="J39" s="102">
        <v>23</v>
      </c>
      <c r="K39" s="102">
        <v>42.6</v>
      </c>
      <c r="L39" s="102">
        <v>77.7</v>
      </c>
      <c r="M39" s="102">
        <v>17.100000000000001</v>
      </c>
      <c r="N39" s="102">
        <f t="shared" si="1"/>
        <v>155.4</v>
      </c>
      <c r="O39" s="102">
        <f t="shared" si="2"/>
        <v>1082.1999999999998</v>
      </c>
      <c r="P39" s="102">
        <f t="shared" si="3"/>
        <v>137.4</v>
      </c>
      <c r="Q39" s="102">
        <f t="shared" si="4"/>
        <v>1374.9999999999998</v>
      </c>
    </row>
    <row r="40" spans="1:17">
      <c r="A40" s="102">
        <v>1997</v>
      </c>
      <c r="B40" s="102">
        <v>44</v>
      </c>
      <c r="C40" s="102">
        <v>52.1</v>
      </c>
      <c r="D40" s="102">
        <v>40.799999999999997</v>
      </c>
      <c r="E40" s="102">
        <v>128.9</v>
      </c>
      <c r="F40" s="102">
        <v>120</v>
      </c>
      <c r="G40" s="102">
        <v>176.9</v>
      </c>
      <c r="H40" s="102">
        <v>248.7</v>
      </c>
      <c r="I40" s="102">
        <v>93.8</v>
      </c>
      <c r="J40" s="102">
        <v>197.3</v>
      </c>
      <c r="K40" s="102">
        <v>123.9</v>
      </c>
      <c r="L40" s="102">
        <v>16.2</v>
      </c>
      <c r="M40" s="102">
        <v>24.5</v>
      </c>
      <c r="N40" s="102">
        <f t="shared" si="1"/>
        <v>265.79999999999995</v>
      </c>
      <c r="O40" s="102">
        <f t="shared" si="2"/>
        <v>836.69999999999982</v>
      </c>
      <c r="P40" s="102">
        <f t="shared" si="3"/>
        <v>164.6</v>
      </c>
      <c r="Q40" s="102">
        <f t="shared" si="4"/>
        <v>1267.0999999999999</v>
      </c>
    </row>
    <row r="41" spans="1:17">
      <c r="A41" s="102">
        <v>1998</v>
      </c>
      <c r="B41" s="102">
        <v>55.3</v>
      </c>
      <c r="C41" s="102">
        <v>13.6</v>
      </c>
      <c r="D41" s="102">
        <v>13.3</v>
      </c>
      <c r="E41" s="102">
        <v>26.9</v>
      </c>
      <c r="F41" s="102">
        <v>146.69999999999999</v>
      </c>
      <c r="G41" s="102">
        <v>289</v>
      </c>
      <c r="H41" s="102">
        <v>217.2</v>
      </c>
      <c r="I41" s="102">
        <v>172.3</v>
      </c>
      <c r="J41" s="102">
        <v>26</v>
      </c>
      <c r="K41" s="102">
        <v>110.1</v>
      </c>
      <c r="L41" s="102">
        <v>23.4</v>
      </c>
      <c r="M41" s="102">
        <v>35.799999999999997</v>
      </c>
      <c r="N41" s="102">
        <f t="shared" si="1"/>
        <v>109.1</v>
      </c>
      <c r="O41" s="102">
        <f t="shared" si="2"/>
        <v>851.2</v>
      </c>
      <c r="P41" s="102">
        <f t="shared" si="3"/>
        <v>169.3</v>
      </c>
      <c r="Q41" s="102">
        <f t="shared" si="4"/>
        <v>1129.5999999999999</v>
      </c>
    </row>
    <row r="42" spans="1:17">
      <c r="A42" s="102">
        <v>1999</v>
      </c>
      <c r="B42" s="102">
        <v>18.100000000000001</v>
      </c>
      <c r="C42" s="102">
        <v>11.1</v>
      </c>
      <c r="D42" s="102">
        <v>31.6</v>
      </c>
      <c r="E42" s="102">
        <v>46</v>
      </c>
      <c r="F42" s="102">
        <v>123.1</v>
      </c>
      <c r="G42" s="102">
        <v>212.6</v>
      </c>
      <c r="H42" s="102">
        <v>353.3</v>
      </c>
      <c r="I42" s="102">
        <v>215</v>
      </c>
      <c r="J42" s="102">
        <v>70.099999999999994</v>
      </c>
      <c r="K42" s="102">
        <v>96.5</v>
      </c>
      <c r="L42" s="102">
        <v>52.4</v>
      </c>
      <c r="M42" s="102">
        <v>8.8000000000000007</v>
      </c>
      <c r="N42" s="102">
        <f t="shared" si="1"/>
        <v>106.80000000000001</v>
      </c>
      <c r="O42" s="102">
        <f t="shared" si="2"/>
        <v>974.1</v>
      </c>
      <c r="P42" s="102">
        <f t="shared" si="3"/>
        <v>157.70000000000002</v>
      </c>
      <c r="Q42" s="102">
        <f t="shared" si="4"/>
        <v>1238.5999999999999</v>
      </c>
    </row>
    <row r="43" spans="1:17">
      <c r="A43" s="102">
        <v>2000</v>
      </c>
      <c r="B43" s="102">
        <v>21.3</v>
      </c>
      <c r="C43" s="102">
        <v>32.299999999999997</v>
      </c>
      <c r="D43" s="102">
        <v>49.6</v>
      </c>
      <c r="E43" s="102">
        <v>85.6</v>
      </c>
      <c r="F43" s="102">
        <v>223.3</v>
      </c>
      <c r="G43" s="102">
        <v>327</v>
      </c>
      <c r="H43" s="102">
        <v>109.4</v>
      </c>
      <c r="I43" s="102">
        <v>298.2</v>
      </c>
      <c r="J43" s="102">
        <v>155</v>
      </c>
      <c r="K43" s="102">
        <v>98.4</v>
      </c>
      <c r="L43" s="102">
        <v>44.4</v>
      </c>
      <c r="M43" s="102">
        <v>14.5</v>
      </c>
      <c r="N43" s="102">
        <f t="shared" si="1"/>
        <v>188.79999999999998</v>
      </c>
      <c r="O43" s="102">
        <f t="shared" si="2"/>
        <v>1112.8999999999999</v>
      </c>
      <c r="P43" s="102">
        <f t="shared" si="3"/>
        <v>157.30000000000001</v>
      </c>
      <c r="Q43" s="102">
        <f t="shared" si="4"/>
        <v>1459.0000000000002</v>
      </c>
    </row>
    <row r="44" spans="1:17">
      <c r="A44" s="102">
        <v>2001</v>
      </c>
      <c r="B44" s="102">
        <v>16.8</v>
      </c>
      <c r="C44" s="102">
        <v>10.3</v>
      </c>
      <c r="D44" s="102">
        <v>32.299999999999997</v>
      </c>
      <c r="E44" s="102">
        <v>40.6</v>
      </c>
      <c r="F44" s="102">
        <v>171.2</v>
      </c>
      <c r="G44" s="102">
        <v>288</v>
      </c>
      <c r="H44" s="102">
        <v>151</v>
      </c>
      <c r="I44" s="102">
        <v>97.8</v>
      </c>
      <c r="J44" s="102">
        <v>25.1</v>
      </c>
      <c r="K44" s="102">
        <v>187.4</v>
      </c>
      <c r="L44" s="102">
        <v>15.5</v>
      </c>
      <c r="M44" s="102">
        <v>12.5</v>
      </c>
      <c r="N44" s="102">
        <f t="shared" si="1"/>
        <v>100</v>
      </c>
      <c r="O44" s="102">
        <f t="shared" si="2"/>
        <v>733.1</v>
      </c>
      <c r="P44" s="102">
        <f t="shared" si="3"/>
        <v>215.4</v>
      </c>
      <c r="Q44" s="102">
        <f t="shared" si="4"/>
        <v>1048.5</v>
      </c>
    </row>
    <row r="45" spans="1:17">
      <c r="A45" s="102">
        <v>2002</v>
      </c>
      <c r="B45" s="102">
        <v>10.4</v>
      </c>
      <c r="C45" s="102">
        <v>81.7</v>
      </c>
      <c r="D45" s="102">
        <v>42.3</v>
      </c>
      <c r="E45" s="102">
        <v>68.3</v>
      </c>
      <c r="F45" s="102">
        <v>228.9</v>
      </c>
      <c r="G45" s="102">
        <v>253.6</v>
      </c>
      <c r="H45" s="102">
        <v>120.5</v>
      </c>
      <c r="I45" s="102">
        <v>194.8</v>
      </c>
      <c r="J45" s="102">
        <v>9.4</v>
      </c>
      <c r="K45" s="102">
        <v>69.7</v>
      </c>
      <c r="L45" s="102">
        <v>15.3</v>
      </c>
      <c r="M45" s="102">
        <v>33</v>
      </c>
      <c r="N45" s="102">
        <f t="shared" si="1"/>
        <v>202.7</v>
      </c>
      <c r="O45" s="102">
        <f t="shared" si="2"/>
        <v>807.19999999999993</v>
      </c>
      <c r="P45" s="102">
        <f t="shared" si="3"/>
        <v>118</v>
      </c>
      <c r="Q45" s="102">
        <f t="shared" si="4"/>
        <v>1127.8999999999999</v>
      </c>
    </row>
    <row r="46" spans="1:17">
      <c r="A46" s="102">
        <v>2003</v>
      </c>
      <c r="B46" s="102">
        <v>26.1</v>
      </c>
      <c r="C46" s="102">
        <v>4.5999999999999996</v>
      </c>
      <c r="D46" s="102">
        <v>30.2</v>
      </c>
      <c r="E46" s="102">
        <v>122.6</v>
      </c>
      <c r="F46" s="102">
        <v>206.8</v>
      </c>
      <c r="G46" s="102">
        <v>182.5</v>
      </c>
      <c r="H46" s="102">
        <v>170.7</v>
      </c>
      <c r="I46" s="102">
        <v>24.7</v>
      </c>
      <c r="J46" s="102">
        <v>100.6</v>
      </c>
      <c r="K46" s="102">
        <v>54.1</v>
      </c>
      <c r="L46" s="102">
        <v>18.100000000000001</v>
      </c>
      <c r="M46" s="102">
        <v>41.7</v>
      </c>
      <c r="N46" s="102">
        <f t="shared" si="1"/>
        <v>183.5</v>
      </c>
      <c r="O46" s="102">
        <f t="shared" si="2"/>
        <v>685.30000000000007</v>
      </c>
      <c r="P46" s="102">
        <f t="shared" si="3"/>
        <v>113.9</v>
      </c>
      <c r="Q46" s="102">
        <f t="shared" si="4"/>
        <v>982.70000000000016</v>
      </c>
    </row>
    <row r="47" spans="1:17">
      <c r="A47" s="102">
        <v>2004</v>
      </c>
      <c r="B47" s="103">
        <v>40.6</v>
      </c>
      <c r="C47" s="103">
        <v>61.6</v>
      </c>
      <c r="D47" s="103">
        <v>14.8</v>
      </c>
      <c r="E47" s="103">
        <v>72.3</v>
      </c>
      <c r="F47" s="103">
        <v>230.5</v>
      </c>
      <c r="G47" s="103">
        <v>56.5</v>
      </c>
      <c r="H47" s="103">
        <v>307.10000000000002</v>
      </c>
      <c r="I47" s="103">
        <v>116.3</v>
      </c>
      <c r="J47" s="103">
        <v>87.3</v>
      </c>
      <c r="K47" s="103">
        <v>31.4</v>
      </c>
      <c r="L47" s="103">
        <v>13.1</v>
      </c>
      <c r="M47" s="103">
        <v>15.3</v>
      </c>
      <c r="N47" s="102">
        <f t="shared" si="1"/>
        <v>189.3</v>
      </c>
      <c r="O47" s="102">
        <f t="shared" si="2"/>
        <v>797.69999999999993</v>
      </c>
      <c r="P47" s="102">
        <f t="shared" si="3"/>
        <v>59.8</v>
      </c>
      <c r="Q47" s="102">
        <f t="shared" si="4"/>
        <v>1046.8</v>
      </c>
    </row>
    <row r="48" spans="1:17">
      <c r="A48" s="102">
        <v>2005</v>
      </c>
      <c r="B48" s="103">
        <v>37</v>
      </c>
      <c r="C48" s="103">
        <v>14</v>
      </c>
      <c r="D48" s="103">
        <v>48</v>
      </c>
      <c r="E48" s="103">
        <v>35.799999999999997</v>
      </c>
      <c r="F48" s="103">
        <v>186.7</v>
      </c>
      <c r="G48" s="103">
        <v>219</v>
      </c>
      <c r="H48" s="103">
        <v>197.4</v>
      </c>
      <c r="I48" s="103">
        <v>77.900000000000006</v>
      </c>
      <c r="J48" s="103">
        <v>48.1</v>
      </c>
      <c r="K48" s="103">
        <v>62.2</v>
      </c>
      <c r="L48" s="103">
        <v>35</v>
      </c>
      <c r="M48" s="103">
        <v>22.8</v>
      </c>
      <c r="N48" s="102">
        <f t="shared" si="1"/>
        <v>134.80000000000001</v>
      </c>
      <c r="O48" s="102">
        <f t="shared" si="2"/>
        <v>729.1</v>
      </c>
      <c r="P48" s="102">
        <f t="shared" si="3"/>
        <v>120</v>
      </c>
      <c r="Q48" s="102">
        <f t="shared" si="4"/>
        <v>983.9</v>
      </c>
    </row>
    <row r="49" spans="1:34">
      <c r="A49" s="102">
        <v>2006</v>
      </c>
      <c r="B49" s="102">
        <v>5.6</v>
      </c>
      <c r="C49" s="102">
        <v>47.2</v>
      </c>
      <c r="D49" s="102">
        <v>32.799999999999997</v>
      </c>
      <c r="E49" s="102">
        <v>61.4</v>
      </c>
      <c r="F49" s="102">
        <v>133.9</v>
      </c>
      <c r="G49" s="102">
        <v>220.5</v>
      </c>
      <c r="H49" s="102">
        <v>80.099999999999994</v>
      </c>
      <c r="I49" s="102">
        <v>79.7</v>
      </c>
      <c r="J49" s="102">
        <v>42.7</v>
      </c>
      <c r="K49" s="102">
        <v>193.7</v>
      </c>
      <c r="L49" s="102">
        <v>16.8</v>
      </c>
      <c r="M49" s="102">
        <v>21.2</v>
      </c>
      <c r="N49" s="102">
        <f t="shared" si="1"/>
        <v>147</v>
      </c>
      <c r="O49" s="102">
        <f t="shared" si="2"/>
        <v>556.90000000000009</v>
      </c>
      <c r="P49" s="102">
        <f t="shared" si="3"/>
        <v>231.7</v>
      </c>
      <c r="Q49" s="102">
        <f t="shared" si="4"/>
        <v>935.60000000000014</v>
      </c>
    </row>
    <row r="50" spans="1:34">
      <c r="A50" s="102">
        <v>2007</v>
      </c>
      <c r="B50" s="102">
        <v>39.4</v>
      </c>
      <c r="C50" s="102">
        <v>4.7</v>
      </c>
      <c r="D50" s="102">
        <v>25.1</v>
      </c>
      <c r="E50" s="102">
        <v>90.4</v>
      </c>
      <c r="F50" s="102">
        <v>95.6</v>
      </c>
      <c r="G50" s="102">
        <v>504.7</v>
      </c>
      <c r="H50" s="102">
        <v>236.8</v>
      </c>
      <c r="I50" s="102">
        <v>152.80000000000001</v>
      </c>
      <c r="J50" s="102">
        <v>131</v>
      </c>
      <c r="K50" s="102">
        <v>22.3</v>
      </c>
      <c r="L50" s="102">
        <v>2.7</v>
      </c>
      <c r="M50" s="102">
        <v>30.3</v>
      </c>
      <c r="N50" s="102">
        <f t="shared" si="1"/>
        <v>159.60000000000002</v>
      </c>
      <c r="O50" s="102">
        <f t="shared" si="2"/>
        <v>1120.8999999999999</v>
      </c>
      <c r="P50" s="102">
        <f t="shared" si="3"/>
        <v>55.3</v>
      </c>
      <c r="Q50" s="102">
        <f t="shared" si="4"/>
        <v>1335.8</v>
      </c>
    </row>
    <row r="51" spans="1:34">
      <c r="A51" s="102">
        <v>2008</v>
      </c>
      <c r="B51" s="102">
        <v>23.1</v>
      </c>
      <c r="C51" s="102">
        <v>13.9</v>
      </c>
      <c r="D51" s="102">
        <v>80.3</v>
      </c>
      <c r="E51" s="102">
        <v>61.9</v>
      </c>
      <c r="F51" s="102">
        <v>275</v>
      </c>
      <c r="G51" s="102">
        <v>95.3</v>
      </c>
      <c r="H51" s="102">
        <v>340.8</v>
      </c>
      <c r="I51" s="102">
        <v>338</v>
      </c>
      <c r="J51" s="102">
        <v>104</v>
      </c>
      <c r="K51" s="102">
        <v>113.2</v>
      </c>
      <c r="L51" s="102">
        <v>81.8</v>
      </c>
      <c r="M51" s="102">
        <v>23.4</v>
      </c>
      <c r="N51" s="102">
        <f t="shared" si="1"/>
        <v>179.2</v>
      </c>
      <c r="O51" s="102">
        <f t="shared" si="2"/>
        <v>1153.0999999999999</v>
      </c>
      <c r="P51" s="102">
        <f t="shared" si="3"/>
        <v>218.4</v>
      </c>
      <c r="Q51" s="102">
        <f t="shared" si="4"/>
        <v>1550.7</v>
      </c>
    </row>
    <row r="52" spans="1:34">
      <c r="A52" s="102">
        <v>2009</v>
      </c>
      <c r="B52" s="102">
        <v>14.2</v>
      </c>
      <c r="C52" s="102">
        <v>26.5</v>
      </c>
      <c r="D52" s="102">
        <v>36.700000000000003</v>
      </c>
      <c r="E52" s="102">
        <v>203.6</v>
      </c>
      <c r="F52" s="102">
        <v>132.9</v>
      </c>
      <c r="G52" s="102">
        <v>112.6</v>
      </c>
      <c r="H52" s="102">
        <v>132.4</v>
      </c>
      <c r="I52" s="102">
        <v>54.4</v>
      </c>
      <c r="J52" s="102">
        <v>67.5</v>
      </c>
      <c r="K52" s="102">
        <v>65.400000000000006</v>
      </c>
      <c r="L52" s="102">
        <v>12.1</v>
      </c>
      <c r="M52" s="102">
        <v>16.899999999999999</v>
      </c>
      <c r="N52" s="102">
        <f t="shared" si="1"/>
        <v>281</v>
      </c>
      <c r="O52" s="102">
        <f t="shared" si="2"/>
        <v>499.79999999999995</v>
      </c>
      <c r="P52" s="102">
        <f t="shared" si="3"/>
        <v>94.4</v>
      </c>
      <c r="Q52" s="102">
        <f t="shared" si="4"/>
        <v>875.19999999999993</v>
      </c>
    </row>
    <row r="53" spans="1:34">
      <c r="A53" s="102">
        <v>2010</v>
      </c>
      <c r="B53" s="102">
        <v>3.5</v>
      </c>
      <c r="C53" s="102">
        <v>6.9</v>
      </c>
      <c r="D53" s="102">
        <v>7.4</v>
      </c>
      <c r="E53" s="102">
        <v>106.2</v>
      </c>
      <c r="F53" s="102">
        <v>159.80000000000001</v>
      </c>
      <c r="G53" s="102">
        <v>322.39999999999998</v>
      </c>
      <c r="H53" s="102">
        <v>313.10000000000002</v>
      </c>
      <c r="I53" s="102">
        <v>85.6</v>
      </c>
      <c r="J53" s="102">
        <v>158.1</v>
      </c>
      <c r="K53" s="102">
        <v>71.8</v>
      </c>
      <c r="L53" s="102">
        <v>45.4</v>
      </c>
      <c r="M53" s="102">
        <v>46.8</v>
      </c>
      <c r="N53" s="102">
        <f t="shared" si="1"/>
        <v>124</v>
      </c>
      <c r="O53" s="102">
        <f t="shared" si="2"/>
        <v>1039</v>
      </c>
      <c r="P53" s="102">
        <f t="shared" si="3"/>
        <v>164</v>
      </c>
      <c r="Q53" s="102">
        <f t="shared" si="4"/>
        <v>1327</v>
      </c>
    </row>
    <row r="54" spans="1:34">
      <c r="A54" s="102">
        <v>2011</v>
      </c>
      <c r="B54" s="102">
        <v>27.9</v>
      </c>
      <c r="C54" s="102">
        <v>8.6</v>
      </c>
      <c r="D54" s="102">
        <v>21.6</v>
      </c>
      <c r="E54" s="102">
        <v>59.9</v>
      </c>
      <c r="F54" s="102">
        <v>108.4</v>
      </c>
      <c r="G54" s="102">
        <v>220.1</v>
      </c>
      <c r="H54" s="102">
        <v>53.5</v>
      </c>
      <c r="I54" s="102">
        <v>56.8</v>
      </c>
      <c r="J54" s="102">
        <v>94</v>
      </c>
      <c r="K54" s="102">
        <v>108.6</v>
      </c>
      <c r="L54" s="102">
        <v>64.099999999999994</v>
      </c>
      <c r="M54" s="102">
        <v>17.5</v>
      </c>
      <c r="N54" s="102">
        <f t="shared" si="1"/>
        <v>118</v>
      </c>
      <c r="O54" s="102">
        <f t="shared" si="2"/>
        <v>532.79999999999995</v>
      </c>
      <c r="P54" s="102">
        <f t="shared" si="3"/>
        <v>190.2</v>
      </c>
      <c r="Q54" s="102">
        <f t="shared" si="4"/>
        <v>841</v>
      </c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</row>
    <row r="55" spans="1:34">
      <c r="A55" s="102">
        <v>2012</v>
      </c>
      <c r="B55" s="102">
        <v>31.7</v>
      </c>
      <c r="C55" s="102">
        <v>24.7</v>
      </c>
      <c r="D55" s="102">
        <v>38</v>
      </c>
      <c r="E55" s="102">
        <v>53.6</v>
      </c>
      <c r="F55" s="102">
        <v>224</v>
      </c>
      <c r="G55" s="102">
        <v>258.7</v>
      </c>
      <c r="H55" s="102">
        <v>260.2</v>
      </c>
      <c r="I55" s="102">
        <v>76.7</v>
      </c>
      <c r="J55" s="102">
        <v>125.2</v>
      </c>
      <c r="K55" s="102">
        <v>61.4</v>
      </c>
      <c r="L55" s="102">
        <v>36.299999999999997</v>
      </c>
      <c r="M55" s="102">
        <v>15.7</v>
      </c>
      <c r="N55" s="102">
        <f t="shared" si="1"/>
        <v>148</v>
      </c>
      <c r="O55" s="102">
        <f t="shared" si="2"/>
        <v>944.80000000000007</v>
      </c>
      <c r="P55" s="102">
        <f t="shared" si="3"/>
        <v>113.39999999999999</v>
      </c>
      <c r="Q55" s="102">
        <f t="shared" si="4"/>
        <v>1206.2000000000003</v>
      </c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  <c r="AD55" s="104"/>
      <c r="AE55" s="104"/>
      <c r="AF55" s="104"/>
      <c r="AG55" s="104"/>
    </row>
    <row r="56" spans="1:34">
      <c r="A56" s="102">
        <v>2013</v>
      </c>
      <c r="B56" s="102">
        <v>13.2</v>
      </c>
      <c r="C56" s="102">
        <v>21</v>
      </c>
      <c r="D56" s="102">
        <v>44.1</v>
      </c>
      <c r="E56" s="102">
        <v>37.4</v>
      </c>
      <c r="F56" s="102">
        <v>179</v>
      </c>
      <c r="G56" s="102">
        <v>111.9</v>
      </c>
      <c r="H56" s="102">
        <v>58.9</v>
      </c>
      <c r="I56" s="102">
        <v>183.7</v>
      </c>
      <c r="J56" s="102">
        <v>29.2</v>
      </c>
      <c r="K56" s="102">
        <v>86.3</v>
      </c>
      <c r="L56" s="102">
        <v>47</v>
      </c>
      <c r="M56" s="102">
        <v>27.8</v>
      </c>
      <c r="N56" s="102">
        <f t="shared" si="1"/>
        <v>115.70000000000002</v>
      </c>
      <c r="O56" s="102">
        <f t="shared" si="2"/>
        <v>562.70000000000005</v>
      </c>
      <c r="P56" s="102">
        <f t="shared" si="3"/>
        <v>161.10000000000002</v>
      </c>
      <c r="Q56" s="102">
        <f t="shared" si="4"/>
        <v>839.5</v>
      </c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</row>
    <row r="57" spans="1:34">
      <c r="A57" s="102">
        <v>2014</v>
      </c>
      <c r="B57" s="103">
        <v>15.1</v>
      </c>
      <c r="C57" s="103">
        <v>33.6</v>
      </c>
      <c r="D57" s="103">
        <v>115.2</v>
      </c>
      <c r="E57" s="103">
        <v>32.799999999999997</v>
      </c>
      <c r="F57" s="103">
        <v>117.3</v>
      </c>
      <c r="G57" s="103">
        <v>294.5</v>
      </c>
      <c r="H57" s="103">
        <v>316.7</v>
      </c>
      <c r="I57" s="103">
        <v>197.7</v>
      </c>
      <c r="J57" s="103">
        <v>212.4</v>
      </c>
      <c r="K57" s="103">
        <v>137.30000000000001</v>
      </c>
      <c r="L57" s="103">
        <v>54.9</v>
      </c>
      <c r="M57" s="103">
        <v>11.5</v>
      </c>
      <c r="N57" s="102">
        <f t="shared" si="1"/>
        <v>196.7</v>
      </c>
      <c r="O57" s="102">
        <f t="shared" ref="O57" si="5">SUM(F57:J57)</f>
        <v>1138.6000000000001</v>
      </c>
      <c r="P57" s="102">
        <f t="shared" ref="P57" si="6">SUM(K57:M57)</f>
        <v>203.70000000000002</v>
      </c>
      <c r="Q57" s="102">
        <f>SUM(B57:M57)</f>
        <v>1539.0000000000002</v>
      </c>
    </row>
    <row r="58" spans="1:34">
      <c r="A58" s="102">
        <v>2015</v>
      </c>
      <c r="B58" s="102">
        <v>31.2</v>
      </c>
      <c r="C58" s="102">
        <v>7.4</v>
      </c>
      <c r="D58" s="102">
        <v>65.5</v>
      </c>
      <c r="E58" s="102">
        <v>84.2</v>
      </c>
      <c r="F58" s="102">
        <v>185.8</v>
      </c>
      <c r="G58" s="102">
        <v>405</v>
      </c>
      <c r="H58" s="102">
        <v>89.2</v>
      </c>
      <c r="I58" s="102">
        <v>310.3</v>
      </c>
      <c r="J58" s="102">
        <v>102.8</v>
      </c>
      <c r="K58" s="102">
        <v>139.80000000000001</v>
      </c>
      <c r="L58" s="102">
        <v>29.6</v>
      </c>
      <c r="M58" s="102">
        <v>64.900000000000006</v>
      </c>
      <c r="N58" s="102">
        <f>SUM(B58:E58)</f>
        <v>188.3</v>
      </c>
      <c r="O58" s="102">
        <f>SUM(F58:J58)</f>
        <v>1093.0999999999999</v>
      </c>
      <c r="P58" s="102">
        <f>SUM(K58:M58)</f>
        <v>234.3</v>
      </c>
      <c r="Q58" s="102">
        <f>SUM(B58:M58)</f>
        <v>1515.7</v>
      </c>
    </row>
    <row r="59" spans="1:34" s="108" customFormat="1">
      <c r="A59" s="108">
        <v>2016</v>
      </c>
      <c r="B59" s="127">
        <v>19</v>
      </c>
      <c r="C59" s="127">
        <v>6.3</v>
      </c>
      <c r="D59" s="127">
        <v>26</v>
      </c>
      <c r="E59" s="127">
        <v>147.69999999999999</v>
      </c>
      <c r="F59" s="127">
        <v>126.7</v>
      </c>
      <c r="G59" s="127">
        <v>30.6</v>
      </c>
      <c r="H59" s="127">
        <v>36.700000000000003</v>
      </c>
      <c r="I59" s="127">
        <v>177</v>
      </c>
      <c r="J59" s="127">
        <v>22.3</v>
      </c>
      <c r="K59" s="127">
        <v>91.7</v>
      </c>
      <c r="L59" s="127">
        <v>54.6</v>
      </c>
      <c r="M59" s="127">
        <v>9</v>
      </c>
      <c r="N59" s="108">
        <f>SUM(B59:E59)</f>
        <v>199</v>
      </c>
      <c r="O59" s="108">
        <f>SUM(F59:J59)</f>
        <v>393.3</v>
      </c>
      <c r="P59" s="108">
        <f>SUM(K59:M59)</f>
        <v>155.30000000000001</v>
      </c>
      <c r="Q59" s="108">
        <f>SUM(B59:M59)</f>
        <v>747.6</v>
      </c>
      <c r="R59" s="108">
        <f t="shared" ref="R59:AG59" si="7">100*(B59-B4)/B4</f>
        <v>-18.351106159477965</v>
      </c>
      <c r="S59" s="108">
        <f t="shared" si="7"/>
        <v>-73.426027183252614</v>
      </c>
      <c r="T59" s="108">
        <f t="shared" si="7"/>
        <v>-29.461414790996763</v>
      </c>
      <c r="U59" s="108">
        <f t="shared" si="7"/>
        <v>77.228184787680817</v>
      </c>
      <c r="V59" s="108">
        <f t="shared" si="7"/>
        <v>-29.416498163661092</v>
      </c>
      <c r="W59" s="108">
        <f t="shared" si="7"/>
        <v>-87.213495318424521</v>
      </c>
      <c r="X59" s="108">
        <f t="shared" si="7"/>
        <v>-80.697755960729324</v>
      </c>
      <c r="Y59" s="108">
        <f t="shared" si="7"/>
        <v>18.862856290105942</v>
      </c>
      <c r="Z59" s="108">
        <f t="shared" si="7"/>
        <v>-78.566088782884208</v>
      </c>
      <c r="AA59" s="108">
        <f t="shared" si="7"/>
        <v>-1.4410254368854605</v>
      </c>
      <c r="AB59" s="108">
        <f t="shared" si="7"/>
        <v>30.137711864406782</v>
      </c>
      <c r="AC59" s="108">
        <f t="shared" si="7"/>
        <v>-61.995620894588676</v>
      </c>
      <c r="AD59" s="108">
        <f t="shared" si="7"/>
        <v>19.036278039324291</v>
      </c>
      <c r="AE59" s="108">
        <f t="shared" si="7"/>
        <v>-54.368452263293143</v>
      </c>
      <c r="AF59" s="108">
        <f t="shared" si="7"/>
        <v>-2.1287024718156742</v>
      </c>
      <c r="AG59" s="108">
        <f t="shared" si="7"/>
        <v>-37.057854125967218</v>
      </c>
    </row>
    <row r="60" spans="1:34">
      <c r="E60" s="103"/>
    </row>
    <row r="62" spans="1:34">
      <c r="AH62" s="103"/>
    </row>
  </sheetData>
  <mergeCells count="6">
    <mergeCell ref="A1:A3"/>
    <mergeCell ref="B1:Q1"/>
    <mergeCell ref="B2:M2"/>
    <mergeCell ref="R1:AG1"/>
    <mergeCell ref="N2:Q2"/>
    <mergeCell ref="R2:AG2"/>
  </mergeCells>
  <phoneticPr fontId="2" type="noConversion"/>
  <pageMargins left="0.75" right="0.75" top="1" bottom="1" header="0.5" footer="0.5"/>
  <pageSetup paperSize="9" orientation="portrait" horizontalDpi="200" verticalDpi="200" copies="0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5"/>
  <dimension ref="A1:AG67"/>
  <sheetViews>
    <sheetView zoomScaleNormal="100" workbookViewId="0">
      <pane ySplit="5" topLeftCell="A6" activePane="bottomLeft" state="frozen"/>
      <selection pane="bottomLeft" activeCell="D59" sqref="D59"/>
    </sheetView>
  </sheetViews>
  <sheetFormatPr defaultRowHeight="12"/>
  <cols>
    <col min="1" max="34" width="7.125" style="102" customWidth="1"/>
    <col min="35" max="16384" width="9" style="102"/>
  </cols>
  <sheetData>
    <row r="1" spans="1:33" s="118" customFormat="1" ht="14.25" customHeight="1">
      <c r="A1" s="176" t="s">
        <v>53</v>
      </c>
      <c r="B1" s="176" t="s">
        <v>171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2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116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32</v>
      </c>
      <c r="O2" s="176"/>
      <c r="P2" s="176"/>
      <c r="Q2" s="176"/>
      <c r="R2" s="176" t="s">
        <v>38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 ht="24">
      <c r="A3" s="176"/>
      <c r="B3" s="124" t="s">
        <v>149</v>
      </c>
      <c r="C3" s="124" t="s">
        <v>150</v>
      </c>
      <c r="D3" s="124" t="s">
        <v>9</v>
      </c>
      <c r="E3" s="124" t="s">
        <v>10</v>
      </c>
      <c r="F3" s="124" t="s">
        <v>11</v>
      </c>
      <c r="G3" s="124" t="s">
        <v>12</v>
      </c>
      <c r="H3" s="124" t="s">
        <v>13</v>
      </c>
      <c r="I3" s="124" t="s">
        <v>14</v>
      </c>
      <c r="J3" s="124" t="s">
        <v>15</v>
      </c>
      <c r="K3" s="124" t="s">
        <v>16</v>
      </c>
      <c r="L3" s="124" t="s">
        <v>17</v>
      </c>
      <c r="M3" s="124" t="s">
        <v>18</v>
      </c>
      <c r="N3" s="124" t="s">
        <v>145</v>
      </c>
      <c r="O3" s="124" t="s">
        <v>146</v>
      </c>
      <c r="P3" s="124" t="s">
        <v>147</v>
      </c>
      <c r="Q3" s="124" t="s">
        <v>148</v>
      </c>
      <c r="R3" s="124" t="s">
        <v>149</v>
      </c>
      <c r="S3" s="124" t="s">
        <v>150</v>
      </c>
      <c r="T3" s="124" t="s">
        <v>151</v>
      </c>
      <c r="U3" s="124" t="s">
        <v>152</v>
      </c>
      <c r="V3" s="124" t="s">
        <v>153</v>
      </c>
      <c r="W3" s="124" t="s">
        <v>154</v>
      </c>
      <c r="X3" s="124" t="s">
        <v>25</v>
      </c>
      <c r="Y3" s="124" t="s">
        <v>26</v>
      </c>
      <c r="Z3" s="124" t="s">
        <v>27</v>
      </c>
      <c r="AA3" s="124" t="s">
        <v>155</v>
      </c>
      <c r="AB3" s="124" t="s">
        <v>156</v>
      </c>
      <c r="AC3" s="124" t="s">
        <v>157</v>
      </c>
      <c r="AD3" s="124" t="s">
        <v>90</v>
      </c>
      <c r="AE3" s="124" t="s">
        <v>42</v>
      </c>
      <c r="AF3" s="124" t="s">
        <v>111</v>
      </c>
      <c r="AG3" s="124" t="s">
        <v>66</v>
      </c>
    </row>
    <row r="4" spans="1:33" s="118" customFormat="1">
      <c r="A4" s="150" t="s">
        <v>261</v>
      </c>
      <c r="B4" s="150" t="e">
        <f>AVERAGE(B5:B0)</f>
        <v>#NAME?</v>
      </c>
      <c r="C4" s="150" t="e">
        <f>AVERAGE(C5:C0)</f>
        <v>#NAME?</v>
      </c>
      <c r="D4" s="150" t="e">
        <f>AVERAGE(D5:D0)</f>
        <v>#NAME?</v>
      </c>
      <c r="E4" s="150" t="e">
        <f>AVERAGE(E5:E0)</f>
        <v>#NAME?</v>
      </c>
      <c r="F4" s="150" t="e">
        <f>AVERAGE(F5:F0)</f>
        <v>#NAME?</v>
      </c>
      <c r="G4" s="150" t="e">
        <f>AVERAGE(G5:G0)</f>
        <v>#NAME?</v>
      </c>
      <c r="H4" s="150" t="e">
        <f>AVERAGE(H5:H0)</f>
        <v>#NAME?</v>
      </c>
      <c r="I4" s="150" t="e">
        <f>AVERAGE(I5:I0)</f>
        <v>#NAME?</v>
      </c>
      <c r="J4" s="150" t="e">
        <f>AVERAGE(J5:J0)</f>
        <v>#NAME?</v>
      </c>
      <c r="K4" s="150" t="e">
        <f>AVERAGE(K5:K0)</f>
        <v>#NAME?</v>
      </c>
      <c r="L4" s="150" t="e">
        <f>AVERAGE(L5:L0)</f>
        <v>#NAME?</v>
      </c>
      <c r="M4" s="150" t="e">
        <f>AVERAGE(M5:M0)</f>
        <v>#NAME?</v>
      </c>
      <c r="N4" s="150" t="e">
        <f>AVERAGE(N5:N0)</f>
        <v>#NAME?</v>
      </c>
      <c r="O4" s="150" t="e">
        <f>AVERAGE(O5:O0)</f>
        <v>#NAME?</v>
      </c>
      <c r="P4" s="150" t="e">
        <f>AVERAGE(P5:P0)</f>
        <v>#NAME?</v>
      </c>
      <c r="Q4" s="150" t="e">
        <f>AVERAGE(Q5:Q0)</f>
        <v>#NAME?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3">
        <v>1962</v>
      </c>
      <c r="B5" s="103">
        <v>17.8</v>
      </c>
      <c r="C5" s="103">
        <v>10.8</v>
      </c>
      <c r="D5" s="103">
        <v>15.7</v>
      </c>
      <c r="E5" s="103">
        <v>118</v>
      </c>
      <c r="F5" s="103">
        <v>86.9</v>
      </c>
      <c r="G5" s="103">
        <v>229</v>
      </c>
      <c r="H5" s="103">
        <v>109.6</v>
      </c>
      <c r="I5" s="103">
        <v>190</v>
      </c>
      <c r="J5" s="103">
        <v>92.1</v>
      </c>
      <c r="K5" s="103">
        <v>85.5</v>
      </c>
      <c r="L5" s="103">
        <v>20</v>
      </c>
      <c r="M5" s="103">
        <v>12.1</v>
      </c>
      <c r="N5" s="102">
        <f>SUM(B5:E5)</f>
        <v>162.30000000000001</v>
      </c>
      <c r="O5" s="102">
        <f>SUM(F5:J5)</f>
        <v>707.6</v>
      </c>
      <c r="P5" s="102">
        <f>SUM(K5:M5)</f>
        <v>117.6</v>
      </c>
      <c r="Q5" s="102">
        <f>SUM(B5:M5)</f>
        <v>987.50000000000011</v>
      </c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</row>
    <row r="6" spans="1:33" s="103" customFormat="1">
      <c r="A6" s="103">
        <v>1963</v>
      </c>
      <c r="B6" s="103">
        <v>4.5</v>
      </c>
      <c r="C6" s="103">
        <v>13.4</v>
      </c>
      <c r="D6" s="103">
        <v>21.4</v>
      </c>
      <c r="E6" s="103">
        <v>12.9</v>
      </c>
      <c r="F6" s="103">
        <v>309.89999999999998</v>
      </c>
      <c r="G6" s="103">
        <v>148.6</v>
      </c>
      <c r="H6" s="103">
        <v>502.6</v>
      </c>
      <c r="I6" s="103">
        <v>48</v>
      </c>
      <c r="J6" s="103">
        <v>57.4</v>
      </c>
      <c r="K6" s="103">
        <v>62.7</v>
      </c>
      <c r="L6" s="103">
        <v>154.4</v>
      </c>
      <c r="M6" s="103">
        <v>40.5</v>
      </c>
      <c r="N6" s="103">
        <f t="shared" ref="N6:N56" si="0">SUM(B6:E6)</f>
        <v>52.199999999999996</v>
      </c>
      <c r="O6" s="103">
        <f t="shared" ref="O6:O56" si="1">SUM(F6:J6)</f>
        <v>1066.5</v>
      </c>
      <c r="P6" s="103">
        <f t="shared" ref="P6:P56" si="2">SUM(K6:M6)</f>
        <v>257.60000000000002</v>
      </c>
      <c r="Q6" s="103">
        <f t="shared" ref="Q6:Q56" si="3">SUM(B6:M6)</f>
        <v>1376.3000000000002</v>
      </c>
    </row>
    <row r="7" spans="1:33">
      <c r="A7" s="103">
        <v>1964</v>
      </c>
      <c r="B7" s="103">
        <v>12.6</v>
      </c>
      <c r="C7" s="103">
        <v>27.6</v>
      </c>
      <c r="D7" s="103">
        <v>17.2</v>
      </c>
      <c r="E7" s="103">
        <v>217.5</v>
      </c>
      <c r="F7" s="103">
        <v>129.1</v>
      </c>
      <c r="G7" s="103">
        <v>401.2</v>
      </c>
      <c r="H7" s="103">
        <v>128.6</v>
      </c>
      <c r="I7" s="103">
        <v>238.7</v>
      </c>
      <c r="J7" s="103">
        <v>85</v>
      </c>
      <c r="K7" s="103">
        <v>130.5</v>
      </c>
      <c r="L7" s="103">
        <v>47.3</v>
      </c>
      <c r="M7" s="103">
        <v>37.700000000000003</v>
      </c>
      <c r="N7" s="102">
        <f t="shared" si="0"/>
        <v>274.89999999999998</v>
      </c>
      <c r="O7" s="102">
        <f t="shared" si="1"/>
        <v>982.59999999999991</v>
      </c>
      <c r="P7" s="102">
        <f t="shared" si="2"/>
        <v>215.5</v>
      </c>
      <c r="Q7" s="102">
        <f t="shared" si="3"/>
        <v>1473</v>
      </c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</row>
    <row r="8" spans="1:33">
      <c r="A8" s="103">
        <v>1965</v>
      </c>
      <c r="B8" s="103">
        <v>24.4</v>
      </c>
      <c r="C8" s="103">
        <v>23.8</v>
      </c>
      <c r="D8" s="103">
        <v>56.6</v>
      </c>
      <c r="E8" s="103">
        <v>150.80000000000001</v>
      </c>
      <c r="F8" s="103">
        <v>263.2</v>
      </c>
      <c r="G8" s="103">
        <v>278.39999999999998</v>
      </c>
      <c r="H8" s="103">
        <v>191.2</v>
      </c>
      <c r="I8" s="103">
        <v>306.10000000000002</v>
      </c>
      <c r="J8" s="103">
        <v>58</v>
      </c>
      <c r="K8" s="103">
        <v>212.9</v>
      </c>
      <c r="L8" s="103">
        <v>53.6</v>
      </c>
      <c r="M8" s="103">
        <v>21</v>
      </c>
      <c r="N8" s="102">
        <f t="shared" si="0"/>
        <v>255.60000000000002</v>
      </c>
      <c r="O8" s="102">
        <f t="shared" si="1"/>
        <v>1096.9000000000001</v>
      </c>
      <c r="P8" s="102">
        <f t="shared" si="2"/>
        <v>287.5</v>
      </c>
      <c r="Q8" s="102">
        <f t="shared" si="3"/>
        <v>1640</v>
      </c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</row>
    <row r="9" spans="1:33">
      <c r="A9" s="103">
        <v>1966</v>
      </c>
      <c r="B9" s="103">
        <v>19.7</v>
      </c>
      <c r="C9" s="103">
        <v>9.1</v>
      </c>
      <c r="D9" s="103">
        <v>12.2</v>
      </c>
      <c r="E9" s="103">
        <v>107.5</v>
      </c>
      <c r="F9" s="103">
        <v>195.5</v>
      </c>
      <c r="G9" s="103">
        <v>213</v>
      </c>
      <c r="H9" s="103">
        <v>103.2</v>
      </c>
      <c r="I9" s="103">
        <v>81.7</v>
      </c>
      <c r="J9" s="103">
        <v>54.7</v>
      </c>
      <c r="K9" s="103">
        <v>136.9</v>
      </c>
      <c r="L9" s="103">
        <v>17.8</v>
      </c>
      <c r="M9" s="103">
        <v>15.2</v>
      </c>
      <c r="N9" s="102">
        <f t="shared" si="0"/>
        <v>148.5</v>
      </c>
      <c r="O9" s="102">
        <f t="shared" si="1"/>
        <v>648.1</v>
      </c>
      <c r="P9" s="102">
        <f t="shared" si="2"/>
        <v>169.9</v>
      </c>
      <c r="Q9" s="102">
        <f t="shared" si="3"/>
        <v>966.50000000000011</v>
      </c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</row>
    <row r="10" spans="1:33">
      <c r="A10" s="103">
        <v>1967</v>
      </c>
      <c r="B10" s="103">
        <v>9.4</v>
      </c>
      <c r="C10" s="103">
        <v>37.1</v>
      </c>
      <c r="D10" s="103">
        <v>31.3</v>
      </c>
      <c r="E10" s="103">
        <v>130.1</v>
      </c>
      <c r="F10" s="103">
        <v>173.8</v>
      </c>
      <c r="G10" s="103">
        <v>275.7</v>
      </c>
      <c r="H10" s="103">
        <v>160.19999999999999</v>
      </c>
      <c r="I10" s="103">
        <v>163</v>
      </c>
      <c r="J10" s="103">
        <v>194.5</v>
      </c>
      <c r="K10" s="103">
        <v>47.5</v>
      </c>
      <c r="L10" s="103">
        <v>77.3</v>
      </c>
      <c r="M10" s="103">
        <v>20.399999999999999</v>
      </c>
      <c r="N10" s="102">
        <f t="shared" si="0"/>
        <v>207.89999999999998</v>
      </c>
      <c r="O10" s="102">
        <f t="shared" si="1"/>
        <v>967.2</v>
      </c>
      <c r="P10" s="102">
        <f t="shared" si="2"/>
        <v>145.19999999999999</v>
      </c>
      <c r="Q10" s="102">
        <f t="shared" si="3"/>
        <v>1320.3</v>
      </c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</row>
    <row r="11" spans="1:33">
      <c r="A11" s="103">
        <v>1968</v>
      </c>
      <c r="B11" s="103">
        <v>14.6</v>
      </c>
      <c r="C11" s="103">
        <v>20.2</v>
      </c>
      <c r="D11" s="103">
        <v>27.9</v>
      </c>
      <c r="E11" s="103">
        <v>97.4</v>
      </c>
      <c r="F11" s="103">
        <v>127.7</v>
      </c>
      <c r="G11" s="103">
        <v>205.5</v>
      </c>
      <c r="H11" s="103">
        <v>116</v>
      </c>
      <c r="I11" s="103">
        <v>149.4</v>
      </c>
      <c r="J11" s="103">
        <v>56.1</v>
      </c>
      <c r="K11" s="103">
        <v>125</v>
      </c>
      <c r="L11" s="103">
        <v>60.3</v>
      </c>
      <c r="M11" s="103">
        <v>11.4</v>
      </c>
      <c r="N11" s="102">
        <f t="shared" si="0"/>
        <v>160.1</v>
      </c>
      <c r="O11" s="102">
        <f t="shared" si="1"/>
        <v>654.70000000000005</v>
      </c>
      <c r="P11" s="102">
        <f t="shared" si="2"/>
        <v>196.70000000000002</v>
      </c>
      <c r="Q11" s="102">
        <f t="shared" si="3"/>
        <v>1011.4999999999999</v>
      </c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</row>
    <row r="12" spans="1:33">
      <c r="A12" s="103">
        <v>1969</v>
      </c>
      <c r="B12" s="103">
        <v>14.1</v>
      </c>
      <c r="C12" s="103">
        <v>6.5</v>
      </c>
      <c r="D12" s="103">
        <v>21.5</v>
      </c>
      <c r="E12" s="103">
        <v>57.2</v>
      </c>
      <c r="F12" s="103">
        <v>103.4</v>
      </c>
      <c r="G12" s="103">
        <v>321.8</v>
      </c>
      <c r="H12" s="103">
        <v>215.4</v>
      </c>
      <c r="I12" s="103">
        <v>267.39999999999998</v>
      </c>
      <c r="J12" s="103">
        <v>16.5</v>
      </c>
      <c r="K12" s="103">
        <v>180.4</v>
      </c>
      <c r="L12" s="103">
        <v>35.4</v>
      </c>
      <c r="M12" s="103">
        <v>8.3000000000000007</v>
      </c>
      <c r="N12" s="102">
        <f t="shared" si="0"/>
        <v>99.300000000000011</v>
      </c>
      <c r="O12" s="102">
        <f t="shared" si="1"/>
        <v>924.5</v>
      </c>
      <c r="P12" s="102">
        <f t="shared" si="2"/>
        <v>224.10000000000002</v>
      </c>
      <c r="Q12" s="102">
        <f t="shared" si="3"/>
        <v>1247.9000000000001</v>
      </c>
      <c r="R12" s="103"/>
      <c r="S12" s="103"/>
      <c r="T12" s="103"/>
      <c r="U12" s="103"/>
      <c r="V12" s="103"/>
      <c r="W12" s="103"/>
      <c r="X12" s="103"/>
      <c r="Y12" s="103"/>
      <c r="Z12" s="103"/>
      <c r="AA12" s="103"/>
      <c r="AB12" s="103"/>
      <c r="AC12" s="103"/>
      <c r="AD12" s="103"/>
      <c r="AE12" s="103"/>
      <c r="AF12" s="103"/>
      <c r="AG12" s="103"/>
    </row>
    <row r="13" spans="1:33">
      <c r="A13" s="103">
        <v>1970</v>
      </c>
      <c r="B13" s="103">
        <v>30.6</v>
      </c>
      <c r="C13" s="103">
        <v>8</v>
      </c>
      <c r="D13" s="103">
        <v>76.2</v>
      </c>
      <c r="E13" s="103">
        <v>77.5</v>
      </c>
      <c r="F13" s="103">
        <v>149.30000000000001</v>
      </c>
      <c r="G13" s="103">
        <v>129.5</v>
      </c>
      <c r="H13" s="103">
        <v>270.5</v>
      </c>
      <c r="I13" s="103">
        <v>58.2</v>
      </c>
      <c r="J13" s="103">
        <v>203.8</v>
      </c>
      <c r="K13" s="103">
        <v>46.6</v>
      </c>
      <c r="L13" s="103">
        <v>41.9</v>
      </c>
      <c r="M13" s="103">
        <v>45.1</v>
      </c>
      <c r="N13" s="102">
        <f t="shared" si="0"/>
        <v>192.3</v>
      </c>
      <c r="O13" s="102">
        <f t="shared" si="1"/>
        <v>811.3</v>
      </c>
      <c r="P13" s="102">
        <f t="shared" si="2"/>
        <v>133.6</v>
      </c>
      <c r="Q13" s="102">
        <f t="shared" si="3"/>
        <v>1137.2</v>
      </c>
      <c r="R13" s="103"/>
      <c r="S13" s="103"/>
      <c r="T13" s="103"/>
      <c r="U13" s="103"/>
      <c r="V13" s="103"/>
      <c r="W13" s="103"/>
      <c r="X13" s="103"/>
      <c r="Y13" s="103"/>
      <c r="Z13" s="103"/>
      <c r="AA13" s="103"/>
      <c r="AB13" s="103"/>
      <c r="AC13" s="103"/>
      <c r="AD13" s="103"/>
      <c r="AE13" s="103"/>
      <c r="AF13" s="103"/>
      <c r="AG13" s="103"/>
    </row>
    <row r="14" spans="1:33">
      <c r="A14" s="103">
        <v>1971</v>
      </c>
      <c r="B14" s="103">
        <v>16.100000000000001</v>
      </c>
      <c r="C14" s="103">
        <v>27</v>
      </c>
      <c r="D14" s="103">
        <v>36.9</v>
      </c>
      <c r="E14" s="103">
        <v>251.6</v>
      </c>
      <c r="F14" s="103">
        <v>290.5</v>
      </c>
      <c r="G14" s="103">
        <v>355.3</v>
      </c>
      <c r="H14" s="103">
        <v>153.5</v>
      </c>
      <c r="I14" s="103">
        <v>152.9</v>
      </c>
      <c r="J14" s="103">
        <v>161.4</v>
      </c>
      <c r="K14" s="103">
        <v>106.7</v>
      </c>
      <c r="L14" s="103">
        <v>35.6</v>
      </c>
      <c r="M14" s="103">
        <v>49.8</v>
      </c>
      <c r="N14" s="102">
        <f t="shared" si="0"/>
        <v>331.6</v>
      </c>
      <c r="O14" s="102">
        <f t="shared" si="1"/>
        <v>1113.5999999999999</v>
      </c>
      <c r="P14" s="102">
        <f t="shared" si="2"/>
        <v>192.10000000000002</v>
      </c>
      <c r="Q14" s="102">
        <f t="shared" si="3"/>
        <v>1637.3000000000002</v>
      </c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</row>
    <row r="15" spans="1:33">
      <c r="A15" s="103">
        <v>1972</v>
      </c>
      <c r="B15" s="103">
        <v>12.5</v>
      </c>
      <c r="C15" s="103">
        <v>15.6</v>
      </c>
      <c r="D15" s="103">
        <v>42.6</v>
      </c>
      <c r="E15" s="103">
        <v>148.4</v>
      </c>
      <c r="F15" s="103">
        <v>318.7</v>
      </c>
      <c r="G15" s="103">
        <v>201.6</v>
      </c>
      <c r="H15" s="103">
        <v>90.8</v>
      </c>
      <c r="I15" s="103">
        <v>23.3</v>
      </c>
      <c r="J15" s="103">
        <v>338.4</v>
      </c>
      <c r="K15" s="103">
        <v>103.7</v>
      </c>
      <c r="L15" s="103">
        <v>63.2</v>
      </c>
      <c r="M15" s="103">
        <v>22.4</v>
      </c>
      <c r="N15" s="102">
        <f t="shared" si="0"/>
        <v>219.10000000000002</v>
      </c>
      <c r="O15" s="102">
        <f t="shared" si="1"/>
        <v>972.79999999999984</v>
      </c>
      <c r="P15" s="102">
        <f t="shared" si="2"/>
        <v>189.3</v>
      </c>
      <c r="Q15" s="102">
        <f t="shared" si="3"/>
        <v>1381.2</v>
      </c>
      <c r="R15" s="103"/>
      <c r="S15" s="103"/>
      <c r="T15" s="103"/>
      <c r="U15" s="103"/>
      <c r="V15" s="103"/>
      <c r="W15" s="103"/>
      <c r="X15" s="103"/>
      <c r="Y15" s="103"/>
      <c r="Z15" s="103"/>
      <c r="AA15" s="103"/>
      <c r="AB15" s="103"/>
      <c r="AC15" s="103"/>
      <c r="AD15" s="103"/>
      <c r="AE15" s="103"/>
      <c r="AF15" s="103"/>
      <c r="AG15" s="103"/>
    </row>
    <row r="16" spans="1:33">
      <c r="A16" s="102">
        <v>1973</v>
      </c>
      <c r="B16" s="102">
        <v>26.5</v>
      </c>
      <c r="C16" s="102">
        <v>15.4</v>
      </c>
      <c r="D16" s="102">
        <v>35.9</v>
      </c>
      <c r="E16" s="102">
        <v>72.099999999999994</v>
      </c>
      <c r="F16" s="102">
        <v>111.9</v>
      </c>
      <c r="G16" s="102">
        <v>274</v>
      </c>
      <c r="H16" s="102">
        <v>174.7</v>
      </c>
      <c r="I16" s="102">
        <v>202.6</v>
      </c>
      <c r="J16" s="102">
        <v>86.6</v>
      </c>
      <c r="K16" s="102">
        <v>42.6</v>
      </c>
      <c r="L16" s="102">
        <v>40.799999999999997</v>
      </c>
      <c r="M16" s="102">
        <v>7.3</v>
      </c>
      <c r="N16" s="102">
        <f t="shared" si="0"/>
        <v>149.89999999999998</v>
      </c>
      <c r="O16" s="102">
        <f t="shared" si="1"/>
        <v>849.8</v>
      </c>
      <c r="P16" s="102">
        <f t="shared" si="2"/>
        <v>90.7</v>
      </c>
      <c r="Q16" s="102">
        <f t="shared" si="3"/>
        <v>1090.3999999999999</v>
      </c>
    </row>
    <row r="17" spans="1:17">
      <c r="A17" s="102">
        <v>1974</v>
      </c>
      <c r="B17" s="102">
        <v>22.2</v>
      </c>
      <c r="C17" s="102">
        <v>7.1</v>
      </c>
      <c r="D17" s="102">
        <v>40.799999999999997</v>
      </c>
      <c r="E17" s="102">
        <v>165.1</v>
      </c>
      <c r="F17" s="102">
        <v>212.9</v>
      </c>
      <c r="G17" s="102">
        <v>158.4</v>
      </c>
      <c r="H17" s="102">
        <v>168.4</v>
      </c>
      <c r="I17" s="102">
        <v>267.39999999999998</v>
      </c>
      <c r="J17" s="102">
        <v>118.1</v>
      </c>
      <c r="K17" s="102">
        <v>50.9</v>
      </c>
      <c r="L17" s="102">
        <v>22.6</v>
      </c>
      <c r="M17" s="102">
        <v>30.7</v>
      </c>
      <c r="N17" s="102">
        <f t="shared" si="0"/>
        <v>235.2</v>
      </c>
      <c r="O17" s="102">
        <f t="shared" si="1"/>
        <v>925.2</v>
      </c>
      <c r="P17" s="102">
        <f t="shared" si="2"/>
        <v>104.2</v>
      </c>
      <c r="Q17" s="102">
        <f t="shared" si="3"/>
        <v>1264.5999999999999</v>
      </c>
    </row>
    <row r="18" spans="1:17">
      <c r="A18" s="102">
        <v>1975</v>
      </c>
      <c r="B18" s="102">
        <v>35.299999999999997</v>
      </c>
      <c r="C18" s="102">
        <v>13.9</v>
      </c>
      <c r="D18" s="102">
        <v>32.299999999999997</v>
      </c>
      <c r="E18" s="102">
        <v>137.30000000000001</v>
      </c>
      <c r="F18" s="102">
        <v>195.1</v>
      </c>
      <c r="G18" s="102">
        <v>78.8</v>
      </c>
      <c r="H18" s="102">
        <v>58.8</v>
      </c>
      <c r="I18" s="102">
        <v>146.80000000000001</v>
      </c>
      <c r="J18" s="102">
        <v>109.2</v>
      </c>
      <c r="K18" s="102">
        <v>69.3</v>
      </c>
      <c r="L18" s="102">
        <v>85</v>
      </c>
      <c r="M18" s="102">
        <v>7.4</v>
      </c>
      <c r="N18" s="102">
        <f t="shared" si="0"/>
        <v>218.8</v>
      </c>
      <c r="O18" s="102">
        <f t="shared" si="1"/>
        <v>588.70000000000005</v>
      </c>
      <c r="P18" s="102">
        <f t="shared" si="2"/>
        <v>161.70000000000002</v>
      </c>
      <c r="Q18" s="102">
        <f t="shared" si="3"/>
        <v>969.19999999999993</v>
      </c>
    </row>
    <row r="19" spans="1:17">
      <c r="A19" s="102">
        <v>1976</v>
      </c>
      <c r="B19" s="102">
        <v>29.5</v>
      </c>
      <c r="C19" s="102">
        <v>14.7</v>
      </c>
      <c r="D19" s="102">
        <v>33</v>
      </c>
      <c r="E19" s="102">
        <v>109.3</v>
      </c>
      <c r="F19" s="102">
        <v>226.8</v>
      </c>
      <c r="G19" s="102">
        <v>307.5</v>
      </c>
      <c r="H19" s="102">
        <v>191.4</v>
      </c>
      <c r="I19" s="102">
        <v>55.9</v>
      </c>
      <c r="J19" s="102">
        <v>151.69999999999999</v>
      </c>
      <c r="K19" s="102">
        <v>177.9</v>
      </c>
      <c r="L19" s="102">
        <v>48.4</v>
      </c>
      <c r="M19" s="102">
        <v>18.399999999999999</v>
      </c>
      <c r="N19" s="102">
        <f t="shared" si="0"/>
        <v>186.5</v>
      </c>
      <c r="O19" s="102">
        <f t="shared" si="1"/>
        <v>933.3</v>
      </c>
      <c r="P19" s="102">
        <f t="shared" si="2"/>
        <v>244.70000000000002</v>
      </c>
      <c r="Q19" s="102">
        <f t="shared" si="3"/>
        <v>1364.5000000000002</v>
      </c>
    </row>
    <row r="20" spans="1:17">
      <c r="A20" s="102">
        <v>1977</v>
      </c>
      <c r="B20" s="102">
        <v>26.7</v>
      </c>
      <c r="C20" s="102">
        <v>28.5</v>
      </c>
      <c r="D20" s="102">
        <v>41.7</v>
      </c>
      <c r="E20" s="102">
        <v>128.30000000000001</v>
      </c>
      <c r="F20" s="102">
        <v>206.4</v>
      </c>
      <c r="G20" s="102">
        <v>482.1</v>
      </c>
      <c r="H20" s="102">
        <v>264.60000000000002</v>
      </c>
      <c r="I20" s="102">
        <v>145</v>
      </c>
      <c r="J20" s="102">
        <v>88.7</v>
      </c>
      <c r="K20" s="102">
        <v>205.6</v>
      </c>
      <c r="L20" s="102">
        <v>27.2</v>
      </c>
      <c r="M20" s="102">
        <v>1.3</v>
      </c>
      <c r="N20" s="102">
        <f t="shared" si="0"/>
        <v>225.20000000000002</v>
      </c>
      <c r="O20" s="102">
        <f t="shared" si="1"/>
        <v>1186.8</v>
      </c>
      <c r="P20" s="102">
        <f t="shared" si="2"/>
        <v>234.1</v>
      </c>
      <c r="Q20" s="102">
        <f t="shared" si="3"/>
        <v>1646.1000000000001</v>
      </c>
    </row>
    <row r="21" spans="1:17">
      <c r="A21" s="102">
        <v>1978</v>
      </c>
      <c r="B21" s="102">
        <v>15</v>
      </c>
      <c r="C21" s="102">
        <v>7.1</v>
      </c>
      <c r="D21" s="102">
        <v>36.799999999999997</v>
      </c>
      <c r="E21" s="102">
        <v>39.6</v>
      </c>
      <c r="F21" s="102">
        <v>287.8</v>
      </c>
      <c r="G21" s="102">
        <v>252</v>
      </c>
      <c r="H21" s="102">
        <v>140.30000000000001</v>
      </c>
      <c r="I21" s="102">
        <v>145.4</v>
      </c>
      <c r="J21" s="102">
        <v>109.1</v>
      </c>
      <c r="K21" s="102">
        <v>109.6</v>
      </c>
      <c r="L21" s="102">
        <v>79.7</v>
      </c>
      <c r="M21" s="102">
        <v>14.3</v>
      </c>
      <c r="N21" s="102">
        <f t="shared" si="0"/>
        <v>98.5</v>
      </c>
      <c r="O21" s="102">
        <f t="shared" si="1"/>
        <v>934.59999999999991</v>
      </c>
      <c r="P21" s="102">
        <f t="shared" si="2"/>
        <v>203.60000000000002</v>
      </c>
      <c r="Q21" s="102">
        <f t="shared" si="3"/>
        <v>1236.6999999999998</v>
      </c>
    </row>
    <row r="22" spans="1:17">
      <c r="A22" s="102">
        <v>1979</v>
      </c>
      <c r="B22" s="102">
        <v>11.3</v>
      </c>
      <c r="C22" s="102">
        <v>14.7</v>
      </c>
      <c r="D22" s="102">
        <v>25.2</v>
      </c>
      <c r="E22" s="102">
        <v>77.400000000000006</v>
      </c>
      <c r="F22" s="102">
        <v>169.2</v>
      </c>
      <c r="G22" s="102">
        <v>330.6</v>
      </c>
      <c r="H22" s="102">
        <v>396.1</v>
      </c>
      <c r="I22" s="102">
        <v>112.7</v>
      </c>
      <c r="J22" s="102">
        <v>123.6</v>
      </c>
      <c r="K22" s="102">
        <v>42.4</v>
      </c>
      <c r="L22" s="102">
        <v>10.6</v>
      </c>
      <c r="M22" s="102">
        <v>30.9</v>
      </c>
      <c r="N22" s="102">
        <f t="shared" si="0"/>
        <v>128.60000000000002</v>
      </c>
      <c r="O22" s="102">
        <f t="shared" si="1"/>
        <v>1132.2</v>
      </c>
      <c r="P22" s="102">
        <f t="shared" si="2"/>
        <v>83.9</v>
      </c>
      <c r="Q22" s="102">
        <f t="shared" si="3"/>
        <v>1344.7</v>
      </c>
    </row>
    <row r="23" spans="1:17">
      <c r="A23" s="102">
        <v>1980</v>
      </c>
      <c r="B23" s="102">
        <v>15</v>
      </c>
      <c r="C23" s="102">
        <v>28.1</v>
      </c>
      <c r="D23" s="102">
        <v>19.899999999999999</v>
      </c>
      <c r="E23" s="102">
        <v>67.599999999999994</v>
      </c>
      <c r="F23" s="102">
        <v>197.3</v>
      </c>
      <c r="G23" s="102">
        <v>187</v>
      </c>
      <c r="H23" s="102">
        <v>121.6</v>
      </c>
      <c r="I23" s="102">
        <v>85.3</v>
      </c>
      <c r="J23" s="102">
        <v>45.3</v>
      </c>
      <c r="K23" s="102">
        <v>142.1</v>
      </c>
      <c r="L23" s="102">
        <v>71.400000000000006</v>
      </c>
      <c r="M23" s="102">
        <v>31.7</v>
      </c>
      <c r="N23" s="102">
        <f t="shared" si="0"/>
        <v>130.6</v>
      </c>
      <c r="O23" s="102">
        <f t="shared" si="1"/>
        <v>636.49999999999989</v>
      </c>
      <c r="P23" s="102">
        <f t="shared" si="2"/>
        <v>245.2</v>
      </c>
      <c r="Q23" s="102">
        <f t="shared" si="3"/>
        <v>1012.3</v>
      </c>
    </row>
    <row r="24" spans="1:17">
      <c r="A24" s="102">
        <v>1981</v>
      </c>
      <c r="B24" s="102">
        <v>20.5</v>
      </c>
      <c r="C24" s="102">
        <v>32.6</v>
      </c>
      <c r="D24" s="102">
        <v>8.6999999999999993</v>
      </c>
      <c r="E24" s="102">
        <v>96.8</v>
      </c>
      <c r="F24" s="102">
        <v>104.1</v>
      </c>
      <c r="G24" s="102">
        <v>86.3</v>
      </c>
      <c r="H24" s="102">
        <v>168.8</v>
      </c>
      <c r="I24" s="102">
        <v>31.2</v>
      </c>
      <c r="J24" s="102">
        <v>166.7</v>
      </c>
      <c r="K24" s="102">
        <v>75</v>
      </c>
      <c r="L24" s="102">
        <v>67.3</v>
      </c>
      <c r="M24" s="102">
        <v>10.1</v>
      </c>
      <c r="N24" s="102">
        <f t="shared" si="0"/>
        <v>158.6</v>
      </c>
      <c r="O24" s="102">
        <f t="shared" si="1"/>
        <v>557.09999999999991</v>
      </c>
      <c r="P24" s="102">
        <f t="shared" si="2"/>
        <v>152.4</v>
      </c>
      <c r="Q24" s="102">
        <f t="shared" si="3"/>
        <v>868.1</v>
      </c>
    </row>
    <row r="25" spans="1:17">
      <c r="A25" s="102">
        <v>1982</v>
      </c>
      <c r="B25" s="102">
        <v>32.200000000000003</v>
      </c>
      <c r="C25" s="102">
        <v>75.8</v>
      </c>
      <c r="D25" s="102">
        <v>14.9</v>
      </c>
      <c r="E25" s="102">
        <v>115.6</v>
      </c>
      <c r="F25" s="102">
        <v>144.1</v>
      </c>
      <c r="G25" s="102">
        <v>217.7</v>
      </c>
      <c r="H25" s="102">
        <v>120.9</v>
      </c>
      <c r="I25" s="102">
        <v>130.69999999999999</v>
      </c>
      <c r="J25" s="102">
        <v>195.4</v>
      </c>
      <c r="K25" s="102">
        <v>87.1</v>
      </c>
      <c r="L25" s="102">
        <v>79.400000000000006</v>
      </c>
      <c r="M25" s="102">
        <v>20.5</v>
      </c>
      <c r="N25" s="102">
        <f t="shared" si="0"/>
        <v>238.5</v>
      </c>
      <c r="O25" s="102">
        <f t="shared" si="1"/>
        <v>808.79999999999984</v>
      </c>
      <c r="P25" s="102">
        <f t="shared" si="2"/>
        <v>187</v>
      </c>
      <c r="Q25" s="102">
        <f t="shared" si="3"/>
        <v>1234.3</v>
      </c>
    </row>
    <row r="26" spans="1:17">
      <c r="A26" s="102">
        <v>1983</v>
      </c>
      <c r="B26" s="102">
        <v>49.2</v>
      </c>
      <c r="C26" s="102">
        <v>42.8</v>
      </c>
      <c r="D26" s="102">
        <v>49.3</v>
      </c>
      <c r="E26" s="102">
        <v>110.3</v>
      </c>
      <c r="F26" s="102">
        <v>175.4</v>
      </c>
      <c r="G26" s="102">
        <v>240.1</v>
      </c>
      <c r="H26" s="102">
        <v>162.30000000000001</v>
      </c>
      <c r="I26" s="102">
        <v>122.5</v>
      </c>
      <c r="J26" s="102">
        <v>126.4</v>
      </c>
      <c r="K26" s="102">
        <v>124.3</v>
      </c>
      <c r="L26" s="102">
        <v>65.900000000000006</v>
      </c>
      <c r="M26" s="102">
        <v>23.9</v>
      </c>
      <c r="N26" s="102">
        <f t="shared" si="0"/>
        <v>251.60000000000002</v>
      </c>
      <c r="O26" s="102">
        <f t="shared" si="1"/>
        <v>826.69999999999993</v>
      </c>
      <c r="P26" s="102">
        <f t="shared" si="2"/>
        <v>214.1</v>
      </c>
      <c r="Q26" s="102">
        <f t="shared" si="3"/>
        <v>1292.4000000000003</v>
      </c>
    </row>
    <row r="27" spans="1:17">
      <c r="A27" s="102">
        <v>1984</v>
      </c>
      <c r="B27" s="102">
        <v>19.399999999999999</v>
      </c>
      <c r="C27" s="102">
        <v>19.5</v>
      </c>
      <c r="D27" s="102">
        <v>23.1</v>
      </c>
      <c r="E27" s="102">
        <v>155.5</v>
      </c>
      <c r="F27" s="102">
        <v>192.3</v>
      </c>
      <c r="G27" s="102">
        <v>198.1</v>
      </c>
      <c r="H27" s="102">
        <v>122.6</v>
      </c>
      <c r="I27" s="102">
        <v>238.5</v>
      </c>
      <c r="J27" s="102">
        <v>173.5</v>
      </c>
      <c r="K27" s="102">
        <v>59.2</v>
      </c>
      <c r="L27" s="102">
        <v>8.1999999999999993</v>
      </c>
      <c r="M27" s="102">
        <v>35.799999999999997</v>
      </c>
      <c r="N27" s="102">
        <f t="shared" si="0"/>
        <v>217.5</v>
      </c>
      <c r="O27" s="102">
        <f t="shared" si="1"/>
        <v>925</v>
      </c>
      <c r="P27" s="102">
        <f t="shared" si="2"/>
        <v>103.2</v>
      </c>
      <c r="Q27" s="102">
        <f t="shared" si="3"/>
        <v>1245.7</v>
      </c>
    </row>
    <row r="28" spans="1:17">
      <c r="A28" s="102">
        <v>1985</v>
      </c>
      <c r="B28" s="102">
        <v>13.7</v>
      </c>
      <c r="C28" s="102">
        <v>14.3</v>
      </c>
      <c r="D28" s="102">
        <v>33.9</v>
      </c>
      <c r="E28" s="102">
        <v>53</v>
      </c>
      <c r="F28" s="102">
        <v>269.7</v>
      </c>
      <c r="G28" s="102">
        <v>272.10000000000002</v>
      </c>
      <c r="H28" s="102">
        <v>182.9</v>
      </c>
      <c r="I28" s="102">
        <v>170.3</v>
      </c>
      <c r="J28" s="102">
        <v>73.400000000000006</v>
      </c>
      <c r="K28" s="102">
        <v>43.2</v>
      </c>
      <c r="L28" s="102">
        <v>55.3</v>
      </c>
      <c r="M28" s="102">
        <v>12.6</v>
      </c>
      <c r="N28" s="102">
        <f t="shared" si="0"/>
        <v>114.9</v>
      </c>
      <c r="O28" s="102">
        <f t="shared" si="1"/>
        <v>968.4</v>
      </c>
      <c r="P28" s="102">
        <f t="shared" si="2"/>
        <v>111.1</v>
      </c>
      <c r="Q28" s="102">
        <f t="shared" si="3"/>
        <v>1194.4000000000001</v>
      </c>
    </row>
    <row r="29" spans="1:17">
      <c r="A29" s="102">
        <v>1986</v>
      </c>
      <c r="B29" s="102">
        <v>12.6</v>
      </c>
      <c r="C29" s="102">
        <v>20.6</v>
      </c>
      <c r="D29" s="102">
        <v>19</v>
      </c>
      <c r="E29" s="102">
        <v>68.3</v>
      </c>
      <c r="F29" s="102">
        <v>127.2</v>
      </c>
      <c r="G29" s="102">
        <v>315</v>
      </c>
      <c r="H29" s="102">
        <v>200.5</v>
      </c>
      <c r="I29" s="102">
        <v>169.6</v>
      </c>
      <c r="J29" s="102">
        <v>97.4</v>
      </c>
      <c r="K29" s="102">
        <v>92.6</v>
      </c>
      <c r="L29" s="102">
        <v>51.1</v>
      </c>
      <c r="M29" s="102">
        <v>4</v>
      </c>
      <c r="N29" s="102">
        <f t="shared" si="0"/>
        <v>120.5</v>
      </c>
      <c r="O29" s="102">
        <f t="shared" si="1"/>
        <v>909.7</v>
      </c>
      <c r="P29" s="102">
        <f t="shared" si="2"/>
        <v>147.69999999999999</v>
      </c>
      <c r="Q29" s="102">
        <f t="shared" si="3"/>
        <v>1177.8999999999999</v>
      </c>
    </row>
    <row r="30" spans="1:17">
      <c r="A30" s="102">
        <v>1987</v>
      </c>
      <c r="B30" s="102">
        <v>25.3</v>
      </c>
      <c r="C30" s="102">
        <v>11.6</v>
      </c>
      <c r="D30" s="102">
        <v>57.9</v>
      </c>
      <c r="E30" s="102">
        <v>17.100000000000001</v>
      </c>
      <c r="F30" s="102">
        <v>115.8</v>
      </c>
      <c r="G30" s="102">
        <v>114.1</v>
      </c>
      <c r="H30" s="102">
        <v>227.6</v>
      </c>
      <c r="I30" s="102">
        <v>141.4</v>
      </c>
      <c r="J30" s="102">
        <v>124.8</v>
      </c>
      <c r="K30" s="102">
        <v>195.3</v>
      </c>
      <c r="L30" s="102">
        <v>47.9</v>
      </c>
      <c r="M30" s="102">
        <v>5.0999999999999996</v>
      </c>
      <c r="N30" s="102">
        <f t="shared" si="0"/>
        <v>111.9</v>
      </c>
      <c r="O30" s="102">
        <f t="shared" si="1"/>
        <v>723.69999999999993</v>
      </c>
      <c r="P30" s="102">
        <f t="shared" si="2"/>
        <v>248.3</v>
      </c>
      <c r="Q30" s="102">
        <f t="shared" si="3"/>
        <v>1083.8999999999999</v>
      </c>
    </row>
    <row r="31" spans="1:17">
      <c r="A31" s="102">
        <v>1988</v>
      </c>
      <c r="B31" s="102">
        <v>15.6</v>
      </c>
      <c r="C31" s="102">
        <v>27</v>
      </c>
      <c r="D31" s="102">
        <v>12.3</v>
      </c>
      <c r="E31" s="102">
        <v>81.400000000000006</v>
      </c>
      <c r="F31" s="102">
        <v>117.6</v>
      </c>
      <c r="G31" s="102">
        <v>342.3</v>
      </c>
      <c r="H31" s="102">
        <v>61.4</v>
      </c>
      <c r="I31" s="102">
        <v>250.2</v>
      </c>
      <c r="J31" s="102">
        <v>186.7</v>
      </c>
      <c r="K31" s="102">
        <v>43</v>
      </c>
      <c r="L31" s="102">
        <v>1.9</v>
      </c>
      <c r="M31" s="102">
        <v>7.5</v>
      </c>
      <c r="N31" s="102">
        <f t="shared" si="0"/>
        <v>136.30000000000001</v>
      </c>
      <c r="O31" s="102">
        <f t="shared" si="1"/>
        <v>958.2</v>
      </c>
      <c r="P31" s="102">
        <f t="shared" si="2"/>
        <v>52.4</v>
      </c>
      <c r="Q31" s="102">
        <f t="shared" si="3"/>
        <v>1146.9000000000001</v>
      </c>
    </row>
    <row r="32" spans="1:17">
      <c r="A32" s="102">
        <v>1989</v>
      </c>
      <c r="B32" s="102">
        <v>10.4</v>
      </c>
      <c r="C32" s="102">
        <v>21.6</v>
      </c>
      <c r="D32" s="102">
        <v>65.099999999999994</v>
      </c>
      <c r="E32" s="102">
        <v>23.2</v>
      </c>
      <c r="F32" s="102">
        <v>129.19999999999999</v>
      </c>
      <c r="G32" s="102">
        <v>412.1</v>
      </c>
      <c r="H32" s="102">
        <v>90.3</v>
      </c>
      <c r="I32" s="102">
        <v>94.8</v>
      </c>
      <c r="J32" s="102">
        <v>85.2</v>
      </c>
      <c r="K32" s="102">
        <v>118.6</v>
      </c>
      <c r="L32" s="102">
        <v>21</v>
      </c>
      <c r="M32" s="102">
        <v>27.4</v>
      </c>
      <c r="N32" s="102">
        <f t="shared" si="0"/>
        <v>120.3</v>
      </c>
      <c r="O32" s="102">
        <f t="shared" si="1"/>
        <v>811.59999999999991</v>
      </c>
      <c r="P32" s="102">
        <f t="shared" si="2"/>
        <v>167</v>
      </c>
      <c r="Q32" s="102">
        <f t="shared" si="3"/>
        <v>1098.9000000000001</v>
      </c>
    </row>
    <row r="33" spans="1:17">
      <c r="A33" s="102">
        <v>1990</v>
      </c>
      <c r="B33" s="102">
        <v>16.600000000000001</v>
      </c>
      <c r="C33" s="102">
        <v>18.600000000000001</v>
      </c>
      <c r="D33" s="102">
        <v>35.5</v>
      </c>
      <c r="E33" s="102">
        <v>59</v>
      </c>
      <c r="F33" s="102">
        <v>210.8</v>
      </c>
      <c r="G33" s="102">
        <v>385.6</v>
      </c>
      <c r="H33" s="102">
        <v>83.4</v>
      </c>
      <c r="I33" s="102">
        <v>46.5</v>
      </c>
      <c r="J33" s="102">
        <v>100.9</v>
      </c>
      <c r="K33" s="102">
        <v>82.3</v>
      </c>
      <c r="L33" s="102">
        <v>47.5</v>
      </c>
      <c r="M33" s="102">
        <v>11.8</v>
      </c>
      <c r="N33" s="102">
        <f t="shared" si="0"/>
        <v>129.69999999999999</v>
      </c>
      <c r="O33" s="102">
        <f t="shared" si="1"/>
        <v>827.2</v>
      </c>
      <c r="P33" s="102">
        <f t="shared" si="2"/>
        <v>141.60000000000002</v>
      </c>
      <c r="Q33" s="102">
        <f t="shared" si="3"/>
        <v>1098.5</v>
      </c>
    </row>
    <row r="34" spans="1:17">
      <c r="A34" s="102">
        <v>1991</v>
      </c>
      <c r="B34" s="102">
        <v>52.7</v>
      </c>
      <c r="C34" s="102">
        <v>7.2</v>
      </c>
      <c r="D34" s="102">
        <v>40.6</v>
      </c>
      <c r="E34" s="102">
        <v>39.200000000000003</v>
      </c>
      <c r="F34" s="102">
        <v>63.5</v>
      </c>
      <c r="G34" s="102">
        <v>253.3</v>
      </c>
      <c r="H34" s="102">
        <v>517</v>
      </c>
      <c r="I34" s="102">
        <v>96</v>
      </c>
      <c r="J34" s="102">
        <v>85.9</v>
      </c>
      <c r="K34" s="102">
        <v>47.2</v>
      </c>
      <c r="L34" s="102">
        <v>64.8</v>
      </c>
      <c r="M34" s="102">
        <v>18.399999999999999</v>
      </c>
      <c r="N34" s="102">
        <f t="shared" si="0"/>
        <v>139.69999999999999</v>
      </c>
      <c r="O34" s="102">
        <f t="shared" si="1"/>
        <v>1015.6999999999999</v>
      </c>
      <c r="P34" s="102">
        <f t="shared" si="2"/>
        <v>130.4</v>
      </c>
      <c r="Q34" s="102">
        <f t="shared" si="3"/>
        <v>1285.8000000000002</v>
      </c>
    </row>
    <row r="35" spans="1:17">
      <c r="A35" s="102">
        <v>1992</v>
      </c>
      <c r="B35" s="102">
        <v>36.200000000000003</v>
      </c>
      <c r="C35" s="102">
        <v>31.8</v>
      </c>
      <c r="D35" s="102">
        <v>53.6</v>
      </c>
      <c r="E35" s="102">
        <v>106.3</v>
      </c>
      <c r="F35" s="102">
        <v>326.5</v>
      </c>
      <c r="G35" s="102">
        <v>331.5</v>
      </c>
      <c r="H35" s="102">
        <v>199.9</v>
      </c>
      <c r="I35" s="102">
        <v>60.4</v>
      </c>
      <c r="J35" s="102">
        <v>44.3</v>
      </c>
      <c r="K35" s="102">
        <v>205.8</v>
      </c>
      <c r="L35" s="102">
        <v>12.3</v>
      </c>
      <c r="M35" s="102">
        <v>19.2</v>
      </c>
      <c r="N35" s="102">
        <f t="shared" si="0"/>
        <v>227.89999999999998</v>
      </c>
      <c r="O35" s="102">
        <f t="shared" si="1"/>
        <v>962.59999999999991</v>
      </c>
      <c r="P35" s="102">
        <f t="shared" si="2"/>
        <v>237.3</v>
      </c>
      <c r="Q35" s="102">
        <f t="shared" si="3"/>
        <v>1427.8</v>
      </c>
    </row>
    <row r="36" spans="1:17">
      <c r="A36" s="102">
        <v>1993</v>
      </c>
      <c r="B36" s="102">
        <v>24.2</v>
      </c>
      <c r="C36" s="102">
        <v>34.799999999999997</v>
      </c>
      <c r="D36" s="102">
        <v>4.3</v>
      </c>
      <c r="E36" s="102">
        <v>52.7</v>
      </c>
      <c r="F36" s="102">
        <v>151.5</v>
      </c>
      <c r="G36" s="102">
        <v>221.6</v>
      </c>
      <c r="H36" s="102">
        <v>383.7</v>
      </c>
      <c r="I36" s="102">
        <v>188.7</v>
      </c>
      <c r="J36" s="102">
        <v>110</v>
      </c>
      <c r="K36" s="102">
        <v>37.700000000000003</v>
      </c>
      <c r="L36" s="102">
        <v>34.700000000000003</v>
      </c>
      <c r="M36" s="102">
        <v>9</v>
      </c>
      <c r="N36" s="102">
        <f t="shared" si="0"/>
        <v>116</v>
      </c>
      <c r="O36" s="102">
        <f t="shared" si="1"/>
        <v>1055.5</v>
      </c>
      <c r="P36" s="102">
        <f t="shared" si="2"/>
        <v>81.400000000000006</v>
      </c>
      <c r="Q36" s="102">
        <f t="shared" si="3"/>
        <v>1252.9000000000001</v>
      </c>
    </row>
    <row r="37" spans="1:17">
      <c r="A37" s="102">
        <v>1994</v>
      </c>
      <c r="B37" s="102">
        <v>19</v>
      </c>
      <c r="C37" s="102">
        <v>11.6</v>
      </c>
      <c r="D37" s="102">
        <v>53.7</v>
      </c>
      <c r="E37" s="102">
        <v>40.700000000000003</v>
      </c>
      <c r="F37" s="102">
        <v>195.1</v>
      </c>
      <c r="G37" s="102">
        <v>278.89999999999998</v>
      </c>
      <c r="H37" s="102">
        <v>108.7</v>
      </c>
      <c r="I37" s="102">
        <v>94.8</v>
      </c>
      <c r="J37" s="102">
        <v>118.3</v>
      </c>
      <c r="K37" s="102">
        <v>134.19999999999999</v>
      </c>
      <c r="L37" s="102">
        <v>92</v>
      </c>
      <c r="M37" s="102">
        <v>55.5</v>
      </c>
      <c r="N37" s="102">
        <f t="shared" si="0"/>
        <v>125.00000000000001</v>
      </c>
      <c r="O37" s="102">
        <f t="shared" si="1"/>
        <v>795.8</v>
      </c>
      <c r="P37" s="102">
        <f t="shared" si="2"/>
        <v>281.7</v>
      </c>
      <c r="Q37" s="102">
        <f t="shared" si="3"/>
        <v>1202.5</v>
      </c>
    </row>
    <row r="38" spans="1:17">
      <c r="A38" s="102">
        <v>1995</v>
      </c>
      <c r="B38" s="102">
        <v>24.3</v>
      </c>
      <c r="C38" s="102">
        <v>47</v>
      </c>
      <c r="D38" s="102">
        <v>14.1</v>
      </c>
      <c r="E38" s="102">
        <v>28.1</v>
      </c>
      <c r="F38" s="102">
        <v>114.3</v>
      </c>
      <c r="G38" s="102">
        <v>400</v>
      </c>
      <c r="H38" s="102">
        <v>195.6</v>
      </c>
      <c r="I38" s="102">
        <v>238.3</v>
      </c>
      <c r="J38" s="102">
        <v>138.69999999999999</v>
      </c>
      <c r="K38" s="102">
        <v>91.3</v>
      </c>
      <c r="L38" s="102">
        <v>38.6</v>
      </c>
      <c r="M38" s="102">
        <v>8</v>
      </c>
      <c r="N38" s="102">
        <f t="shared" si="0"/>
        <v>113.5</v>
      </c>
      <c r="O38" s="102">
        <f t="shared" si="1"/>
        <v>1086.9000000000001</v>
      </c>
      <c r="P38" s="102">
        <f t="shared" si="2"/>
        <v>137.9</v>
      </c>
      <c r="Q38" s="102">
        <f t="shared" si="3"/>
        <v>1338.3</v>
      </c>
    </row>
    <row r="39" spans="1:17">
      <c r="A39" s="102">
        <v>1996</v>
      </c>
      <c r="B39" s="102">
        <v>18.600000000000001</v>
      </c>
      <c r="C39" s="102">
        <v>13.6</v>
      </c>
      <c r="D39" s="102">
        <v>46</v>
      </c>
      <c r="E39" s="102">
        <v>28.1</v>
      </c>
      <c r="F39" s="102">
        <v>257.89999999999998</v>
      </c>
      <c r="G39" s="102">
        <v>316.39999999999998</v>
      </c>
      <c r="H39" s="102">
        <v>394.7</v>
      </c>
      <c r="I39" s="102">
        <v>101.5</v>
      </c>
      <c r="J39" s="102">
        <v>20</v>
      </c>
      <c r="K39" s="102">
        <v>73</v>
      </c>
      <c r="L39" s="102">
        <v>75.5</v>
      </c>
      <c r="M39" s="102">
        <v>16.5</v>
      </c>
      <c r="N39" s="102">
        <f t="shared" si="0"/>
        <v>106.30000000000001</v>
      </c>
      <c r="O39" s="102">
        <f t="shared" si="1"/>
        <v>1090.5</v>
      </c>
      <c r="P39" s="102">
        <f t="shared" si="2"/>
        <v>165</v>
      </c>
      <c r="Q39" s="102">
        <f t="shared" si="3"/>
        <v>1361.8</v>
      </c>
    </row>
    <row r="40" spans="1:17">
      <c r="A40" s="102">
        <v>1997</v>
      </c>
      <c r="B40" s="102">
        <v>23.3</v>
      </c>
      <c r="C40" s="102">
        <v>52.7</v>
      </c>
      <c r="D40" s="102">
        <v>53</v>
      </c>
      <c r="E40" s="102">
        <v>165.4</v>
      </c>
      <c r="F40" s="102">
        <v>113.1</v>
      </c>
      <c r="G40" s="102">
        <v>166.6</v>
      </c>
      <c r="H40" s="102">
        <v>308.60000000000002</v>
      </c>
      <c r="I40" s="102">
        <v>45.6</v>
      </c>
      <c r="J40" s="102">
        <v>201.1</v>
      </c>
      <c r="K40" s="102">
        <v>152</v>
      </c>
      <c r="L40" s="102">
        <v>13.1</v>
      </c>
      <c r="M40" s="102">
        <v>17.600000000000001</v>
      </c>
      <c r="N40" s="102">
        <f t="shared" si="0"/>
        <v>294.39999999999998</v>
      </c>
      <c r="O40" s="102">
        <f t="shared" si="1"/>
        <v>835</v>
      </c>
      <c r="P40" s="102">
        <f t="shared" si="2"/>
        <v>182.7</v>
      </c>
      <c r="Q40" s="102">
        <f t="shared" si="3"/>
        <v>1312.1</v>
      </c>
    </row>
    <row r="41" spans="1:17">
      <c r="A41" s="102">
        <v>1998</v>
      </c>
      <c r="B41" s="102">
        <v>30.3</v>
      </c>
      <c r="C41" s="102">
        <v>15.4</v>
      </c>
      <c r="D41" s="102">
        <v>17.5</v>
      </c>
      <c r="E41" s="102">
        <v>29.1</v>
      </c>
      <c r="F41" s="102">
        <v>140.1</v>
      </c>
      <c r="G41" s="102">
        <v>225.5</v>
      </c>
      <c r="H41" s="102">
        <v>295.10000000000002</v>
      </c>
      <c r="I41" s="102">
        <v>137.80000000000001</v>
      </c>
      <c r="J41" s="102">
        <v>34.1</v>
      </c>
      <c r="K41" s="102">
        <v>145.30000000000001</v>
      </c>
      <c r="L41" s="102">
        <v>19</v>
      </c>
      <c r="M41" s="102">
        <v>13.5</v>
      </c>
      <c r="N41" s="102">
        <f t="shared" si="0"/>
        <v>92.300000000000011</v>
      </c>
      <c r="O41" s="102">
        <f t="shared" si="1"/>
        <v>832.6</v>
      </c>
      <c r="P41" s="102">
        <f t="shared" si="2"/>
        <v>177.8</v>
      </c>
      <c r="Q41" s="102">
        <f t="shared" si="3"/>
        <v>1102.7</v>
      </c>
    </row>
    <row r="42" spans="1:17">
      <c r="A42" s="102">
        <v>1999</v>
      </c>
      <c r="B42" s="102">
        <v>24.5</v>
      </c>
      <c r="C42" s="102">
        <v>7.9</v>
      </c>
      <c r="D42" s="102">
        <v>22.8</v>
      </c>
      <c r="E42" s="102">
        <v>47.5</v>
      </c>
      <c r="F42" s="102">
        <v>131.9</v>
      </c>
      <c r="G42" s="102">
        <v>357.2</v>
      </c>
      <c r="H42" s="102">
        <v>380.1</v>
      </c>
      <c r="I42" s="102">
        <v>211.4</v>
      </c>
      <c r="J42" s="102">
        <v>24.8</v>
      </c>
      <c r="K42" s="102">
        <v>101</v>
      </c>
      <c r="L42" s="102">
        <v>52.7</v>
      </c>
      <c r="M42" s="102">
        <v>7.5</v>
      </c>
      <c r="N42" s="102">
        <f t="shared" si="0"/>
        <v>102.7</v>
      </c>
      <c r="O42" s="102">
        <f t="shared" si="1"/>
        <v>1105.4000000000001</v>
      </c>
      <c r="P42" s="102">
        <f t="shared" si="2"/>
        <v>161.19999999999999</v>
      </c>
      <c r="Q42" s="102">
        <f t="shared" si="3"/>
        <v>1369.3</v>
      </c>
    </row>
    <row r="43" spans="1:17">
      <c r="A43" s="102">
        <v>2000</v>
      </c>
      <c r="B43" s="102">
        <v>20.9</v>
      </c>
      <c r="C43" s="102">
        <v>21.9</v>
      </c>
      <c r="D43" s="102">
        <v>38</v>
      </c>
      <c r="E43" s="102">
        <v>94.5</v>
      </c>
      <c r="F43" s="102">
        <v>184.8</v>
      </c>
      <c r="G43" s="102">
        <v>293.8</v>
      </c>
      <c r="H43" s="102">
        <v>182.2</v>
      </c>
      <c r="I43" s="102">
        <v>257.2</v>
      </c>
      <c r="J43" s="102">
        <v>115.7</v>
      </c>
      <c r="K43" s="102">
        <v>94.3</v>
      </c>
      <c r="L43" s="102">
        <v>48.3</v>
      </c>
      <c r="M43" s="102">
        <v>17.899999999999999</v>
      </c>
      <c r="N43" s="102">
        <f t="shared" si="0"/>
        <v>175.3</v>
      </c>
      <c r="O43" s="102">
        <f t="shared" si="1"/>
        <v>1033.7</v>
      </c>
      <c r="P43" s="102">
        <f t="shared" si="2"/>
        <v>160.5</v>
      </c>
      <c r="Q43" s="102">
        <f t="shared" si="3"/>
        <v>1369.5000000000002</v>
      </c>
    </row>
    <row r="44" spans="1:17">
      <c r="A44" s="102">
        <v>2001</v>
      </c>
      <c r="B44" s="102">
        <v>16.899999999999999</v>
      </c>
      <c r="C44" s="102">
        <v>14.8</v>
      </c>
      <c r="D44" s="102">
        <v>50.1</v>
      </c>
      <c r="E44" s="102">
        <v>67.7</v>
      </c>
      <c r="F44" s="102">
        <v>175.4</v>
      </c>
      <c r="G44" s="102">
        <v>262.2</v>
      </c>
      <c r="H44" s="102">
        <v>165.4</v>
      </c>
      <c r="I44" s="102">
        <v>124.4</v>
      </c>
      <c r="J44" s="102">
        <v>33</v>
      </c>
      <c r="K44" s="102">
        <v>154.6</v>
      </c>
      <c r="L44" s="102">
        <v>18.8</v>
      </c>
      <c r="M44" s="102">
        <v>17.8</v>
      </c>
      <c r="N44" s="102">
        <f t="shared" si="0"/>
        <v>149.5</v>
      </c>
      <c r="O44" s="102">
        <f t="shared" si="1"/>
        <v>760.4</v>
      </c>
      <c r="P44" s="102">
        <f t="shared" si="2"/>
        <v>191.20000000000002</v>
      </c>
      <c r="Q44" s="102">
        <f t="shared" si="3"/>
        <v>1101.0999999999997</v>
      </c>
    </row>
    <row r="45" spans="1:17">
      <c r="A45" s="102">
        <v>2002</v>
      </c>
      <c r="B45" s="102">
        <v>7.9</v>
      </c>
      <c r="C45" s="102">
        <v>49</v>
      </c>
      <c r="D45" s="102">
        <v>41.2</v>
      </c>
      <c r="E45" s="102">
        <v>71</v>
      </c>
      <c r="F45" s="102">
        <v>299.39999999999998</v>
      </c>
      <c r="G45" s="102">
        <v>267.8</v>
      </c>
      <c r="H45" s="102">
        <v>215.4</v>
      </c>
      <c r="I45" s="102">
        <v>179.5</v>
      </c>
      <c r="J45" s="102">
        <v>26.6</v>
      </c>
      <c r="K45" s="102">
        <v>89.7</v>
      </c>
      <c r="L45" s="102">
        <v>26.1</v>
      </c>
      <c r="M45" s="102">
        <v>22.8</v>
      </c>
      <c r="N45" s="102">
        <f t="shared" si="0"/>
        <v>169.1</v>
      </c>
      <c r="O45" s="102">
        <f t="shared" si="1"/>
        <v>988.7</v>
      </c>
      <c r="P45" s="102">
        <f t="shared" si="2"/>
        <v>138.60000000000002</v>
      </c>
      <c r="Q45" s="102">
        <f t="shared" si="3"/>
        <v>1296.3999999999996</v>
      </c>
    </row>
    <row r="46" spans="1:17">
      <c r="A46" s="102">
        <v>2003</v>
      </c>
      <c r="B46" s="102">
        <v>15.9</v>
      </c>
      <c r="C46" s="102">
        <v>2.7</v>
      </c>
      <c r="D46" s="102">
        <v>15.4</v>
      </c>
      <c r="E46" s="102">
        <v>163.5</v>
      </c>
      <c r="F46" s="102">
        <v>225.9</v>
      </c>
      <c r="G46" s="102">
        <v>144</v>
      </c>
      <c r="H46" s="102">
        <v>153.9</v>
      </c>
      <c r="I46" s="102">
        <v>55.7</v>
      </c>
      <c r="J46" s="102">
        <v>98.2</v>
      </c>
      <c r="K46" s="102">
        <v>74.099999999999994</v>
      </c>
      <c r="L46" s="102">
        <v>20.399999999999999</v>
      </c>
      <c r="M46" s="102">
        <v>50.7</v>
      </c>
      <c r="N46" s="102">
        <f t="shared" si="0"/>
        <v>197.5</v>
      </c>
      <c r="O46" s="102">
        <f t="shared" si="1"/>
        <v>677.7</v>
      </c>
      <c r="P46" s="102">
        <f t="shared" si="2"/>
        <v>145.19999999999999</v>
      </c>
      <c r="Q46" s="102">
        <f t="shared" si="3"/>
        <v>1020.4000000000001</v>
      </c>
    </row>
    <row r="47" spans="1:17">
      <c r="A47" s="102">
        <v>2004</v>
      </c>
      <c r="B47" s="103">
        <v>39.799999999999997</v>
      </c>
      <c r="C47" s="103">
        <v>61</v>
      </c>
      <c r="D47" s="103">
        <v>27.9</v>
      </c>
      <c r="E47" s="103">
        <v>154.69999999999999</v>
      </c>
      <c r="F47" s="103">
        <v>204.1</v>
      </c>
      <c r="G47" s="103">
        <v>69.8</v>
      </c>
      <c r="H47" s="103">
        <v>324.2</v>
      </c>
      <c r="I47" s="103">
        <v>130.9</v>
      </c>
      <c r="J47" s="103">
        <v>69.599999999999994</v>
      </c>
      <c r="K47" s="103">
        <v>30.2</v>
      </c>
      <c r="L47" s="103">
        <v>22.4</v>
      </c>
      <c r="M47" s="103">
        <v>17</v>
      </c>
      <c r="N47" s="102">
        <f t="shared" si="0"/>
        <v>283.39999999999998</v>
      </c>
      <c r="O47" s="102">
        <f t="shared" si="1"/>
        <v>798.59999999999991</v>
      </c>
      <c r="P47" s="102">
        <f t="shared" si="2"/>
        <v>69.599999999999994</v>
      </c>
      <c r="Q47" s="102">
        <f t="shared" si="3"/>
        <v>1151.6000000000001</v>
      </c>
    </row>
    <row r="48" spans="1:17">
      <c r="A48" s="102">
        <v>2005</v>
      </c>
      <c r="B48" s="103">
        <v>32.4</v>
      </c>
      <c r="C48" s="103">
        <v>13.1</v>
      </c>
      <c r="D48" s="103">
        <v>53</v>
      </c>
      <c r="E48" s="103">
        <v>39.5</v>
      </c>
      <c r="F48" s="103">
        <v>265.2</v>
      </c>
      <c r="G48" s="103">
        <v>177.9</v>
      </c>
      <c r="H48" s="103">
        <v>199.6</v>
      </c>
      <c r="I48" s="103">
        <v>109.1</v>
      </c>
      <c r="J48" s="103">
        <v>45.6</v>
      </c>
      <c r="K48" s="103">
        <v>51</v>
      </c>
      <c r="L48" s="103">
        <v>22.5</v>
      </c>
      <c r="M48" s="103">
        <v>21.5</v>
      </c>
      <c r="N48" s="102">
        <f t="shared" si="0"/>
        <v>138</v>
      </c>
      <c r="O48" s="102">
        <f t="shared" si="1"/>
        <v>797.40000000000009</v>
      </c>
      <c r="P48" s="102">
        <f t="shared" si="2"/>
        <v>95</v>
      </c>
      <c r="Q48" s="102">
        <f t="shared" si="3"/>
        <v>1030.4000000000001</v>
      </c>
    </row>
    <row r="49" spans="1:33">
      <c r="A49" s="102">
        <v>2006</v>
      </c>
      <c r="B49" s="102">
        <v>6</v>
      </c>
      <c r="C49" s="102">
        <v>30.2</v>
      </c>
      <c r="D49" s="102">
        <v>22.7</v>
      </c>
      <c r="E49" s="102">
        <v>37.200000000000003</v>
      </c>
      <c r="F49" s="102">
        <v>118.6</v>
      </c>
      <c r="G49" s="102">
        <v>183.5</v>
      </c>
      <c r="H49" s="102">
        <v>116.8</v>
      </c>
      <c r="I49" s="102">
        <v>142.80000000000001</v>
      </c>
      <c r="J49" s="102">
        <v>62</v>
      </c>
      <c r="K49" s="102">
        <v>242</v>
      </c>
      <c r="L49" s="102">
        <v>19.600000000000001</v>
      </c>
      <c r="M49" s="102">
        <v>23.4</v>
      </c>
      <c r="N49" s="102">
        <f t="shared" si="0"/>
        <v>96.100000000000009</v>
      </c>
      <c r="O49" s="102">
        <f t="shared" si="1"/>
        <v>623.70000000000005</v>
      </c>
      <c r="P49" s="102">
        <f t="shared" si="2"/>
        <v>285</v>
      </c>
      <c r="Q49" s="102">
        <f t="shared" si="3"/>
        <v>1004.8</v>
      </c>
    </row>
    <row r="50" spans="1:33">
      <c r="A50" s="102">
        <v>2007</v>
      </c>
      <c r="B50" s="102">
        <v>35.4</v>
      </c>
      <c r="C50" s="102">
        <v>6.5</v>
      </c>
      <c r="D50" s="102">
        <v>1.5</v>
      </c>
      <c r="E50" s="102">
        <v>122.4</v>
      </c>
      <c r="F50" s="102">
        <v>88.4</v>
      </c>
      <c r="G50" s="102">
        <v>308.60000000000002</v>
      </c>
      <c r="H50" s="102">
        <v>357</v>
      </c>
      <c r="I50" s="102">
        <v>130.80000000000001</v>
      </c>
      <c r="J50" s="102">
        <v>107</v>
      </c>
      <c r="K50" s="102">
        <v>27.4</v>
      </c>
      <c r="L50" s="102">
        <v>3.2</v>
      </c>
      <c r="M50" s="102">
        <v>21.8</v>
      </c>
      <c r="N50" s="102">
        <f t="shared" si="0"/>
        <v>165.8</v>
      </c>
      <c r="O50" s="102">
        <f t="shared" si="1"/>
        <v>991.8</v>
      </c>
      <c r="P50" s="102">
        <f t="shared" si="2"/>
        <v>52.4</v>
      </c>
      <c r="Q50" s="102">
        <f t="shared" si="3"/>
        <v>1210.0000000000002</v>
      </c>
    </row>
    <row r="51" spans="1:33">
      <c r="A51" s="102">
        <v>2008</v>
      </c>
      <c r="B51" s="102">
        <v>18.899999999999999</v>
      </c>
      <c r="C51" s="102">
        <v>28.8</v>
      </c>
      <c r="D51" s="102">
        <v>43.2</v>
      </c>
      <c r="E51" s="102">
        <v>52.9</v>
      </c>
      <c r="F51" s="102">
        <v>204.5</v>
      </c>
      <c r="G51" s="102">
        <v>132.19999999999999</v>
      </c>
      <c r="H51" s="102">
        <v>292.5</v>
      </c>
      <c r="I51" s="102">
        <v>316.2</v>
      </c>
      <c r="J51" s="102">
        <v>112.2</v>
      </c>
      <c r="K51" s="102">
        <v>117.8</v>
      </c>
      <c r="L51" s="102">
        <v>100.9</v>
      </c>
      <c r="M51" s="102">
        <v>19.399999999999999</v>
      </c>
      <c r="N51" s="102">
        <f t="shared" si="0"/>
        <v>143.80000000000001</v>
      </c>
      <c r="O51" s="102">
        <f t="shared" si="1"/>
        <v>1057.6000000000001</v>
      </c>
      <c r="P51" s="102">
        <f t="shared" si="2"/>
        <v>238.1</v>
      </c>
      <c r="Q51" s="102">
        <f t="shared" si="3"/>
        <v>1439.5000000000002</v>
      </c>
    </row>
    <row r="52" spans="1:33">
      <c r="A52" s="102">
        <v>2009</v>
      </c>
      <c r="B52" s="102">
        <v>16.600000000000001</v>
      </c>
      <c r="C52" s="102">
        <v>9.9</v>
      </c>
      <c r="D52" s="102">
        <v>13.4</v>
      </c>
      <c r="E52" s="102">
        <v>234.3</v>
      </c>
      <c r="F52" s="102">
        <v>126.8</v>
      </c>
      <c r="G52" s="102">
        <v>106.3</v>
      </c>
      <c r="H52" s="102">
        <v>150.4</v>
      </c>
      <c r="I52" s="102">
        <v>123.3</v>
      </c>
      <c r="J52" s="102">
        <v>74.400000000000006</v>
      </c>
      <c r="K52" s="102">
        <v>62.4</v>
      </c>
      <c r="L52" s="102">
        <v>12.1</v>
      </c>
      <c r="M52" s="102">
        <v>16.3</v>
      </c>
      <c r="N52" s="102">
        <f t="shared" si="0"/>
        <v>274.2</v>
      </c>
      <c r="O52" s="102">
        <f t="shared" si="1"/>
        <v>581.20000000000005</v>
      </c>
      <c r="P52" s="102">
        <f t="shared" si="2"/>
        <v>90.8</v>
      </c>
      <c r="Q52" s="102">
        <f t="shared" si="3"/>
        <v>946.19999999999993</v>
      </c>
    </row>
    <row r="53" spans="1:33">
      <c r="A53" s="102">
        <v>2010</v>
      </c>
      <c r="B53" s="102">
        <v>4.7</v>
      </c>
      <c r="C53" s="102">
        <v>5</v>
      </c>
      <c r="D53" s="102">
        <v>5.7</v>
      </c>
      <c r="E53" s="102">
        <v>117.4</v>
      </c>
      <c r="F53" s="102">
        <v>106.3</v>
      </c>
      <c r="G53" s="102">
        <v>331.3</v>
      </c>
      <c r="H53" s="102">
        <v>245.7</v>
      </c>
      <c r="I53" s="102">
        <v>79.5</v>
      </c>
      <c r="J53" s="102">
        <v>219.9</v>
      </c>
      <c r="K53" s="102">
        <v>85</v>
      </c>
      <c r="L53" s="102">
        <v>37.5</v>
      </c>
      <c r="M53" s="102">
        <v>44.4</v>
      </c>
      <c r="N53" s="102">
        <f t="shared" si="0"/>
        <v>132.80000000000001</v>
      </c>
      <c r="O53" s="102">
        <f t="shared" si="1"/>
        <v>982.69999999999993</v>
      </c>
      <c r="P53" s="102">
        <f t="shared" si="2"/>
        <v>166.9</v>
      </c>
      <c r="Q53" s="102">
        <f t="shared" si="3"/>
        <v>1282.4000000000003</v>
      </c>
    </row>
    <row r="54" spans="1:33">
      <c r="A54" s="102">
        <v>2011</v>
      </c>
      <c r="B54" s="102">
        <v>25.5</v>
      </c>
      <c r="C54" s="102">
        <v>9.9</v>
      </c>
      <c r="D54" s="102">
        <v>21.2</v>
      </c>
      <c r="E54" s="102">
        <v>52</v>
      </c>
      <c r="F54" s="102">
        <v>89.2</v>
      </c>
      <c r="G54" s="102">
        <v>254.6</v>
      </c>
      <c r="H54" s="102">
        <v>41</v>
      </c>
      <c r="I54" s="102">
        <v>64.3</v>
      </c>
      <c r="J54" s="102">
        <v>111.5</v>
      </c>
      <c r="K54" s="102">
        <v>101</v>
      </c>
      <c r="L54" s="102">
        <v>44.5</v>
      </c>
      <c r="M54" s="102">
        <v>17.3</v>
      </c>
      <c r="N54" s="102">
        <f t="shared" si="0"/>
        <v>108.6</v>
      </c>
      <c r="O54" s="102">
        <f t="shared" si="1"/>
        <v>560.6</v>
      </c>
      <c r="P54" s="102">
        <f t="shared" si="2"/>
        <v>162.80000000000001</v>
      </c>
      <c r="Q54" s="102">
        <f t="shared" si="3"/>
        <v>831.99999999999989</v>
      </c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</row>
    <row r="55" spans="1:33">
      <c r="A55" s="102">
        <v>2012</v>
      </c>
      <c r="B55" s="102">
        <v>24.9</v>
      </c>
      <c r="C55" s="102">
        <v>18.8</v>
      </c>
      <c r="D55" s="102">
        <v>31.1</v>
      </c>
      <c r="E55" s="102">
        <v>35.1</v>
      </c>
      <c r="F55" s="102">
        <v>347</v>
      </c>
      <c r="G55" s="102">
        <v>214.6</v>
      </c>
      <c r="H55" s="102">
        <v>319.39999999999998</v>
      </c>
      <c r="I55" s="102">
        <v>110.3</v>
      </c>
      <c r="J55" s="102">
        <v>97.3</v>
      </c>
      <c r="K55" s="102">
        <v>76.7</v>
      </c>
      <c r="L55" s="102">
        <v>35.5</v>
      </c>
      <c r="M55" s="102">
        <v>11.2</v>
      </c>
      <c r="N55" s="102">
        <f t="shared" si="0"/>
        <v>109.9</v>
      </c>
      <c r="O55" s="102">
        <f t="shared" si="1"/>
        <v>1088.5999999999999</v>
      </c>
      <c r="P55" s="102">
        <f t="shared" si="2"/>
        <v>123.4</v>
      </c>
      <c r="Q55" s="102">
        <f t="shared" si="3"/>
        <v>1321.9</v>
      </c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  <c r="AD55" s="104"/>
      <c r="AE55" s="104"/>
      <c r="AF55" s="104"/>
      <c r="AG55" s="104"/>
    </row>
    <row r="56" spans="1:33">
      <c r="A56" s="102">
        <v>2013</v>
      </c>
      <c r="B56" s="102">
        <v>4.2</v>
      </c>
      <c r="C56" s="102">
        <v>8.5</v>
      </c>
      <c r="D56" s="102">
        <v>46.9</v>
      </c>
      <c r="E56" s="102">
        <v>55.6</v>
      </c>
      <c r="F56" s="102">
        <v>216.3</v>
      </c>
      <c r="G56" s="102">
        <v>126.4</v>
      </c>
      <c r="H56" s="102">
        <v>31.6</v>
      </c>
      <c r="I56" s="102">
        <v>182.5</v>
      </c>
      <c r="J56" s="102">
        <v>35.299999999999997</v>
      </c>
      <c r="K56" s="102">
        <v>75</v>
      </c>
      <c r="L56" s="102">
        <v>48</v>
      </c>
      <c r="M56" s="102">
        <v>26.3</v>
      </c>
      <c r="N56" s="102">
        <f t="shared" si="0"/>
        <v>115.19999999999999</v>
      </c>
      <c r="O56" s="102">
        <f t="shared" si="1"/>
        <v>592.1</v>
      </c>
      <c r="P56" s="102">
        <f t="shared" si="2"/>
        <v>149.30000000000001</v>
      </c>
      <c r="Q56" s="102">
        <f t="shared" si="3"/>
        <v>856.59999999999991</v>
      </c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</row>
    <row r="57" spans="1:33">
      <c r="A57" s="102">
        <v>2014</v>
      </c>
      <c r="B57" s="128">
        <v>17.600000000000001</v>
      </c>
      <c r="C57" s="128">
        <v>30.7</v>
      </c>
      <c r="D57" s="128">
        <v>82.5</v>
      </c>
      <c r="E57" s="128">
        <v>33.700000000000003</v>
      </c>
      <c r="F57" s="128">
        <v>237.2</v>
      </c>
      <c r="G57" s="128">
        <v>222.4</v>
      </c>
      <c r="H57" s="128">
        <v>550.4</v>
      </c>
      <c r="I57" s="128">
        <v>208.5</v>
      </c>
      <c r="J57" s="128">
        <v>163.30000000000001</v>
      </c>
      <c r="K57" s="128">
        <v>146.1</v>
      </c>
      <c r="L57" s="128">
        <v>56.6</v>
      </c>
      <c r="M57" s="128">
        <v>16.399999999999999</v>
      </c>
      <c r="N57" s="102">
        <f t="shared" ref="N57" si="4">SUM(B57:E57)</f>
        <v>164.5</v>
      </c>
      <c r="O57" s="102">
        <f t="shared" ref="O57" si="5">SUM(F57:J57)</f>
        <v>1381.8</v>
      </c>
      <c r="P57" s="102">
        <f t="shared" ref="P57" si="6">SUM(K57:M57)</f>
        <v>219.1</v>
      </c>
      <c r="Q57" s="102">
        <f t="shared" ref="Q57" si="7">SUM(B57:M57)</f>
        <v>1765.3999999999999</v>
      </c>
    </row>
    <row r="58" spans="1:33">
      <c r="B58" s="126">
        <f t="shared" ref="B58:Q58" si="8">AVERAGE(B5:B57)</f>
        <v>21.018867924528298</v>
      </c>
      <c r="C58" s="126">
        <f t="shared" si="8"/>
        <v>21.618867924528306</v>
      </c>
      <c r="D58" s="126">
        <f t="shared" si="8"/>
        <v>32.909433962264153</v>
      </c>
      <c r="E58" s="126">
        <f t="shared" si="8"/>
        <v>90.837735849056585</v>
      </c>
      <c r="F58" s="126">
        <f t="shared" si="8"/>
        <v>183.4830188679245</v>
      </c>
      <c r="G58" s="126">
        <f t="shared" si="8"/>
        <v>246.411320754717</v>
      </c>
      <c r="H58" s="126">
        <f t="shared" si="8"/>
        <v>209.56792452830189</v>
      </c>
      <c r="I58" s="126">
        <f t="shared" si="8"/>
        <v>143.8679245283019</v>
      </c>
      <c r="J58" s="126">
        <f t="shared" si="8"/>
        <v>106.21509433962267</v>
      </c>
      <c r="K58" s="126">
        <f t="shared" si="8"/>
        <v>102.15471698113207</v>
      </c>
      <c r="L58" s="126">
        <f t="shared" si="8"/>
        <v>44.473584905660374</v>
      </c>
      <c r="M58" s="126">
        <f t="shared" si="8"/>
        <v>20.641509433962259</v>
      </c>
      <c r="N58" s="126">
        <f t="shared" si="8"/>
        <v>166.38490566037734</v>
      </c>
      <c r="O58" s="126">
        <f t="shared" si="8"/>
        <v>889.54528301886762</v>
      </c>
      <c r="P58" s="126">
        <f t="shared" si="8"/>
        <v>167.26981132075466</v>
      </c>
      <c r="Q58" s="126">
        <f t="shared" si="8"/>
        <v>1223.2000000000003</v>
      </c>
    </row>
    <row r="59" spans="1:33" s="108" customFormat="1">
      <c r="A59" s="108">
        <v>2016</v>
      </c>
      <c r="B59" s="127">
        <v>33.799999999999997</v>
      </c>
      <c r="C59" s="127">
        <v>7.8</v>
      </c>
      <c r="D59" s="127">
        <v>69.2</v>
      </c>
      <c r="E59" s="127">
        <v>145.69999999999999</v>
      </c>
      <c r="F59" s="127">
        <v>117</v>
      </c>
      <c r="G59" s="127">
        <v>255.6</v>
      </c>
      <c r="H59" s="127">
        <v>50.8</v>
      </c>
      <c r="I59" s="127">
        <v>177.5</v>
      </c>
      <c r="J59" s="127">
        <v>11.3</v>
      </c>
      <c r="K59" s="127">
        <v>91.5</v>
      </c>
      <c r="L59" s="127">
        <v>56.4</v>
      </c>
      <c r="M59" s="127">
        <v>15.2</v>
      </c>
      <c r="N59" s="108">
        <f>SUM(B59:E59)</f>
        <v>256.5</v>
      </c>
      <c r="O59" s="108">
        <f>SUM(F59:J59)</f>
        <v>612.20000000000005</v>
      </c>
      <c r="P59" s="108">
        <f>SUM(K59:M59)</f>
        <v>163.1</v>
      </c>
      <c r="Q59" s="108">
        <f>SUM(B59:M59)</f>
        <v>1031.8</v>
      </c>
      <c r="R59" s="108" t="e">
        <f t="shared" ref="R59:AG59" si="9">100*(B59-B4)/B4</f>
        <v>#NAME?</v>
      </c>
      <c r="S59" s="108" t="e">
        <f t="shared" si="9"/>
        <v>#NAME?</v>
      </c>
      <c r="T59" s="108" t="e">
        <f t="shared" si="9"/>
        <v>#NAME?</v>
      </c>
      <c r="U59" s="108" t="e">
        <f t="shared" si="9"/>
        <v>#NAME?</v>
      </c>
      <c r="V59" s="108" t="e">
        <f t="shared" si="9"/>
        <v>#NAME?</v>
      </c>
      <c r="W59" s="108" t="e">
        <f t="shared" si="9"/>
        <v>#NAME?</v>
      </c>
      <c r="X59" s="108" t="e">
        <f t="shared" si="9"/>
        <v>#NAME?</v>
      </c>
      <c r="Y59" s="108" t="e">
        <f t="shared" si="9"/>
        <v>#NAME?</v>
      </c>
      <c r="Z59" s="108" t="e">
        <f t="shared" si="9"/>
        <v>#NAME?</v>
      </c>
      <c r="AA59" s="108" t="e">
        <f t="shared" si="9"/>
        <v>#NAME?</v>
      </c>
      <c r="AB59" s="108" t="e">
        <f t="shared" si="9"/>
        <v>#NAME?</v>
      </c>
      <c r="AC59" s="108" t="e">
        <f t="shared" si="9"/>
        <v>#NAME?</v>
      </c>
      <c r="AD59" s="108" t="e">
        <f t="shared" si="9"/>
        <v>#NAME?</v>
      </c>
      <c r="AE59" s="108" t="e">
        <f t="shared" si="9"/>
        <v>#NAME?</v>
      </c>
      <c r="AF59" s="108" t="e">
        <f t="shared" si="9"/>
        <v>#NAME?</v>
      </c>
      <c r="AG59" s="108" t="e">
        <f t="shared" si="9"/>
        <v>#NAME?</v>
      </c>
    </row>
    <row r="67" spans="9:9">
      <c r="I67" s="103"/>
    </row>
  </sheetData>
  <mergeCells count="6">
    <mergeCell ref="A1:A3"/>
    <mergeCell ref="B1:Q1"/>
    <mergeCell ref="B2:M2"/>
    <mergeCell ref="R1:AG1"/>
    <mergeCell ref="N2:Q2"/>
    <mergeCell ref="R2:AG2"/>
  </mergeCells>
  <phoneticPr fontId="2" type="noConversion"/>
  <pageMargins left="0.75" right="0.75" top="1" bottom="1" header="0.5" footer="0.5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6"/>
  <dimension ref="A1:AG56"/>
  <sheetViews>
    <sheetView topLeftCell="C1" zoomScaleNormal="100" workbookViewId="0">
      <pane ySplit="5" topLeftCell="A6" activePane="bottomLeft" state="frozen"/>
      <selection pane="bottomLeft" activeCell="T64" sqref="T64"/>
    </sheetView>
  </sheetViews>
  <sheetFormatPr defaultRowHeight="12"/>
  <cols>
    <col min="1" max="49" width="7.125" style="102" customWidth="1"/>
    <col min="50" max="16384" width="9" style="102"/>
  </cols>
  <sheetData>
    <row r="1" spans="1:33" s="118" customFormat="1" ht="14.25" customHeight="1">
      <c r="A1" s="176" t="s">
        <v>53</v>
      </c>
      <c r="B1" s="176" t="s">
        <v>171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2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116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32</v>
      </c>
      <c r="O2" s="176"/>
      <c r="P2" s="176"/>
      <c r="Q2" s="176"/>
      <c r="R2" s="176" t="s">
        <v>38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 ht="24">
      <c r="A3" s="176"/>
      <c r="B3" s="124" t="s">
        <v>149</v>
      </c>
      <c r="C3" s="124" t="s">
        <v>150</v>
      </c>
      <c r="D3" s="124" t="s">
        <v>9</v>
      </c>
      <c r="E3" s="124" t="s">
        <v>10</v>
      </c>
      <c r="F3" s="124" t="s">
        <v>11</v>
      </c>
      <c r="G3" s="124" t="s">
        <v>12</v>
      </c>
      <c r="H3" s="124" t="s">
        <v>13</v>
      </c>
      <c r="I3" s="124" t="s">
        <v>14</v>
      </c>
      <c r="J3" s="124" t="s">
        <v>15</v>
      </c>
      <c r="K3" s="124" t="s">
        <v>16</v>
      </c>
      <c r="L3" s="124" t="s">
        <v>17</v>
      </c>
      <c r="M3" s="124" t="s">
        <v>18</v>
      </c>
      <c r="N3" s="124" t="s">
        <v>145</v>
      </c>
      <c r="O3" s="124" t="s">
        <v>146</v>
      </c>
      <c r="P3" s="124" t="s">
        <v>147</v>
      </c>
      <c r="Q3" s="124" t="s">
        <v>148</v>
      </c>
      <c r="R3" s="124" t="s">
        <v>149</v>
      </c>
      <c r="S3" s="124" t="s">
        <v>150</v>
      </c>
      <c r="T3" s="124" t="s">
        <v>151</v>
      </c>
      <c r="U3" s="124" t="s">
        <v>152</v>
      </c>
      <c r="V3" s="124" t="s">
        <v>153</v>
      </c>
      <c r="W3" s="124" t="s">
        <v>154</v>
      </c>
      <c r="X3" s="124" t="s">
        <v>25</v>
      </c>
      <c r="Y3" s="124" t="s">
        <v>26</v>
      </c>
      <c r="Z3" s="124" t="s">
        <v>27</v>
      </c>
      <c r="AA3" s="124" t="s">
        <v>155</v>
      </c>
      <c r="AB3" s="124" t="s">
        <v>156</v>
      </c>
      <c r="AC3" s="124" t="s">
        <v>157</v>
      </c>
      <c r="AD3" s="124" t="s">
        <v>90</v>
      </c>
      <c r="AE3" s="124" t="s">
        <v>42</v>
      </c>
      <c r="AF3" s="124" t="s">
        <v>111</v>
      </c>
      <c r="AG3" s="124" t="s">
        <v>66</v>
      </c>
    </row>
    <row r="4" spans="1:33" s="118" customFormat="1">
      <c r="A4" s="150" t="s">
        <v>261</v>
      </c>
      <c r="B4" s="150" t="e">
        <f>AVERAGE(B5:B0)</f>
        <v>#NAME?</v>
      </c>
      <c r="C4" s="150" t="e">
        <f>AVERAGE(C5:C0)</f>
        <v>#NAME?</v>
      </c>
      <c r="D4" s="150" t="e">
        <f>AVERAGE(D5:D0)</f>
        <v>#NAME?</v>
      </c>
      <c r="E4" s="150" t="e">
        <f>AVERAGE(E5:E0)</f>
        <v>#NAME?</v>
      </c>
      <c r="F4" s="150" t="e">
        <f>AVERAGE(F5:F0)</f>
        <v>#NAME?</v>
      </c>
      <c r="G4" s="150" t="e">
        <f>AVERAGE(G5:G0)</f>
        <v>#NAME?</v>
      </c>
      <c r="H4" s="150" t="e">
        <f>AVERAGE(H5:H0)</f>
        <v>#NAME?</v>
      </c>
      <c r="I4" s="150" t="e">
        <f>AVERAGE(I5:I0)</f>
        <v>#NAME?</v>
      </c>
      <c r="J4" s="150" t="e">
        <f>AVERAGE(J5:J0)</f>
        <v>#NAME?</v>
      </c>
      <c r="K4" s="150" t="e">
        <f>AVERAGE(K5:K0)</f>
        <v>#NAME?</v>
      </c>
      <c r="L4" s="150" t="e">
        <f>AVERAGE(L5:L0)</f>
        <v>#NAME?</v>
      </c>
      <c r="M4" s="150" t="e">
        <f>AVERAGE(M5:M0)</f>
        <v>#NAME?</v>
      </c>
      <c r="N4" s="150" t="e">
        <f>AVERAGE(N5:N0)</f>
        <v>#NAME?</v>
      </c>
      <c r="O4" s="150" t="e">
        <f>AVERAGE(O5:O0)</f>
        <v>#NAME?</v>
      </c>
      <c r="P4" s="150" t="e">
        <f>AVERAGE(P5:P0)</f>
        <v>#NAME?</v>
      </c>
      <c r="Q4" s="150" t="e">
        <f>AVERAGE(Q5:Q0)</f>
        <v>#NAME?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3">
        <v>1965</v>
      </c>
      <c r="B5" s="103">
        <v>28.8</v>
      </c>
      <c r="C5" s="103">
        <v>21.7</v>
      </c>
      <c r="D5" s="103">
        <v>49.8</v>
      </c>
      <c r="E5" s="103">
        <v>140.9</v>
      </c>
      <c r="F5" s="103">
        <v>307.2</v>
      </c>
      <c r="G5" s="103">
        <v>288.2</v>
      </c>
      <c r="H5" s="103">
        <v>165.8</v>
      </c>
      <c r="I5" s="103">
        <v>209.5</v>
      </c>
      <c r="J5" s="103">
        <v>65</v>
      </c>
      <c r="K5" s="103">
        <v>239</v>
      </c>
      <c r="L5" s="103">
        <v>39.6</v>
      </c>
      <c r="M5" s="103">
        <v>16.899999999999999</v>
      </c>
      <c r="N5" s="102">
        <f>SUM(B5:E5)</f>
        <v>241.2</v>
      </c>
      <c r="O5" s="102">
        <f>SUM(F5:J5)</f>
        <v>1035.7</v>
      </c>
      <c r="P5" s="102">
        <f>SUM(K5:M5)</f>
        <v>295.5</v>
      </c>
      <c r="Q5" s="102">
        <f>SUM(B5:M5)</f>
        <v>1572.3999999999999</v>
      </c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</row>
    <row r="6" spans="1:33">
      <c r="A6" s="103">
        <v>1966</v>
      </c>
      <c r="B6" s="103">
        <v>19.600000000000001</v>
      </c>
      <c r="C6" s="103">
        <v>8.1999999999999993</v>
      </c>
      <c r="D6" s="103">
        <v>19.3</v>
      </c>
      <c r="E6" s="103">
        <v>65.400000000000006</v>
      </c>
      <c r="F6" s="103">
        <v>182.4</v>
      </c>
      <c r="G6" s="103">
        <v>234.3</v>
      </c>
      <c r="H6" s="103">
        <v>142.9</v>
      </c>
      <c r="I6" s="103">
        <v>102</v>
      </c>
      <c r="J6" s="103">
        <v>32</v>
      </c>
      <c r="K6" s="103">
        <v>135.1</v>
      </c>
      <c r="L6" s="103">
        <v>14.1</v>
      </c>
      <c r="M6" s="103">
        <v>11.7</v>
      </c>
      <c r="N6" s="102">
        <f t="shared" ref="N6:N53" si="0">SUM(B6:E6)</f>
        <v>112.5</v>
      </c>
      <c r="O6" s="102">
        <f t="shared" ref="O6:O53" si="1">SUM(F6:J6)</f>
        <v>693.6</v>
      </c>
      <c r="P6" s="102">
        <f t="shared" ref="P6:P53" si="2">SUM(K6:M6)</f>
        <v>160.89999999999998</v>
      </c>
      <c r="Q6" s="102">
        <f t="shared" ref="Q6:Q53" si="3">SUM(B6:M6)</f>
        <v>967.00000000000011</v>
      </c>
      <c r="R6" s="103"/>
      <c r="S6" s="103"/>
      <c r="T6" s="103"/>
      <c r="U6" s="103"/>
      <c r="V6" s="103"/>
      <c r="W6" s="103"/>
      <c r="X6" s="103"/>
      <c r="Y6" s="103"/>
      <c r="Z6" s="103"/>
      <c r="AA6" s="103"/>
      <c r="AB6" s="103"/>
      <c r="AC6" s="103"/>
      <c r="AD6" s="103"/>
      <c r="AE6" s="103"/>
      <c r="AF6" s="103"/>
      <c r="AG6" s="103"/>
    </row>
    <row r="7" spans="1:33">
      <c r="A7" s="103">
        <v>1967</v>
      </c>
      <c r="B7" s="103">
        <v>7</v>
      </c>
      <c r="C7" s="103">
        <v>45.9</v>
      </c>
      <c r="D7" s="103">
        <v>36.4</v>
      </c>
      <c r="E7" s="103">
        <v>150.19999999999999</v>
      </c>
      <c r="F7" s="103">
        <v>305.7</v>
      </c>
      <c r="G7" s="103">
        <v>248.3</v>
      </c>
      <c r="H7" s="103">
        <v>176</v>
      </c>
      <c r="I7" s="103">
        <v>243.1</v>
      </c>
      <c r="J7" s="103">
        <v>183.9</v>
      </c>
      <c r="K7" s="103">
        <v>38.1</v>
      </c>
      <c r="L7" s="103">
        <v>79.900000000000006</v>
      </c>
      <c r="M7" s="103">
        <v>24.2</v>
      </c>
      <c r="N7" s="102">
        <f t="shared" si="0"/>
        <v>239.5</v>
      </c>
      <c r="O7" s="102">
        <f t="shared" si="1"/>
        <v>1157</v>
      </c>
      <c r="P7" s="102">
        <f t="shared" si="2"/>
        <v>142.19999999999999</v>
      </c>
      <c r="Q7" s="102">
        <f t="shared" si="3"/>
        <v>1538.7</v>
      </c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</row>
    <row r="8" spans="1:33">
      <c r="A8" s="103">
        <v>1968</v>
      </c>
      <c r="B8" s="103">
        <v>13.2</v>
      </c>
      <c r="C8" s="103">
        <v>21.2</v>
      </c>
      <c r="D8" s="103">
        <v>31</v>
      </c>
      <c r="E8" s="103">
        <v>135.30000000000001</v>
      </c>
      <c r="F8" s="103">
        <v>229.9</v>
      </c>
      <c r="G8" s="103">
        <v>321.60000000000002</v>
      </c>
      <c r="H8" s="103">
        <v>206.8</v>
      </c>
      <c r="I8" s="103">
        <v>170.8</v>
      </c>
      <c r="J8" s="103">
        <v>30.5</v>
      </c>
      <c r="K8" s="103">
        <v>102.6</v>
      </c>
      <c r="L8" s="103">
        <v>30</v>
      </c>
      <c r="M8" s="103">
        <v>8.6</v>
      </c>
      <c r="N8" s="102">
        <f t="shared" si="0"/>
        <v>200.70000000000002</v>
      </c>
      <c r="O8" s="102">
        <f t="shared" si="1"/>
        <v>959.59999999999991</v>
      </c>
      <c r="P8" s="102">
        <f t="shared" si="2"/>
        <v>141.19999999999999</v>
      </c>
      <c r="Q8" s="102">
        <f t="shared" si="3"/>
        <v>1301.4999999999998</v>
      </c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</row>
    <row r="9" spans="1:33">
      <c r="A9" s="103">
        <v>1969</v>
      </c>
      <c r="B9" s="103">
        <v>12.3</v>
      </c>
      <c r="C9" s="103">
        <v>4.4000000000000004</v>
      </c>
      <c r="D9" s="103">
        <v>36.6</v>
      </c>
      <c r="E9" s="103">
        <v>62.2</v>
      </c>
      <c r="F9" s="103">
        <v>109.4</v>
      </c>
      <c r="G9" s="103">
        <v>379.1</v>
      </c>
      <c r="H9" s="103">
        <v>302.8</v>
      </c>
      <c r="I9" s="103">
        <v>249.4</v>
      </c>
      <c r="J9" s="103">
        <v>27</v>
      </c>
      <c r="K9" s="103">
        <v>95</v>
      </c>
      <c r="L9" s="103">
        <v>31.6</v>
      </c>
      <c r="M9" s="103">
        <v>11.2</v>
      </c>
      <c r="N9" s="102">
        <f t="shared" si="0"/>
        <v>115.5</v>
      </c>
      <c r="O9" s="102">
        <f t="shared" si="1"/>
        <v>1067.7</v>
      </c>
      <c r="P9" s="102">
        <f t="shared" si="2"/>
        <v>137.79999999999998</v>
      </c>
      <c r="Q9" s="102">
        <f t="shared" si="3"/>
        <v>1321</v>
      </c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</row>
    <row r="10" spans="1:33">
      <c r="A10" s="103">
        <v>1970</v>
      </c>
      <c r="B10" s="103">
        <v>31.6</v>
      </c>
      <c r="C10" s="103">
        <v>16.399999999999999</v>
      </c>
      <c r="D10" s="103">
        <v>68.8</v>
      </c>
      <c r="E10" s="103">
        <v>71.2</v>
      </c>
      <c r="F10" s="103">
        <v>125.4</v>
      </c>
      <c r="G10" s="103">
        <v>109.7</v>
      </c>
      <c r="H10" s="103">
        <v>337.3</v>
      </c>
      <c r="I10" s="103">
        <v>88</v>
      </c>
      <c r="J10" s="103">
        <v>228.2</v>
      </c>
      <c r="K10" s="103">
        <v>46</v>
      </c>
      <c r="L10" s="103">
        <v>39.4</v>
      </c>
      <c r="M10" s="103">
        <v>53.7</v>
      </c>
      <c r="N10" s="102">
        <f t="shared" si="0"/>
        <v>188</v>
      </c>
      <c r="O10" s="102">
        <f t="shared" si="1"/>
        <v>888.60000000000014</v>
      </c>
      <c r="P10" s="102">
        <f t="shared" si="2"/>
        <v>139.10000000000002</v>
      </c>
      <c r="Q10" s="102">
        <f t="shared" si="3"/>
        <v>1215.7</v>
      </c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</row>
    <row r="11" spans="1:33">
      <c r="A11" s="102">
        <v>1971</v>
      </c>
      <c r="B11" s="102">
        <v>23.6</v>
      </c>
      <c r="C11" s="102">
        <v>21.5</v>
      </c>
      <c r="D11" s="102">
        <v>25</v>
      </c>
      <c r="E11" s="102">
        <v>204.3</v>
      </c>
      <c r="F11" s="102">
        <v>224.9</v>
      </c>
      <c r="G11" s="102">
        <v>286.5</v>
      </c>
      <c r="H11" s="102">
        <v>130.1</v>
      </c>
      <c r="I11" s="102">
        <v>242.6</v>
      </c>
      <c r="J11" s="102">
        <v>166.4</v>
      </c>
      <c r="K11" s="102">
        <v>104.4</v>
      </c>
      <c r="L11" s="102">
        <v>32.799999999999997</v>
      </c>
      <c r="M11" s="102">
        <v>18.7</v>
      </c>
      <c r="N11" s="102">
        <f t="shared" si="0"/>
        <v>274.39999999999998</v>
      </c>
      <c r="O11" s="102">
        <f t="shared" si="1"/>
        <v>1050.5</v>
      </c>
      <c r="P11" s="102">
        <f t="shared" si="2"/>
        <v>155.89999999999998</v>
      </c>
      <c r="Q11" s="102">
        <f t="shared" si="3"/>
        <v>1480.8000000000002</v>
      </c>
    </row>
    <row r="12" spans="1:33">
      <c r="A12" s="102">
        <v>1972</v>
      </c>
      <c r="B12" s="102">
        <v>17.2</v>
      </c>
      <c r="C12" s="102">
        <v>11</v>
      </c>
      <c r="D12" s="102">
        <v>57</v>
      </c>
      <c r="E12" s="102">
        <v>109.3</v>
      </c>
      <c r="F12" s="102">
        <v>291.3</v>
      </c>
      <c r="G12" s="102">
        <v>122.2</v>
      </c>
      <c r="H12" s="102">
        <v>39.799999999999997</v>
      </c>
      <c r="I12" s="102">
        <v>57</v>
      </c>
      <c r="J12" s="102">
        <v>279.8</v>
      </c>
      <c r="K12" s="102">
        <v>84.1</v>
      </c>
      <c r="L12" s="102">
        <v>77.3</v>
      </c>
      <c r="M12" s="102">
        <v>22.7</v>
      </c>
      <c r="N12" s="102">
        <f t="shared" si="0"/>
        <v>194.5</v>
      </c>
      <c r="O12" s="102">
        <f t="shared" si="1"/>
        <v>790.1</v>
      </c>
      <c r="P12" s="102">
        <f t="shared" si="2"/>
        <v>184.09999999999997</v>
      </c>
      <c r="Q12" s="102">
        <f t="shared" si="3"/>
        <v>1168.6999999999998</v>
      </c>
    </row>
    <row r="13" spans="1:33">
      <c r="A13" s="102">
        <v>1973</v>
      </c>
      <c r="B13" s="102">
        <v>38.6</v>
      </c>
      <c r="C13" s="102">
        <v>23.4</v>
      </c>
      <c r="D13" s="102">
        <v>48.7</v>
      </c>
      <c r="E13" s="102">
        <v>84</v>
      </c>
      <c r="F13" s="102">
        <v>140.69999999999999</v>
      </c>
      <c r="G13" s="102">
        <v>290.39999999999998</v>
      </c>
      <c r="H13" s="102">
        <v>101</v>
      </c>
      <c r="I13" s="102">
        <v>160.19999999999999</v>
      </c>
      <c r="J13" s="102">
        <v>90.4</v>
      </c>
      <c r="K13" s="102">
        <v>48.5</v>
      </c>
      <c r="L13" s="102">
        <v>35.9</v>
      </c>
      <c r="M13" s="102">
        <v>5.7</v>
      </c>
      <c r="N13" s="102">
        <f t="shared" si="0"/>
        <v>194.7</v>
      </c>
      <c r="O13" s="102">
        <f t="shared" si="1"/>
        <v>782.69999999999993</v>
      </c>
      <c r="P13" s="102">
        <f t="shared" si="2"/>
        <v>90.100000000000009</v>
      </c>
      <c r="Q13" s="102">
        <f t="shared" si="3"/>
        <v>1067.5000000000002</v>
      </c>
    </row>
    <row r="14" spans="1:33">
      <c r="A14" s="102">
        <v>1974</v>
      </c>
      <c r="B14" s="102">
        <v>18</v>
      </c>
      <c r="C14" s="102">
        <v>4.5</v>
      </c>
      <c r="D14" s="102">
        <v>38.4</v>
      </c>
      <c r="E14" s="102">
        <v>94.5</v>
      </c>
      <c r="F14" s="102">
        <v>199.8</v>
      </c>
      <c r="G14" s="102">
        <v>203.1</v>
      </c>
      <c r="H14" s="102">
        <v>138.1</v>
      </c>
      <c r="I14" s="102">
        <v>295.10000000000002</v>
      </c>
      <c r="J14" s="102">
        <v>162.80000000000001</v>
      </c>
      <c r="K14" s="102">
        <v>97.9</v>
      </c>
      <c r="L14" s="102">
        <v>18.2</v>
      </c>
      <c r="M14" s="102">
        <v>13.8</v>
      </c>
      <c r="N14" s="102">
        <f t="shared" si="0"/>
        <v>155.4</v>
      </c>
      <c r="O14" s="102">
        <f t="shared" si="1"/>
        <v>998.90000000000009</v>
      </c>
      <c r="P14" s="102">
        <f t="shared" si="2"/>
        <v>129.9</v>
      </c>
      <c r="Q14" s="102">
        <f t="shared" si="3"/>
        <v>1284.2000000000003</v>
      </c>
    </row>
    <row r="15" spans="1:33">
      <c r="A15" s="102">
        <v>1975</v>
      </c>
      <c r="B15" s="102">
        <v>28.7</v>
      </c>
      <c r="C15" s="102">
        <v>16.7</v>
      </c>
      <c r="D15" s="102">
        <v>26</v>
      </c>
      <c r="E15" s="102">
        <v>64</v>
      </c>
      <c r="F15" s="102">
        <v>307.2</v>
      </c>
      <c r="G15" s="102">
        <v>98.5</v>
      </c>
      <c r="H15" s="102">
        <v>45.7</v>
      </c>
      <c r="I15" s="102">
        <v>226.7</v>
      </c>
      <c r="J15" s="102">
        <v>157.5</v>
      </c>
      <c r="K15" s="102">
        <v>60.9</v>
      </c>
      <c r="L15" s="102">
        <v>73.8</v>
      </c>
      <c r="M15" s="102">
        <v>0.8</v>
      </c>
      <c r="N15" s="102">
        <f t="shared" si="0"/>
        <v>135.4</v>
      </c>
      <c r="O15" s="102">
        <f t="shared" si="1"/>
        <v>835.59999999999991</v>
      </c>
      <c r="P15" s="102">
        <f t="shared" si="2"/>
        <v>135.5</v>
      </c>
      <c r="Q15" s="102">
        <f t="shared" si="3"/>
        <v>1106.5</v>
      </c>
    </row>
    <row r="16" spans="1:33">
      <c r="A16" s="102">
        <v>1976</v>
      </c>
      <c r="B16" s="102">
        <v>21</v>
      </c>
      <c r="C16" s="102">
        <v>7.2</v>
      </c>
      <c r="D16" s="102">
        <v>32.6</v>
      </c>
      <c r="E16" s="102">
        <v>128.19999999999999</v>
      </c>
      <c r="F16" s="102">
        <v>208.5</v>
      </c>
      <c r="G16" s="102">
        <v>266.2</v>
      </c>
      <c r="H16" s="102">
        <v>229.6</v>
      </c>
      <c r="I16" s="102">
        <v>46.7</v>
      </c>
      <c r="J16" s="102">
        <v>169.8</v>
      </c>
      <c r="K16" s="102">
        <v>184.6</v>
      </c>
      <c r="L16" s="102">
        <v>48.5</v>
      </c>
      <c r="M16" s="102">
        <v>17.7</v>
      </c>
      <c r="N16" s="102">
        <f t="shared" si="0"/>
        <v>189</v>
      </c>
      <c r="O16" s="102">
        <f t="shared" si="1"/>
        <v>920.8</v>
      </c>
      <c r="P16" s="102">
        <f t="shared" si="2"/>
        <v>250.79999999999998</v>
      </c>
      <c r="Q16" s="102">
        <f t="shared" si="3"/>
        <v>1360.6000000000001</v>
      </c>
    </row>
    <row r="17" spans="1:17">
      <c r="A17" s="102">
        <v>1977</v>
      </c>
      <c r="B17" s="102">
        <v>16.3</v>
      </c>
      <c r="C17" s="102">
        <v>23.8</v>
      </c>
      <c r="D17" s="102">
        <v>23.7</v>
      </c>
      <c r="E17" s="102">
        <v>123.5</v>
      </c>
      <c r="F17" s="102">
        <v>216.5</v>
      </c>
      <c r="G17" s="102">
        <v>377.9</v>
      </c>
      <c r="H17" s="102">
        <v>303.3</v>
      </c>
      <c r="I17" s="102">
        <v>126.9</v>
      </c>
      <c r="J17" s="102">
        <v>57.5</v>
      </c>
      <c r="K17" s="102">
        <v>194.5</v>
      </c>
      <c r="L17" s="102">
        <v>27.8</v>
      </c>
      <c r="M17" s="102">
        <v>4.5</v>
      </c>
      <c r="N17" s="102">
        <f t="shared" si="0"/>
        <v>187.3</v>
      </c>
      <c r="O17" s="102">
        <f t="shared" si="1"/>
        <v>1082.1000000000001</v>
      </c>
      <c r="P17" s="102">
        <f t="shared" si="2"/>
        <v>226.8</v>
      </c>
      <c r="Q17" s="102">
        <f t="shared" si="3"/>
        <v>1496.2</v>
      </c>
    </row>
    <row r="18" spans="1:17">
      <c r="A18" s="102">
        <v>1978</v>
      </c>
      <c r="B18" s="102">
        <v>11.7</v>
      </c>
      <c r="C18" s="102">
        <v>7.9</v>
      </c>
      <c r="D18" s="102">
        <v>16.7</v>
      </c>
      <c r="E18" s="102">
        <v>64</v>
      </c>
      <c r="F18" s="102">
        <v>262.2</v>
      </c>
      <c r="G18" s="102">
        <v>259.2</v>
      </c>
      <c r="H18" s="102">
        <v>179.1</v>
      </c>
      <c r="I18" s="102">
        <v>108.2</v>
      </c>
      <c r="J18" s="102">
        <v>79.099999999999994</v>
      </c>
      <c r="K18" s="102">
        <v>134.30000000000001</v>
      </c>
      <c r="L18" s="102">
        <v>84.4</v>
      </c>
      <c r="M18" s="102">
        <v>10.9</v>
      </c>
      <c r="N18" s="102">
        <f t="shared" si="0"/>
        <v>100.3</v>
      </c>
      <c r="O18" s="102">
        <f t="shared" si="1"/>
        <v>887.80000000000007</v>
      </c>
      <c r="P18" s="102">
        <f t="shared" si="2"/>
        <v>229.60000000000002</v>
      </c>
      <c r="Q18" s="102">
        <f t="shared" si="3"/>
        <v>1217.7000000000003</v>
      </c>
    </row>
    <row r="19" spans="1:17">
      <c r="A19" s="102">
        <v>1979</v>
      </c>
      <c r="B19" s="102">
        <v>7.7</v>
      </c>
      <c r="C19" s="102">
        <v>33</v>
      </c>
      <c r="D19" s="102">
        <v>20</v>
      </c>
      <c r="E19" s="102">
        <v>144.6</v>
      </c>
      <c r="F19" s="102">
        <v>157.80000000000001</v>
      </c>
      <c r="G19" s="102">
        <v>367.3</v>
      </c>
      <c r="H19" s="102">
        <v>404.1</v>
      </c>
      <c r="I19" s="102">
        <v>156.69999999999999</v>
      </c>
      <c r="J19" s="102">
        <v>120.7</v>
      </c>
      <c r="K19" s="102">
        <v>34.700000000000003</v>
      </c>
      <c r="L19" s="102">
        <v>7.9</v>
      </c>
      <c r="M19" s="102">
        <v>40.4</v>
      </c>
      <c r="N19" s="102">
        <f t="shared" si="0"/>
        <v>205.3</v>
      </c>
      <c r="O19" s="102">
        <f t="shared" si="1"/>
        <v>1206.6000000000001</v>
      </c>
      <c r="P19" s="102">
        <f t="shared" si="2"/>
        <v>83</v>
      </c>
      <c r="Q19" s="102">
        <f t="shared" si="3"/>
        <v>1494.9000000000003</v>
      </c>
    </row>
    <row r="20" spans="1:17">
      <c r="A20" s="102">
        <v>1980</v>
      </c>
      <c r="B20" s="102">
        <v>12.8</v>
      </c>
      <c r="C20" s="102">
        <v>23.6</v>
      </c>
      <c r="D20" s="102">
        <v>15.5</v>
      </c>
      <c r="E20" s="102">
        <v>65.8</v>
      </c>
      <c r="F20" s="102">
        <v>254.6</v>
      </c>
      <c r="G20" s="102">
        <v>177.3</v>
      </c>
      <c r="H20" s="102">
        <v>223.2</v>
      </c>
      <c r="I20" s="102">
        <v>221.9</v>
      </c>
      <c r="J20" s="102">
        <v>69.900000000000006</v>
      </c>
      <c r="K20" s="102">
        <v>100.6</v>
      </c>
      <c r="L20" s="102">
        <v>28.8</v>
      </c>
      <c r="M20" s="102">
        <v>33.799999999999997</v>
      </c>
      <c r="N20" s="102">
        <f t="shared" si="0"/>
        <v>117.7</v>
      </c>
      <c r="O20" s="102">
        <f t="shared" si="1"/>
        <v>946.89999999999986</v>
      </c>
      <c r="P20" s="102">
        <f t="shared" si="2"/>
        <v>163.19999999999999</v>
      </c>
      <c r="Q20" s="102">
        <f t="shared" si="3"/>
        <v>1227.7999999999997</v>
      </c>
    </row>
    <row r="21" spans="1:17">
      <c r="A21" s="102">
        <v>1981</v>
      </c>
      <c r="B21" s="102">
        <v>16.7</v>
      </c>
      <c r="C21" s="102">
        <v>25.1</v>
      </c>
      <c r="D21" s="102">
        <v>28.3</v>
      </c>
      <c r="E21" s="102">
        <v>56.2</v>
      </c>
      <c r="F21" s="102">
        <v>143.80000000000001</v>
      </c>
      <c r="G21" s="102">
        <v>141.80000000000001</v>
      </c>
      <c r="H21" s="102">
        <v>125.2</v>
      </c>
      <c r="I21" s="102">
        <v>171.6</v>
      </c>
      <c r="J21" s="102">
        <v>121.3</v>
      </c>
      <c r="K21" s="102">
        <v>71.7</v>
      </c>
      <c r="L21" s="102">
        <v>77.2</v>
      </c>
      <c r="M21" s="102">
        <v>10.8</v>
      </c>
      <c r="N21" s="102">
        <f t="shared" si="0"/>
        <v>126.3</v>
      </c>
      <c r="O21" s="102">
        <f t="shared" si="1"/>
        <v>703.69999999999993</v>
      </c>
      <c r="P21" s="102">
        <f t="shared" si="2"/>
        <v>159.70000000000002</v>
      </c>
      <c r="Q21" s="102">
        <f t="shared" si="3"/>
        <v>989.7</v>
      </c>
    </row>
    <row r="22" spans="1:17">
      <c r="A22" s="102">
        <v>1982</v>
      </c>
      <c r="B22" s="102">
        <v>26.1</v>
      </c>
      <c r="C22" s="102">
        <v>64.5</v>
      </c>
      <c r="D22" s="102">
        <v>34.4</v>
      </c>
      <c r="E22" s="102">
        <v>110.3</v>
      </c>
      <c r="F22" s="102">
        <v>216</v>
      </c>
      <c r="G22" s="102">
        <v>260.2</v>
      </c>
      <c r="H22" s="102">
        <v>122</v>
      </c>
      <c r="I22" s="102">
        <v>197.8</v>
      </c>
      <c r="J22" s="102">
        <v>119.4</v>
      </c>
      <c r="K22" s="102">
        <v>83.7</v>
      </c>
      <c r="L22" s="102">
        <v>94.8</v>
      </c>
      <c r="M22" s="102">
        <v>13.5</v>
      </c>
      <c r="N22" s="102">
        <f t="shared" si="0"/>
        <v>235.3</v>
      </c>
      <c r="O22" s="102">
        <f t="shared" si="1"/>
        <v>915.4</v>
      </c>
      <c r="P22" s="102">
        <f t="shared" si="2"/>
        <v>192</v>
      </c>
      <c r="Q22" s="102">
        <f t="shared" si="3"/>
        <v>1342.7</v>
      </c>
    </row>
    <row r="23" spans="1:17">
      <c r="A23" s="102">
        <v>1983</v>
      </c>
      <c r="B23" s="102">
        <v>37.5</v>
      </c>
      <c r="C23" s="102">
        <v>41</v>
      </c>
      <c r="D23" s="102">
        <v>49.3</v>
      </c>
      <c r="E23" s="102">
        <v>112.8</v>
      </c>
      <c r="F23" s="102">
        <v>247.3</v>
      </c>
      <c r="G23" s="102">
        <v>133.5</v>
      </c>
      <c r="H23" s="102">
        <v>154.6</v>
      </c>
      <c r="I23" s="102">
        <v>242.2</v>
      </c>
      <c r="J23" s="102">
        <v>81.900000000000006</v>
      </c>
      <c r="K23" s="102">
        <v>130.80000000000001</v>
      </c>
      <c r="L23" s="102">
        <v>50.7</v>
      </c>
      <c r="M23" s="102">
        <v>17.2</v>
      </c>
      <c r="N23" s="102">
        <f t="shared" si="0"/>
        <v>240.6</v>
      </c>
      <c r="O23" s="102">
        <f t="shared" si="1"/>
        <v>859.49999999999989</v>
      </c>
      <c r="P23" s="102">
        <f t="shared" si="2"/>
        <v>198.7</v>
      </c>
      <c r="Q23" s="102">
        <f t="shared" si="3"/>
        <v>1298.8000000000002</v>
      </c>
    </row>
    <row r="24" spans="1:17">
      <c r="A24" s="102">
        <v>1984</v>
      </c>
      <c r="B24" s="102">
        <v>17.399999999999999</v>
      </c>
      <c r="C24" s="102">
        <v>17.899999999999999</v>
      </c>
      <c r="D24" s="102">
        <v>26.6</v>
      </c>
      <c r="E24" s="102">
        <v>177.6</v>
      </c>
      <c r="F24" s="102">
        <v>261.39999999999998</v>
      </c>
      <c r="G24" s="102">
        <v>122.1</v>
      </c>
      <c r="H24" s="102">
        <v>129.6</v>
      </c>
      <c r="I24" s="102">
        <v>188.1</v>
      </c>
      <c r="J24" s="102">
        <v>131.4</v>
      </c>
      <c r="K24" s="102">
        <v>65.900000000000006</v>
      </c>
      <c r="L24" s="102">
        <v>16.3</v>
      </c>
      <c r="M24" s="102">
        <v>40</v>
      </c>
      <c r="N24" s="102">
        <f t="shared" si="0"/>
        <v>239.5</v>
      </c>
      <c r="O24" s="102">
        <f t="shared" si="1"/>
        <v>832.6</v>
      </c>
      <c r="P24" s="102">
        <f t="shared" si="2"/>
        <v>122.2</v>
      </c>
      <c r="Q24" s="102">
        <f t="shared" si="3"/>
        <v>1194.3000000000002</v>
      </c>
    </row>
    <row r="25" spans="1:17">
      <c r="A25" s="102">
        <v>1985</v>
      </c>
      <c r="B25" s="102">
        <v>14.2</v>
      </c>
      <c r="C25" s="102">
        <v>21.4</v>
      </c>
      <c r="D25" s="102">
        <v>32.6</v>
      </c>
      <c r="E25" s="102">
        <v>87.3</v>
      </c>
      <c r="F25" s="102">
        <v>200.7</v>
      </c>
      <c r="G25" s="102">
        <v>308.5</v>
      </c>
      <c r="H25" s="102">
        <v>246.2</v>
      </c>
      <c r="I25" s="102">
        <v>135.69999999999999</v>
      </c>
      <c r="J25" s="102">
        <v>60.6</v>
      </c>
      <c r="K25" s="102">
        <v>86</v>
      </c>
      <c r="L25" s="102">
        <v>26.2</v>
      </c>
      <c r="M25" s="102">
        <v>15.5</v>
      </c>
      <c r="N25" s="102">
        <f t="shared" si="0"/>
        <v>155.5</v>
      </c>
      <c r="O25" s="102">
        <f t="shared" si="1"/>
        <v>951.69999999999993</v>
      </c>
      <c r="P25" s="102">
        <f t="shared" si="2"/>
        <v>127.7</v>
      </c>
      <c r="Q25" s="102">
        <f t="shared" si="3"/>
        <v>1234.9000000000001</v>
      </c>
    </row>
    <row r="26" spans="1:17">
      <c r="A26" s="102">
        <v>1986</v>
      </c>
      <c r="B26" s="102">
        <v>10.1</v>
      </c>
      <c r="C26" s="102">
        <v>14.7</v>
      </c>
      <c r="D26" s="102">
        <v>16.600000000000001</v>
      </c>
      <c r="E26" s="102">
        <v>87.2</v>
      </c>
      <c r="F26" s="102">
        <v>134.1</v>
      </c>
      <c r="G26" s="102">
        <v>209.4</v>
      </c>
      <c r="H26" s="102">
        <v>223.7</v>
      </c>
      <c r="I26" s="102">
        <v>197.7</v>
      </c>
      <c r="J26" s="102">
        <v>81.900000000000006</v>
      </c>
      <c r="K26" s="102">
        <v>109.8</v>
      </c>
      <c r="L26" s="102">
        <v>50.2</v>
      </c>
      <c r="M26" s="102">
        <v>5.7</v>
      </c>
      <c r="N26" s="102">
        <f t="shared" si="0"/>
        <v>128.6</v>
      </c>
      <c r="O26" s="102">
        <f t="shared" si="1"/>
        <v>846.80000000000007</v>
      </c>
      <c r="P26" s="102">
        <f t="shared" si="2"/>
        <v>165.7</v>
      </c>
      <c r="Q26" s="102">
        <f t="shared" si="3"/>
        <v>1141.1000000000001</v>
      </c>
    </row>
    <row r="27" spans="1:17">
      <c r="A27" s="102">
        <v>1987</v>
      </c>
      <c r="B27" s="102">
        <v>15</v>
      </c>
      <c r="C27" s="102">
        <v>6.4</v>
      </c>
      <c r="D27" s="102">
        <v>38.700000000000003</v>
      </c>
      <c r="E27" s="102">
        <v>5.2</v>
      </c>
      <c r="F27" s="102">
        <v>107.5</v>
      </c>
      <c r="G27" s="102">
        <v>234.9</v>
      </c>
      <c r="H27" s="102">
        <v>228.6</v>
      </c>
      <c r="I27" s="102">
        <v>158.19999999999999</v>
      </c>
      <c r="J27" s="102">
        <v>60.7</v>
      </c>
      <c r="K27" s="102">
        <v>188</v>
      </c>
      <c r="L27" s="102">
        <v>52.8</v>
      </c>
      <c r="M27" s="102">
        <v>4.8</v>
      </c>
      <c r="N27" s="102">
        <f t="shared" si="0"/>
        <v>65.3</v>
      </c>
      <c r="O27" s="102">
        <f t="shared" si="1"/>
        <v>789.90000000000009</v>
      </c>
      <c r="P27" s="102">
        <f t="shared" si="2"/>
        <v>245.60000000000002</v>
      </c>
      <c r="Q27" s="102">
        <f t="shared" si="3"/>
        <v>1100.8</v>
      </c>
    </row>
    <row r="28" spans="1:17">
      <c r="A28" s="102">
        <v>1988</v>
      </c>
      <c r="B28" s="102">
        <v>15.2</v>
      </c>
      <c r="C28" s="102">
        <v>28.8</v>
      </c>
      <c r="D28" s="102">
        <v>6.5</v>
      </c>
      <c r="E28" s="102">
        <v>42.4</v>
      </c>
      <c r="F28" s="102">
        <v>88.7</v>
      </c>
      <c r="G28" s="102">
        <v>301</v>
      </c>
      <c r="H28" s="102">
        <v>102.4</v>
      </c>
      <c r="I28" s="102">
        <v>313.5</v>
      </c>
      <c r="J28" s="102">
        <v>127.2</v>
      </c>
      <c r="K28" s="102">
        <v>37.4</v>
      </c>
      <c r="L28" s="102">
        <v>2.4</v>
      </c>
      <c r="M28" s="102">
        <v>5.9</v>
      </c>
      <c r="N28" s="102">
        <f t="shared" si="0"/>
        <v>92.9</v>
      </c>
      <c r="O28" s="102">
        <f t="shared" si="1"/>
        <v>932.80000000000007</v>
      </c>
      <c r="P28" s="102">
        <f t="shared" si="2"/>
        <v>45.699999999999996</v>
      </c>
      <c r="Q28" s="102">
        <f t="shared" si="3"/>
        <v>1071.4000000000003</v>
      </c>
    </row>
    <row r="29" spans="1:17">
      <c r="A29" s="102">
        <v>1989</v>
      </c>
      <c r="B29" s="102">
        <v>10.1</v>
      </c>
      <c r="C29" s="102">
        <v>19.2</v>
      </c>
      <c r="D29" s="102">
        <v>53.7</v>
      </c>
      <c r="E29" s="102">
        <v>28.9</v>
      </c>
      <c r="F29" s="102">
        <v>89.8</v>
      </c>
      <c r="G29" s="102">
        <v>159.80000000000001</v>
      </c>
      <c r="H29" s="102">
        <v>104.7</v>
      </c>
      <c r="I29" s="102">
        <v>168</v>
      </c>
      <c r="J29" s="102">
        <v>61.9</v>
      </c>
      <c r="K29" s="102">
        <v>85.4</v>
      </c>
      <c r="L29" s="102">
        <v>16.2</v>
      </c>
      <c r="M29" s="102">
        <v>31.1</v>
      </c>
      <c r="N29" s="102">
        <f t="shared" si="0"/>
        <v>111.9</v>
      </c>
      <c r="O29" s="102">
        <f t="shared" si="1"/>
        <v>584.19999999999993</v>
      </c>
      <c r="P29" s="102">
        <f t="shared" si="2"/>
        <v>132.70000000000002</v>
      </c>
      <c r="Q29" s="102">
        <f t="shared" si="3"/>
        <v>828.80000000000007</v>
      </c>
    </row>
    <row r="30" spans="1:17">
      <c r="A30" s="102">
        <v>1990</v>
      </c>
      <c r="B30" s="102">
        <v>16.399999999999999</v>
      </c>
      <c r="C30" s="102">
        <v>23.5</v>
      </c>
      <c r="D30" s="102">
        <v>62.4</v>
      </c>
      <c r="E30" s="102">
        <v>81.900000000000006</v>
      </c>
      <c r="F30" s="102">
        <v>218.9</v>
      </c>
      <c r="G30" s="102">
        <v>260.8</v>
      </c>
      <c r="H30" s="102">
        <v>85.7</v>
      </c>
      <c r="I30" s="102">
        <v>43.3</v>
      </c>
      <c r="J30" s="102">
        <v>64.7</v>
      </c>
      <c r="K30" s="102">
        <v>60.4</v>
      </c>
      <c r="L30" s="102">
        <v>39</v>
      </c>
      <c r="M30" s="102">
        <v>14.3</v>
      </c>
      <c r="N30" s="102">
        <f t="shared" si="0"/>
        <v>184.2</v>
      </c>
      <c r="O30" s="102">
        <f t="shared" si="1"/>
        <v>673.40000000000009</v>
      </c>
      <c r="P30" s="102">
        <f t="shared" si="2"/>
        <v>113.7</v>
      </c>
      <c r="Q30" s="102">
        <f t="shared" si="3"/>
        <v>971.30000000000007</v>
      </c>
    </row>
    <row r="31" spans="1:17">
      <c r="A31" s="102">
        <v>1991</v>
      </c>
      <c r="B31" s="102">
        <v>54.6</v>
      </c>
      <c r="C31" s="102">
        <v>9.5</v>
      </c>
      <c r="D31" s="102">
        <v>49.6</v>
      </c>
      <c r="E31" s="102">
        <v>39.4</v>
      </c>
      <c r="F31" s="102">
        <v>92.9</v>
      </c>
      <c r="G31" s="102">
        <v>330.2</v>
      </c>
      <c r="H31" s="102">
        <v>556.20000000000005</v>
      </c>
      <c r="I31" s="102">
        <v>108.3</v>
      </c>
      <c r="J31" s="102">
        <v>133.69999999999999</v>
      </c>
      <c r="K31" s="102">
        <v>46.6</v>
      </c>
      <c r="L31" s="102">
        <v>40.4</v>
      </c>
      <c r="M31" s="102">
        <v>24.6</v>
      </c>
      <c r="N31" s="102">
        <f t="shared" si="0"/>
        <v>153.1</v>
      </c>
      <c r="O31" s="102">
        <f t="shared" si="1"/>
        <v>1221.3000000000002</v>
      </c>
      <c r="P31" s="102">
        <f t="shared" si="2"/>
        <v>111.6</v>
      </c>
      <c r="Q31" s="102">
        <f t="shared" si="3"/>
        <v>1486</v>
      </c>
    </row>
    <row r="32" spans="1:17">
      <c r="A32" s="102">
        <v>1992</v>
      </c>
      <c r="B32" s="102">
        <v>33.4</v>
      </c>
      <c r="C32" s="102">
        <v>43.7</v>
      </c>
      <c r="D32" s="102">
        <v>44.8</v>
      </c>
      <c r="E32" s="102">
        <v>94.2</v>
      </c>
      <c r="F32" s="102">
        <v>343.5</v>
      </c>
      <c r="G32" s="102">
        <v>290.89999999999998</v>
      </c>
      <c r="H32" s="102">
        <v>232.5</v>
      </c>
      <c r="I32" s="102">
        <v>75.099999999999994</v>
      </c>
      <c r="J32" s="102">
        <v>38.6</v>
      </c>
      <c r="K32" s="102">
        <v>146.6</v>
      </c>
      <c r="L32" s="102">
        <v>10.4</v>
      </c>
      <c r="M32" s="102">
        <v>14.9</v>
      </c>
      <c r="N32" s="102">
        <f t="shared" si="0"/>
        <v>216.1</v>
      </c>
      <c r="O32" s="102">
        <f t="shared" si="1"/>
        <v>980.6</v>
      </c>
      <c r="P32" s="102">
        <f t="shared" si="2"/>
        <v>171.9</v>
      </c>
      <c r="Q32" s="102">
        <f t="shared" si="3"/>
        <v>1368.6</v>
      </c>
    </row>
    <row r="33" spans="1:17">
      <c r="A33" s="102">
        <v>1993</v>
      </c>
      <c r="B33" s="102">
        <v>15</v>
      </c>
      <c r="C33" s="102">
        <v>50.6</v>
      </c>
      <c r="D33" s="102">
        <v>7.1</v>
      </c>
      <c r="E33" s="102">
        <v>59.1</v>
      </c>
      <c r="F33" s="102">
        <v>141</v>
      </c>
      <c r="G33" s="102">
        <v>193.4</v>
      </c>
      <c r="H33" s="102">
        <v>266</v>
      </c>
      <c r="I33" s="102">
        <v>306.3</v>
      </c>
      <c r="J33" s="102">
        <v>142.4</v>
      </c>
      <c r="K33" s="102">
        <v>27.6</v>
      </c>
      <c r="L33" s="102">
        <v>81.2</v>
      </c>
      <c r="M33" s="102">
        <v>8.8000000000000007</v>
      </c>
      <c r="N33" s="102">
        <f t="shared" si="0"/>
        <v>131.79999999999998</v>
      </c>
      <c r="O33" s="102">
        <f t="shared" si="1"/>
        <v>1049.1000000000001</v>
      </c>
      <c r="P33" s="102">
        <f t="shared" si="2"/>
        <v>117.60000000000001</v>
      </c>
      <c r="Q33" s="102">
        <f t="shared" si="3"/>
        <v>1298.5</v>
      </c>
    </row>
    <row r="34" spans="1:17">
      <c r="A34" s="102">
        <v>1994</v>
      </c>
      <c r="B34" s="102">
        <v>21.6</v>
      </c>
      <c r="C34" s="102">
        <v>15.8</v>
      </c>
      <c r="D34" s="102">
        <v>62.6</v>
      </c>
      <c r="E34" s="102">
        <v>11.9</v>
      </c>
      <c r="F34" s="102">
        <v>146.80000000000001</v>
      </c>
      <c r="G34" s="102">
        <v>269.7</v>
      </c>
      <c r="H34" s="102">
        <v>111.5</v>
      </c>
      <c r="I34" s="102">
        <v>82.3</v>
      </c>
      <c r="J34" s="102">
        <v>142.9</v>
      </c>
      <c r="K34" s="102">
        <v>128.30000000000001</v>
      </c>
      <c r="L34" s="102">
        <v>76.099999999999994</v>
      </c>
      <c r="M34" s="102">
        <v>38.299999999999997</v>
      </c>
      <c r="N34" s="102">
        <f t="shared" si="0"/>
        <v>111.9</v>
      </c>
      <c r="O34" s="102">
        <f t="shared" si="1"/>
        <v>753.19999999999993</v>
      </c>
      <c r="P34" s="102">
        <f t="shared" si="2"/>
        <v>242.7</v>
      </c>
      <c r="Q34" s="102">
        <f t="shared" si="3"/>
        <v>1107.8</v>
      </c>
    </row>
    <row r="35" spans="1:17">
      <c r="A35" s="102">
        <v>1995</v>
      </c>
      <c r="B35" s="102">
        <v>24.4</v>
      </c>
      <c r="C35" s="102">
        <v>48.3</v>
      </c>
      <c r="D35" s="102">
        <v>21.5</v>
      </c>
      <c r="E35" s="102">
        <v>41</v>
      </c>
      <c r="F35" s="102">
        <v>156.6</v>
      </c>
      <c r="G35" s="102">
        <v>257.39999999999998</v>
      </c>
      <c r="H35" s="102">
        <v>275.39999999999998</v>
      </c>
      <c r="I35" s="102">
        <v>164.1</v>
      </c>
      <c r="J35" s="102">
        <v>137.69999999999999</v>
      </c>
      <c r="K35" s="102">
        <v>57.4</v>
      </c>
      <c r="L35" s="102">
        <v>50.3</v>
      </c>
      <c r="M35" s="102">
        <v>4.9000000000000004</v>
      </c>
      <c r="N35" s="102">
        <f t="shared" si="0"/>
        <v>135.19999999999999</v>
      </c>
      <c r="O35" s="102">
        <f t="shared" si="1"/>
        <v>991.2</v>
      </c>
      <c r="P35" s="102">
        <f t="shared" si="2"/>
        <v>112.6</v>
      </c>
      <c r="Q35" s="102">
        <f t="shared" si="3"/>
        <v>1239</v>
      </c>
    </row>
    <row r="36" spans="1:17">
      <c r="A36" s="102">
        <v>1996</v>
      </c>
      <c r="B36" s="102">
        <v>15.6</v>
      </c>
      <c r="C36" s="102">
        <v>7.9</v>
      </c>
      <c r="D36" s="102">
        <v>74.400000000000006</v>
      </c>
      <c r="E36" s="102">
        <v>56.7</v>
      </c>
      <c r="F36" s="102">
        <v>305.8</v>
      </c>
      <c r="G36" s="102">
        <v>234.5</v>
      </c>
      <c r="H36" s="102">
        <v>225.4</v>
      </c>
      <c r="I36" s="102">
        <v>123.7</v>
      </c>
      <c r="J36" s="102">
        <v>19.8</v>
      </c>
      <c r="K36" s="102">
        <v>56.7</v>
      </c>
      <c r="L36" s="102">
        <v>74.7</v>
      </c>
      <c r="M36" s="102">
        <v>14.5</v>
      </c>
      <c r="N36" s="102">
        <f t="shared" si="0"/>
        <v>154.60000000000002</v>
      </c>
      <c r="O36" s="102">
        <f t="shared" si="1"/>
        <v>909.19999999999993</v>
      </c>
      <c r="P36" s="102">
        <f t="shared" si="2"/>
        <v>145.9</v>
      </c>
      <c r="Q36" s="102">
        <f t="shared" si="3"/>
        <v>1209.7</v>
      </c>
    </row>
    <row r="37" spans="1:17">
      <c r="A37" s="102">
        <v>1997</v>
      </c>
      <c r="B37" s="102">
        <v>35.5</v>
      </c>
      <c r="C37" s="102">
        <v>68.8</v>
      </c>
      <c r="D37" s="102">
        <v>38.700000000000003</v>
      </c>
      <c r="E37" s="102">
        <v>86.3</v>
      </c>
      <c r="F37" s="102">
        <v>92.9</v>
      </c>
      <c r="G37" s="102">
        <v>356.1</v>
      </c>
      <c r="H37" s="102">
        <v>267.3</v>
      </c>
      <c r="I37" s="102">
        <v>80.5</v>
      </c>
      <c r="J37" s="102">
        <v>183.3</v>
      </c>
      <c r="K37" s="102">
        <v>168.2</v>
      </c>
      <c r="L37" s="102">
        <v>21.3</v>
      </c>
      <c r="M37" s="102">
        <v>13.9</v>
      </c>
      <c r="N37" s="102">
        <f t="shared" si="0"/>
        <v>229.3</v>
      </c>
      <c r="O37" s="102">
        <f t="shared" si="1"/>
        <v>980.09999999999991</v>
      </c>
      <c r="P37" s="102">
        <f t="shared" si="2"/>
        <v>203.4</v>
      </c>
      <c r="Q37" s="102">
        <f t="shared" si="3"/>
        <v>1412.8000000000002</v>
      </c>
    </row>
    <row r="38" spans="1:17">
      <c r="A38" s="102">
        <v>1998</v>
      </c>
      <c r="B38" s="102">
        <v>35.9</v>
      </c>
      <c r="C38" s="102">
        <v>19.399999999999999</v>
      </c>
      <c r="D38" s="102">
        <v>28.3</v>
      </c>
      <c r="E38" s="102">
        <v>48.5</v>
      </c>
      <c r="F38" s="102">
        <v>140.19999999999999</v>
      </c>
      <c r="G38" s="102">
        <v>256.3</v>
      </c>
      <c r="H38" s="102">
        <v>185.7</v>
      </c>
      <c r="I38" s="102">
        <v>158.19999999999999</v>
      </c>
      <c r="J38" s="102">
        <v>32.299999999999997</v>
      </c>
      <c r="K38" s="102">
        <v>71.3</v>
      </c>
      <c r="L38" s="102">
        <v>21.6</v>
      </c>
      <c r="M38" s="102">
        <v>12.6</v>
      </c>
      <c r="N38" s="102">
        <f t="shared" si="0"/>
        <v>132.1</v>
      </c>
      <c r="O38" s="102">
        <f t="shared" si="1"/>
        <v>772.7</v>
      </c>
      <c r="P38" s="102">
        <f t="shared" si="2"/>
        <v>105.5</v>
      </c>
      <c r="Q38" s="102">
        <f t="shared" si="3"/>
        <v>1010.3</v>
      </c>
    </row>
    <row r="39" spans="1:17">
      <c r="A39" s="102">
        <v>1999</v>
      </c>
      <c r="B39" s="102">
        <v>18.100000000000001</v>
      </c>
      <c r="C39" s="102">
        <v>8.5</v>
      </c>
      <c r="D39" s="102">
        <v>26.6</v>
      </c>
      <c r="E39" s="102">
        <v>50.2</v>
      </c>
      <c r="F39" s="102">
        <v>117.4</v>
      </c>
      <c r="G39" s="102">
        <v>232.8</v>
      </c>
      <c r="H39" s="102">
        <v>269.7</v>
      </c>
      <c r="I39" s="102">
        <v>205.5</v>
      </c>
      <c r="J39" s="102">
        <v>88.6</v>
      </c>
      <c r="K39" s="102">
        <v>109.6</v>
      </c>
      <c r="L39" s="102">
        <v>59</v>
      </c>
      <c r="M39" s="102">
        <v>6.2</v>
      </c>
      <c r="N39" s="102">
        <f t="shared" si="0"/>
        <v>103.4</v>
      </c>
      <c r="O39" s="102">
        <f t="shared" si="1"/>
        <v>914.00000000000011</v>
      </c>
      <c r="P39" s="102">
        <f t="shared" si="2"/>
        <v>174.79999999999998</v>
      </c>
      <c r="Q39" s="102">
        <f t="shared" si="3"/>
        <v>1192.2</v>
      </c>
    </row>
    <row r="40" spans="1:17">
      <c r="A40" s="102">
        <v>2000</v>
      </c>
      <c r="B40" s="102">
        <v>18.100000000000001</v>
      </c>
      <c r="C40" s="102">
        <v>29</v>
      </c>
      <c r="D40" s="102">
        <v>51.1</v>
      </c>
      <c r="E40" s="102">
        <v>93.4</v>
      </c>
      <c r="F40" s="102">
        <v>192.8</v>
      </c>
      <c r="G40" s="102">
        <v>455.5</v>
      </c>
      <c r="H40" s="102">
        <v>152.6</v>
      </c>
      <c r="I40" s="102">
        <v>264.2</v>
      </c>
      <c r="J40" s="102">
        <v>72.5</v>
      </c>
      <c r="K40" s="102">
        <v>55.1</v>
      </c>
      <c r="L40" s="102">
        <v>40.6</v>
      </c>
      <c r="M40" s="102">
        <v>16.899999999999999</v>
      </c>
      <c r="N40" s="102">
        <f t="shared" si="0"/>
        <v>191.60000000000002</v>
      </c>
      <c r="O40" s="102">
        <f t="shared" si="1"/>
        <v>1137.5999999999999</v>
      </c>
      <c r="P40" s="102">
        <f t="shared" si="2"/>
        <v>112.6</v>
      </c>
      <c r="Q40" s="102">
        <f t="shared" si="3"/>
        <v>1441.8</v>
      </c>
    </row>
    <row r="41" spans="1:17">
      <c r="A41" s="102">
        <v>2001</v>
      </c>
      <c r="B41" s="102">
        <v>13.4</v>
      </c>
      <c r="C41" s="102">
        <v>15.4</v>
      </c>
      <c r="D41" s="102">
        <v>26.8</v>
      </c>
      <c r="E41" s="102">
        <v>85.6</v>
      </c>
      <c r="F41" s="102">
        <v>187.6</v>
      </c>
      <c r="G41" s="102">
        <v>292.60000000000002</v>
      </c>
      <c r="H41" s="102">
        <v>199.2</v>
      </c>
      <c r="I41" s="102">
        <v>132.9</v>
      </c>
      <c r="J41" s="102">
        <v>70.900000000000006</v>
      </c>
      <c r="K41" s="102">
        <v>185.6</v>
      </c>
      <c r="L41" s="102">
        <v>19.600000000000001</v>
      </c>
      <c r="M41" s="102">
        <v>17.7</v>
      </c>
      <c r="N41" s="102">
        <f t="shared" si="0"/>
        <v>141.19999999999999</v>
      </c>
      <c r="O41" s="102">
        <f t="shared" si="1"/>
        <v>883.2</v>
      </c>
      <c r="P41" s="102">
        <f t="shared" si="2"/>
        <v>222.89999999999998</v>
      </c>
      <c r="Q41" s="102">
        <f t="shared" si="3"/>
        <v>1247.2999999999997</v>
      </c>
    </row>
    <row r="42" spans="1:17">
      <c r="A42" s="102">
        <v>2002</v>
      </c>
      <c r="B42" s="102">
        <v>14.7</v>
      </c>
      <c r="C42" s="102">
        <v>64.2</v>
      </c>
      <c r="D42" s="102">
        <v>77.900000000000006</v>
      </c>
      <c r="E42" s="102">
        <v>38.799999999999997</v>
      </c>
      <c r="F42" s="102">
        <v>190.8</v>
      </c>
      <c r="G42" s="102">
        <v>215.1</v>
      </c>
      <c r="H42" s="102">
        <v>113</v>
      </c>
      <c r="I42" s="102">
        <v>196.2</v>
      </c>
      <c r="J42" s="102">
        <v>11</v>
      </c>
      <c r="K42" s="102">
        <v>64.5</v>
      </c>
      <c r="L42" s="102">
        <v>13.3</v>
      </c>
      <c r="M42" s="102">
        <v>17.899999999999999</v>
      </c>
      <c r="N42" s="102">
        <f t="shared" si="0"/>
        <v>195.60000000000002</v>
      </c>
      <c r="O42" s="102">
        <f t="shared" si="1"/>
        <v>726.09999999999991</v>
      </c>
      <c r="P42" s="102">
        <f t="shared" si="2"/>
        <v>95.699999999999989</v>
      </c>
      <c r="Q42" s="102">
        <f t="shared" si="3"/>
        <v>1017.4</v>
      </c>
    </row>
    <row r="43" spans="1:17">
      <c r="A43" s="102">
        <v>2003</v>
      </c>
      <c r="B43" s="102">
        <v>11.9</v>
      </c>
      <c r="C43" s="102">
        <v>0</v>
      </c>
      <c r="D43" s="102">
        <v>31.8</v>
      </c>
      <c r="E43" s="102">
        <v>112.2</v>
      </c>
      <c r="F43" s="102">
        <v>179</v>
      </c>
      <c r="G43" s="102">
        <v>154</v>
      </c>
      <c r="H43" s="102">
        <v>133.1</v>
      </c>
      <c r="I43" s="102">
        <v>19.7</v>
      </c>
      <c r="J43" s="102">
        <v>71.400000000000006</v>
      </c>
      <c r="K43" s="102">
        <v>60.3</v>
      </c>
      <c r="L43" s="102">
        <v>19.399999999999999</v>
      </c>
      <c r="M43" s="102">
        <v>37.799999999999997</v>
      </c>
      <c r="N43" s="102">
        <f t="shared" si="0"/>
        <v>155.9</v>
      </c>
      <c r="O43" s="102">
        <f t="shared" si="1"/>
        <v>557.20000000000005</v>
      </c>
      <c r="P43" s="102">
        <f t="shared" si="2"/>
        <v>117.49999999999999</v>
      </c>
      <c r="Q43" s="102">
        <f t="shared" si="3"/>
        <v>830.59999999999991</v>
      </c>
    </row>
    <row r="44" spans="1:17">
      <c r="A44" s="102">
        <v>2004</v>
      </c>
      <c r="B44" s="103">
        <v>34.5</v>
      </c>
      <c r="C44" s="103">
        <v>39.700000000000003</v>
      </c>
      <c r="D44" s="103">
        <v>25.8</v>
      </c>
      <c r="E44" s="103">
        <v>170.9</v>
      </c>
      <c r="F44" s="103">
        <v>216.3</v>
      </c>
      <c r="G44" s="103">
        <v>79.400000000000006</v>
      </c>
      <c r="H44" s="103">
        <v>338.7</v>
      </c>
      <c r="I44" s="103">
        <v>148.9</v>
      </c>
      <c r="J44" s="103">
        <v>73.8</v>
      </c>
      <c r="K44" s="103">
        <v>29.7</v>
      </c>
      <c r="L44" s="103">
        <v>20.2</v>
      </c>
      <c r="M44" s="103">
        <v>16.100000000000001</v>
      </c>
      <c r="N44" s="102">
        <f t="shared" si="0"/>
        <v>270.89999999999998</v>
      </c>
      <c r="O44" s="102">
        <f t="shared" si="1"/>
        <v>857.1</v>
      </c>
      <c r="P44" s="102">
        <f t="shared" si="2"/>
        <v>66</v>
      </c>
      <c r="Q44" s="102">
        <f t="shared" si="3"/>
        <v>1194</v>
      </c>
    </row>
    <row r="45" spans="1:17">
      <c r="A45" s="102">
        <v>2005</v>
      </c>
      <c r="B45" s="103">
        <v>26.3</v>
      </c>
      <c r="C45" s="103">
        <v>11</v>
      </c>
      <c r="D45" s="103">
        <v>21.1</v>
      </c>
      <c r="E45" s="103">
        <v>54.3</v>
      </c>
      <c r="F45" s="103">
        <v>186.9</v>
      </c>
      <c r="G45" s="103">
        <v>176.3</v>
      </c>
      <c r="H45" s="103">
        <v>193.4</v>
      </c>
      <c r="I45" s="103">
        <v>133.9</v>
      </c>
      <c r="J45" s="103">
        <v>76</v>
      </c>
      <c r="K45" s="103">
        <v>55.6</v>
      </c>
      <c r="L45" s="103">
        <v>30.4</v>
      </c>
      <c r="M45" s="103">
        <v>22.8</v>
      </c>
      <c r="N45" s="102">
        <f t="shared" si="0"/>
        <v>112.69999999999999</v>
      </c>
      <c r="O45" s="102">
        <f t="shared" si="1"/>
        <v>766.5</v>
      </c>
      <c r="P45" s="102">
        <f t="shared" si="2"/>
        <v>108.8</v>
      </c>
      <c r="Q45" s="102">
        <f t="shared" si="3"/>
        <v>988</v>
      </c>
    </row>
    <row r="46" spans="1:17">
      <c r="A46" s="102">
        <v>2006</v>
      </c>
      <c r="B46" s="102">
        <v>5</v>
      </c>
      <c r="C46" s="102">
        <v>37.9</v>
      </c>
      <c r="D46" s="102">
        <v>26.7</v>
      </c>
      <c r="E46" s="102">
        <v>33.299999999999997</v>
      </c>
      <c r="F46" s="102">
        <v>104.3</v>
      </c>
      <c r="G46" s="102">
        <v>292.89999999999998</v>
      </c>
      <c r="H46" s="102">
        <v>106.5</v>
      </c>
      <c r="I46" s="102">
        <v>114.3</v>
      </c>
      <c r="J46" s="102">
        <v>74.400000000000006</v>
      </c>
      <c r="K46" s="102">
        <v>191.6</v>
      </c>
      <c r="L46" s="102">
        <v>0.4</v>
      </c>
      <c r="M46" s="102">
        <v>20.5</v>
      </c>
      <c r="N46" s="102">
        <f t="shared" si="0"/>
        <v>102.89999999999999</v>
      </c>
      <c r="O46" s="102">
        <f t="shared" si="1"/>
        <v>692.4</v>
      </c>
      <c r="P46" s="102">
        <f t="shared" si="2"/>
        <v>212.5</v>
      </c>
      <c r="Q46" s="102">
        <f t="shared" si="3"/>
        <v>1007.7999999999998</v>
      </c>
    </row>
    <row r="47" spans="1:17">
      <c r="A47" s="102">
        <v>2007</v>
      </c>
      <c r="B47" s="102">
        <v>37.1</v>
      </c>
      <c r="C47" s="102">
        <v>3.9</v>
      </c>
      <c r="D47" s="102">
        <v>28</v>
      </c>
      <c r="E47" s="102">
        <v>95.4</v>
      </c>
      <c r="F47" s="102">
        <v>84.4</v>
      </c>
      <c r="G47" s="102">
        <v>334.1</v>
      </c>
      <c r="H47" s="102">
        <v>311.89999999999998</v>
      </c>
      <c r="I47" s="102">
        <v>122.6</v>
      </c>
      <c r="J47" s="102">
        <v>100.5</v>
      </c>
      <c r="K47" s="102">
        <v>31.8</v>
      </c>
      <c r="L47" s="102">
        <v>0.8</v>
      </c>
      <c r="M47" s="102">
        <v>22.4</v>
      </c>
      <c r="N47" s="102">
        <f t="shared" si="0"/>
        <v>164.4</v>
      </c>
      <c r="O47" s="102">
        <f t="shared" si="1"/>
        <v>953.5</v>
      </c>
      <c r="P47" s="102">
        <f t="shared" si="2"/>
        <v>55</v>
      </c>
      <c r="Q47" s="102">
        <f t="shared" si="3"/>
        <v>1172.9000000000001</v>
      </c>
    </row>
    <row r="48" spans="1:17">
      <c r="A48" s="102">
        <v>2008</v>
      </c>
      <c r="B48" s="102">
        <v>19.5</v>
      </c>
      <c r="C48" s="102">
        <v>18.100000000000001</v>
      </c>
      <c r="D48" s="102">
        <v>43.7</v>
      </c>
      <c r="E48" s="102">
        <v>69</v>
      </c>
      <c r="F48" s="102">
        <v>342.5</v>
      </c>
      <c r="G48" s="102">
        <v>148.80000000000001</v>
      </c>
      <c r="H48" s="102">
        <v>239.6</v>
      </c>
      <c r="I48" s="102">
        <v>337.4</v>
      </c>
      <c r="J48" s="102">
        <v>111.2</v>
      </c>
      <c r="K48" s="102">
        <v>114.4</v>
      </c>
      <c r="L48" s="102">
        <v>66.400000000000006</v>
      </c>
      <c r="M48" s="102">
        <v>21.2</v>
      </c>
      <c r="N48" s="102">
        <f t="shared" si="0"/>
        <v>150.30000000000001</v>
      </c>
      <c r="O48" s="102">
        <f t="shared" si="1"/>
        <v>1179.5</v>
      </c>
      <c r="P48" s="102">
        <f t="shared" si="2"/>
        <v>202</v>
      </c>
      <c r="Q48" s="102">
        <f t="shared" si="3"/>
        <v>1531.8000000000002</v>
      </c>
    </row>
    <row r="49" spans="1:33">
      <c r="A49" s="102">
        <v>2009</v>
      </c>
      <c r="B49" s="102">
        <v>8.4</v>
      </c>
      <c r="C49" s="102">
        <v>10.3</v>
      </c>
      <c r="D49" s="102">
        <v>34.9</v>
      </c>
      <c r="E49" s="102">
        <v>163.19999999999999</v>
      </c>
      <c r="F49" s="102">
        <v>144.80000000000001</v>
      </c>
      <c r="G49" s="102">
        <v>112.8</v>
      </c>
      <c r="H49" s="102">
        <v>171.4</v>
      </c>
      <c r="I49" s="102">
        <v>93.8</v>
      </c>
      <c r="J49" s="102">
        <v>51.7</v>
      </c>
      <c r="K49" s="102">
        <v>45.9</v>
      </c>
      <c r="L49" s="102">
        <v>11.1</v>
      </c>
      <c r="M49" s="102">
        <v>14.7</v>
      </c>
      <c r="N49" s="102">
        <f t="shared" si="0"/>
        <v>216.79999999999998</v>
      </c>
      <c r="O49" s="102">
        <f t="shared" si="1"/>
        <v>574.5</v>
      </c>
      <c r="P49" s="102">
        <f t="shared" si="2"/>
        <v>71.7</v>
      </c>
      <c r="Q49" s="102">
        <f t="shared" si="3"/>
        <v>863.00000000000011</v>
      </c>
    </row>
    <row r="50" spans="1:33">
      <c r="A50" s="102">
        <v>2010</v>
      </c>
      <c r="B50" s="102">
        <v>1.5</v>
      </c>
      <c r="C50" s="102">
        <v>3.1</v>
      </c>
      <c r="D50" s="102">
        <v>5.5</v>
      </c>
      <c r="E50" s="102">
        <v>81</v>
      </c>
      <c r="F50" s="102">
        <v>136.80000000000001</v>
      </c>
      <c r="G50" s="102">
        <v>284.7</v>
      </c>
      <c r="H50" s="102">
        <v>326.60000000000002</v>
      </c>
      <c r="I50" s="102">
        <v>99.1</v>
      </c>
      <c r="J50" s="102">
        <v>181.3</v>
      </c>
      <c r="K50" s="102">
        <v>81.5</v>
      </c>
      <c r="L50" s="102">
        <v>32.5</v>
      </c>
      <c r="M50" s="102">
        <v>39.700000000000003</v>
      </c>
      <c r="N50" s="102">
        <f t="shared" si="0"/>
        <v>91.1</v>
      </c>
      <c r="O50" s="102">
        <f t="shared" si="1"/>
        <v>1028.5</v>
      </c>
      <c r="P50" s="102">
        <f t="shared" si="2"/>
        <v>153.69999999999999</v>
      </c>
      <c r="Q50" s="102">
        <f t="shared" si="3"/>
        <v>1273.3000000000002</v>
      </c>
    </row>
    <row r="51" spans="1:33">
      <c r="A51" s="102">
        <v>2011</v>
      </c>
      <c r="B51" s="102">
        <v>25.9</v>
      </c>
      <c r="C51" s="102">
        <v>9</v>
      </c>
      <c r="D51" s="102">
        <v>18.600000000000001</v>
      </c>
      <c r="E51" s="102">
        <v>58.8</v>
      </c>
      <c r="F51" s="102">
        <v>72.7</v>
      </c>
      <c r="G51" s="102">
        <v>176.4</v>
      </c>
      <c r="H51" s="102">
        <v>28</v>
      </c>
      <c r="I51" s="102">
        <v>64.099999999999994</v>
      </c>
      <c r="J51" s="102">
        <v>98.2</v>
      </c>
      <c r="K51" s="102">
        <v>103.3</v>
      </c>
      <c r="L51" s="102">
        <v>85.4</v>
      </c>
      <c r="M51" s="102">
        <v>14.8</v>
      </c>
      <c r="N51" s="102">
        <f t="shared" si="0"/>
        <v>112.3</v>
      </c>
      <c r="O51" s="102">
        <f t="shared" si="1"/>
        <v>439.40000000000003</v>
      </c>
      <c r="P51" s="102">
        <f t="shared" si="2"/>
        <v>203.5</v>
      </c>
      <c r="Q51" s="102">
        <f t="shared" si="3"/>
        <v>755.19999999999993</v>
      </c>
    </row>
    <row r="52" spans="1:33">
      <c r="A52" s="102">
        <v>2012</v>
      </c>
      <c r="B52" s="102">
        <v>21.6</v>
      </c>
      <c r="C52" s="102">
        <v>16.3</v>
      </c>
      <c r="D52" s="102">
        <v>34.1</v>
      </c>
      <c r="E52" s="102">
        <v>51.6</v>
      </c>
      <c r="F52" s="102">
        <v>201.7</v>
      </c>
      <c r="G52" s="102">
        <v>209.3</v>
      </c>
      <c r="H52" s="102">
        <v>374.1</v>
      </c>
      <c r="I52" s="102">
        <v>137.4</v>
      </c>
      <c r="J52" s="102">
        <v>168.1</v>
      </c>
      <c r="K52" s="102">
        <v>63.6</v>
      </c>
      <c r="L52" s="102">
        <v>25.7</v>
      </c>
      <c r="M52" s="102">
        <v>8.1999999999999993</v>
      </c>
      <c r="N52" s="102">
        <f t="shared" si="0"/>
        <v>123.6</v>
      </c>
      <c r="O52" s="102">
        <f t="shared" si="1"/>
        <v>1090.5999999999999</v>
      </c>
      <c r="P52" s="102">
        <f t="shared" si="2"/>
        <v>97.5</v>
      </c>
      <c r="Q52" s="102">
        <f t="shared" si="3"/>
        <v>1311.6999999999998</v>
      </c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  <c r="AD52" s="104"/>
      <c r="AE52" s="104"/>
      <c r="AF52" s="104"/>
      <c r="AG52" s="104"/>
    </row>
    <row r="53" spans="1:33">
      <c r="A53" s="102">
        <v>2013</v>
      </c>
      <c r="B53" s="102">
        <v>10.8</v>
      </c>
      <c r="C53" s="102">
        <v>17.5</v>
      </c>
      <c r="D53" s="102">
        <v>60.5</v>
      </c>
      <c r="E53" s="102">
        <v>47.3</v>
      </c>
      <c r="F53" s="102">
        <v>185.7</v>
      </c>
      <c r="G53" s="102">
        <v>174.3</v>
      </c>
      <c r="H53" s="102">
        <v>77.099999999999994</v>
      </c>
      <c r="I53" s="102">
        <v>153</v>
      </c>
      <c r="J53" s="102">
        <v>42.3</v>
      </c>
      <c r="K53" s="102">
        <v>56.5</v>
      </c>
      <c r="L53" s="102">
        <v>37.700000000000003</v>
      </c>
      <c r="M53" s="102">
        <v>32.799999999999997</v>
      </c>
      <c r="N53" s="102">
        <f t="shared" si="0"/>
        <v>136.1</v>
      </c>
      <c r="O53" s="102">
        <f t="shared" si="1"/>
        <v>632.4</v>
      </c>
      <c r="P53" s="102">
        <f t="shared" si="2"/>
        <v>127</v>
      </c>
      <c r="Q53" s="102">
        <f t="shared" si="3"/>
        <v>895.49999999999989</v>
      </c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  <c r="AD53" s="104"/>
      <c r="AE53" s="104"/>
      <c r="AF53" s="104"/>
      <c r="AG53" s="104"/>
    </row>
    <row r="54" spans="1:33">
      <c r="A54" s="102">
        <v>2014</v>
      </c>
      <c r="B54" s="103">
        <v>14.9</v>
      </c>
      <c r="C54" s="103">
        <v>29.8</v>
      </c>
      <c r="D54" s="103">
        <v>63.4</v>
      </c>
      <c r="E54" s="103">
        <v>44.3</v>
      </c>
      <c r="F54" s="103">
        <v>127.1</v>
      </c>
      <c r="G54" s="103">
        <v>256.10000000000002</v>
      </c>
      <c r="H54" s="103">
        <v>319.60000000000002</v>
      </c>
      <c r="I54" s="103">
        <v>101.9</v>
      </c>
      <c r="J54" s="103">
        <v>294.60000000000002</v>
      </c>
      <c r="K54" s="103">
        <v>129.4</v>
      </c>
      <c r="L54" s="103">
        <v>56.7</v>
      </c>
      <c r="M54" s="103">
        <v>11.9</v>
      </c>
      <c r="N54" s="102">
        <f t="shared" ref="N54" si="4">SUM(B54:E54)</f>
        <v>152.39999999999998</v>
      </c>
      <c r="O54" s="102">
        <f t="shared" ref="O54" si="5">SUM(F54:J54)</f>
        <v>1099.3000000000002</v>
      </c>
      <c r="P54" s="102">
        <f t="shared" ref="P54" si="6">SUM(K54:M54)</f>
        <v>198.00000000000003</v>
      </c>
      <c r="Q54" s="102">
        <f t="shared" ref="Q54" si="7">SUM(B54:M54)</f>
        <v>1449.7000000000003</v>
      </c>
    </row>
    <row r="55" spans="1:33">
      <c r="B55" s="103">
        <f>AVERAGE(B5:B54)</f>
        <v>20.089999999999996</v>
      </c>
      <c r="C55" s="103">
        <f t="shared" ref="C55:Q55" si="8">AVERAGE(C5:C54)</f>
        <v>22.611999999999995</v>
      </c>
      <c r="D55" s="103">
        <f t="shared" si="8"/>
        <v>35.961999999999996</v>
      </c>
      <c r="E55" s="103">
        <f t="shared" si="8"/>
        <v>83.672000000000011</v>
      </c>
      <c r="F55" s="103">
        <f t="shared" si="8"/>
        <v>186.44400000000002</v>
      </c>
      <c r="G55" s="103">
        <f t="shared" si="8"/>
        <v>238.90799999999993</v>
      </c>
      <c r="H55" s="103">
        <f t="shared" si="8"/>
        <v>202.45599999999996</v>
      </c>
      <c r="I55" s="103">
        <f t="shared" si="8"/>
        <v>158.886</v>
      </c>
      <c r="J55" s="103">
        <f t="shared" si="8"/>
        <v>104.97399999999999</v>
      </c>
      <c r="K55" s="103">
        <f t="shared" si="8"/>
        <v>94.009999999999977</v>
      </c>
      <c r="L55" s="103">
        <f t="shared" si="8"/>
        <v>39.820000000000007</v>
      </c>
      <c r="M55" s="103">
        <f t="shared" si="8"/>
        <v>18.164000000000001</v>
      </c>
      <c r="N55" s="103">
        <f t="shared" si="8"/>
        <v>162.33600000000001</v>
      </c>
      <c r="O55" s="103">
        <f t="shared" si="8"/>
        <v>891.66800000000001</v>
      </c>
      <c r="P55" s="103">
        <f t="shared" si="8"/>
        <v>151.99399999999997</v>
      </c>
      <c r="Q55" s="103">
        <f t="shared" si="8"/>
        <v>1205.9980000000003</v>
      </c>
    </row>
    <row r="56" spans="1:33" s="129" customFormat="1" ht="13.5">
      <c r="A56" s="129">
        <v>2016</v>
      </c>
      <c r="B56" s="130">
        <v>20.7</v>
      </c>
      <c r="C56" s="130">
        <v>4.7</v>
      </c>
      <c r="D56" s="130">
        <v>25.9</v>
      </c>
      <c r="E56" s="130">
        <v>112.5</v>
      </c>
      <c r="F56" s="130">
        <v>113.1</v>
      </c>
      <c r="G56" s="130">
        <v>293.89999999999998</v>
      </c>
      <c r="H56" s="130">
        <v>61.1</v>
      </c>
      <c r="I56" s="130">
        <v>229.1</v>
      </c>
      <c r="J56" s="130">
        <v>37.6</v>
      </c>
      <c r="K56" s="130">
        <v>90.2</v>
      </c>
      <c r="L56" s="130">
        <v>56</v>
      </c>
      <c r="M56" s="130">
        <v>10.6</v>
      </c>
      <c r="N56" s="129">
        <f>SUM(B56:E56)</f>
        <v>163.80000000000001</v>
      </c>
      <c r="O56" s="129">
        <f>SUM(F56:J56)</f>
        <v>734.80000000000007</v>
      </c>
      <c r="P56" s="129">
        <f>SUM(K56:M56)</f>
        <v>156.79999999999998</v>
      </c>
      <c r="Q56" s="129">
        <f>SUM(B56:M56)</f>
        <v>1055.4000000000001</v>
      </c>
      <c r="R56" s="129" t="e">
        <f t="shared" ref="R56:AG56" si="9">100*(B56-B4)/B4</f>
        <v>#NAME?</v>
      </c>
      <c r="S56" s="129" t="e">
        <f t="shared" si="9"/>
        <v>#NAME?</v>
      </c>
      <c r="T56" s="129" t="e">
        <f t="shared" si="9"/>
        <v>#NAME?</v>
      </c>
      <c r="U56" s="129" t="e">
        <f t="shared" si="9"/>
        <v>#NAME?</v>
      </c>
      <c r="V56" s="129" t="e">
        <f t="shared" si="9"/>
        <v>#NAME?</v>
      </c>
      <c r="W56" s="129" t="e">
        <f t="shared" si="9"/>
        <v>#NAME?</v>
      </c>
      <c r="X56" s="129" t="e">
        <f t="shared" si="9"/>
        <v>#NAME?</v>
      </c>
      <c r="Y56" s="129" t="e">
        <f t="shared" si="9"/>
        <v>#NAME?</v>
      </c>
      <c r="Z56" s="129" t="e">
        <f t="shared" si="9"/>
        <v>#NAME?</v>
      </c>
      <c r="AA56" s="129" t="e">
        <f t="shared" si="9"/>
        <v>#NAME?</v>
      </c>
      <c r="AB56" s="129" t="e">
        <f t="shared" si="9"/>
        <v>#NAME?</v>
      </c>
      <c r="AC56" s="129" t="e">
        <f t="shared" si="9"/>
        <v>#NAME?</v>
      </c>
      <c r="AD56" s="129" t="e">
        <f t="shared" si="9"/>
        <v>#NAME?</v>
      </c>
      <c r="AE56" s="129" t="e">
        <f t="shared" si="9"/>
        <v>#NAME?</v>
      </c>
      <c r="AF56" s="129" t="e">
        <f t="shared" si="9"/>
        <v>#NAME?</v>
      </c>
      <c r="AG56" s="129" t="e">
        <f t="shared" si="9"/>
        <v>#NAME?</v>
      </c>
    </row>
  </sheetData>
  <mergeCells count="6">
    <mergeCell ref="A1:A3"/>
    <mergeCell ref="B1:Q1"/>
    <mergeCell ref="B2:M2"/>
    <mergeCell ref="R1:AG1"/>
    <mergeCell ref="N2:Q2"/>
    <mergeCell ref="R2:AG2"/>
  </mergeCells>
  <phoneticPr fontId="2" type="noConversion"/>
  <pageMargins left="0.75" right="0.75" top="1" bottom="1" header="0.5" footer="0.5"/>
  <pageSetup paperSize="9" orientation="portrait" horizontalDpi="200" verticalDpi="200" copies="0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7">
    <tabColor rgb="FFC00000"/>
  </sheetPr>
  <dimension ref="A1:AG37"/>
  <sheetViews>
    <sheetView zoomScale="85" zoomScaleNormal="85" workbookViewId="0">
      <pane ySplit="5" topLeftCell="A6" activePane="bottomLeft" state="frozen"/>
      <selection pane="bottomLeft" activeCell="M41" sqref="M41"/>
    </sheetView>
  </sheetViews>
  <sheetFormatPr defaultRowHeight="12"/>
  <cols>
    <col min="1" max="51" width="7.125" style="102" customWidth="1"/>
    <col min="52" max="16384" width="9" style="102"/>
  </cols>
  <sheetData>
    <row r="1" spans="1:33" s="118" customFormat="1" ht="14.25" customHeight="1">
      <c r="A1" s="176" t="s">
        <v>53</v>
      </c>
      <c r="B1" s="176" t="s">
        <v>171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2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116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32</v>
      </c>
      <c r="O2" s="176"/>
      <c r="P2" s="176"/>
      <c r="Q2" s="176"/>
      <c r="R2" s="176" t="s">
        <v>38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 ht="24">
      <c r="A3" s="176"/>
      <c r="B3" s="124" t="s">
        <v>149</v>
      </c>
      <c r="C3" s="124" t="s">
        <v>150</v>
      </c>
      <c r="D3" s="124" t="s">
        <v>9</v>
      </c>
      <c r="E3" s="124" t="s">
        <v>10</v>
      </c>
      <c r="F3" s="124" t="s">
        <v>11</v>
      </c>
      <c r="G3" s="124" t="s">
        <v>12</v>
      </c>
      <c r="H3" s="124" t="s">
        <v>13</v>
      </c>
      <c r="I3" s="124" t="s">
        <v>14</v>
      </c>
      <c r="J3" s="124" t="s">
        <v>15</v>
      </c>
      <c r="K3" s="124" t="s">
        <v>16</v>
      </c>
      <c r="L3" s="124" t="s">
        <v>17</v>
      </c>
      <c r="M3" s="124" t="s">
        <v>18</v>
      </c>
      <c r="N3" s="124" t="s">
        <v>145</v>
      </c>
      <c r="O3" s="124" t="s">
        <v>146</v>
      </c>
      <c r="P3" s="124" t="s">
        <v>147</v>
      </c>
      <c r="Q3" s="124" t="s">
        <v>148</v>
      </c>
      <c r="R3" s="124" t="s">
        <v>149</v>
      </c>
      <c r="S3" s="124" t="s">
        <v>150</v>
      </c>
      <c r="T3" s="124" t="s">
        <v>151</v>
      </c>
      <c r="U3" s="124" t="s">
        <v>152</v>
      </c>
      <c r="V3" s="124" t="s">
        <v>153</v>
      </c>
      <c r="W3" s="124" t="s">
        <v>154</v>
      </c>
      <c r="X3" s="124" t="s">
        <v>25</v>
      </c>
      <c r="Y3" s="124" t="s">
        <v>26</v>
      </c>
      <c r="Z3" s="124" t="s">
        <v>27</v>
      </c>
      <c r="AA3" s="124" t="s">
        <v>155</v>
      </c>
      <c r="AB3" s="124" t="s">
        <v>156</v>
      </c>
      <c r="AC3" s="124" t="s">
        <v>157</v>
      </c>
      <c r="AD3" s="124" t="s">
        <v>90</v>
      </c>
      <c r="AE3" s="124" t="s">
        <v>42</v>
      </c>
      <c r="AF3" s="124" t="s">
        <v>111</v>
      </c>
      <c r="AG3" s="124" t="s">
        <v>66</v>
      </c>
    </row>
    <row r="4" spans="1:33" s="118" customFormat="1">
      <c r="A4" s="150" t="s">
        <v>261</v>
      </c>
      <c r="B4" s="150">
        <f t="shared" ref="B4:Q4" si="0">AVERAGE(B5:B35)</f>
        <v>10.787096774193547</v>
      </c>
      <c r="C4" s="150">
        <f t="shared" si="0"/>
        <v>13.009677419354839</v>
      </c>
      <c r="D4" s="150">
        <f t="shared" si="0"/>
        <v>23.019354838709681</v>
      </c>
      <c r="E4" s="150">
        <f t="shared" si="0"/>
        <v>57.996774193548383</v>
      </c>
      <c r="F4" s="150">
        <f t="shared" si="0"/>
        <v>164.16451612903228</v>
      </c>
      <c r="G4" s="150">
        <f t="shared" si="0"/>
        <v>254.74838709677425</v>
      </c>
      <c r="H4" s="150">
        <f t="shared" si="0"/>
        <v>250.14193548387098</v>
      </c>
      <c r="I4" s="150">
        <f t="shared" si="0"/>
        <v>180.75806451612902</v>
      </c>
      <c r="J4" s="150">
        <f t="shared" si="0"/>
        <v>94.335483870967721</v>
      </c>
      <c r="K4" s="150">
        <f t="shared" si="0"/>
        <v>68.396774193548396</v>
      </c>
      <c r="L4" s="150">
        <f t="shared" si="0"/>
        <v>26.558064516129033</v>
      </c>
      <c r="M4" s="150">
        <f t="shared" si="0"/>
        <v>8.683870967741937</v>
      </c>
      <c r="N4" s="150">
        <f t="shared" si="0"/>
        <v>104.81290322580645</v>
      </c>
      <c r="O4" s="150">
        <f t="shared" si="0"/>
        <v>944.14838709677406</v>
      </c>
      <c r="P4" s="150">
        <f t="shared" si="0"/>
        <v>103.63870967741933</v>
      </c>
      <c r="Q4" s="150">
        <f t="shared" si="0"/>
        <v>1152.5999999999997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1980</v>
      </c>
      <c r="B5" s="102">
        <v>0</v>
      </c>
      <c r="C5" s="102">
        <v>5.3</v>
      </c>
      <c r="D5" s="102">
        <v>18.8</v>
      </c>
      <c r="E5" s="102">
        <v>45.3</v>
      </c>
      <c r="F5" s="102">
        <v>227.2</v>
      </c>
      <c r="G5" s="102">
        <v>182.2</v>
      </c>
      <c r="H5" s="102">
        <v>142.19999999999999</v>
      </c>
      <c r="I5" s="102">
        <v>215.3</v>
      </c>
      <c r="J5" s="102">
        <v>60.9</v>
      </c>
      <c r="K5" s="102">
        <v>68.2</v>
      </c>
      <c r="L5" s="102">
        <v>51</v>
      </c>
      <c r="M5" s="102">
        <v>32.9</v>
      </c>
      <c r="N5" s="102">
        <f>SUM(B5:E5)</f>
        <v>69.400000000000006</v>
      </c>
      <c r="O5" s="102">
        <f>SUM(F5:J5)</f>
        <v>827.79999999999984</v>
      </c>
      <c r="P5" s="102">
        <f>SUM(K5:M5)</f>
        <v>152.1</v>
      </c>
      <c r="Q5" s="102">
        <f>SUM(B5:M5)</f>
        <v>1049.3</v>
      </c>
    </row>
    <row r="6" spans="1:33">
      <c r="A6" s="102">
        <v>1981</v>
      </c>
      <c r="B6" s="102">
        <v>3</v>
      </c>
      <c r="C6" s="102">
        <v>4.4000000000000004</v>
      </c>
      <c r="D6" s="102">
        <v>7.6</v>
      </c>
      <c r="E6" s="102">
        <v>26.4</v>
      </c>
      <c r="F6" s="102">
        <v>140.6</v>
      </c>
      <c r="G6" s="102">
        <v>273</v>
      </c>
      <c r="H6" s="102">
        <v>170</v>
      </c>
      <c r="I6" s="102">
        <v>108</v>
      </c>
      <c r="J6" s="102">
        <v>123.6</v>
      </c>
      <c r="K6" s="102">
        <v>36.299999999999997</v>
      </c>
      <c r="L6" s="102">
        <v>55.6</v>
      </c>
      <c r="M6" s="102">
        <v>3.1</v>
      </c>
      <c r="N6" s="102">
        <f t="shared" ref="N6:N36" si="1">SUM(B6:E6)</f>
        <v>41.4</v>
      </c>
      <c r="O6" s="102">
        <f t="shared" ref="O6:O36" si="2">SUM(F6:J6)</f>
        <v>815.2</v>
      </c>
      <c r="P6" s="102">
        <f t="shared" ref="P6:P36" si="3">SUM(K6:M6)</f>
        <v>95</v>
      </c>
      <c r="Q6" s="102">
        <f t="shared" ref="Q6:Q36" si="4">SUM(B6:M6)</f>
        <v>951.6</v>
      </c>
    </row>
    <row r="7" spans="1:33">
      <c r="A7" s="102">
        <v>1982</v>
      </c>
      <c r="B7" s="102">
        <v>5.5</v>
      </c>
      <c r="C7" s="102">
        <v>67.7</v>
      </c>
      <c r="D7" s="102">
        <v>11.5</v>
      </c>
      <c r="E7" s="102">
        <v>112.4</v>
      </c>
      <c r="F7" s="102">
        <v>300.3</v>
      </c>
      <c r="G7" s="102">
        <v>193.3</v>
      </c>
      <c r="H7" s="102">
        <v>155.1</v>
      </c>
      <c r="I7" s="102">
        <v>88.9</v>
      </c>
      <c r="J7" s="102">
        <v>203.4</v>
      </c>
      <c r="K7" s="102">
        <v>81.099999999999994</v>
      </c>
      <c r="L7" s="102">
        <v>26.3</v>
      </c>
      <c r="M7" s="102">
        <v>1</v>
      </c>
      <c r="N7" s="102">
        <f t="shared" si="1"/>
        <v>197.10000000000002</v>
      </c>
      <c r="O7" s="102">
        <f t="shared" si="2"/>
        <v>941</v>
      </c>
      <c r="P7" s="102">
        <f t="shared" si="3"/>
        <v>108.39999999999999</v>
      </c>
      <c r="Q7" s="102">
        <f t="shared" si="4"/>
        <v>1246.5</v>
      </c>
    </row>
    <row r="8" spans="1:33">
      <c r="A8" s="102">
        <v>1983</v>
      </c>
      <c r="B8" s="102">
        <v>21.2</v>
      </c>
      <c r="C8" s="102">
        <v>26</v>
      </c>
      <c r="D8" s="102">
        <v>30.8</v>
      </c>
      <c r="E8" s="102">
        <v>14.1</v>
      </c>
      <c r="F8" s="102">
        <v>293.60000000000002</v>
      </c>
      <c r="G8" s="102">
        <v>146.4</v>
      </c>
      <c r="H8" s="102">
        <v>280.2</v>
      </c>
      <c r="I8" s="102">
        <v>334.9</v>
      </c>
      <c r="J8" s="102">
        <v>116.3</v>
      </c>
      <c r="K8" s="102">
        <v>71.400000000000006</v>
      </c>
      <c r="L8" s="102">
        <v>54.3</v>
      </c>
      <c r="M8" s="102">
        <v>15</v>
      </c>
      <c r="N8" s="102">
        <f t="shared" si="1"/>
        <v>92.1</v>
      </c>
      <c r="O8" s="102">
        <f t="shared" si="2"/>
        <v>1171.3999999999999</v>
      </c>
      <c r="P8" s="102">
        <f t="shared" si="3"/>
        <v>140.69999999999999</v>
      </c>
      <c r="Q8" s="102">
        <f t="shared" si="4"/>
        <v>1404.1999999999998</v>
      </c>
    </row>
    <row r="9" spans="1:33">
      <c r="A9" s="102">
        <v>1984</v>
      </c>
      <c r="B9" s="102">
        <v>7.9</v>
      </c>
      <c r="C9" s="102">
        <v>0.5</v>
      </c>
      <c r="D9" s="102">
        <v>14.8</v>
      </c>
      <c r="E9" s="102">
        <v>49.7</v>
      </c>
      <c r="F9" s="102">
        <v>219.6</v>
      </c>
      <c r="G9" s="102">
        <v>184.8</v>
      </c>
      <c r="H9" s="102">
        <v>56.6</v>
      </c>
      <c r="I9" s="102">
        <v>131.6</v>
      </c>
      <c r="J9" s="102">
        <v>78.3</v>
      </c>
      <c r="K9" s="102">
        <v>40.200000000000003</v>
      </c>
      <c r="L9" s="102">
        <v>5.5</v>
      </c>
      <c r="M9" s="102">
        <v>7.1</v>
      </c>
      <c r="N9" s="102">
        <f t="shared" si="1"/>
        <v>72.900000000000006</v>
      </c>
      <c r="O9" s="102">
        <f t="shared" si="2"/>
        <v>670.9</v>
      </c>
      <c r="P9" s="102">
        <f t="shared" si="3"/>
        <v>52.800000000000004</v>
      </c>
      <c r="Q9" s="102">
        <f t="shared" si="4"/>
        <v>796.6</v>
      </c>
    </row>
    <row r="10" spans="1:33">
      <c r="A10" s="102">
        <v>1985</v>
      </c>
      <c r="B10" s="102">
        <v>4.8</v>
      </c>
      <c r="C10" s="102">
        <v>5.4</v>
      </c>
      <c r="D10" s="102">
        <v>19.100000000000001</v>
      </c>
      <c r="E10" s="102">
        <v>118.4</v>
      </c>
      <c r="F10" s="102">
        <v>175.2</v>
      </c>
      <c r="G10" s="102">
        <v>210.2</v>
      </c>
      <c r="H10" s="102">
        <v>238.8</v>
      </c>
      <c r="I10" s="102">
        <v>152.1</v>
      </c>
      <c r="J10" s="102">
        <v>100.4</v>
      </c>
      <c r="K10" s="102">
        <v>47.1</v>
      </c>
      <c r="L10" s="102">
        <v>8.6</v>
      </c>
      <c r="M10" s="102">
        <v>7.4</v>
      </c>
      <c r="N10" s="102">
        <f t="shared" si="1"/>
        <v>147.70000000000002</v>
      </c>
      <c r="O10" s="102">
        <f t="shared" si="2"/>
        <v>876.7</v>
      </c>
      <c r="P10" s="102">
        <f t="shared" si="3"/>
        <v>63.1</v>
      </c>
      <c r="Q10" s="102">
        <f t="shared" si="4"/>
        <v>1087.4999999999998</v>
      </c>
    </row>
    <row r="11" spans="1:33">
      <c r="A11" s="102">
        <v>1986</v>
      </c>
      <c r="B11" s="102">
        <v>0.3</v>
      </c>
      <c r="C11" s="102">
        <v>1.4</v>
      </c>
      <c r="D11" s="102">
        <v>3.6</v>
      </c>
      <c r="E11" s="102">
        <v>73.599999999999994</v>
      </c>
      <c r="F11" s="102">
        <v>74.599999999999994</v>
      </c>
      <c r="G11" s="102">
        <v>188.7</v>
      </c>
      <c r="H11" s="102">
        <v>340.3</v>
      </c>
      <c r="I11" s="102">
        <v>269.10000000000002</v>
      </c>
      <c r="J11" s="102">
        <v>137.80000000000001</v>
      </c>
      <c r="K11" s="102">
        <v>75.599999999999994</v>
      </c>
      <c r="L11" s="102">
        <v>41.8</v>
      </c>
      <c r="M11" s="102">
        <v>3.9</v>
      </c>
      <c r="N11" s="102">
        <f t="shared" si="1"/>
        <v>78.899999999999991</v>
      </c>
      <c r="O11" s="102">
        <f t="shared" si="2"/>
        <v>1010.5</v>
      </c>
      <c r="P11" s="102">
        <f t="shared" si="3"/>
        <v>121.3</v>
      </c>
      <c r="Q11" s="102">
        <f t="shared" si="4"/>
        <v>1210.7</v>
      </c>
    </row>
    <row r="12" spans="1:33">
      <c r="A12" s="102">
        <v>1987</v>
      </c>
      <c r="B12" s="102">
        <v>8.4</v>
      </c>
      <c r="C12" s="102">
        <v>1.9</v>
      </c>
      <c r="D12" s="102">
        <v>3.9</v>
      </c>
      <c r="E12" s="102">
        <v>8.1</v>
      </c>
      <c r="F12" s="102">
        <v>237.6</v>
      </c>
      <c r="G12" s="102">
        <v>337.9</v>
      </c>
      <c r="H12" s="102">
        <v>296.39999999999998</v>
      </c>
      <c r="I12" s="102">
        <v>230.7</v>
      </c>
      <c r="J12" s="102">
        <v>61.3</v>
      </c>
      <c r="K12" s="102">
        <v>33.200000000000003</v>
      </c>
      <c r="L12" s="102">
        <v>44.6</v>
      </c>
      <c r="M12" s="102">
        <v>5.8</v>
      </c>
      <c r="N12" s="102">
        <f t="shared" si="1"/>
        <v>22.3</v>
      </c>
      <c r="O12" s="102">
        <f t="shared" si="2"/>
        <v>1163.8999999999999</v>
      </c>
      <c r="P12" s="102">
        <f t="shared" si="3"/>
        <v>83.600000000000009</v>
      </c>
      <c r="Q12" s="102">
        <f t="shared" si="4"/>
        <v>1269.7999999999997</v>
      </c>
    </row>
    <row r="13" spans="1:33">
      <c r="A13" s="102">
        <v>1988</v>
      </c>
      <c r="B13" s="102">
        <v>9</v>
      </c>
      <c r="C13" s="102">
        <v>9.5</v>
      </c>
      <c r="D13" s="102">
        <v>1.7</v>
      </c>
      <c r="E13" s="102">
        <v>50.7</v>
      </c>
      <c r="F13" s="102">
        <v>42.2</v>
      </c>
      <c r="G13" s="102">
        <v>225.7</v>
      </c>
      <c r="H13" s="102">
        <v>57.6</v>
      </c>
      <c r="I13" s="102">
        <v>312.7</v>
      </c>
      <c r="J13" s="102">
        <v>129.1</v>
      </c>
      <c r="K13" s="102">
        <v>23</v>
      </c>
      <c r="L13" s="102">
        <v>3.2</v>
      </c>
      <c r="M13" s="102">
        <v>9.3000000000000007</v>
      </c>
      <c r="N13" s="102">
        <f t="shared" si="1"/>
        <v>70.900000000000006</v>
      </c>
      <c r="O13" s="102">
        <f t="shared" si="2"/>
        <v>767.30000000000007</v>
      </c>
      <c r="P13" s="102">
        <f t="shared" si="3"/>
        <v>35.5</v>
      </c>
      <c r="Q13" s="102">
        <f t="shared" si="4"/>
        <v>873.7</v>
      </c>
    </row>
    <row r="14" spans="1:33">
      <c r="A14" s="102">
        <v>1989</v>
      </c>
      <c r="B14" s="102">
        <v>3.1</v>
      </c>
      <c r="C14" s="102">
        <v>13.4</v>
      </c>
      <c r="D14" s="102">
        <v>54.7</v>
      </c>
      <c r="E14" s="102">
        <v>47</v>
      </c>
      <c r="F14" s="102">
        <v>47.4</v>
      </c>
      <c r="G14" s="102">
        <v>169.7</v>
      </c>
      <c r="H14" s="102">
        <v>121.3</v>
      </c>
      <c r="I14" s="102">
        <v>73.900000000000006</v>
      </c>
      <c r="J14" s="102">
        <v>96.5</v>
      </c>
      <c r="K14" s="102">
        <v>55.4</v>
      </c>
      <c r="L14" s="102">
        <v>2.4</v>
      </c>
      <c r="M14" s="102">
        <v>11.4</v>
      </c>
      <c r="N14" s="102">
        <f t="shared" si="1"/>
        <v>118.2</v>
      </c>
      <c r="O14" s="102">
        <f t="shared" si="2"/>
        <v>508.79999999999995</v>
      </c>
      <c r="P14" s="102">
        <f t="shared" si="3"/>
        <v>69.2</v>
      </c>
      <c r="Q14" s="102">
        <f t="shared" si="4"/>
        <v>696.19999999999993</v>
      </c>
    </row>
    <row r="15" spans="1:33">
      <c r="A15" s="102">
        <v>1990</v>
      </c>
      <c r="B15" s="102">
        <v>2.5</v>
      </c>
      <c r="C15" s="102">
        <v>18</v>
      </c>
      <c r="D15" s="102">
        <v>57.2</v>
      </c>
      <c r="E15" s="102">
        <v>31</v>
      </c>
      <c r="F15" s="102">
        <v>226.7</v>
      </c>
      <c r="G15" s="102">
        <v>316.10000000000002</v>
      </c>
      <c r="H15" s="102">
        <v>251.4</v>
      </c>
      <c r="I15" s="102">
        <v>43.4</v>
      </c>
      <c r="J15" s="102">
        <v>74.2</v>
      </c>
      <c r="K15" s="102">
        <v>39.6</v>
      </c>
      <c r="L15" s="102">
        <v>31</v>
      </c>
      <c r="M15" s="102">
        <v>2.2999999999999998</v>
      </c>
      <c r="N15" s="102">
        <f t="shared" si="1"/>
        <v>108.7</v>
      </c>
      <c r="O15" s="102">
        <f t="shared" si="2"/>
        <v>911.8</v>
      </c>
      <c r="P15" s="102">
        <f t="shared" si="3"/>
        <v>72.899999999999991</v>
      </c>
      <c r="Q15" s="102">
        <f t="shared" si="4"/>
        <v>1093.3999999999999</v>
      </c>
    </row>
    <row r="16" spans="1:33">
      <c r="A16" s="102">
        <v>1991</v>
      </c>
      <c r="B16" s="102">
        <v>33.6</v>
      </c>
      <c r="C16" s="102">
        <v>1.9</v>
      </c>
      <c r="D16" s="102">
        <v>6.6</v>
      </c>
      <c r="E16" s="102">
        <v>42.4</v>
      </c>
      <c r="F16" s="102">
        <v>153.1</v>
      </c>
      <c r="G16" s="102">
        <v>395.4</v>
      </c>
      <c r="H16" s="102">
        <v>422</v>
      </c>
      <c r="I16" s="102">
        <v>283.10000000000002</v>
      </c>
      <c r="J16" s="102">
        <v>82.9</v>
      </c>
      <c r="K16" s="102">
        <v>37.4</v>
      </c>
      <c r="L16" s="102">
        <v>51.7</v>
      </c>
      <c r="M16" s="102">
        <v>11.6</v>
      </c>
      <c r="N16" s="102">
        <f t="shared" si="1"/>
        <v>84.5</v>
      </c>
      <c r="O16" s="102">
        <f t="shared" si="2"/>
        <v>1336.5</v>
      </c>
      <c r="P16" s="102">
        <f t="shared" si="3"/>
        <v>100.69999999999999</v>
      </c>
      <c r="Q16" s="102">
        <f t="shared" si="4"/>
        <v>1521.7</v>
      </c>
    </row>
    <row r="17" spans="1:17">
      <c r="A17" s="102">
        <v>1992</v>
      </c>
      <c r="B17" s="102">
        <v>30.9</v>
      </c>
      <c r="C17" s="102">
        <v>27</v>
      </c>
      <c r="D17" s="102">
        <v>17.7</v>
      </c>
      <c r="E17" s="102">
        <v>68.400000000000006</v>
      </c>
      <c r="F17" s="102">
        <v>208.5</v>
      </c>
      <c r="G17" s="102">
        <v>175.3</v>
      </c>
      <c r="H17" s="102">
        <v>188.4</v>
      </c>
      <c r="I17" s="102">
        <v>58.5</v>
      </c>
      <c r="J17" s="102">
        <v>68.599999999999994</v>
      </c>
      <c r="K17" s="102">
        <v>131.30000000000001</v>
      </c>
      <c r="L17" s="102">
        <v>9.4</v>
      </c>
      <c r="M17" s="102">
        <v>6.3</v>
      </c>
      <c r="N17" s="102">
        <f t="shared" si="1"/>
        <v>144</v>
      </c>
      <c r="O17" s="102">
        <f t="shared" si="2"/>
        <v>699.30000000000007</v>
      </c>
      <c r="P17" s="102">
        <f t="shared" si="3"/>
        <v>147.00000000000003</v>
      </c>
      <c r="Q17" s="102">
        <f t="shared" si="4"/>
        <v>990.29999999999984</v>
      </c>
    </row>
    <row r="18" spans="1:17">
      <c r="A18" s="102">
        <v>1993</v>
      </c>
      <c r="B18" s="102">
        <v>11.7</v>
      </c>
      <c r="C18" s="102">
        <v>31.2</v>
      </c>
      <c r="D18" s="102">
        <v>2.2000000000000002</v>
      </c>
      <c r="E18" s="102">
        <v>26.8</v>
      </c>
      <c r="F18" s="102">
        <v>141.30000000000001</v>
      </c>
      <c r="G18" s="102">
        <v>212.1</v>
      </c>
      <c r="H18" s="102">
        <v>278.89999999999998</v>
      </c>
      <c r="I18" s="102">
        <v>183.3</v>
      </c>
      <c r="J18" s="102">
        <v>151.80000000000001</v>
      </c>
      <c r="K18" s="102">
        <v>14.8</v>
      </c>
      <c r="L18" s="102">
        <v>45.6</v>
      </c>
      <c r="M18" s="102">
        <v>8.6</v>
      </c>
      <c r="N18" s="102">
        <f t="shared" si="1"/>
        <v>71.900000000000006</v>
      </c>
      <c r="O18" s="102">
        <f t="shared" si="2"/>
        <v>967.39999999999986</v>
      </c>
      <c r="P18" s="102">
        <f t="shared" si="3"/>
        <v>69</v>
      </c>
      <c r="Q18" s="102">
        <f t="shared" si="4"/>
        <v>1108.2999999999997</v>
      </c>
    </row>
    <row r="19" spans="1:17">
      <c r="A19" s="102">
        <v>1994</v>
      </c>
      <c r="B19" s="102">
        <v>2</v>
      </c>
      <c r="C19" s="102">
        <v>7.3</v>
      </c>
      <c r="D19" s="102">
        <v>53.3</v>
      </c>
      <c r="E19" s="102">
        <v>10.1</v>
      </c>
      <c r="F19" s="102">
        <v>258.8</v>
      </c>
      <c r="G19" s="102">
        <v>294.89999999999998</v>
      </c>
      <c r="H19" s="102">
        <v>194.9</v>
      </c>
      <c r="I19" s="102">
        <v>100.8</v>
      </c>
      <c r="J19" s="102">
        <v>96.5</v>
      </c>
      <c r="K19" s="102">
        <v>91.3</v>
      </c>
      <c r="L19" s="102">
        <v>61.1</v>
      </c>
      <c r="M19" s="102">
        <v>10.5</v>
      </c>
      <c r="N19" s="102">
        <f t="shared" si="1"/>
        <v>72.699999999999989</v>
      </c>
      <c r="O19" s="102">
        <f t="shared" si="2"/>
        <v>945.9</v>
      </c>
      <c r="P19" s="102">
        <f t="shared" si="3"/>
        <v>162.9</v>
      </c>
      <c r="Q19" s="102">
        <f t="shared" si="4"/>
        <v>1181.4999999999998</v>
      </c>
    </row>
    <row r="20" spans="1:17">
      <c r="A20" s="102">
        <v>1995</v>
      </c>
      <c r="B20" s="102">
        <v>10.1</v>
      </c>
      <c r="C20" s="102">
        <v>27.4</v>
      </c>
      <c r="D20" s="102">
        <v>6.1</v>
      </c>
      <c r="E20" s="102">
        <v>20.6</v>
      </c>
      <c r="F20" s="102">
        <v>143.5</v>
      </c>
      <c r="G20" s="102">
        <v>206.5</v>
      </c>
      <c r="H20" s="102">
        <v>374.5</v>
      </c>
      <c r="I20" s="102">
        <v>250.3</v>
      </c>
      <c r="J20" s="102">
        <v>173.1</v>
      </c>
      <c r="K20" s="102">
        <v>120.1</v>
      </c>
      <c r="L20" s="102">
        <v>36.9</v>
      </c>
      <c r="M20" s="102">
        <v>1.2</v>
      </c>
      <c r="N20" s="102">
        <f t="shared" si="1"/>
        <v>64.2</v>
      </c>
      <c r="O20" s="102">
        <f t="shared" si="2"/>
        <v>1147.8999999999999</v>
      </c>
      <c r="P20" s="102">
        <f t="shared" si="3"/>
        <v>158.19999999999999</v>
      </c>
      <c r="Q20" s="102">
        <f t="shared" si="4"/>
        <v>1370.3</v>
      </c>
    </row>
    <row r="21" spans="1:17">
      <c r="A21" s="102">
        <v>1996</v>
      </c>
      <c r="B21" s="102">
        <v>0.7</v>
      </c>
      <c r="C21" s="102">
        <v>1.2</v>
      </c>
      <c r="D21" s="102">
        <v>44.3</v>
      </c>
      <c r="E21" s="102">
        <v>75.900000000000006</v>
      </c>
      <c r="F21" s="102">
        <v>172</v>
      </c>
      <c r="G21" s="102">
        <v>273.3</v>
      </c>
      <c r="H21" s="102">
        <v>405.8</v>
      </c>
      <c r="I21" s="102">
        <v>151.5</v>
      </c>
      <c r="J21" s="102">
        <v>71.8</v>
      </c>
      <c r="K21" s="102">
        <v>33.299999999999997</v>
      </c>
      <c r="L21" s="102">
        <v>58</v>
      </c>
      <c r="M21" s="102">
        <v>4.9000000000000004</v>
      </c>
      <c r="N21" s="102">
        <f t="shared" si="1"/>
        <v>122.1</v>
      </c>
      <c r="O21" s="102">
        <f t="shared" si="2"/>
        <v>1074.4000000000001</v>
      </c>
      <c r="P21" s="102">
        <f t="shared" si="3"/>
        <v>96.2</v>
      </c>
      <c r="Q21" s="102">
        <f t="shared" si="4"/>
        <v>1292.7</v>
      </c>
    </row>
    <row r="22" spans="1:17">
      <c r="A22" s="102">
        <v>1997</v>
      </c>
      <c r="B22" s="102">
        <v>22.3</v>
      </c>
      <c r="C22" s="102">
        <v>36.799999999999997</v>
      </c>
      <c r="D22" s="102">
        <v>28.5</v>
      </c>
      <c r="E22" s="102">
        <v>103.9</v>
      </c>
      <c r="F22" s="102">
        <v>95.3</v>
      </c>
      <c r="G22" s="102">
        <v>343</v>
      </c>
      <c r="H22" s="102">
        <v>289.39999999999998</v>
      </c>
      <c r="I22" s="102">
        <v>105.2</v>
      </c>
      <c r="J22" s="102">
        <v>152.9</v>
      </c>
      <c r="K22" s="102">
        <v>90.3</v>
      </c>
      <c r="L22" s="102">
        <v>4</v>
      </c>
      <c r="M22" s="102">
        <v>0.8</v>
      </c>
      <c r="N22" s="102">
        <f t="shared" si="1"/>
        <v>191.5</v>
      </c>
      <c r="O22" s="102">
        <f t="shared" si="2"/>
        <v>985.80000000000007</v>
      </c>
      <c r="P22" s="102">
        <f t="shared" si="3"/>
        <v>95.1</v>
      </c>
      <c r="Q22" s="102">
        <f t="shared" si="4"/>
        <v>1272.3999999999999</v>
      </c>
    </row>
    <row r="23" spans="1:17">
      <c r="A23" s="102">
        <v>1998</v>
      </c>
      <c r="B23" s="102">
        <v>14.2</v>
      </c>
      <c r="C23" s="102">
        <v>8.5</v>
      </c>
      <c r="D23" s="102">
        <v>3.5</v>
      </c>
      <c r="E23" s="102">
        <v>117.9</v>
      </c>
      <c r="F23" s="102">
        <v>151</v>
      </c>
      <c r="G23" s="102">
        <v>193</v>
      </c>
      <c r="H23" s="102">
        <v>300.10000000000002</v>
      </c>
      <c r="I23" s="102">
        <v>367.7</v>
      </c>
      <c r="J23" s="102">
        <v>17.5</v>
      </c>
      <c r="K23" s="102">
        <v>127</v>
      </c>
      <c r="L23" s="102">
        <v>17.899999999999999</v>
      </c>
      <c r="M23" s="102">
        <v>7.3</v>
      </c>
      <c r="N23" s="102">
        <f t="shared" si="1"/>
        <v>144.1</v>
      </c>
      <c r="O23" s="102">
        <f t="shared" si="2"/>
        <v>1029.3</v>
      </c>
      <c r="P23" s="102">
        <f t="shared" si="3"/>
        <v>152.20000000000002</v>
      </c>
      <c r="Q23" s="102">
        <f t="shared" si="4"/>
        <v>1325.6000000000001</v>
      </c>
    </row>
    <row r="24" spans="1:17">
      <c r="A24" s="102">
        <v>1999</v>
      </c>
      <c r="B24" s="102">
        <v>11.2</v>
      </c>
      <c r="C24" s="102">
        <v>1.3</v>
      </c>
      <c r="D24" s="102">
        <v>18.399999999999999</v>
      </c>
      <c r="E24" s="102">
        <v>127.2</v>
      </c>
      <c r="F24" s="102">
        <v>88.3</v>
      </c>
      <c r="G24" s="102">
        <v>278.2</v>
      </c>
      <c r="H24" s="102">
        <v>254.2</v>
      </c>
      <c r="I24" s="102">
        <v>149</v>
      </c>
      <c r="J24" s="102">
        <v>27</v>
      </c>
      <c r="K24" s="102">
        <v>100.3</v>
      </c>
      <c r="L24" s="102">
        <v>35.700000000000003</v>
      </c>
      <c r="M24" s="102">
        <v>1.7</v>
      </c>
      <c r="N24" s="102">
        <f t="shared" si="1"/>
        <v>158.1</v>
      </c>
      <c r="O24" s="102">
        <f t="shared" si="2"/>
        <v>796.7</v>
      </c>
      <c r="P24" s="102">
        <f t="shared" si="3"/>
        <v>137.69999999999999</v>
      </c>
      <c r="Q24" s="102">
        <f t="shared" si="4"/>
        <v>1092.5</v>
      </c>
    </row>
    <row r="25" spans="1:17">
      <c r="A25" s="102">
        <v>2000</v>
      </c>
      <c r="B25" s="102">
        <v>8.3000000000000007</v>
      </c>
      <c r="C25" s="102">
        <v>10.6</v>
      </c>
      <c r="D25" s="102">
        <v>36.6</v>
      </c>
      <c r="E25" s="102">
        <v>65.5</v>
      </c>
      <c r="F25" s="102">
        <v>131.1</v>
      </c>
      <c r="G25" s="102">
        <v>429.6</v>
      </c>
      <c r="H25" s="102">
        <v>340.7</v>
      </c>
      <c r="I25" s="102">
        <v>273.8</v>
      </c>
      <c r="J25" s="102">
        <v>40.299999999999997</v>
      </c>
      <c r="K25" s="102">
        <v>48.2</v>
      </c>
      <c r="L25" s="102">
        <v>33</v>
      </c>
      <c r="M25" s="102">
        <v>7</v>
      </c>
      <c r="N25" s="102">
        <f t="shared" si="1"/>
        <v>121</v>
      </c>
      <c r="O25" s="102">
        <f t="shared" si="2"/>
        <v>1215.5</v>
      </c>
      <c r="P25" s="102">
        <f t="shared" si="3"/>
        <v>88.2</v>
      </c>
      <c r="Q25" s="102">
        <f t="shared" si="4"/>
        <v>1424.7</v>
      </c>
    </row>
    <row r="26" spans="1:17">
      <c r="A26" s="102">
        <v>2001</v>
      </c>
      <c r="B26" s="102">
        <v>0.2</v>
      </c>
      <c r="C26" s="102">
        <v>6.1</v>
      </c>
      <c r="D26" s="102">
        <v>19.600000000000001</v>
      </c>
      <c r="E26" s="102">
        <v>4.5999999999999996</v>
      </c>
      <c r="F26" s="102">
        <v>207</v>
      </c>
      <c r="G26" s="102">
        <v>336.5</v>
      </c>
      <c r="H26" s="102">
        <v>255.8</v>
      </c>
      <c r="I26" s="102">
        <v>219.1</v>
      </c>
      <c r="J26" s="102">
        <v>87.1</v>
      </c>
      <c r="K26" s="102">
        <v>122.1</v>
      </c>
      <c r="L26" s="102">
        <v>6.9</v>
      </c>
      <c r="M26" s="102">
        <v>0.7</v>
      </c>
      <c r="N26" s="102">
        <f t="shared" si="1"/>
        <v>30.5</v>
      </c>
      <c r="O26" s="102">
        <f t="shared" si="2"/>
        <v>1105.5</v>
      </c>
      <c r="P26" s="102">
        <f t="shared" si="3"/>
        <v>129.69999999999999</v>
      </c>
      <c r="Q26" s="102">
        <f t="shared" si="4"/>
        <v>1265.6999999999998</v>
      </c>
    </row>
    <row r="27" spans="1:17">
      <c r="A27" s="102">
        <v>2002</v>
      </c>
      <c r="B27" s="102">
        <v>10.3</v>
      </c>
      <c r="C27" s="102">
        <v>69.2</v>
      </c>
      <c r="D27" s="102">
        <v>37.9</v>
      </c>
      <c r="E27" s="102">
        <v>44.6</v>
      </c>
      <c r="F27" s="102">
        <v>216.9</v>
      </c>
      <c r="G27" s="102">
        <v>133.1</v>
      </c>
      <c r="H27" s="102">
        <v>148.5</v>
      </c>
      <c r="I27" s="102">
        <v>158.30000000000001</v>
      </c>
      <c r="J27" s="102">
        <v>16.2</v>
      </c>
      <c r="K27" s="102">
        <v>92</v>
      </c>
      <c r="L27" s="102">
        <v>2.6</v>
      </c>
      <c r="M27" s="102">
        <v>17.3</v>
      </c>
      <c r="N27" s="102">
        <f t="shared" si="1"/>
        <v>162</v>
      </c>
      <c r="O27" s="102">
        <f t="shared" si="2"/>
        <v>673</v>
      </c>
      <c r="P27" s="102">
        <f t="shared" si="3"/>
        <v>111.89999999999999</v>
      </c>
      <c r="Q27" s="102">
        <f t="shared" si="4"/>
        <v>946.9</v>
      </c>
    </row>
    <row r="28" spans="1:17">
      <c r="A28" s="102">
        <v>2003</v>
      </c>
      <c r="B28" s="102">
        <v>18.7</v>
      </c>
      <c r="C28" s="102">
        <v>0</v>
      </c>
      <c r="D28" s="102">
        <v>70.7</v>
      </c>
      <c r="E28" s="102">
        <v>157.30000000000001</v>
      </c>
      <c r="F28" s="102">
        <v>116.8</v>
      </c>
      <c r="G28" s="102">
        <v>242.1</v>
      </c>
      <c r="H28" s="102">
        <v>351.7</v>
      </c>
      <c r="I28" s="102">
        <v>94.2</v>
      </c>
      <c r="J28" s="102">
        <v>81.7</v>
      </c>
      <c r="K28" s="102">
        <v>31.1</v>
      </c>
      <c r="L28" s="102">
        <v>7</v>
      </c>
      <c r="M28" s="102">
        <v>29.3</v>
      </c>
      <c r="N28" s="102">
        <f t="shared" si="1"/>
        <v>246.70000000000002</v>
      </c>
      <c r="O28" s="102">
        <f t="shared" si="2"/>
        <v>886.5</v>
      </c>
      <c r="P28" s="102">
        <f t="shared" si="3"/>
        <v>67.400000000000006</v>
      </c>
      <c r="Q28" s="102">
        <f t="shared" si="4"/>
        <v>1200.5999999999999</v>
      </c>
    </row>
    <row r="29" spans="1:17">
      <c r="A29" s="102">
        <v>2004</v>
      </c>
      <c r="B29" s="103">
        <v>35.299999999999997</v>
      </c>
      <c r="C29" s="103">
        <v>4.5</v>
      </c>
      <c r="D29" s="103">
        <v>7.3</v>
      </c>
      <c r="E29" s="103">
        <v>54.5</v>
      </c>
      <c r="F29" s="103">
        <v>143.4</v>
      </c>
      <c r="G29" s="103">
        <v>71.5</v>
      </c>
      <c r="H29" s="103">
        <v>365.8</v>
      </c>
      <c r="I29" s="103">
        <v>183.4</v>
      </c>
      <c r="J29" s="103">
        <v>126.3</v>
      </c>
      <c r="K29" s="103">
        <v>23.2</v>
      </c>
      <c r="L29" s="103">
        <v>12.4</v>
      </c>
      <c r="M29" s="103">
        <v>9.4</v>
      </c>
      <c r="N29" s="102">
        <f t="shared" si="1"/>
        <v>101.6</v>
      </c>
      <c r="O29" s="102">
        <f t="shared" si="2"/>
        <v>890.4</v>
      </c>
      <c r="P29" s="102">
        <f t="shared" si="3"/>
        <v>45</v>
      </c>
      <c r="Q29" s="102">
        <f t="shared" si="4"/>
        <v>1037</v>
      </c>
    </row>
    <row r="30" spans="1:17">
      <c r="A30" s="102">
        <v>2005</v>
      </c>
      <c r="B30" s="103">
        <v>24.4</v>
      </c>
      <c r="C30" s="103">
        <v>0.6</v>
      </c>
      <c r="D30" s="103">
        <v>26.6</v>
      </c>
      <c r="E30" s="103">
        <v>67.400000000000006</v>
      </c>
      <c r="F30" s="103">
        <v>86.7</v>
      </c>
      <c r="G30" s="103">
        <v>305.60000000000002</v>
      </c>
      <c r="H30" s="103">
        <v>410.3</v>
      </c>
      <c r="I30" s="103">
        <v>207.2</v>
      </c>
      <c r="J30" s="103">
        <v>154.1</v>
      </c>
      <c r="K30" s="103">
        <v>77.2</v>
      </c>
      <c r="L30" s="103">
        <v>2.2000000000000002</v>
      </c>
      <c r="M30" s="103">
        <v>12.3</v>
      </c>
      <c r="N30" s="102">
        <f t="shared" si="1"/>
        <v>119</v>
      </c>
      <c r="O30" s="102">
        <f t="shared" si="2"/>
        <v>1163.8999999999999</v>
      </c>
      <c r="P30" s="102">
        <f t="shared" si="3"/>
        <v>91.7</v>
      </c>
      <c r="Q30" s="102">
        <f t="shared" si="4"/>
        <v>1374.6</v>
      </c>
    </row>
    <row r="31" spans="1:17">
      <c r="A31" s="102">
        <v>2006</v>
      </c>
      <c r="B31" s="102">
        <v>0</v>
      </c>
      <c r="C31" s="102">
        <v>11.7</v>
      </c>
      <c r="D31" s="102">
        <v>12.7</v>
      </c>
      <c r="E31" s="102">
        <v>20.100000000000001</v>
      </c>
      <c r="F31" s="102">
        <v>86.4</v>
      </c>
      <c r="G31" s="102">
        <v>268.3</v>
      </c>
      <c r="H31" s="102">
        <v>85</v>
      </c>
      <c r="I31" s="102">
        <v>173.8</v>
      </c>
      <c r="J31" s="102">
        <v>61.7</v>
      </c>
      <c r="K31" s="102">
        <v>191.4</v>
      </c>
      <c r="L31" s="102">
        <v>7.4</v>
      </c>
      <c r="M31" s="102">
        <v>3.5</v>
      </c>
      <c r="N31" s="102">
        <f t="shared" si="1"/>
        <v>44.5</v>
      </c>
      <c r="O31" s="102">
        <f t="shared" si="2"/>
        <v>675.2</v>
      </c>
      <c r="P31" s="102">
        <f t="shared" si="3"/>
        <v>202.3</v>
      </c>
      <c r="Q31" s="102">
        <f t="shared" si="4"/>
        <v>922</v>
      </c>
    </row>
    <row r="32" spans="1:17">
      <c r="A32" s="102">
        <v>2007</v>
      </c>
      <c r="B32" s="102">
        <v>23.5</v>
      </c>
      <c r="C32" s="102">
        <v>0.9</v>
      </c>
      <c r="D32" s="102">
        <v>7.6</v>
      </c>
      <c r="E32" s="102">
        <v>76.3</v>
      </c>
      <c r="F32" s="102">
        <v>189.4</v>
      </c>
      <c r="G32" s="102">
        <v>331.5</v>
      </c>
      <c r="H32" s="102">
        <v>312.10000000000002</v>
      </c>
      <c r="I32" s="102">
        <v>236.7</v>
      </c>
      <c r="J32" s="102">
        <v>88.9</v>
      </c>
      <c r="K32" s="102">
        <v>35.799999999999997</v>
      </c>
      <c r="L32" s="102">
        <v>2.7</v>
      </c>
      <c r="M32" s="102">
        <v>2.7</v>
      </c>
      <c r="N32" s="102">
        <f t="shared" si="1"/>
        <v>108.3</v>
      </c>
      <c r="O32" s="102">
        <f t="shared" si="2"/>
        <v>1158.6000000000001</v>
      </c>
      <c r="P32" s="102">
        <f t="shared" si="3"/>
        <v>41.2</v>
      </c>
      <c r="Q32" s="102">
        <f t="shared" si="4"/>
        <v>1308.1000000000001</v>
      </c>
    </row>
    <row r="33" spans="1:33">
      <c r="A33" s="102">
        <v>2008</v>
      </c>
      <c r="B33" s="102">
        <v>9.3000000000000007</v>
      </c>
      <c r="C33" s="102">
        <v>3.4</v>
      </c>
      <c r="D33" s="102">
        <v>55.6</v>
      </c>
      <c r="E33" s="102">
        <v>15.3</v>
      </c>
      <c r="F33" s="102">
        <v>342.1</v>
      </c>
      <c r="G33" s="102">
        <v>328.8</v>
      </c>
      <c r="H33" s="102">
        <v>265</v>
      </c>
      <c r="I33" s="102">
        <v>179.8</v>
      </c>
      <c r="J33" s="102">
        <v>68.900000000000006</v>
      </c>
      <c r="K33" s="102">
        <v>107.3</v>
      </c>
      <c r="L33" s="102">
        <v>82.7</v>
      </c>
      <c r="M33" s="102">
        <v>9.6</v>
      </c>
      <c r="N33" s="102">
        <f t="shared" si="1"/>
        <v>83.6</v>
      </c>
      <c r="O33" s="102">
        <f t="shared" si="2"/>
        <v>1184.6000000000001</v>
      </c>
      <c r="P33" s="102">
        <f t="shared" si="3"/>
        <v>199.6</v>
      </c>
      <c r="Q33" s="102">
        <f t="shared" si="4"/>
        <v>1467.8</v>
      </c>
    </row>
    <row r="34" spans="1:33">
      <c r="A34" s="102">
        <v>2009</v>
      </c>
      <c r="B34" s="102">
        <v>2</v>
      </c>
      <c r="C34" s="102">
        <v>0.2</v>
      </c>
      <c r="D34" s="102">
        <v>34.700000000000003</v>
      </c>
      <c r="E34" s="102">
        <v>55.9</v>
      </c>
      <c r="F34" s="102">
        <v>104</v>
      </c>
      <c r="G34" s="102">
        <v>271.60000000000002</v>
      </c>
      <c r="H34" s="102">
        <v>139.69999999999999</v>
      </c>
      <c r="I34" s="102">
        <v>169.3</v>
      </c>
      <c r="J34" s="102">
        <v>11.7</v>
      </c>
      <c r="K34" s="102">
        <v>28.8</v>
      </c>
      <c r="L34" s="102">
        <v>2.5</v>
      </c>
      <c r="M34" s="102">
        <v>2.2999999999999998</v>
      </c>
      <c r="N34" s="102">
        <f t="shared" si="1"/>
        <v>92.800000000000011</v>
      </c>
      <c r="O34" s="102">
        <f t="shared" si="2"/>
        <v>696.3</v>
      </c>
      <c r="P34" s="102">
        <f t="shared" si="3"/>
        <v>33.6</v>
      </c>
      <c r="Q34" s="102">
        <f t="shared" si="4"/>
        <v>822.7</v>
      </c>
    </row>
    <row r="35" spans="1:33">
      <c r="A35" s="102">
        <v>2010</v>
      </c>
      <c r="B35" s="102">
        <v>0</v>
      </c>
      <c r="C35" s="102">
        <v>0</v>
      </c>
      <c r="D35" s="102">
        <v>0</v>
      </c>
      <c r="E35" s="102">
        <v>66.5</v>
      </c>
      <c r="F35" s="102">
        <v>68.5</v>
      </c>
      <c r="G35" s="102">
        <v>378.9</v>
      </c>
      <c r="H35" s="102">
        <v>261.7</v>
      </c>
      <c r="I35" s="102">
        <v>97.9</v>
      </c>
      <c r="J35" s="102">
        <v>163.6</v>
      </c>
      <c r="K35" s="102">
        <v>46.3</v>
      </c>
      <c r="L35" s="102">
        <v>19.3</v>
      </c>
      <c r="M35" s="102">
        <v>23</v>
      </c>
      <c r="N35" s="102">
        <f t="shared" si="1"/>
        <v>66.5</v>
      </c>
      <c r="O35" s="102">
        <f t="shared" si="2"/>
        <v>970.59999999999991</v>
      </c>
      <c r="P35" s="102">
        <f t="shared" si="3"/>
        <v>88.6</v>
      </c>
      <c r="Q35" s="102">
        <f t="shared" si="4"/>
        <v>1125.6999999999998</v>
      </c>
    </row>
    <row r="36" spans="1:33">
      <c r="A36" s="102">
        <v>2011</v>
      </c>
      <c r="B36" s="102">
        <v>19.899999999999999</v>
      </c>
      <c r="C36" s="102">
        <v>0.7</v>
      </c>
      <c r="D36" s="102">
        <v>8.5</v>
      </c>
      <c r="E36" s="102">
        <v>12.8</v>
      </c>
      <c r="F36" s="102">
        <v>93.3</v>
      </c>
      <c r="G36" s="102">
        <v>217.3</v>
      </c>
      <c r="H36" s="102">
        <v>88.3</v>
      </c>
      <c r="I36" s="102">
        <v>53.4</v>
      </c>
      <c r="J36" s="102">
        <v>137.80000000000001</v>
      </c>
      <c r="K36" s="102">
        <v>38.1</v>
      </c>
      <c r="L36" s="102">
        <v>12.8</v>
      </c>
      <c r="M36" s="102">
        <v>7.8</v>
      </c>
      <c r="N36" s="102">
        <f t="shared" si="1"/>
        <v>41.9</v>
      </c>
      <c r="O36" s="102">
        <f t="shared" si="2"/>
        <v>590.1</v>
      </c>
      <c r="P36" s="102">
        <f t="shared" si="3"/>
        <v>58.7</v>
      </c>
      <c r="Q36" s="102">
        <f t="shared" si="4"/>
        <v>690.69999999999993</v>
      </c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</row>
    <row r="37" spans="1:33">
      <c r="A37" s="102">
        <v>2013</v>
      </c>
      <c r="B37" s="102">
        <v>2.7</v>
      </c>
      <c r="C37" s="102">
        <v>0.3</v>
      </c>
      <c r="D37" s="102">
        <v>35.1</v>
      </c>
      <c r="E37" s="102">
        <v>36.4</v>
      </c>
      <c r="F37" s="102">
        <v>186.6</v>
      </c>
      <c r="G37" s="102">
        <v>64.400000000000006</v>
      </c>
      <c r="H37" s="102">
        <v>103.5</v>
      </c>
      <c r="I37" s="102">
        <v>102.9</v>
      </c>
      <c r="J37" s="102">
        <v>46.4</v>
      </c>
      <c r="K37" s="102">
        <v>46.4</v>
      </c>
      <c r="L37" s="102">
        <v>19.7</v>
      </c>
      <c r="M37" s="102">
        <v>21.6</v>
      </c>
      <c r="N37" s="102">
        <f>SUM(B37:E37)</f>
        <v>74.5</v>
      </c>
      <c r="O37" s="102">
        <f>SUM(F37:J37)</f>
        <v>503.79999999999995</v>
      </c>
      <c r="P37" s="102">
        <f>SUM(K37:M37)</f>
        <v>87.699999999999989</v>
      </c>
      <c r="Q37" s="102">
        <f>SUM(B37:M37)</f>
        <v>666</v>
      </c>
      <c r="R37" s="104">
        <f t="shared" ref="R37:AG37" si="5">100*(B37-B4)/B4</f>
        <v>-74.970095693779911</v>
      </c>
      <c r="S37" s="104">
        <f t="shared" si="5"/>
        <v>-97.694024299528891</v>
      </c>
      <c r="T37" s="104">
        <f t="shared" si="5"/>
        <v>52.480381165919262</v>
      </c>
      <c r="U37" s="104">
        <f t="shared" si="5"/>
        <v>-37.237888647866953</v>
      </c>
      <c r="V37" s="104">
        <f t="shared" si="5"/>
        <v>13.666463618321492</v>
      </c>
      <c r="W37" s="104">
        <f t="shared" si="5"/>
        <v>-74.720153978625333</v>
      </c>
      <c r="X37" s="104">
        <f t="shared" si="5"/>
        <v>-58.623491179201487</v>
      </c>
      <c r="Y37" s="104">
        <f t="shared" si="5"/>
        <v>-43.073079325421602</v>
      </c>
      <c r="Z37" s="104">
        <f t="shared" si="5"/>
        <v>-50.813842155655848</v>
      </c>
      <c r="AA37" s="104">
        <f t="shared" si="5"/>
        <v>-32.160543319341613</v>
      </c>
      <c r="AB37" s="104">
        <f t="shared" si="5"/>
        <v>-25.822907810032802</v>
      </c>
      <c r="AC37" s="104">
        <f t="shared" si="5"/>
        <v>148.73699851411587</v>
      </c>
      <c r="AD37" s="104">
        <f t="shared" si="5"/>
        <v>-28.920965160654927</v>
      </c>
      <c r="AE37" s="104">
        <f t="shared" si="5"/>
        <v>-46.639743616025363</v>
      </c>
      <c r="AF37" s="104">
        <f t="shared" si="5"/>
        <v>-15.379108565737042</v>
      </c>
      <c r="AG37" s="104">
        <f t="shared" si="5"/>
        <v>-42.217595002602799</v>
      </c>
    </row>
  </sheetData>
  <mergeCells count="6">
    <mergeCell ref="A1:A3"/>
    <mergeCell ref="B1:Q1"/>
    <mergeCell ref="B2:M2"/>
    <mergeCell ref="R1:AG1"/>
    <mergeCell ref="N2:Q2"/>
    <mergeCell ref="R2:AG2"/>
  </mergeCells>
  <phoneticPr fontId="2" type="noConversion"/>
  <pageMargins left="0.75" right="0.75" top="1" bottom="1" header="0.5" footer="0.5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28"/>
  <dimension ref="A1:AG61"/>
  <sheetViews>
    <sheetView zoomScaleNormal="100" workbookViewId="0">
      <pane ySplit="5" topLeftCell="A6" activePane="bottomLeft" state="frozen"/>
      <selection pane="bottomLeft" activeCell="C61" sqref="A61:XFD61"/>
    </sheetView>
  </sheetViews>
  <sheetFormatPr defaultRowHeight="12"/>
  <cols>
    <col min="1" max="35" width="7.125" style="102" customWidth="1"/>
    <col min="36" max="16384" width="9" style="102"/>
  </cols>
  <sheetData>
    <row r="1" spans="1:33" s="118" customFormat="1" ht="14.25" customHeight="1">
      <c r="A1" s="176" t="s">
        <v>53</v>
      </c>
      <c r="B1" s="176" t="s">
        <v>171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2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116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32</v>
      </c>
      <c r="O2" s="176"/>
      <c r="P2" s="176"/>
      <c r="Q2" s="176"/>
      <c r="R2" s="176" t="s">
        <v>38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 ht="24">
      <c r="A3" s="176"/>
      <c r="B3" s="124" t="s">
        <v>149</v>
      </c>
      <c r="C3" s="124" t="s">
        <v>150</v>
      </c>
      <c r="D3" s="124" t="s">
        <v>9</v>
      </c>
      <c r="E3" s="124" t="s">
        <v>10</v>
      </c>
      <c r="F3" s="124" t="s">
        <v>11</v>
      </c>
      <c r="G3" s="124" t="s">
        <v>12</v>
      </c>
      <c r="H3" s="124" t="s">
        <v>13</v>
      </c>
      <c r="I3" s="124" t="s">
        <v>14</v>
      </c>
      <c r="J3" s="124" t="s">
        <v>15</v>
      </c>
      <c r="K3" s="124" t="s">
        <v>16</v>
      </c>
      <c r="L3" s="124" t="s">
        <v>17</v>
      </c>
      <c r="M3" s="124" t="s">
        <v>18</v>
      </c>
      <c r="N3" s="124" t="s">
        <v>145</v>
      </c>
      <c r="O3" s="124" t="s">
        <v>146</v>
      </c>
      <c r="P3" s="124" t="s">
        <v>147</v>
      </c>
      <c r="Q3" s="124" t="s">
        <v>148</v>
      </c>
      <c r="R3" s="124" t="s">
        <v>149</v>
      </c>
      <c r="S3" s="124" t="s">
        <v>150</v>
      </c>
      <c r="T3" s="124" t="s">
        <v>151</v>
      </c>
      <c r="U3" s="124" t="s">
        <v>152</v>
      </c>
      <c r="V3" s="124" t="s">
        <v>153</v>
      </c>
      <c r="W3" s="124" t="s">
        <v>154</v>
      </c>
      <c r="X3" s="124" t="s">
        <v>25</v>
      </c>
      <c r="Y3" s="124" t="s">
        <v>26</v>
      </c>
      <c r="Z3" s="124" t="s">
        <v>27</v>
      </c>
      <c r="AA3" s="124" t="s">
        <v>155</v>
      </c>
      <c r="AB3" s="124" t="s">
        <v>156</v>
      </c>
      <c r="AC3" s="124" t="s">
        <v>157</v>
      </c>
      <c r="AD3" s="124" t="s">
        <v>90</v>
      </c>
      <c r="AE3" s="124" t="s">
        <v>42</v>
      </c>
      <c r="AF3" s="124" t="s">
        <v>111</v>
      </c>
      <c r="AG3" s="124" t="s">
        <v>66</v>
      </c>
    </row>
    <row r="4" spans="1:33" s="118" customFormat="1">
      <c r="A4" s="150" t="s">
        <v>261</v>
      </c>
      <c r="B4" s="150">
        <f t="shared" ref="B4:Q4" si="0">AVERAGE(B5:B60)</f>
        <v>14.05714285714286</v>
      </c>
      <c r="C4" s="150">
        <f t="shared" si="0"/>
        <v>13.942857142857145</v>
      </c>
      <c r="D4" s="150">
        <f t="shared" si="0"/>
        <v>25.92499999999999</v>
      </c>
      <c r="E4" s="150">
        <f t="shared" si="0"/>
        <v>70.192857142857136</v>
      </c>
      <c r="F4" s="150">
        <f t="shared" si="0"/>
        <v>166.3857142857143</v>
      </c>
      <c r="G4" s="150">
        <f t="shared" si="0"/>
        <v>243.9928571428571</v>
      </c>
      <c r="H4" s="150">
        <f t="shared" si="0"/>
        <v>208.02142857142857</v>
      </c>
      <c r="I4" s="150">
        <f t="shared" si="0"/>
        <v>180.38571428571433</v>
      </c>
      <c r="J4" s="150">
        <f t="shared" si="0"/>
        <v>113.24107142857143</v>
      </c>
      <c r="K4" s="150">
        <f t="shared" si="0"/>
        <v>82.571428571428584</v>
      </c>
      <c r="L4" s="150">
        <f t="shared" si="0"/>
        <v>32.505357142857143</v>
      </c>
      <c r="M4" s="150">
        <f t="shared" si="0"/>
        <v>15.046428571428569</v>
      </c>
      <c r="N4" s="150">
        <f t="shared" si="0"/>
        <v>124.11785714285715</v>
      </c>
      <c r="O4" s="150">
        <f t="shared" si="0"/>
        <v>912.02678571428567</v>
      </c>
      <c r="P4" s="150">
        <f t="shared" si="0"/>
        <v>130.12321428571434</v>
      </c>
      <c r="Q4" s="150">
        <f t="shared" si="0"/>
        <v>1166.2678571428573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3">
        <v>1960</v>
      </c>
      <c r="B5" s="103">
        <v>5</v>
      </c>
      <c r="C5" s="103">
        <v>13.5</v>
      </c>
      <c r="D5" s="103">
        <v>23.4</v>
      </c>
      <c r="E5" s="103">
        <v>2.2000000000000002</v>
      </c>
      <c r="F5" s="103">
        <v>91.6</v>
      </c>
      <c r="G5" s="103">
        <v>250.9</v>
      </c>
      <c r="H5" s="103">
        <v>261.2</v>
      </c>
      <c r="I5" s="103">
        <v>126.3</v>
      </c>
      <c r="J5" s="103">
        <v>102</v>
      </c>
      <c r="K5" s="103">
        <v>33.5</v>
      </c>
      <c r="L5" s="103">
        <v>30.2</v>
      </c>
      <c r="M5" s="103">
        <v>9.1</v>
      </c>
      <c r="N5" s="102">
        <f>SUM(B5:E5)</f>
        <v>44.1</v>
      </c>
      <c r="O5" s="102">
        <f>SUM(F5:J5)</f>
        <v>832</v>
      </c>
      <c r="P5" s="102">
        <f>SUM(K5:M5)</f>
        <v>72.8</v>
      </c>
      <c r="Q5" s="102">
        <f>SUM(B5:M5)</f>
        <v>948.9</v>
      </c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</row>
    <row r="6" spans="1:33">
      <c r="A6" s="103">
        <v>1961</v>
      </c>
      <c r="B6" s="103">
        <v>3.2</v>
      </c>
      <c r="C6" s="103">
        <v>7.9</v>
      </c>
      <c r="D6" s="103">
        <v>21</v>
      </c>
      <c r="E6" s="103">
        <v>149</v>
      </c>
      <c r="F6" s="103">
        <v>208.5</v>
      </c>
      <c r="G6" s="103">
        <v>157.9</v>
      </c>
      <c r="H6" s="103">
        <v>245.3</v>
      </c>
      <c r="I6" s="103">
        <v>155.19999999999999</v>
      </c>
      <c r="J6" s="103">
        <v>128.80000000000001</v>
      </c>
      <c r="K6" s="103">
        <v>164.3</v>
      </c>
      <c r="L6" s="103">
        <v>48.9</v>
      </c>
      <c r="M6" s="103">
        <v>56.1</v>
      </c>
      <c r="N6" s="102">
        <f t="shared" ref="N6:N58" si="1">SUM(B6:E6)</f>
        <v>181.1</v>
      </c>
      <c r="O6" s="102">
        <f t="shared" ref="O6:O58" si="2">SUM(F6:J6)</f>
        <v>895.7</v>
      </c>
      <c r="P6" s="102">
        <f t="shared" ref="P6:P58" si="3">SUM(K6:M6)</f>
        <v>269.3</v>
      </c>
      <c r="Q6" s="102">
        <f t="shared" ref="Q6:Q58" si="4">SUM(B6:M6)</f>
        <v>1346.1</v>
      </c>
      <c r="R6" s="103"/>
      <c r="S6" s="103"/>
      <c r="T6" s="103"/>
      <c r="U6" s="103"/>
      <c r="V6" s="103"/>
      <c r="W6" s="103"/>
      <c r="X6" s="103"/>
      <c r="Y6" s="103"/>
      <c r="Z6" s="103"/>
      <c r="AA6" s="103"/>
      <c r="AB6" s="103"/>
      <c r="AC6" s="103"/>
      <c r="AD6" s="103"/>
      <c r="AE6" s="103"/>
      <c r="AF6" s="103"/>
      <c r="AG6" s="103"/>
    </row>
    <row r="7" spans="1:33">
      <c r="A7" s="103">
        <v>1962</v>
      </c>
      <c r="B7" s="103">
        <v>17</v>
      </c>
      <c r="C7" s="103">
        <v>8</v>
      </c>
      <c r="D7" s="103">
        <v>19.7</v>
      </c>
      <c r="E7" s="103">
        <v>42</v>
      </c>
      <c r="F7" s="103">
        <v>54.9</v>
      </c>
      <c r="G7" s="103">
        <v>240.4</v>
      </c>
      <c r="H7" s="103">
        <v>76.400000000000006</v>
      </c>
      <c r="I7" s="103">
        <v>107.2</v>
      </c>
      <c r="J7" s="103">
        <v>96.5</v>
      </c>
      <c r="K7" s="103">
        <v>87.5</v>
      </c>
      <c r="L7" s="103">
        <v>15.9</v>
      </c>
      <c r="M7" s="103">
        <v>1.7</v>
      </c>
      <c r="N7" s="102">
        <f t="shared" si="1"/>
        <v>86.7</v>
      </c>
      <c r="O7" s="102">
        <f t="shared" si="2"/>
        <v>575.40000000000009</v>
      </c>
      <c r="P7" s="102">
        <f t="shared" si="3"/>
        <v>105.10000000000001</v>
      </c>
      <c r="Q7" s="102">
        <f t="shared" si="4"/>
        <v>767.2</v>
      </c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</row>
    <row r="8" spans="1:33">
      <c r="A8" s="103">
        <v>1963</v>
      </c>
      <c r="B8" s="103">
        <v>1.7</v>
      </c>
      <c r="C8" s="103">
        <v>13.4</v>
      </c>
      <c r="D8" s="103">
        <v>38.4</v>
      </c>
      <c r="E8" s="103">
        <v>4.5</v>
      </c>
      <c r="F8" s="103">
        <v>68</v>
      </c>
      <c r="G8" s="103">
        <v>155.1</v>
      </c>
      <c r="H8" s="103">
        <v>193.5</v>
      </c>
      <c r="I8" s="103">
        <v>179.4</v>
      </c>
      <c r="J8" s="103">
        <v>75.2</v>
      </c>
      <c r="K8" s="103">
        <v>98.5</v>
      </c>
      <c r="L8" s="103">
        <v>72.900000000000006</v>
      </c>
      <c r="M8" s="103">
        <v>26.3</v>
      </c>
      <c r="N8" s="102">
        <f t="shared" si="1"/>
        <v>58</v>
      </c>
      <c r="O8" s="102">
        <f t="shared" si="2"/>
        <v>671.2</v>
      </c>
      <c r="P8" s="102">
        <f t="shared" si="3"/>
        <v>197.70000000000002</v>
      </c>
      <c r="Q8" s="102">
        <f t="shared" si="4"/>
        <v>926.9</v>
      </c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</row>
    <row r="9" spans="1:33">
      <c r="A9" s="103">
        <v>1964</v>
      </c>
      <c r="B9" s="103">
        <v>6.3</v>
      </c>
      <c r="C9" s="103">
        <v>33.299999999999997</v>
      </c>
      <c r="D9" s="103">
        <v>11.9</v>
      </c>
      <c r="E9" s="103">
        <v>119.8</v>
      </c>
      <c r="F9" s="103">
        <v>76.8</v>
      </c>
      <c r="G9" s="103">
        <v>383.1</v>
      </c>
      <c r="H9" s="103">
        <v>192.5</v>
      </c>
      <c r="I9" s="103">
        <v>319.8</v>
      </c>
      <c r="J9" s="103">
        <v>143.5</v>
      </c>
      <c r="K9" s="103">
        <v>139.19999999999999</v>
      </c>
      <c r="L9" s="103">
        <v>8.1999999999999993</v>
      </c>
      <c r="M9" s="103">
        <v>28.3</v>
      </c>
      <c r="N9" s="102">
        <f t="shared" si="1"/>
        <v>171.29999999999998</v>
      </c>
      <c r="O9" s="102">
        <f t="shared" si="2"/>
        <v>1115.7</v>
      </c>
      <c r="P9" s="102">
        <f t="shared" si="3"/>
        <v>175.7</v>
      </c>
      <c r="Q9" s="102">
        <f t="shared" si="4"/>
        <v>1462.7</v>
      </c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</row>
    <row r="10" spans="1:33">
      <c r="A10" s="103">
        <v>1965</v>
      </c>
      <c r="B10" s="103">
        <v>22.4</v>
      </c>
      <c r="C10" s="103">
        <v>15.8</v>
      </c>
      <c r="D10" s="103">
        <v>23.1</v>
      </c>
      <c r="E10" s="103">
        <v>123.9</v>
      </c>
      <c r="F10" s="103">
        <v>203.4</v>
      </c>
      <c r="G10" s="103">
        <v>183.4</v>
      </c>
      <c r="H10" s="103">
        <v>65</v>
      </c>
      <c r="I10" s="103">
        <v>315.3</v>
      </c>
      <c r="J10" s="103">
        <v>79.8</v>
      </c>
      <c r="K10" s="103">
        <v>339.8</v>
      </c>
      <c r="L10" s="103">
        <v>23.8</v>
      </c>
      <c r="M10" s="103">
        <v>21.3</v>
      </c>
      <c r="N10" s="102">
        <f t="shared" si="1"/>
        <v>185.20000000000002</v>
      </c>
      <c r="O10" s="102">
        <f t="shared" si="2"/>
        <v>846.9</v>
      </c>
      <c r="P10" s="102">
        <f t="shared" si="3"/>
        <v>384.90000000000003</v>
      </c>
      <c r="Q10" s="102">
        <f t="shared" si="4"/>
        <v>1416.9999999999998</v>
      </c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</row>
    <row r="11" spans="1:33">
      <c r="A11" s="103">
        <v>1966</v>
      </c>
      <c r="B11" s="103">
        <v>6.1</v>
      </c>
      <c r="C11" s="103">
        <v>4.5</v>
      </c>
      <c r="D11" s="103">
        <v>6.9</v>
      </c>
      <c r="E11" s="103">
        <v>33.799999999999997</v>
      </c>
      <c r="F11" s="103">
        <v>173.5</v>
      </c>
      <c r="G11" s="103">
        <v>263.10000000000002</v>
      </c>
      <c r="H11" s="103">
        <v>195.2</v>
      </c>
      <c r="I11" s="103">
        <v>78.5</v>
      </c>
      <c r="J11" s="103">
        <v>75.099999999999994</v>
      </c>
      <c r="K11" s="103">
        <v>128.1</v>
      </c>
      <c r="L11" s="103">
        <v>9.6999999999999993</v>
      </c>
      <c r="M11" s="103">
        <v>4</v>
      </c>
      <c r="N11" s="102">
        <f t="shared" si="1"/>
        <v>51.3</v>
      </c>
      <c r="O11" s="102">
        <f t="shared" si="2"/>
        <v>785.4</v>
      </c>
      <c r="P11" s="102">
        <f t="shared" si="3"/>
        <v>141.79999999999998</v>
      </c>
      <c r="Q11" s="102">
        <f t="shared" si="4"/>
        <v>978.50000000000011</v>
      </c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</row>
    <row r="12" spans="1:33">
      <c r="A12" s="102">
        <v>1967</v>
      </c>
      <c r="B12" s="102">
        <v>3.8</v>
      </c>
      <c r="C12" s="102">
        <v>18.2</v>
      </c>
      <c r="D12" s="102">
        <v>22.2</v>
      </c>
      <c r="E12" s="102">
        <v>137</v>
      </c>
      <c r="F12" s="102">
        <v>113.1</v>
      </c>
      <c r="G12" s="102">
        <v>183</v>
      </c>
      <c r="H12" s="102">
        <v>244.3</v>
      </c>
      <c r="I12" s="102">
        <v>219.1</v>
      </c>
      <c r="J12" s="102">
        <v>192</v>
      </c>
      <c r="K12" s="102">
        <v>32.700000000000003</v>
      </c>
      <c r="L12" s="102">
        <v>69.7</v>
      </c>
      <c r="M12" s="102">
        <v>19</v>
      </c>
      <c r="N12" s="102">
        <f t="shared" si="1"/>
        <v>181.2</v>
      </c>
      <c r="O12" s="102">
        <f t="shared" si="2"/>
        <v>951.50000000000011</v>
      </c>
      <c r="P12" s="102">
        <f t="shared" si="3"/>
        <v>121.4</v>
      </c>
      <c r="Q12" s="102">
        <f t="shared" si="4"/>
        <v>1254.0999999999999</v>
      </c>
    </row>
    <row r="13" spans="1:33">
      <c r="A13" s="102">
        <v>1968</v>
      </c>
      <c r="B13" s="102">
        <v>7.3</v>
      </c>
      <c r="C13" s="102">
        <v>18.399999999999999</v>
      </c>
      <c r="D13" s="102">
        <v>17.600000000000001</v>
      </c>
      <c r="E13" s="102">
        <v>123.7</v>
      </c>
      <c r="F13" s="102">
        <v>139.69999999999999</v>
      </c>
      <c r="G13" s="102">
        <v>198.4</v>
      </c>
      <c r="H13" s="102">
        <v>211.1</v>
      </c>
      <c r="I13" s="102">
        <v>150.30000000000001</v>
      </c>
      <c r="J13" s="102">
        <v>87.8</v>
      </c>
      <c r="K13" s="102">
        <v>74</v>
      </c>
      <c r="L13" s="102">
        <v>28.2</v>
      </c>
      <c r="M13" s="102">
        <v>0.7</v>
      </c>
      <c r="N13" s="102">
        <f t="shared" si="1"/>
        <v>167</v>
      </c>
      <c r="O13" s="102">
        <f t="shared" si="2"/>
        <v>787.3</v>
      </c>
      <c r="P13" s="102">
        <f t="shared" si="3"/>
        <v>102.9</v>
      </c>
      <c r="Q13" s="102">
        <f t="shared" si="4"/>
        <v>1057.2</v>
      </c>
    </row>
    <row r="14" spans="1:33">
      <c r="A14" s="102">
        <v>1969</v>
      </c>
      <c r="B14" s="102">
        <v>9.1</v>
      </c>
      <c r="C14" s="102">
        <v>1</v>
      </c>
      <c r="D14" s="102">
        <v>7.7</v>
      </c>
      <c r="E14" s="102">
        <v>59</v>
      </c>
      <c r="F14" s="102">
        <v>267.2</v>
      </c>
      <c r="G14" s="102">
        <v>464</v>
      </c>
      <c r="H14" s="102">
        <v>276.60000000000002</v>
      </c>
      <c r="I14" s="102">
        <v>332.8</v>
      </c>
      <c r="J14" s="102">
        <v>47.5</v>
      </c>
      <c r="K14" s="102">
        <v>100.9</v>
      </c>
      <c r="L14" s="102">
        <v>32.5</v>
      </c>
      <c r="M14" s="102">
        <v>2.5</v>
      </c>
      <c r="N14" s="102">
        <f t="shared" si="1"/>
        <v>76.8</v>
      </c>
      <c r="O14" s="102">
        <f t="shared" si="2"/>
        <v>1388.1000000000001</v>
      </c>
      <c r="P14" s="102">
        <f t="shared" si="3"/>
        <v>135.9</v>
      </c>
      <c r="Q14" s="102">
        <f t="shared" si="4"/>
        <v>1600.8</v>
      </c>
    </row>
    <row r="15" spans="1:33">
      <c r="A15" s="102">
        <v>1970</v>
      </c>
      <c r="B15" s="102">
        <v>13.3</v>
      </c>
      <c r="C15" s="102">
        <v>9.9</v>
      </c>
      <c r="D15" s="102">
        <v>38.5</v>
      </c>
      <c r="E15" s="102">
        <v>85.2</v>
      </c>
      <c r="F15" s="102">
        <v>148.30000000000001</v>
      </c>
      <c r="G15" s="102">
        <v>97.4</v>
      </c>
      <c r="H15" s="102">
        <v>239.4</v>
      </c>
      <c r="I15" s="102">
        <v>55.4</v>
      </c>
      <c r="J15" s="102">
        <v>61.6</v>
      </c>
      <c r="K15" s="102">
        <v>78.5</v>
      </c>
      <c r="L15" s="102">
        <v>27.2</v>
      </c>
      <c r="M15" s="102">
        <v>46.9</v>
      </c>
      <c r="N15" s="102">
        <f t="shared" si="1"/>
        <v>146.9</v>
      </c>
      <c r="O15" s="102">
        <f t="shared" si="2"/>
        <v>602.1</v>
      </c>
      <c r="P15" s="102">
        <f t="shared" si="3"/>
        <v>152.6</v>
      </c>
      <c r="Q15" s="102">
        <f t="shared" si="4"/>
        <v>901.6</v>
      </c>
    </row>
    <row r="16" spans="1:33">
      <c r="A16" s="102">
        <v>1971</v>
      </c>
      <c r="B16" s="102">
        <v>6.2</v>
      </c>
      <c r="C16" s="102">
        <v>10.7</v>
      </c>
      <c r="D16" s="102">
        <v>13.1</v>
      </c>
      <c r="E16" s="102">
        <v>74.900000000000006</v>
      </c>
      <c r="F16" s="102">
        <v>176.6</v>
      </c>
      <c r="G16" s="102">
        <v>242.4</v>
      </c>
      <c r="H16" s="102">
        <v>136.80000000000001</v>
      </c>
      <c r="I16" s="102">
        <v>258.3</v>
      </c>
      <c r="J16" s="102">
        <v>271.89999999999998</v>
      </c>
      <c r="K16" s="102">
        <v>107.2</v>
      </c>
      <c r="L16" s="102">
        <v>49.6</v>
      </c>
      <c r="M16" s="102">
        <v>18.3</v>
      </c>
      <c r="N16" s="102">
        <f t="shared" si="1"/>
        <v>104.9</v>
      </c>
      <c r="O16" s="102">
        <f t="shared" si="2"/>
        <v>1086</v>
      </c>
      <c r="P16" s="102">
        <f t="shared" si="3"/>
        <v>175.10000000000002</v>
      </c>
      <c r="Q16" s="102">
        <f t="shared" si="4"/>
        <v>1366</v>
      </c>
    </row>
    <row r="17" spans="1:17">
      <c r="A17" s="102">
        <v>1972</v>
      </c>
      <c r="B17" s="102">
        <v>19.600000000000001</v>
      </c>
      <c r="C17" s="102">
        <v>2.8</v>
      </c>
      <c r="D17" s="102">
        <v>48.1</v>
      </c>
      <c r="E17" s="102">
        <v>59.6</v>
      </c>
      <c r="F17" s="102">
        <v>143.4</v>
      </c>
      <c r="G17" s="102">
        <v>127.8</v>
      </c>
      <c r="H17" s="102">
        <v>18.600000000000001</v>
      </c>
      <c r="I17" s="102">
        <v>75.400000000000006</v>
      </c>
      <c r="J17" s="102">
        <v>196.5</v>
      </c>
      <c r="K17" s="102">
        <v>80.099999999999994</v>
      </c>
      <c r="L17" s="102">
        <v>73.7</v>
      </c>
      <c r="M17" s="102">
        <v>8.4</v>
      </c>
      <c r="N17" s="102">
        <f t="shared" si="1"/>
        <v>130.1</v>
      </c>
      <c r="O17" s="102">
        <f t="shared" si="2"/>
        <v>561.70000000000005</v>
      </c>
      <c r="P17" s="102">
        <f t="shared" si="3"/>
        <v>162.20000000000002</v>
      </c>
      <c r="Q17" s="102">
        <f t="shared" si="4"/>
        <v>854.00000000000011</v>
      </c>
    </row>
    <row r="18" spans="1:17">
      <c r="A18" s="102">
        <v>1973</v>
      </c>
      <c r="B18" s="102">
        <v>39.200000000000003</v>
      </c>
      <c r="C18" s="102">
        <v>28.7</v>
      </c>
      <c r="D18" s="102">
        <v>42.7</v>
      </c>
      <c r="E18" s="102">
        <v>100.2</v>
      </c>
      <c r="F18" s="102">
        <v>114.7</v>
      </c>
      <c r="G18" s="102">
        <v>239.3</v>
      </c>
      <c r="H18" s="102">
        <v>175.1</v>
      </c>
      <c r="I18" s="102">
        <v>193.8</v>
      </c>
      <c r="J18" s="102">
        <v>160.4</v>
      </c>
      <c r="K18" s="102">
        <v>50.6</v>
      </c>
      <c r="L18" s="102">
        <v>28.9</v>
      </c>
      <c r="M18" s="102">
        <v>2.9</v>
      </c>
      <c r="N18" s="102">
        <f t="shared" si="1"/>
        <v>210.8</v>
      </c>
      <c r="O18" s="102">
        <f t="shared" si="2"/>
        <v>883.30000000000007</v>
      </c>
      <c r="P18" s="102">
        <f t="shared" si="3"/>
        <v>82.4</v>
      </c>
      <c r="Q18" s="102">
        <f t="shared" si="4"/>
        <v>1176.5000000000002</v>
      </c>
    </row>
    <row r="19" spans="1:17">
      <c r="A19" s="102">
        <v>1974</v>
      </c>
      <c r="B19" s="102">
        <v>4.7</v>
      </c>
      <c r="C19" s="102">
        <v>1.7</v>
      </c>
      <c r="D19" s="102">
        <v>40.200000000000003</v>
      </c>
      <c r="E19" s="102">
        <v>127.9</v>
      </c>
      <c r="F19" s="102">
        <v>79.3</v>
      </c>
      <c r="G19" s="102">
        <v>365.6</v>
      </c>
      <c r="H19" s="102">
        <v>88.9</v>
      </c>
      <c r="I19" s="102">
        <v>241.7</v>
      </c>
      <c r="J19" s="102">
        <v>156.69999999999999</v>
      </c>
      <c r="K19" s="102">
        <v>128.6</v>
      </c>
      <c r="L19" s="102">
        <v>13</v>
      </c>
      <c r="M19" s="102">
        <v>3.2</v>
      </c>
      <c r="N19" s="102">
        <f t="shared" si="1"/>
        <v>174.5</v>
      </c>
      <c r="O19" s="102">
        <f t="shared" si="2"/>
        <v>932.2</v>
      </c>
      <c r="P19" s="102">
        <f t="shared" si="3"/>
        <v>144.79999999999998</v>
      </c>
      <c r="Q19" s="102">
        <f t="shared" si="4"/>
        <v>1251.5</v>
      </c>
    </row>
    <row r="20" spans="1:17">
      <c r="A20" s="102">
        <v>1975</v>
      </c>
      <c r="B20" s="102">
        <v>19.5</v>
      </c>
      <c r="C20" s="102">
        <v>6.8</v>
      </c>
      <c r="D20" s="102">
        <v>15.2</v>
      </c>
      <c r="E20" s="102">
        <v>113.1</v>
      </c>
      <c r="F20" s="102">
        <v>136.19999999999999</v>
      </c>
      <c r="G20" s="102">
        <v>76.7</v>
      </c>
      <c r="H20" s="102">
        <v>58.3</v>
      </c>
      <c r="I20" s="102">
        <v>177.4</v>
      </c>
      <c r="J20" s="102">
        <v>143.69999999999999</v>
      </c>
      <c r="K20" s="102">
        <v>24.5</v>
      </c>
      <c r="L20" s="102">
        <v>63</v>
      </c>
      <c r="M20" s="102">
        <v>0.1</v>
      </c>
      <c r="N20" s="102">
        <f t="shared" si="1"/>
        <v>154.6</v>
      </c>
      <c r="O20" s="102">
        <f t="shared" si="2"/>
        <v>592.29999999999995</v>
      </c>
      <c r="P20" s="102">
        <f t="shared" si="3"/>
        <v>87.6</v>
      </c>
      <c r="Q20" s="102">
        <f t="shared" si="4"/>
        <v>834.49999999999989</v>
      </c>
    </row>
    <row r="21" spans="1:17">
      <c r="A21" s="102">
        <v>1976</v>
      </c>
      <c r="B21" s="102">
        <v>15.1</v>
      </c>
      <c r="C21" s="102">
        <v>5.4</v>
      </c>
      <c r="D21" s="102">
        <v>36.6</v>
      </c>
      <c r="E21" s="102">
        <v>67.900000000000006</v>
      </c>
      <c r="F21" s="102">
        <v>234.2</v>
      </c>
      <c r="G21" s="102">
        <v>213.6</v>
      </c>
      <c r="H21" s="102">
        <v>310.5</v>
      </c>
      <c r="I21" s="102">
        <v>55.8</v>
      </c>
      <c r="J21" s="102">
        <v>201.9</v>
      </c>
      <c r="K21" s="102">
        <v>190.7</v>
      </c>
      <c r="L21" s="102">
        <v>54.3</v>
      </c>
      <c r="M21" s="102">
        <v>19</v>
      </c>
      <c r="N21" s="102">
        <f t="shared" si="1"/>
        <v>125</v>
      </c>
      <c r="O21" s="102">
        <f t="shared" si="2"/>
        <v>1015.9999999999999</v>
      </c>
      <c r="P21" s="102">
        <f t="shared" si="3"/>
        <v>264</v>
      </c>
      <c r="Q21" s="102">
        <f t="shared" si="4"/>
        <v>1405</v>
      </c>
    </row>
    <row r="22" spans="1:17">
      <c r="A22" s="102">
        <v>1977</v>
      </c>
      <c r="B22" s="102">
        <v>19.7</v>
      </c>
      <c r="C22" s="102">
        <v>21.9</v>
      </c>
      <c r="D22" s="102">
        <v>16.8</v>
      </c>
      <c r="E22" s="102">
        <v>102.6</v>
      </c>
      <c r="F22" s="102">
        <v>204.4</v>
      </c>
      <c r="G22" s="102">
        <v>285</v>
      </c>
      <c r="H22" s="102">
        <v>377.2</v>
      </c>
      <c r="I22" s="102">
        <v>104.8</v>
      </c>
      <c r="J22" s="102">
        <v>124.7</v>
      </c>
      <c r="K22" s="102">
        <v>193.8</v>
      </c>
      <c r="L22" s="102">
        <v>21.6</v>
      </c>
      <c r="M22" s="102">
        <v>6.5</v>
      </c>
      <c r="N22" s="102">
        <f t="shared" si="1"/>
        <v>161</v>
      </c>
      <c r="O22" s="102">
        <f t="shared" si="2"/>
        <v>1096.0999999999999</v>
      </c>
      <c r="P22" s="102">
        <f t="shared" si="3"/>
        <v>221.9</v>
      </c>
      <c r="Q22" s="102">
        <f t="shared" si="4"/>
        <v>1478.9999999999998</v>
      </c>
    </row>
    <row r="23" spans="1:17">
      <c r="A23" s="102">
        <v>1978</v>
      </c>
      <c r="B23" s="102">
        <v>11.9</v>
      </c>
      <c r="C23" s="102">
        <v>19.7</v>
      </c>
      <c r="D23" s="102">
        <v>16.899999999999999</v>
      </c>
      <c r="E23" s="102">
        <v>133.30000000000001</v>
      </c>
      <c r="F23" s="102">
        <v>252</v>
      </c>
      <c r="G23" s="102">
        <v>338.2</v>
      </c>
      <c r="H23" s="102">
        <v>237.9</v>
      </c>
      <c r="I23" s="102">
        <v>116.1</v>
      </c>
      <c r="J23" s="102">
        <v>85.1</v>
      </c>
      <c r="K23" s="102">
        <v>157.80000000000001</v>
      </c>
      <c r="L23" s="102">
        <v>67.900000000000006</v>
      </c>
      <c r="M23" s="102">
        <v>12.2</v>
      </c>
      <c r="N23" s="102">
        <f t="shared" si="1"/>
        <v>181.8</v>
      </c>
      <c r="O23" s="102">
        <f t="shared" si="2"/>
        <v>1029.3</v>
      </c>
      <c r="P23" s="102">
        <f t="shared" si="3"/>
        <v>237.9</v>
      </c>
      <c r="Q23" s="102">
        <f t="shared" si="4"/>
        <v>1449</v>
      </c>
    </row>
    <row r="24" spans="1:17">
      <c r="A24" s="102">
        <v>1979</v>
      </c>
      <c r="B24" s="102">
        <v>2.6</v>
      </c>
      <c r="C24" s="102">
        <v>12</v>
      </c>
      <c r="D24" s="102">
        <v>14.5</v>
      </c>
      <c r="E24" s="102">
        <v>110.1</v>
      </c>
      <c r="F24" s="102">
        <v>163.4</v>
      </c>
      <c r="G24" s="102">
        <v>490.3</v>
      </c>
      <c r="H24" s="102">
        <v>484.3</v>
      </c>
      <c r="I24" s="102">
        <v>262.39999999999998</v>
      </c>
      <c r="J24" s="102">
        <v>102.6</v>
      </c>
      <c r="K24" s="102">
        <v>19.7</v>
      </c>
      <c r="L24" s="102">
        <v>3.1</v>
      </c>
      <c r="M24" s="102">
        <v>32.5</v>
      </c>
      <c r="N24" s="102">
        <f t="shared" si="1"/>
        <v>139.19999999999999</v>
      </c>
      <c r="O24" s="102">
        <f t="shared" si="2"/>
        <v>1503</v>
      </c>
      <c r="P24" s="102">
        <f t="shared" si="3"/>
        <v>55.3</v>
      </c>
      <c r="Q24" s="102">
        <f t="shared" si="4"/>
        <v>1697.4999999999998</v>
      </c>
    </row>
    <row r="25" spans="1:17">
      <c r="A25" s="102">
        <v>1980</v>
      </c>
      <c r="B25" s="102">
        <v>5.2</v>
      </c>
      <c r="C25" s="102">
        <v>17.100000000000001</v>
      </c>
      <c r="D25" s="102">
        <v>42.5</v>
      </c>
      <c r="E25" s="102">
        <v>53.9</v>
      </c>
      <c r="F25" s="102">
        <v>216.3</v>
      </c>
      <c r="G25" s="102">
        <v>217.6</v>
      </c>
      <c r="H25" s="102">
        <v>220</v>
      </c>
      <c r="I25" s="102">
        <v>305.8</v>
      </c>
      <c r="J25" s="102">
        <v>83.1</v>
      </c>
      <c r="K25" s="102">
        <v>101.4</v>
      </c>
      <c r="L25" s="102">
        <v>41.8</v>
      </c>
      <c r="M25" s="102">
        <v>38.1</v>
      </c>
      <c r="N25" s="102">
        <f t="shared" si="1"/>
        <v>118.69999999999999</v>
      </c>
      <c r="O25" s="102">
        <f t="shared" si="2"/>
        <v>1042.8</v>
      </c>
      <c r="P25" s="102">
        <f t="shared" si="3"/>
        <v>181.29999999999998</v>
      </c>
      <c r="Q25" s="102">
        <f t="shared" si="4"/>
        <v>1342.8</v>
      </c>
    </row>
    <row r="26" spans="1:17">
      <c r="A26" s="102">
        <v>1981</v>
      </c>
      <c r="B26" s="102">
        <v>5.3</v>
      </c>
      <c r="C26" s="102">
        <v>17.399999999999999</v>
      </c>
      <c r="D26" s="102">
        <v>19.399999999999999</v>
      </c>
      <c r="E26" s="102">
        <v>55.7</v>
      </c>
      <c r="F26" s="102">
        <v>150.69999999999999</v>
      </c>
      <c r="G26" s="102">
        <v>148.5</v>
      </c>
      <c r="H26" s="102">
        <v>191.1</v>
      </c>
      <c r="I26" s="102">
        <v>76.3</v>
      </c>
      <c r="J26" s="102">
        <v>175.3</v>
      </c>
      <c r="K26" s="102">
        <v>36.299999999999997</v>
      </c>
      <c r="L26" s="102">
        <v>70.2</v>
      </c>
      <c r="M26" s="102">
        <v>6.7</v>
      </c>
      <c r="N26" s="102">
        <f t="shared" si="1"/>
        <v>97.8</v>
      </c>
      <c r="O26" s="102">
        <f t="shared" si="2"/>
        <v>741.89999999999986</v>
      </c>
      <c r="P26" s="102">
        <f t="shared" si="3"/>
        <v>113.2</v>
      </c>
      <c r="Q26" s="102">
        <f t="shared" si="4"/>
        <v>952.90000000000009</v>
      </c>
    </row>
    <row r="27" spans="1:17">
      <c r="A27" s="102">
        <v>1982</v>
      </c>
      <c r="B27" s="102">
        <v>9.6</v>
      </c>
      <c r="C27" s="102">
        <v>58.1</v>
      </c>
      <c r="D27" s="102">
        <v>23.1</v>
      </c>
      <c r="E27" s="102">
        <v>141.19999999999999</v>
      </c>
      <c r="F27" s="102">
        <v>306.3</v>
      </c>
      <c r="G27" s="102">
        <v>197.5</v>
      </c>
      <c r="H27" s="102">
        <v>104.2</v>
      </c>
      <c r="I27" s="102">
        <v>167.6</v>
      </c>
      <c r="J27" s="102">
        <v>168.3</v>
      </c>
      <c r="K27" s="102">
        <v>52.2</v>
      </c>
      <c r="L27" s="102">
        <v>57.6</v>
      </c>
      <c r="M27" s="102">
        <v>3.6</v>
      </c>
      <c r="N27" s="102">
        <f t="shared" si="1"/>
        <v>232</v>
      </c>
      <c r="O27" s="102">
        <f t="shared" si="2"/>
        <v>943.90000000000009</v>
      </c>
      <c r="P27" s="102">
        <f t="shared" si="3"/>
        <v>113.4</v>
      </c>
      <c r="Q27" s="102">
        <f t="shared" si="4"/>
        <v>1289.3</v>
      </c>
    </row>
    <row r="28" spans="1:17">
      <c r="A28" s="102">
        <v>1983</v>
      </c>
      <c r="B28" s="102">
        <v>21.7</v>
      </c>
      <c r="C28" s="102">
        <v>34.799999999999997</v>
      </c>
      <c r="D28" s="102">
        <v>33.700000000000003</v>
      </c>
      <c r="E28" s="102">
        <v>25.8</v>
      </c>
      <c r="F28" s="102">
        <v>441.6</v>
      </c>
      <c r="G28" s="102">
        <v>175</v>
      </c>
      <c r="H28" s="102">
        <v>126.3</v>
      </c>
      <c r="I28" s="102">
        <v>272</v>
      </c>
      <c r="J28" s="102">
        <v>130.80000000000001</v>
      </c>
      <c r="K28" s="102">
        <v>94.4</v>
      </c>
      <c r="L28" s="102">
        <v>59.5</v>
      </c>
      <c r="M28" s="102">
        <v>20.9</v>
      </c>
      <c r="N28" s="102">
        <f t="shared" si="1"/>
        <v>116</v>
      </c>
      <c r="O28" s="102">
        <f t="shared" si="2"/>
        <v>1145.7</v>
      </c>
      <c r="P28" s="102">
        <f t="shared" si="3"/>
        <v>174.8</v>
      </c>
      <c r="Q28" s="102">
        <f t="shared" si="4"/>
        <v>1436.5000000000002</v>
      </c>
    </row>
    <row r="29" spans="1:17">
      <c r="A29" s="102">
        <v>1984</v>
      </c>
      <c r="B29" s="102">
        <v>23.1</v>
      </c>
      <c r="C29" s="102">
        <v>5.4</v>
      </c>
      <c r="D29" s="102">
        <v>13.4</v>
      </c>
      <c r="E29" s="102">
        <v>70.2</v>
      </c>
      <c r="F29" s="102">
        <v>267.5</v>
      </c>
      <c r="G29" s="102">
        <v>235</v>
      </c>
      <c r="H29" s="102">
        <v>113.1</v>
      </c>
      <c r="I29" s="102">
        <v>189.7</v>
      </c>
      <c r="J29" s="102">
        <v>45.7</v>
      </c>
      <c r="K29" s="102">
        <v>63.3</v>
      </c>
      <c r="L29" s="102">
        <v>19.600000000000001</v>
      </c>
      <c r="M29" s="102">
        <v>15.4</v>
      </c>
      <c r="N29" s="102">
        <f t="shared" si="1"/>
        <v>112.1</v>
      </c>
      <c r="O29" s="102">
        <f t="shared" si="2"/>
        <v>851</v>
      </c>
      <c r="P29" s="102">
        <f t="shared" si="3"/>
        <v>98.300000000000011</v>
      </c>
      <c r="Q29" s="102">
        <f t="shared" si="4"/>
        <v>1061.4000000000001</v>
      </c>
    </row>
    <row r="30" spans="1:17">
      <c r="A30" s="102">
        <v>1985</v>
      </c>
      <c r="B30" s="102">
        <v>7.2</v>
      </c>
      <c r="C30" s="102">
        <v>12.4</v>
      </c>
      <c r="D30" s="102">
        <v>22.7</v>
      </c>
      <c r="E30" s="102">
        <v>156.1</v>
      </c>
      <c r="F30" s="102">
        <v>191.4</v>
      </c>
      <c r="G30" s="102">
        <v>259.39999999999998</v>
      </c>
      <c r="H30" s="102">
        <v>282.10000000000002</v>
      </c>
      <c r="I30" s="102">
        <v>164.1</v>
      </c>
      <c r="J30" s="102">
        <v>128.19999999999999</v>
      </c>
      <c r="K30" s="102">
        <v>52.5</v>
      </c>
      <c r="L30" s="102">
        <v>12.5</v>
      </c>
      <c r="M30" s="102">
        <v>9.6</v>
      </c>
      <c r="N30" s="102">
        <f t="shared" si="1"/>
        <v>198.39999999999998</v>
      </c>
      <c r="O30" s="102">
        <f t="shared" si="2"/>
        <v>1025.2</v>
      </c>
      <c r="P30" s="102">
        <f t="shared" si="3"/>
        <v>74.599999999999994</v>
      </c>
      <c r="Q30" s="102">
        <f t="shared" si="4"/>
        <v>1298.1999999999998</v>
      </c>
    </row>
    <row r="31" spans="1:17">
      <c r="A31" s="102">
        <v>1986</v>
      </c>
      <c r="B31" s="102">
        <v>3</v>
      </c>
      <c r="C31" s="102">
        <v>8.6</v>
      </c>
      <c r="D31" s="102">
        <v>17.3</v>
      </c>
      <c r="E31" s="102">
        <v>77.5</v>
      </c>
      <c r="F31" s="102">
        <v>139.1</v>
      </c>
      <c r="G31" s="102">
        <v>252.5</v>
      </c>
      <c r="H31" s="102">
        <v>377.3</v>
      </c>
      <c r="I31" s="102">
        <v>265.2</v>
      </c>
      <c r="J31" s="102">
        <v>121.3</v>
      </c>
      <c r="K31" s="102">
        <v>86.1</v>
      </c>
      <c r="L31" s="102">
        <v>38</v>
      </c>
      <c r="M31" s="102">
        <v>4.3</v>
      </c>
      <c r="N31" s="102">
        <f t="shared" si="1"/>
        <v>106.4</v>
      </c>
      <c r="O31" s="102">
        <f t="shared" si="2"/>
        <v>1155.4000000000001</v>
      </c>
      <c r="P31" s="102">
        <f t="shared" si="3"/>
        <v>128.4</v>
      </c>
      <c r="Q31" s="102">
        <f t="shared" si="4"/>
        <v>1390.1999999999998</v>
      </c>
    </row>
    <row r="32" spans="1:17">
      <c r="A32" s="102">
        <v>1987</v>
      </c>
      <c r="B32" s="102">
        <v>8.4</v>
      </c>
      <c r="C32" s="102">
        <v>1.9</v>
      </c>
      <c r="D32" s="102">
        <v>3.9</v>
      </c>
      <c r="E32" s="102">
        <v>8.1</v>
      </c>
      <c r="F32" s="102">
        <v>237.6</v>
      </c>
      <c r="G32" s="102">
        <v>337.9</v>
      </c>
      <c r="H32" s="102">
        <v>296.39999999999998</v>
      </c>
      <c r="I32" s="102">
        <v>230.7</v>
      </c>
      <c r="J32" s="102">
        <v>61.3</v>
      </c>
      <c r="K32" s="102">
        <v>33.200000000000003</v>
      </c>
      <c r="L32" s="102">
        <v>44.6</v>
      </c>
      <c r="M32" s="102">
        <v>5.8</v>
      </c>
      <c r="N32" s="102">
        <f t="shared" si="1"/>
        <v>22.3</v>
      </c>
      <c r="O32" s="102">
        <f t="shared" si="2"/>
        <v>1163.8999999999999</v>
      </c>
      <c r="P32" s="102">
        <f t="shared" si="3"/>
        <v>83.600000000000009</v>
      </c>
      <c r="Q32" s="102">
        <f t="shared" si="4"/>
        <v>1269.7999999999997</v>
      </c>
    </row>
    <row r="33" spans="1:17">
      <c r="A33" s="102">
        <v>1988</v>
      </c>
      <c r="B33" s="102">
        <v>8.1999999999999993</v>
      </c>
      <c r="C33" s="102">
        <v>11.3</v>
      </c>
      <c r="D33" s="102">
        <v>4.5</v>
      </c>
      <c r="E33" s="102">
        <v>46.7</v>
      </c>
      <c r="F33" s="102">
        <v>56</v>
      </c>
      <c r="G33" s="102">
        <v>147.6</v>
      </c>
      <c r="H33" s="102">
        <v>90.6</v>
      </c>
      <c r="I33" s="102">
        <v>246</v>
      </c>
      <c r="J33" s="102">
        <v>135.80000000000001</v>
      </c>
      <c r="K33" s="102">
        <v>35.299999999999997</v>
      </c>
      <c r="L33" s="102">
        <v>6.8</v>
      </c>
      <c r="M33" s="102">
        <v>12.8</v>
      </c>
      <c r="N33" s="102">
        <f t="shared" si="1"/>
        <v>70.7</v>
      </c>
      <c r="O33" s="102">
        <f t="shared" si="2"/>
        <v>676</v>
      </c>
      <c r="P33" s="102">
        <f t="shared" si="3"/>
        <v>54.899999999999991</v>
      </c>
      <c r="Q33" s="102">
        <f t="shared" si="4"/>
        <v>801.59999999999991</v>
      </c>
    </row>
    <row r="34" spans="1:17">
      <c r="A34" s="102">
        <v>1989</v>
      </c>
      <c r="B34" s="102">
        <v>7.6</v>
      </c>
      <c r="C34" s="102">
        <v>11.2</v>
      </c>
      <c r="D34" s="102">
        <v>68.8</v>
      </c>
      <c r="E34" s="102">
        <v>24</v>
      </c>
      <c r="F34" s="102">
        <v>63.1</v>
      </c>
      <c r="G34" s="102">
        <v>85.9</v>
      </c>
      <c r="H34" s="102">
        <v>84.8</v>
      </c>
      <c r="I34" s="102">
        <v>104.5</v>
      </c>
      <c r="J34" s="102">
        <v>119</v>
      </c>
      <c r="K34" s="102">
        <v>38.1</v>
      </c>
      <c r="L34" s="102">
        <v>7.3</v>
      </c>
      <c r="M34" s="102">
        <v>18.5</v>
      </c>
      <c r="N34" s="102">
        <f t="shared" si="1"/>
        <v>111.6</v>
      </c>
      <c r="O34" s="102">
        <f t="shared" si="2"/>
        <v>457.3</v>
      </c>
      <c r="P34" s="102">
        <f t="shared" si="3"/>
        <v>63.9</v>
      </c>
      <c r="Q34" s="102">
        <f t="shared" si="4"/>
        <v>632.80000000000007</v>
      </c>
    </row>
    <row r="35" spans="1:17">
      <c r="A35" s="102">
        <v>1990</v>
      </c>
      <c r="B35" s="102">
        <v>6.4</v>
      </c>
      <c r="C35" s="102">
        <v>21.9</v>
      </c>
      <c r="D35" s="102">
        <v>70.900000000000006</v>
      </c>
      <c r="E35" s="102">
        <v>47.6</v>
      </c>
      <c r="F35" s="102">
        <v>192.8</v>
      </c>
      <c r="G35" s="102">
        <v>234</v>
      </c>
      <c r="H35" s="102">
        <v>169.5</v>
      </c>
      <c r="I35" s="102">
        <v>30</v>
      </c>
      <c r="J35" s="102">
        <v>127.8</v>
      </c>
      <c r="K35" s="102">
        <v>53.9</v>
      </c>
      <c r="L35" s="102">
        <v>32.5</v>
      </c>
      <c r="M35" s="102">
        <v>7.8</v>
      </c>
      <c r="N35" s="102">
        <f t="shared" si="1"/>
        <v>146.80000000000001</v>
      </c>
      <c r="O35" s="102">
        <f t="shared" si="2"/>
        <v>754.09999999999991</v>
      </c>
      <c r="P35" s="102">
        <f t="shared" si="3"/>
        <v>94.2</v>
      </c>
      <c r="Q35" s="102">
        <f t="shared" si="4"/>
        <v>995.09999999999991</v>
      </c>
    </row>
    <row r="36" spans="1:17">
      <c r="A36" s="102">
        <v>1991</v>
      </c>
      <c r="B36" s="102">
        <v>49.4</v>
      </c>
      <c r="C36" s="102">
        <v>2.2999999999999998</v>
      </c>
      <c r="D36" s="102">
        <v>27.6</v>
      </c>
      <c r="E36" s="102">
        <v>44.6</v>
      </c>
      <c r="F36" s="102">
        <v>64.900000000000006</v>
      </c>
      <c r="G36" s="102">
        <v>253.5</v>
      </c>
      <c r="H36" s="102">
        <v>363.2</v>
      </c>
      <c r="I36" s="102">
        <v>303</v>
      </c>
      <c r="J36" s="102">
        <v>169.2</v>
      </c>
      <c r="K36" s="102">
        <v>39.799999999999997</v>
      </c>
      <c r="L36" s="102">
        <v>32.4</v>
      </c>
      <c r="M36" s="102">
        <v>19.600000000000001</v>
      </c>
      <c r="N36" s="102">
        <f t="shared" si="1"/>
        <v>123.9</v>
      </c>
      <c r="O36" s="102">
        <f t="shared" si="2"/>
        <v>1153.8</v>
      </c>
      <c r="P36" s="102">
        <f t="shared" si="3"/>
        <v>91.799999999999983</v>
      </c>
      <c r="Q36" s="102">
        <f t="shared" si="4"/>
        <v>1369.5</v>
      </c>
    </row>
    <row r="37" spans="1:17">
      <c r="A37" s="102">
        <v>1992</v>
      </c>
      <c r="B37" s="102">
        <v>34.700000000000003</v>
      </c>
      <c r="C37" s="102">
        <v>30.6</v>
      </c>
      <c r="D37" s="102">
        <v>23</v>
      </c>
      <c r="E37" s="102">
        <v>78.8</v>
      </c>
      <c r="F37" s="102">
        <v>161.69999999999999</v>
      </c>
      <c r="G37" s="102">
        <v>233.9</v>
      </c>
      <c r="H37" s="102">
        <v>154.69999999999999</v>
      </c>
      <c r="I37" s="102">
        <v>62.6</v>
      </c>
      <c r="J37" s="102">
        <v>44.6</v>
      </c>
      <c r="K37" s="102">
        <v>122.9</v>
      </c>
      <c r="L37" s="102">
        <v>12.9</v>
      </c>
      <c r="M37" s="102">
        <v>9.6999999999999993</v>
      </c>
      <c r="N37" s="102">
        <f t="shared" si="1"/>
        <v>167.10000000000002</v>
      </c>
      <c r="O37" s="102">
        <f t="shared" si="2"/>
        <v>657.5</v>
      </c>
      <c r="P37" s="102">
        <f t="shared" si="3"/>
        <v>145.5</v>
      </c>
      <c r="Q37" s="102">
        <f t="shared" si="4"/>
        <v>970.10000000000014</v>
      </c>
    </row>
    <row r="38" spans="1:17">
      <c r="A38" s="102">
        <v>1993</v>
      </c>
      <c r="B38" s="102">
        <v>16.8</v>
      </c>
      <c r="C38" s="102">
        <v>34.4</v>
      </c>
      <c r="D38" s="102">
        <v>0.6</v>
      </c>
      <c r="E38" s="102">
        <v>45.5</v>
      </c>
      <c r="F38" s="102">
        <v>191.9</v>
      </c>
      <c r="G38" s="102">
        <v>196</v>
      </c>
      <c r="H38" s="102">
        <v>261.89999999999998</v>
      </c>
      <c r="I38" s="102">
        <v>315.89999999999998</v>
      </c>
      <c r="J38" s="102">
        <v>146.30000000000001</v>
      </c>
      <c r="K38" s="102">
        <v>10.3</v>
      </c>
      <c r="L38" s="102">
        <v>52.8</v>
      </c>
      <c r="M38" s="102">
        <v>5.4</v>
      </c>
      <c r="N38" s="102">
        <f t="shared" si="1"/>
        <v>97.300000000000011</v>
      </c>
      <c r="O38" s="102">
        <f t="shared" si="2"/>
        <v>1112</v>
      </c>
      <c r="P38" s="102">
        <f t="shared" si="3"/>
        <v>68.5</v>
      </c>
      <c r="Q38" s="102">
        <f t="shared" si="4"/>
        <v>1277.8</v>
      </c>
    </row>
    <row r="39" spans="1:17">
      <c r="A39" s="102">
        <v>1994</v>
      </c>
      <c r="B39" s="102">
        <v>19.7</v>
      </c>
      <c r="C39" s="102">
        <v>7.8</v>
      </c>
      <c r="D39" s="102">
        <v>50.4</v>
      </c>
      <c r="E39" s="102">
        <v>53.8</v>
      </c>
      <c r="F39" s="102">
        <v>266.2</v>
      </c>
      <c r="G39" s="102">
        <v>394</v>
      </c>
      <c r="H39" s="102">
        <v>128.80000000000001</v>
      </c>
      <c r="I39" s="102">
        <v>126.2</v>
      </c>
      <c r="J39" s="102">
        <v>93.3</v>
      </c>
      <c r="K39" s="102">
        <v>68.400000000000006</v>
      </c>
      <c r="L39" s="102">
        <v>62.5</v>
      </c>
      <c r="M39" s="102">
        <v>39.1</v>
      </c>
      <c r="N39" s="102">
        <f t="shared" si="1"/>
        <v>131.69999999999999</v>
      </c>
      <c r="O39" s="102">
        <f t="shared" si="2"/>
        <v>1008.5</v>
      </c>
      <c r="P39" s="102">
        <f t="shared" si="3"/>
        <v>170</v>
      </c>
      <c r="Q39" s="102">
        <f t="shared" si="4"/>
        <v>1310.2</v>
      </c>
    </row>
    <row r="40" spans="1:17">
      <c r="A40" s="102">
        <v>1995</v>
      </c>
      <c r="B40" s="102">
        <v>23.5</v>
      </c>
      <c r="C40" s="102">
        <v>36.1</v>
      </c>
      <c r="D40" s="102">
        <v>4.3</v>
      </c>
      <c r="E40" s="102">
        <v>53.4</v>
      </c>
      <c r="F40" s="102">
        <v>222.4</v>
      </c>
      <c r="G40" s="102">
        <v>195.2</v>
      </c>
      <c r="H40" s="102">
        <v>328.5</v>
      </c>
      <c r="I40" s="102">
        <v>292.3</v>
      </c>
      <c r="J40" s="102">
        <v>169.3</v>
      </c>
      <c r="K40" s="102">
        <v>19.899999999999999</v>
      </c>
      <c r="L40" s="102">
        <v>25.1</v>
      </c>
      <c r="M40" s="102">
        <v>1.3</v>
      </c>
      <c r="N40" s="102">
        <f t="shared" si="1"/>
        <v>117.3</v>
      </c>
      <c r="O40" s="102">
        <f t="shared" si="2"/>
        <v>1207.7</v>
      </c>
      <c r="P40" s="102">
        <f t="shared" si="3"/>
        <v>46.3</v>
      </c>
      <c r="Q40" s="102">
        <f t="shared" si="4"/>
        <v>1371.3</v>
      </c>
    </row>
    <row r="41" spans="1:17">
      <c r="A41" s="102">
        <v>1996</v>
      </c>
      <c r="B41" s="102">
        <v>2.6</v>
      </c>
      <c r="C41" s="102">
        <v>6.6</v>
      </c>
      <c r="D41" s="102">
        <v>83.8</v>
      </c>
      <c r="E41" s="102">
        <v>82.5</v>
      </c>
      <c r="F41" s="102">
        <v>168.4</v>
      </c>
      <c r="G41" s="102">
        <v>148.5</v>
      </c>
      <c r="H41" s="102">
        <v>340</v>
      </c>
      <c r="I41" s="102">
        <v>151</v>
      </c>
      <c r="J41" s="102">
        <v>69.900000000000006</v>
      </c>
      <c r="K41" s="102">
        <v>27.4</v>
      </c>
      <c r="L41" s="102">
        <v>69.5</v>
      </c>
      <c r="M41" s="102">
        <v>9.3000000000000007</v>
      </c>
      <c r="N41" s="102">
        <f t="shared" si="1"/>
        <v>175.5</v>
      </c>
      <c r="O41" s="102">
        <f t="shared" si="2"/>
        <v>877.8</v>
      </c>
      <c r="P41" s="102">
        <f t="shared" si="3"/>
        <v>106.2</v>
      </c>
      <c r="Q41" s="102">
        <f t="shared" si="4"/>
        <v>1159.5</v>
      </c>
    </row>
    <row r="42" spans="1:17">
      <c r="A42" s="102">
        <v>1997</v>
      </c>
      <c r="B42" s="102">
        <v>23.2</v>
      </c>
      <c r="C42" s="102">
        <v>21</v>
      </c>
      <c r="D42" s="102">
        <v>33.700000000000003</v>
      </c>
      <c r="E42" s="102">
        <v>89.3</v>
      </c>
      <c r="F42" s="102">
        <v>122.1</v>
      </c>
      <c r="G42" s="102">
        <v>281.89999999999998</v>
      </c>
      <c r="H42" s="102">
        <v>351.4</v>
      </c>
      <c r="I42" s="102">
        <v>135</v>
      </c>
      <c r="J42" s="102">
        <v>137.9</v>
      </c>
      <c r="K42" s="102">
        <v>122.8</v>
      </c>
      <c r="L42" s="102">
        <v>21.1</v>
      </c>
      <c r="M42" s="102">
        <v>8.1</v>
      </c>
      <c r="N42" s="102">
        <f t="shared" si="1"/>
        <v>167.2</v>
      </c>
      <c r="O42" s="102">
        <f t="shared" si="2"/>
        <v>1028.3</v>
      </c>
      <c r="P42" s="102">
        <f t="shared" si="3"/>
        <v>152</v>
      </c>
      <c r="Q42" s="102">
        <f t="shared" si="4"/>
        <v>1347.4999999999998</v>
      </c>
    </row>
    <row r="43" spans="1:17">
      <c r="A43" s="102">
        <v>1998</v>
      </c>
      <c r="B43" s="102">
        <v>26</v>
      </c>
      <c r="C43" s="102">
        <v>19.5</v>
      </c>
      <c r="D43" s="102">
        <v>11.7</v>
      </c>
      <c r="E43" s="102">
        <v>80.2</v>
      </c>
      <c r="F43" s="102">
        <v>131.69999999999999</v>
      </c>
      <c r="G43" s="102">
        <v>215.5</v>
      </c>
      <c r="H43" s="102">
        <v>260.10000000000002</v>
      </c>
      <c r="I43" s="102">
        <v>233.6</v>
      </c>
      <c r="J43" s="102">
        <v>14.1</v>
      </c>
      <c r="K43" s="102">
        <v>99</v>
      </c>
      <c r="L43" s="102">
        <v>30.2</v>
      </c>
      <c r="M43" s="102">
        <v>21.9</v>
      </c>
      <c r="N43" s="102">
        <f t="shared" si="1"/>
        <v>137.4</v>
      </c>
      <c r="O43" s="102">
        <f t="shared" si="2"/>
        <v>855</v>
      </c>
      <c r="P43" s="102">
        <f t="shared" si="3"/>
        <v>151.1</v>
      </c>
      <c r="Q43" s="102">
        <f t="shared" si="4"/>
        <v>1143.5000000000002</v>
      </c>
    </row>
    <row r="44" spans="1:17">
      <c r="A44" s="102">
        <v>1999</v>
      </c>
      <c r="B44" s="102">
        <v>19.100000000000001</v>
      </c>
      <c r="C44" s="102">
        <v>8.1999999999999993</v>
      </c>
      <c r="D44" s="102">
        <v>25.8</v>
      </c>
      <c r="E44" s="102">
        <v>120.1</v>
      </c>
      <c r="F44" s="102">
        <v>136.5</v>
      </c>
      <c r="G44" s="102">
        <v>184</v>
      </c>
      <c r="H44" s="102">
        <v>242.3</v>
      </c>
      <c r="I44" s="102">
        <v>180.7</v>
      </c>
      <c r="J44" s="102">
        <v>26.1</v>
      </c>
      <c r="K44" s="102">
        <v>140.9</v>
      </c>
      <c r="L44" s="102">
        <v>64</v>
      </c>
      <c r="M44" s="102">
        <v>2.2000000000000002</v>
      </c>
      <c r="N44" s="102">
        <f t="shared" si="1"/>
        <v>173.2</v>
      </c>
      <c r="O44" s="102">
        <f t="shared" si="2"/>
        <v>769.6</v>
      </c>
      <c r="P44" s="102">
        <f t="shared" si="3"/>
        <v>207.1</v>
      </c>
      <c r="Q44" s="102">
        <f t="shared" si="4"/>
        <v>1149.9000000000001</v>
      </c>
    </row>
    <row r="45" spans="1:17">
      <c r="A45" s="102">
        <v>2000</v>
      </c>
      <c r="B45" s="102">
        <v>7.3</v>
      </c>
      <c r="C45" s="102">
        <v>20.100000000000001</v>
      </c>
      <c r="D45" s="102">
        <v>43.2</v>
      </c>
      <c r="E45" s="102">
        <v>84.6</v>
      </c>
      <c r="F45" s="102">
        <v>157.6</v>
      </c>
      <c r="G45" s="102">
        <v>503.8</v>
      </c>
      <c r="H45" s="102">
        <v>191.4</v>
      </c>
      <c r="I45" s="102">
        <v>206</v>
      </c>
      <c r="J45" s="102">
        <v>55.3</v>
      </c>
      <c r="K45" s="102">
        <v>59.6</v>
      </c>
      <c r="L45" s="102">
        <v>36.799999999999997</v>
      </c>
      <c r="M45" s="102">
        <v>14.4</v>
      </c>
      <c r="N45" s="102">
        <f t="shared" si="1"/>
        <v>155.19999999999999</v>
      </c>
      <c r="O45" s="102">
        <f t="shared" si="2"/>
        <v>1114.0999999999999</v>
      </c>
      <c r="P45" s="102">
        <f t="shared" si="3"/>
        <v>110.80000000000001</v>
      </c>
      <c r="Q45" s="102">
        <f t="shared" si="4"/>
        <v>1380.1</v>
      </c>
    </row>
    <row r="46" spans="1:17">
      <c r="A46" s="102">
        <v>2001</v>
      </c>
      <c r="B46" s="102">
        <v>7.6</v>
      </c>
      <c r="C46" s="102">
        <v>14.2</v>
      </c>
      <c r="D46" s="102">
        <v>21.8</v>
      </c>
      <c r="E46" s="102">
        <v>12</v>
      </c>
      <c r="F46" s="102">
        <v>186.7</v>
      </c>
      <c r="G46" s="102">
        <v>435.7</v>
      </c>
      <c r="H46" s="102">
        <v>232.4</v>
      </c>
      <c r="I46" s="102">
        <v>167.1</v>
      </c>
      <c r="J46" s="102">
        <v>212.2</v>
      </c>
      <c r="K46" s="102">
        <v>110.2</v>
      </c>
      <c r="L46" s="102">
        <v>10.7</v>
      </c>
      <c r="M46" s="102">
        <v>4.7</v>
      </c>
      <c r="N46" s="102">
        <f t="shared" si="1"/>
        <v>55.599999999999994</v>
      </c>
      <c r="O46" s="102">
        <f t="shared" si="2"/>
        <v>1234.0999999999999</v>
      </c>
      <c r="P46" s="102">
        <f t="shared" si="3"/>
        <v>125.60000000000001</v>
      </c>
      <c r="Q46" s="102">
        <f t="shared" si="4"/>
        <v>1415.3000000000002</v>
      </c>
    </row>
    <row r="47" spans="1:17">
      <c r="A47" s="102">
        <v>2002</v>
      </c>
      <c r="B47" s="102">
        <v>13.4</v>
      </c>
      <c r="C47" s="102">
        <v>43.3</v>
      </c>
      <c r="D47" s="102">
        <v>38.1</v>
      </c>
      <c r="E47" s="102">
        <v>77.8</v>
      </c>
      <c r="F47" s="102">
        <v>243.9</v>
      </c>
      <c r="G47" s="102">
        <v>149.30000000000001</v>
      </c>
      <c r="H47" s="102">
        <v>66.3</v>
      </c>
      <c r="I47" s="102">
        <v>254.1</v>
      </c>
      <c r="J47" s="102">
        <v>21.7</v>
      </c>
      <c r="K47" s="102">
        <v>119.5</v>
      </c>
      <c r="L47" s="102">
        <v>8</v>
      </c>
      <c r="M47" s="102">
        <v>29.3</v>
      </c>
      <c r="N47" s="102">
        <f t="shared" si="1"/>
        <v>172.6</v>
      </c>
      <c r="O47" s="102">
        <f t="shared" si="2"/>
        <v>735.30000000000007</v>
      </c>
      <c r="P47" s="102">
        <f t="shared" si="3"/>
        <v>156.80000000000001</v>
      </c>
      <c r="Q47" s="102">
        <f t="shared" si="4"/>
        <v>1064.7</v>
      </c>
    </row>
    <row r="48" spans="1:17">
      <c r="A48" s="102">
        <v>2003</v>
      </c>
      <c r="B48" s="102">
        <v>24.2</v>
      </c>
      <c r="C48" s="102">
        <v>0</v>
      </c>
      <c r="D48" s="102">
        <v>25</v>
      </c>
      <c r="E48" s="102">
        <v>110.2</v>
      </c>
      <c r="F48" s="102">
        <v>151.4</v>
      </c>
      <c r="G48" s="102">
        <v>228.8</v>
      </c>
      <c r="H48" s="102">
        <v>280.7</v>
      </c>
      <c r="I48" s="102">
        <v>102.5</v>
      </c>
      <c r="J48" s="102">
        <v>64.8</v>
      </c>
      <c r="K48" s="102">
        <v>27.2</v>
      </c>
      <c r="L48" s="102">
        <v>15.6</v>
      </c>
      <c r="M48" s="102">
        <v>22</v>
      </c>
      <c r="N48" s="102">
        <f t="shared" si="1"/>
        <v>159.4</v>
      </c>
      <c r="O48" s="102">
        <f t="shared" si="2"/>
        <v>828.2</v>
      </c>
      <c r="P48" s="102">
        <f t="shared" si="3"/>
        <v>64.8</v>
      </c>
      <c r="Q48" s="102">
        <f t="shared" si="4"/>
        <v>1052.3999999999999</v>
      </c>
    </row>
    <row r="49" spans="1:33">
      <c r="A49" s="102">
        <v>2004</v>
      </c>
      <c r="B49" s="103">
        <v>19.2</v>
      </c>
      <c r="C49" s="103">
        <v>8.1999999999999993</v>
      </c>
      <c r="D49" s="103">
        <v>9</v>
      </c>
      <c r="E49" s="103">
        <v>62.9</v>
      </c>
      <c r="F49" s="103">
        <v>97</v>
      </c>
      <c r="G49" s="103">
        <v>70.900000000000006</v>
      </c>
      <c r="H49" s="103">
        <v>220.9</v>
      </c>
      <c r="I49" s="103">
        <v>158.9</v>
      </c>
      <c r="J49" s="103">
        <v>148.6</v>
      </c>
      <c r="K49" s="103">
        <v>26.6</v>
      </c>
      <c r="L49" s="103">
        <v>6.2</v>
      </c>
      <c r="M49" s="103">
        <v>11.9</v>
      </c>
      <c r="N49" s="102">
        <f t="shared" si="1"/>
        <v>99.3</v>
      </c>
      <c r="O49" s="102">
        <f t="shared" si="2"/>
        <v>696.30000000000007</v>
      </c>
      <c r="P49" s="102">
        <f t="shared" si="3"/>
        <v>44.7</v>
      </c>
      <c r="Q49" s="102">
        <f t="shared" si="4"/>
        <v>840.30000000000007</v>
      </c>
    </row>
    <row r="50" spans="1:33">
      <c r="A50" s="102">
        <v>2005</v>
      </c>
      <c r="B50" s="103">
        <v>30.7</v>
      </c>
      <c r="C50" s="103">
        <v>1.5</v>
      </c>
      <c r="D50" s="103">
        <v>28.8</v>
      </c>
      <c r="E50" s="103">
        <v>38.5</v>
      </c>
      <c r="F50" s="103">
        <v>90.8</v>
      </c>
      <c r="G50" s="103">
        <v>312.89999999999998</v>
      </c>
      <c r="H50" s="103">
        <v>181.5</v>
      </c>
      <c r="I50" s="103">
        <v>163</v>
      </c>
      <c r="J50" s="103">
        <v>125.5</v>
      </c>
      <c r="K50" s="103">
        <v>45.2</v>
      </c>
      <c r="L50" s="103">
        <v>25.3</v>
      </c>
      <c r="M50" s="103">
        <v>12.6</v>
      </c>
      <c r="N50" s="102">
        <f t="shared" si="1"/>
        <v>99.5</v>
      </c>
      <c r="O50" s="102">
        <f t="shared" si="2"/>
        <v>873.7</v>
      </c>
      <c r="P50" s="102">
        <f t="shared" si="3"/>
        <v>83.1</v>
      </c>
      <c r="Q50" s="102">
        <f t="shared" si="4"/>
        <v>1056.3</v>
      </c>
    </row>
    <row r="51" spans="1:33">
      <c r="A51" s="102">
        <v>2006</v>
      </c>
      <c r="B51" s="102">
        <v>0</v>
      </c>
      <c r="C51" s="102">
        <v>21.7</v>
      </c>
      <c r="D51" s="102">
        <v>26.5</v>
      </c>
      <c r="E51" s="102">
        <v>46.7</v>
      </c>
      <c r="F51" s="102">
        <v>102.9</v>
      </c>
      <c r="G51" s="102">
        <v>216.3</v>
      </c>
      <c r="H51" s="102">
        <v>133.69999999999999</v>
      </c>
      <c r="I51" s="102">
        <v>174.2</v>
      </c>
      <c r="J51" s="102">
        <v>28.4</v>
      </c>
      <c r="K51" s="102">
        <v>156.80000000000001</v>
      </c>
      <c r="L51" s="102">
        <v>12.2</v>
      </c>
      <c r="M51" s="102">
        <v>7</v>
      </c>
      <c r="N51" s="102">
        <f t="shared" si="1"/>
        <v>94.9</v>
      </c>
      <c r="O51" s="102">
        <f t="shared" si="2"/>
        <v>655.5</v>
      </c>
      <c r="P51" s="102">
        <f t="shared" si="3"/>
        <v>176</v>
      </c>
      <c r="Q51" s="102">
        <f t="shared" si="4"/>
        <v>926.40000000000009</v>
      </c>
    </row>
    <row r="52" spans="1:33">
      <c r="A52" s="102">
        <v>2007</v>
      </c>
      <c r="B52" s="102">
        <v>29.2</v>
      </c>
      <c r="C52" s="102">
        <v>4.7</v>
      </c>
      <c r="D52" s="102">
        <v>10.1</v>
      </c>
      <c r="E52" s="102">
        <v>84.3</v>
      </c>
      <c r="F52" s="102">
        <v>148.5</v>
      </c>
      <c r="G52" s="102">
        <v>307</v>
      </c>
      <c r="H52" s="102">
        <v>442.7</v>
      </c>
      <c r="I52" s="102">
        <v>214.8</v>
      </c>
      <c r="J52" s="102">
        <v>71.599999999999994</v>
      </c>
      <c r="K52" s="102">
        <v>24.8</v>
      </c>
      <c r="L52" s="102">
        <v>2.8</v>
      </c>
      <c r="M52" s="102">
        <v>10.1</v>
      </c>
      <c r="N52" s="102">
        <f t="shared" si="1"/>
        <v>128.30000000000001</v>
      </c>
      <c r="O52" s="102">
        <f t="shared" si="2"/>
        <v>1184.5999999999999</v>
      </c>
      <c r="P52" s="102">
        <f t="shared" si="3"/>
        <v>37.700000000000003</v>
      </c>
      <c r="Q52" s="102">
        <f t="shared" si="4"/>
        <v>1350.5999999999997</v>
      </c>
    </row>
    <row r="53" spans="1:33">
      <c r="A53" s="102">
        <v>2008</v>
      </c>
      <c r="B53" s="102">
        <v>11.8</v>
      </c>
      <c r="C53" s="102">
        <v>5.3</v>
      </c>
      <c r="D53" s="102">
        <v>63.6</v>
      </c>
      <c r="E53" s="102">
        <v>16</v>
      </c>
      <c r="F53" s="102">
        <v>340.7</v>
      </c>
      <c r="G53" s="102">
        <v>211.1</v>
      </c>
      <c r="H53" s="102">
        <v>194.7</v>
      </c>
      <c r="I53" s="102">
        <v>254.6</v>
      </c>
      <c r="J53" s="102">
        <v>91.9</v>
      </c>
      <c r="K53" s="102">
        <v>96.1</v>
      </c>
      <c r="L53" s="102">
        <v>37</v>
      </c>
      <c r="M53" s="102">
        <v>3.8</v>
      </c>
      <c r="N53" s="102">
        <f t="shared" si="1"/>
        <v>96.7</v>
      </c>
      <c r="O53" s="102">
        <f t="shared" si="2"/>
        <v>1093</v>
      </c>
      <c r="P53" s="102">
        <f t="shared" si="3"/>
        <v>136.9</v>
      </c>
      <c r="Q53" s="102">
        <f t="shared" si="4"/>
        <v>1326.6</v>
      </c>
    </row>
    <row r="54" spans="1:33">
      <c r="A54" s="102">
        <v>2009</v>
      </c>
      <c r="B54" s="102">
        <v>4.2</v>
      </c>
      <c r="C54" s="102">
        <v>3.9</v>
      </c>
      <c r="D54" s="102">
        <v>32.700000000000003</v>
      </c>
      <c r="E54" s="102">
        <v>43.3</v>
      </c>
      <c r="F54" s="102">
        <v>111.6</v>
      </c>
      <c r="G54" s="102">
        <v>292.60000000000002</v>
      </c>
      <c r="H54" s="102">
        <v>258.8</v>
      </c>
      <c r="I54" s="102">
        <v>204</v>
      </c>
      <c r="J54" s="102">
        <v>27.2</v>
      </c>
      <c r="K54" s="102">
        <v>24.5</v>
      </c>
      <c r="L54" s="102">
        <v>0.4</v>
      </c>
      <c r="M54" s="102">
        <v>1.1000000000000001</v>
      </c>
      <c r="N54" s="102">
        <f t="shared" si="1"/>
        <v>84.1</v>
      </c>
      <c r="O54" s="102">
        <f t="shared" si="2"/>
        <v>894.2</v>
      </c>
      <c r="P54" s="102">
        <f t="shared" si="3"/>
        <v>26</v>
      </c>
      <c r="Q54" s="102">
        <f t="shared" si="4"/>
        <v>1004.3000000000001</v>
      </c>
    </row>
    <row r="55" spans="1:33">
      <c r="A55" s="102">
        <v>2010</v>
      </c>
      <c r="B55" s="102">
        <v>0</v>
      </c>
      <c r="C55" s="102">
        <v>0</v>
      </c>
      <c r="D55" s="102">
        <v>0</v>
      </c>
      <c r="E55" s="102">
        <v>73.599999999999994</v>
      </c>
      <c r="F55" s="102">
        <v>123.6</v>
      </c>
      <c r="G55" s="102">
        <v>432.2</v>
      </c>
      <c r="H55" s="102">
        <v>199.9</v>
      </c>
      <c r="I55" s="102">
        <v>88.4</v>
      </c>
      <c r="J55" s="102">
        <v>155.19999999999999</v>
      </c>
      <c r="K55" s="102">
        <v>55.3</v>
      </c>
      <c r="L55" s="102">
        <v>31.9</v>
      </c>
      <c r="M55" s="102">
        <v>46.4</v>
      </c>
      <c r="N55" s="102">
        <f t="shared" si="1"/>
        <v>73.599999999999994</v>
      </c>
      <c r="O55" s="102">
        <f t="shared" si="2"/>
        <v>999.3</v>
      </c>
      <c r="P55" s="102">
        <f t="shared" si="3"/>
        <v>133.6</v>
      </c>
      <c r="Q55" s="102">
        <f t="shared" si="4"/>
        <v>1206.5</v>
      </c>
    </row>
    <row r="56" spans="1:33">
      <c r="A56" s="102">
        <v>2011</v>
      </c>
      <c r="B56" s="102">
        <v>31.5</v>
      </c>
      <c r="C56" s="102">
        <v>4.5</v>
      </c>
      <c r="D56" s="102">
        <v>8.8000000000000007</v>
      </c>
      <c r="E56" s="102">
        <v>30</v>
      </c>
      <c r="F56" s="102">
        <v>88</v>
      </c>
      <c r="G56" s="102">
        <v>255.6</v>
      </c>
      <c r="H56" s="102">
        <v>48.5</v>
      </c>
      <c r="I56" s="102">
        <v>100.6</v>
      </c>
      <c r="J56" s="102">
        <v>89.4</v>
      </c>
      <c r="K56" s="102">
        <v>80.2</v>
      </c>
      <c r="L56" s="102">
        <v>20.5</v>
      </c>
      <c r="M56" s="102">
        <v>14.5</v>
      </c>
      <c r="N56" s="102">
        <f t="shared" si="1"/>
        <v>74.8</v>
      </c>
      <c r="O56" s="102">
        <f t="shared" si="2"/>
        <v>582.1</v>
      </c>
      <c r="P56" s="102">
        <f t="shared" si="3"/>
        <v>115.2</v>
      </c>
      <c r="Q56" s="102">
        <f t="shared" si="4"/>
        <v>772.1</v>
      </c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</row>
    <row r="57" spans="1:33">
      <c r="A57" s="102">
        <v>2012</v>
      </c>
      <c r="B57" s="102">
        <v>15.6</v>
      </c>
      <c r="C57" s="102">
        <v>5.5</v>
      </c>
      <c r="D57" s="102">
        <v>22.3</v>
      </c>
      <c r="E57" s="102">
        <v>2.7</v>
      </c>
      <c r="F57" s="102">
        <v>300.10000000000002</v>
      </c>
      <c r="G57" s="102">
        <v>149.5</v>
      </c>
      <c r="H57" s="102">
        <v>209</v>
      </c>
      <c r="I57" s="102">
        <v>61</v>
      </c>
      <c r="J57" s="102">
        <v>74.7</v>
      </c>
      <c r="K57" s="102">
        <v>69.5</v>
      </c>
      <c r="L57" s="102">
        <v>13.9</v>
      </c>
      <c r="M57" s="102">
        <v>2.2999999999999998</v>
      </c>
      <c r="N57" s="102">
        <f t="shared" si="1"/>
        <v>46.100000000000009</v>
      </c>
      <c r="O57" s="102">
        <f t="shared" si="2"/>
        <v>794.30000000000007</v>
      </c>
      <c r="P57" s="102">
        <f t="shared" si="3"/>
        <v>85.7</v>
      </c>
      <c r="Q57" s="102">
        <f t="shared" si="4"/>
        <v>926.1</v>
      </c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</row>
    <row r="58" spans="1:33">
      <c r="A58" s="102">
        <v>2013</v>
      </c>
      <c r="B58" s="102">
        <v>3.6</v>
      </c>
      <c r="C58" s="102">
        <v>3</v>
      </c>
      <c r="D58" s="102">
        <v>29.1</v>
      </c>
      <c r="E58" s="102">
        <v>55.1</v>
      </c>
      <c r="F58" s="102">
        <v>154.1</v>
      </c>
      <c r="G58" s="102">
        <v>153.5</v>
      </c>
      <c r="H58" s="102">
        <v>35</v>
      </c>
      <c r="I58" s="102">
        <v>101.4</v>
      </c>
      <c r="J58" s="102">
        <v>119.6</v>
      </c>
      <c r="K58" s="102">
        <v>50.4</v>
      </c>
      <c r="L58" s="102">
        <v>37</v>
      </c>
      <c r="M58" s="102">
        <v>31.2</v>
      </c>
      <c r="N58" s="102">
        <f t="shared" si="1"/>
        <v>90.800000000000011</v>
      </c>
      <c r="O58" s="102">
        <f t="shared" si="2"/>
        <v>563.6</v>
      </c>
      <c r="P58" s="102">
        <f t="shared" si="3"/>
        <v>118.60000000000001</v>
      </c>
      <c r="Q58" s="102">
        <f t="shared" si="4"/>
        <v>773</v>
      </c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</row>
    <row r="59" spans="1:33">
      <c r="A59" s="102">
        <v>2014</v>
      </c>
      <c r="B59" s="128">
        <v>6</v>
      </c>
      <c r="C59" s="128">
        <v>19.399999999999999</v>
      </c>
      <c r="D59" s="128">
        <v>31.4</v>
      </c>
      <c r="E59" s="128">
        <v>32.6</v>
      </c>
      <c r="F59" s="128">
        <v>49.8</v>
      </c>
      <c r="G59" s="128">
        <v>283.39999999999998</v>
      </c>
      <c r="H59" s="128">
        <v>260.60000000000002</v>
      </c>
      <c r="I59" s="128">
        <v>156.69999999999999</v>
      </c>
      <c r="J59" s="128">
        <v>211.5</v>
      </c>
      <c r="K59" s="128">
        <v>68.2</v>
      </c>
      <c r="L59" s="128">
        <v>35.9</v>
      </c>
      <c r="M59" s="128">
        <v>3.9</v>
      </c>
      <c r="N59" s="102">
        <f t="shared" ref="N59:N60" si="5">SUM(B59:E59)</f>
        <v>89.4</v>
      </c>
      <c r="O59" s="102">
        <f t="shared" ref="O59:O60" si="6">SUM(F59:J59)</f>
        <v>962</v>
      </c>
      <c r="P59" s="102">
        <f t="shared" ref="P59:P60" si="7">SUM(K59:M59)</f>
        <v>108</v>
      </c>
      <c r="Q59" s="102">
        <f t="shared" ref="Q59:Q60" si="8">SUM(B59:M59)</f>
        <v>1159.4000000000003</v>
      </c>
    </row>
    <row r="60" spans="1:33">
      <c r="A60" s="102">
        <v>2015</v>
      </c>
      <c r="B60" s="128">
        <v>28.5</v>
      </c>
      <c r="C60" s="128">
        <v>5.3</v>
      </c>
      <c r="D60" s="128">
        <v>5.8</v>
      </c>
      <c r="E60" s="128">
        <v>35.799999999999997</v>
      </c>
      <c r="F60" s="128">
        <v>193.5</v>
      </c>
      <c r="G60" s="128">
        <v>312</v>
      </c>
      <c r="H60" s="128">
        <v>118.7</v>
      </c>
      <c r="I60" s="128">
        <v>317.10000000000002</v>
      </c>
      <c r="J60" s="128">
        <v>143.30000000000001</v>
      </c>
      <c r="K60" s="128">
        <v>81.8</v>
      </c>
      <c r="L60" s="128">
        <v>22.9</v>
      </c>
      <c r="M60" s="128">
        <v>48.3</v>
      </c>
      <c r="N60" s="102">
        <f t="shared" si="5"/>
        <v>75.399999999999991</v>
      </c>
      <c r="O60" s="102">
        <f t="shared" si="6"/>
        <v>1084.6000000000001</v>
      </c>
      <c r="P60" s="102">
        <f t="shared" si="7"/>
        <v>153</v>
      </c>
      <c r="Q60" s="102">
        <f t="shared" si="8"/>
        <v>1313</v>
      </c>
    </row>
    <row r="61" spans="1:33" s="129" customFormat="1" ht="13.5">
      <c r="A61" s="129">
        <v>2016</v>
      </c>
      <c r="B61" s="130">
        <v>13.5</v>
      </c>
      <c r="C61" s="130">
        <v>5.9</v>
      </c>
      <c r="D61" s="130">
        <v>9.6999999999999993</v>
      </c>
      <c r="E61" s="130">
        <v>97.2</v>
      </c>
      <c r="F61" s="130">
        <v>202.1</v>
      </c>
      <c r="G61" s="130">
        <v>236.5</v>
      </c>
      <c r="H61" s="130">
        <v>121.9</v>
      </c>
      <c r="I61" s="130">
        <v>256.89999999999998</v>
      </c>
      <c r="J61" s="130">
        <v>34.700000000000003</v>
      </c>
      <c r="K61" s="130">
        <v>60.9</v>
      </c>
      <c r="L61" s="130">
        <v>50.5</v>
      </c>
      <c r="M61" s="130">
        <v>7.8</v>
      </c>
      <c r="N61" s="129">
        <f>SUM(B61:E61)</f>
        <v>126.3</v>
      </c>
      <c r="O61" s="129">
        <f>SUM(F61:J61)</f>
        <v>852.1</v>
      </c>
      <c r="P61" s="129">
        <f>SUM(K61:M61)</f>
        <v>119.2</v>
      </c>
      <c r="Q61" s="129">
        <f>SUM(B61:M61)</f>
        <v>1097.5999999999999</v>
      </c>
      <c r="R61" s="129">
        <f t="shared" ref="R61:AG61" si="9">100*(B61-B4)/B4</f>
        <v>-3.9634146341463645</v>
      </c>
      <c r="S61" s="129">
        <f t="shared" si="9"/>
        <v>-57.684426229508198</v>
      </c>
      <c r="T61" s="129">
        <f t="shared" si="9"/>
        <v>-62.584378013500469</v>
      </c>
      <c r="U61" s="129">
        <f t="shared" si="9"/>
        <v>38.475628370815116</v>
      </c>
      <c r="V61" s="129">
        <f t="shared" si="9"/>
        <v>21.464754872499341</v>
      </c>
      <c r="W61" s="129">
        <f t="shared" si="9"/>
        <v>-3.0709329898416078</v>
      </c>
      <c r="X61" s="129">
        <f t="shared" si="9"/>
        <v>-41.400267829550529</v>
      </c>
      <c r="Y61" s="129">
        <f t="shared" si="9"/>
        <v>42.417042844697825</v>
      </c>
      <c r="Z61" s="129">
        <f t="shared" si="9"/>
        <v>-69.357407553417957</v>
      </c>
      <c r="AA61" s="129">
        <f t="shared" si="9"/>
        <v>-26.245674740484443</v>
      </c>
      <c r="AB61" s="129">
        <f t="shared" si="9"/>
        <v>55.35900675712795</v>
      </c>
      <c r="AC61" s="129">
        <f t="shared" si="9"/>
        <v>-48.16045573225729</v>
      </c>
      <c r="AD61" s="129">
        <f t="shared" si="9"/>
        <v>1.7581216010128562</v>
      </c>
      <c r="AE61" s="129">
        <f t="shared" si="9"/>
        <v>-6.5707265020020094</v>
      </c>
      <c r="AF61" s="129">
        <f t="shared" si="9"/>
        <v>-8.3945161865814359</v>
      </c>
      <c r="AG61" s="129">
        <f t="shared" si="9"/>
        <v>-5.8878290027713787</v>
      </c>
    </row>
  </sheetData>
  <mergeCells count="6">
    <mergeCell ref="A1:A3"/>
    <mergeCell ref="B1:Q1"/>
    <mergeCell ref="B2:M2"/>
    <mergeCell ref="R1:AG1"/>
    <mergeCell ref="N2:Q2"/>
    <mergeCell ref="R2:AG2"/>
  </mergeCells>
  <phoneticPr fontId="2" type="noConversion"/>
  <pageMargins left="0.75" right="0.75" top="1" bottom="1" header="0.5" footer="0.5"/>
  <pageSetup paperSize="9" orientation="portrait" horizontalDpi="200" verticalDpi="200" copies="0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9"/>
  <dimension ref="A1:AG37"/>
  <sheetViews>
    <sheetView zoomScale="85" zoomScaleNormal="85" workbookViewId="0">
      <pane ySplit="5" topLeftCell="A6" activePane="bottomLeft" state="frozen"/>
      <selection pane="bottomLeft" activeCell="AD37" sqref="AD37"/>
    </sheetView>
  </sheetViews>
  <sheetFormatPr defaultRowHeight="12"/>
  <cols>
    <col min="1" max="33" width="7.125" style="102" customWidth="1"/>
    <col min="34" max="16384" width="9" style="102"/>
  </cols>
  <sheetData>
    <row r="1" spans="1:33" s="118" customFormat="1" ht="14.25" customHeight="1">
      <c r="A1" s="176" t="s">
        <v>53</v>
      </c>
      <c r="B1" s="176" t="s">
        <v>171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2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116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32</v>
      </c>
      <c r="O2" s="176"/>
      <c r="P2" s="176"/>
      <c r="Q2" s="176"/>
      <c r="R2" s="176" t="s">
        <v>38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 ht="24">
      <c r="A3" s="176"/>
      <c r="B3" s="124" t="s">
        <v>149</v>
      </c>
      <c r="C3" s="124" t="s">
        <v>150</v>
      </c>
      <c r="D3" s="124" t="s">
        <v>9</v>
      </c>
      <c r="E3" s="124" t="s">
        <v>10</v>
      </c>
      <c r="F3" s="124" t="s">
        <v>11</v>
      </c>
      <c r="G3" s="124" t="s">
        <v>12</v>
      </c>
      <c r="H3" s="124" t="s">
        <v>13</v>
      </c>
      <c r="I3" s="124" t="s">
        <v>14</v>
      </c>
      <c r="J3" s="124" t="s">
        <v>15</v>
      </c>
      <c r="K3" s="124" t="s">
        <v>16</v>
      </c>
      <c r="L3" s="124" t="s">
        <v>17</v>
      </c>
      <c r="M3" s="124" t="s">
        <v>18</v>
      </c>
      <c r="N3" s="124" t="s">
        <v>145</v>
      </c>
      <c r="O3" s="124" t="s">
        <v>146</v>
      </c>
      <c r="P3" s="124" t="s">
        <v>147</v>
      </c>
      <c r="Q3" s="124" t="s">
        <v>148</v>
      </c>
      <c r="R3" s="124" t="s">
        <v>149</v>
      </c>
      <c r="S3" s="124" t="s">
        <v>150</v>
      </c>
      <c r="T3" s="124" t="s">
        <v>151</v>
      </c>
      <c r="U3" s="124" t="s">
        <v>152</v>
      </c>
      <c r="V3" s="124" t="s">
        <v>153</v>
      </c>
      <c r="W3" s="124" t="s">
        <v>154</v>
      </c>
      <c r="X3" s="124" t="s">
        <v>25</v>
      </c>
      <c r="Y3" s="124" t="s">
        <v>26</v>
      </c>
      <c r="Z3" s="124" t="s">
        <v>27</v>
      </c>
      <c r="AA3" s="124" t="s">
        <v>155</v>
      </c>
      <c r="AB3" s="124" t="s">
        <v>156</v>
      </c>
      <c r="AC3" s="124" t="s">
        <v>157</v>
      </c>
      <c r="AD3" s="124" t="s">
        <v>90</v>
      </c>
      <c r="AE3" s="124" t="s">
        <v>42</v>
      </c>
      <c r="AF3" s="124" t="s">
        <v>111</v>
      </c>
      <c r="AG3" s="124" t="s">
        <v>66</v>
      </c>
    </row>
    <row r="4" spans="1:33" s="118" customFormat="1">
      <c r="A4" s="150" t="s">
        <v>261</v>
      </c>
      <c r="B4" s="150">
        <f t="shared" ref="B4:Q4" si="0">AVERAGE(B5:B36)</f>
        <v>18.615625000000001</v>
      </c>
      <c r="C4" s="150">
        <f t="shared" si="0"/>
        <v>17.837499999999999</v>
      </c>
      <c r="D4" s="150">
        <f t="shared" si="0"/>
        <v>31.378125000000011</v>
      </c>
      <c r="E4" s="150">
        <f t="shared" si="0"/>
        <v>65.506249999999994</v>
      </c>
      <c r="F4" s="150">
        <f t="shared" si="0"/>
        <v>180.50625000000002</v>
      </c>
      <c r="G4" s="150">
        <f t="shared" si="0"/>
        <v>292.72187500000007</v>
      </c>
      <c r="H4" s="150">
        <f t="shared" si="0"/>
        <v>260.69062500000001</v>
      </c>
      <c r="I4" s="150">
        <f t="shared" si="0"/>
        <v>177.96875000000006</v>
      </c>
      <c r="J4" s="150">
        <f t="shared" si="0"/>
        <v>115.84687500000001</v>
      </c>
      <c r="K4" s="150">
        <f t="shared" si="0"/>
        <v>79.868750000000006</v>
      </c>
      <c r="L4" s="150">
        <f t="shared" si="0"/>
        <v>30.534375000000011</v>
      </c>
      <c r="M4" s="150">
        <f t="shared" si="0"/>
        <v>14.5</v>
      </c>
      <c r="N4" s="150">
        <f t="shared" si="0"/>
        <v>133.33749999999998</v>
      </c>
      <c r="O4" s="150">
        <f t="shared" si="0"/>
        <v>1027.734375</v>
      </c>
      <c r="P4" s="150">
        <f t="shared" si="0"/>
        <v>124.90312500000005</v>
      </c>
      <c r="Q4" s="150">
        <f t="shared" si="0"/>
        <v>1285.9749999999997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1984</v>
      </c>
      <c r="B5" s="102">
        <v>14.2</v>
      </c>
      <c r="C5" s="102">
        <v>10.6</v>
      </c>
      <c r="D5" s="102">
        <v>11.4</v>
      </c>
      <c r="E5" s="102">
        <v>70.599999999999994</v>
      </c>
      <c r="F5" s="102">
        <v>252.9</v>
      </c>
      <c r="G5" s="102">
        <v>196.1</v>
      </c>
      <c r="H5" s="102">
        <v>197</v>
      </c>
      <c r="I5" s="102">
        <v>163.5</v>
      </c>
      <c r="J5" s="102">
        <v>59.9</v>
      </c>
      <c r="K5" s="102">
        <v>74.8</v>
      </c>
      <c r="L5" s="102">
        <v>20.5</v>
      </c>
      <c r="M5" s="102">
        <v>17.600000000000001</v>
      </c>
      <c r="N5" s="102">
        <f>SUM(B5:E5)</f>
        <v>106.79999999999998</v>
      </c>
      <c r="O5" s="102">
        <f>SUM(F5:J5)</f>
        <v>869.4</v>
      </c>
      <c r="P5" s="102">
        <f>SUM(K5:M5)</f>
        <v>112.9</v>
      </c>
      <c r="Q5" s="102">
        <f>SUM(B5:M5)</f>
        <v>1089.0999999999999</v>
      </c>
    </row>
    <row r="6" spans="1:33">
      <c r="A6" s="102">
        <v>1985</v>
      </c>
      <c r="B6" s="102">
        <v>18.5</v>
      </c>
      <c r="C6" s="102">
        <v>20.8</v>
      </c>
      <c r="D6" s="102">
        <v>23.1</v>
      </c>
      <c r="E6" s="102">
        <v>105.7</v>
      </c>
      <c r="F6" s="102">
        <v>245.9</v>
      </c>
      <c r="G6" s="102">
        <v>350.9</v>
      </c>
      <c r="H6" s="102">
        <v>296.39999999999998</v>
      </c>
      <c r="I6" s="102">
        <v>270.7</v>
      </c>
      <c r="J6" s="102">
        <v>104.3</v>
      </c>
      <c r="K6" s="102">
        <v>65</v>
      </c>
      <c r="L6" s="102">
        <v>14.5</v>
      </c>
      <c r="M6" s="102">
        <v>9.1999999999999993</v>
      </c>
      <c r="N6" s="102">
        <f t="shared" ref="N6:N34" si="1">SUM(B6:E6)</f>
        <v>168.1</v>
      </c>
      <c r="O6" s="102">
        <f t="shared" ref="O6:O34" si="2">SUM(F6:J6)</f>
        <v>1268.1999999999998</v>
      </c>
      <c r="P6" s="102">
        <f t="shared" ref="P6:P34" si="3">SUM(K6:M6)</f>
        <v>88.7</v>
      </c>
      <c r="Q6" s="102">
        <f t="shared" ref="Q6:Q34" si="4">SUM(B6:M6)</f>
        <v>1525</v>
      </c>
    </row>
    <row r="7" spans="1:33">
      <c r="A7" s="102">
        <v>1986</v>
      </c>
      <c r="B7" s="102">
        <v>5.0999999999999996</v>
      </c>
      <c r="C7" s="102">
        <v>5.5</v>
      </c>
      <c r="D7" s="102">
        <v>14.1</v>
      </c>
      <c r="E7" s="102">
        <v>65</v>
      </c>
      <c r="F7" s="102">
        <v>330.2</v>
      </c>
      <c r="G7" s="102">
        <v>178.6</v>
      </c>
      <c r="H7" s="102">
        <v>362.3</v>
      </c>
      <c r="I7" s="102">
        <v>216.6</v>
      </c>
      <c r="J7" s="102">
        <v>167.4</v>
      </c>
      <c r="K7" s="102">
        <v>110.5</v>
      </c>
      <c r="L7" s="102">
        <v>39.9</v>
      </c>
      <c r="M7" s="102">
        <v>5.9</v>
      </c>
      <c r="N7" s="102">
        <f t="shared" si="1"/>
        <v>89.7</v>
      </c>
      <c r="O7" s="102">
        <f t="shared" si="2"/>
        <v>1255.0999999999999</v>
      </c>
      <c r="P7" s="102">
        <f t="shared" si="3"/>
        <v>156.30000000000001</v>
      </c>
      <c r="Q7" s="102">
        <f t="shared" si="4"/>
        <v>1501.1000000000001</v>
      </c>
    </row>
    <row r="8" spans="1:33">
      <c r="A8" s="102">
        <v>1987</v>
      </c>
      <c r="B8" s="102">
        <v>10.5</v>
      </c>
      <c r="C8" s="102">
        <v>2.5</v>
      </c>
      <c r="D8" s="102">
        <v>6.1</v>
      </c>
      <c r="E8" s="102">
        <v>3.5</v>
      </c>
      <c r="F8" s="102">
        <v>104.6</v>
      </c>
      <c r="G8" s="102">
        <v>263.39999999999998</v>
      </c>
      <c r="H8" s="102">
        <v>319.2</v>
      </c>
      <c r="I8" s="102">
        <v>153.80000000000001</v>
      </c>
      <c r="J8" s="102">
        <v>139.4</v>
      </c>
      <c r="K8" s="102">
        <v>134.9</v>
      </c>
      <c r="L8" s="102">
        <v>64.2</v>
      </c>
      <c r="M8" s="102">
        <v>9.6999999999999993</v>
      </c>
      <c r="N8" s="102">
        <f t="shared" si="1"/>
        <v>22.6</v>
      </c>
      <c r="O8" s="102">
        <f t="shared" si="2"/>
        <v>980.4</v>
      </c>
      <c r="P8" s="102">
        <f t="shared" si="3"/>
        <v>208.8</v>
      </c>
      <c r="Q8" s="102">
        <f t="shared" si="4"/>
        <v>1211.8</v>
      </c>
    </row>
    <row r="9" spans="1:33">
      <c r="A9" s="102">
        <v>1988</v>
      </c>
      <c r="B9" s="102">
        <v>12.4</v>
      </c>
      <c r="C9" s="102">
        <v>27.3</v>
      </c>
      <c r="D9" s="102">
        <v>9</v>
      </c>
      <c r="E9" s="102">
        <v>44.3</v>
      </c>
      <c r="F9" s="102">
        <v>55.1</v>
      </c>
      <c r="G9" s="102">
        <v>212.2</v>
      </c>
      <c r="H9" s="102">
        <v>150.4</v>
      </c>
      <c r="I9" s="102">
        <v>270.5</v>
      </c>
      <c r="J9" s="102">
        <v>240.2</v>
      </c>
      <c r="K9" s="102">
        <v>36.9</v>
      </c>
      <c r="L9" s="102">
        <v>4.3</v>
      </c>
      <c r="M9" s="102">
        <v>9.3000000000000007</v>
      </c>
      <c r="N9" s="102">
        <f t="shared" si="1"/>
        <v>93</v>
      </c>
      <c r="O9" s="102">
        <f t="shared" si="2"/>
        <v>928.40000000000009</v>
      </c>
      <c r="P9" s="102">
        <f t="shared" si="3"/>
        <v>50.5</v>
      </c>
      <c r="Q9" s="102">
        <f t="shared" si="4"/>
        <v>1071.8999999999999</v>
      </c>
    </row>
    <row r="10" spans="1:33">
      <c r="A10" s="102">
        <v>1989</v>
      </c>
      <c r="B10" s="102">
        <v>9.9</v>
      </c>
      <c r="C10" s="102">
        <v>12.7</v>
      </c>
      <c r="D10" s="102">
        <v>65.2</v>
      </c>
      <c r="E10" s="102">
        <v>19.7</v>
      </c>
      <c r="F10" s="102">
        <v>56.2</v>
      </c>
      <c r="G10" s="102">
        <v>109.2</v>
      </c>
      <c r="H10" s="102">
        <v>95.2</v>
      </c>
      <c r="I10" s="102">
        <v>121.6</v>
      </c>
      <c r="J10" s="102">
        <v>189.8</v>
      </c>
      <c r="K10" s="102">
        <v>55.5</v>
      </c>
      <c r="L10" s="102">
        <v>10.7</v>
      </c>
      <c r="M10" s="102">
        <v>19.899999999999999</v>
      </c>
      <c r="N10" s="102">
        <f t="shared" si="1"/>
        <v>107.50000000000001</v>
      </c>
      <c r="O10" s="102">
        <f t="shared" si="2"/>
        <v>572</v>
      </c>
      <c r="P10" s="102">
        <f t="shared" si="3"/>
        <v>86.1</v>
      </c>
      <c r="Q10" s="102">
        <f t="shared" si="4"/>
        <v>765.6</v>
      </c>
    </row>
    <row r="11" spans="1:33">
      <c r="A11" s="102">
        <v>1990</v>
      </c>
      <c r="B11" s="102">
        <v>20.6</v>
      </c>
      <c r="C11" s="102">
        <v>23</v>
      </c>
      <c r="D11" s="102">
        <v>77</v>
      </c>
      <c r="E11" s="102">
        <v>35.9</v>
      </c>
      <c r="F11" s="102">
        <v>249.5</v>
      </c>
      <c r="G11" s="102">
        <v>273.89999999999998</v>
      </c>
      <c r="H11" s="102">
        <v>184.1</v>
      </c>
      <c r="I11" s="102">
        <v>27.2</v>
      </c>
      <c r="J11" s="102">
        <v>195.5</v>
      </c>
      <c r="K11" s="102">
        <v>47.6</v>
      </c>
      <c r="L11" s="102">
        <v>38.9</v>
      </c>
      <c r="M11" s="102">
        <v>9.4</v>
      </c>
      <c r="N11" s="102">
        <f t="shared" si="1"/>
        <v>156.5</v>
      </c>
      <c r="O11" s="102">
        <f t="shared" si="2"/>
        <v>930.2</v>
      </c>
      <c r="P11" s="102">
        <f t="shared" si="3"/>
        <v>95.9</v>
      </c>
      <c r="Q11" s="102">
        <f t="shared" si="4"/>
        <v>1182.6000000000001</v>
      </c>
    </row>
    <row r="12" spans="1:33">
      <c r="A12" s="102">
        <v>1991</v>
      </c>
      <c r="B12" s="102">
        <v>53.2</v>
      </c>
      <c r="C12" s="102">
        <v>6.9</v>
      </c>
      <c r="D12" s="102">
        <v>28.9</v>
      </c>
      <c r="E12" s="102">
        <v>49.7</v>
      </c>
      <c r="F12" s="102">
        <v>80.2</v>
      </c>
      <c r="G12" s="102">
        <v>310.7</v>
      </c>
      <c r="H12" s="102">
        <v>488.1</v>
      </c>
      <c r="I12" s="102">
        <v>261.60000000000002</v>
      </c>
      <c r="J12" s="102">
        <v>95.5</v>
      </c>
      <c r="K12" s="102">
        <v>43.2</v>
      </c>
      <c r="L12" s="102">
        <v>44.4</v>
      </c>
      <c r="M12" s="102">
        <v>15.9</v>
      </c>
      <c r="N12" s="102">
        <f t="shared" si="1"/>
        <v>138.69999999999999</v>
      </c>
      <c r="O12" s="102">
        <f t="shared" si="2"/>
        <v>1236.0999999999999</v>
      </c>
      <c r="P12" s="102">
        <f t="shared" si="3"/>
        <v>103.5</v>
      </c>
      <c r="Q12" s="102">
        <f t="shared" si="4"/>
        <v>1478.3000000000002</v>
      </c>
    </row>
    <row r="13" spans="1:33">
      <c r="A13" s="102">
        <v>1992</v>
      </c>
      <c r="B13" s="102">
        <v>41.1</v>
      </c>
      <c r="C13" s="102">
        <v>45.6</v>
      </c>
      <c r="D13" s="102">
        <v>32.200000000000003</v>
      </c>
      <c r="E13" s="102">
        <v>92.4</v>
      </c>
      <c r="F13" s="102">
        <v>198.7</v>
      </c>
      <c r="G13" s="102">
        <v>339.5</v>
      </c>
      <c r="H13" s="102">
        <v>282</v>
      </c>
      <c r="I13" s="102">
        <v>182</v>
      </c>
      <c r="J13" s="102">
        <v>79</v>
      </c>
      <c r="K13" s="102">
        <v>191.2</v>
      </c>
      <c r="L13" s="102">
        <v>8.6999999999999993</v>
      </c>
      <c r="M13" s="102">
        <v>10.5</v>
      </c>
      <c r="N13" s="102">
        <f t="shared" si="1"/>
        <v>211.3</v>
      </c>
      <c r="O13" s="102">
        <f t="shared" si="2"/>
        <v>1081.2</v>
      </c>
      <c r="P13" s="102">
        <f t="shared" si="3"/>
        <v>210.39999999999998</v>
      </c>
      <c r="Q13" s="102">
        <f t="shared" si="4"/>
        <v>1502.9</v>
      </c>
    </row>
    <row r="14" spans="1:33">
      <c r="A14" s="102">
        <v>1993</v>
      </c>
      <c r="B14" s="102">
        <v>16.899999999999999</v>
      </c>
      <c r="C14" s="102">
        <v>53.3</v>
      </c>
      <c r="D14" s="102">
        <v>2.2999999999999998</v>
      </c>
      <c r="E14" s="102">
        <v>94.3</v>
      </c>
      <c r="F14" s="102">
        <v>143.5</v>
      </c>
      <c r="G14" s="102">
        <v>228.4</v>
      </c>
      <c r="H14" s="102">
        <v>418.4</v>
      </c>
      <c r="I14" s="102">
        <v>222.2</v>
      </c>
      <c r="J14" s="102">
        <v>149.4</v>
      </c>
      <c r="K14" s="102">
        <v>13.8</v>
      </c>
      <c r="L14" s="102">
        <v>61.4</v>
      </c>
      <c r="M14" s="102">
        <v>5.3</v>
      </c>
      <c r="N14" s="102">
        <f t="shared" si="1"/>
        <v>166.79999999999998</v>
      </c>
      <c r="O14" s="102">
        <f t="shared" si="2"/>
        <v>1161.9000000000001</v>
      </c>
      <c r="P14" s="102">
        <f t="shared" si="3"/>
        <v>80.5</v>
      </c>
      <c r="Q14" s="102">
        <f t="shared" si="4"/>
        <v>1409.2</v>
      </c>
    </row>
    <row r="15" spans="1:33">
      <c r="A15" s="102">
        <v>1994</v>
      </c>
      <c r="B15" s="102">
        <v>11.2</v>
      </c>
      <c r="C15" s="102">
        <v>14.8</v>
      </c>
      <c r="D15" s="102">
        <v>54.3</v>
      </c>
      <c r="E15" s="102">
        <v>14.8</v>
      </c>
      <c r="F15" s="102">
        <v>304.39999999999998</v>
      </c>
      <c r="G15" s="102">
        <v>414.5</v>
      </c>
      <c r="H15" s="102">
        <v>193</v>
      </c>
      <c r="I15" s="102">
        <v>136.30000000000001</v>
      </c>
      <c r="J15" s="102">
        <v>193.3</v>
      </c>
      <c r="K15" s="102">
        <v>110.6</v>
      </c>
      <c r="L15" s="102">
        <v>75.8</v>
      </c>
      <c r="M15" s="102">
        <v>23.5</v>
      </c>
      <c r="N15" s="102">
        <f t="shared" si="1"/>
        <v>95.1</v>
      </c>
      <c r="O15" s="102">
        <f t="shared" si="2"/>
        <v>1241.5</v>
      </c>
      <c r="P15" s="102">
        <f t="shared" si="3"/>
        <v>209.89999999999998</v>
      </c>
      <c r="Q15" s="102">
        <f t="shared" si="4"/>
        <v>1546.4999999999998</v>
      </c>
    </row>
    <row r="16" spans="1:33">
      <c r="A16" s="102">
        <v>1995</v>
      </c>
      <c r="B16" s="102">
        <v>21.9</v>
      </c>
      <c r="C16" s="102">
        <v>35.4</v>
      </c>
      <c r="D16" s="102">
        <v>21.6</v>
      </c>
      <c r="E16" s="102">
        <v>51.7</v>
      </c>
      <c r="F16" s="102">
        <v>215.1</v>
      </c>
      <c r="G16" s="102">
        <v>250.3</v>
      </c>
      <c r="H16" s="102">
        <v>325</v>
      </c>
      <c r="I16" s="102">
        <v>281.60000000000002</v>
      </c>
      <c r="J16" s="102">
        <v>147</v>
      </c>
      <c r="K16" s="102">
        <v>69.099999999999994</v>
      </c>
      <c r="L16" s="102">
        <v>38.700000000000003</v>
      </c>
      <c r="M16" s="102">
        <v>1.1000000000000001</v>
      </c>
      <c r="N16" s="102">
        <f t="shared" si="1"/>
        <v>130.60000000000002</v>
      </c>
      <c r="O16" s="102">
        <f t="shared" si="2"/>
        <v>1219</v>
      </c>
      <c r="P16" s="102">
        <f t="shared" si="3"/>
        <v>108.89999999999999</v>
      </c>
      <c r="Q16" s="102">
        <f t="shared" si="4"/>
        <v>1458.4999999999998</v>
      </c>
    </row>
    <row r="17" spans="1:33">
      <c r="A17" s="102">
        <v>1996</v>
      </c>
      <c r="B17" s="102">
        <v>10.3</v>
      </c>
      <c r="C17" s="102">
        <v>10.7</v>
      </c>
      <c r="D17" s="102">
        <v>62.8</v>
      </c>
      <c r="E17" s="102">
        <v>83.7</v>
      </c>
      <c r="F17" s="102">
        <v>289.39999999999998</v>
      </c>
      <c r="G17" s="102">
        <v>295</v>
      </c>
      <c r="H17" s="102">
        <v>304.2</v>
      </c>
      <c r="I17" s="102">
        <v>165.6</v>
      </c>
      <c r="J17" s="102">
        <v>52.8</v>
      </c>
      <c r="K17" s="102">
        <v>42.1</v>
      </c>
      <c r="L17" s="102">
        <v>78.2</v>
      </c>
      <c r="M17" s="102">
        <v>16.399999999999999</v>
      </c>
      <c r="N17" s="102">
        <f t="shared" si="1"/>
        <v>167.5</v>
      </c>
      <c r="O17" s="102">
        <f t="shared" si="2"/>
        <v>1106.9999999999998</v>
      </c>
      <c r="P17" s="102">
        <f t="shared" si="3"/>
        <v>136.70000000000002</v>
      </c>
      <c r="Q17" s="102">
        <f t="shared" si="4"/>
        <v>1411.1999999999998</v>
      </c>
    </row>
    <row r="18" spans="1:33">
      <c r="A18" s="102">
        <v>1997</v>
      </c>
      <c r="B18" s="102">
        <v>41.3</v>
      </c>
      <c r="C18" s="102">
        <v>45.1</v>
      </c>
      <c r="D18" s="102">
        <v>42.3</v>
      </c>
      <c r="E18" s="102">
        <v>127.4</v>
      </c>
      <c r="F18" s="102">
        <v>87.3</v>
      </c>
      <c r="G18" s="102">
        <v>281.2</v>
      </c>
      <c r="H18" s="102">
        <v>386</v>
      </c>
      <c r="I18" s="102">
        <v>109.9</v>
      </c>
      <c r="J18" s="102">
        <v>188.8</v>
      </c>
      <c r="K18" s="102">
        <v>113.3</v>
      </c>
      <c r="L18" s="102">
        <v>15.3</v>
      </c>
      <c r="M18" s="102">
        <v>7.5</v>
      </c>
      <c r="N18" s="102">
        <f t="shared" si="1"/>
        <v>256.10000000000002</v>
      </c>
      <c r="O18" s="102">
        <f t="shared" si="2"/>
        <v>1053.2</v>
      </c>
      <c r="P18" s="102">
        <f t="shared" si="3"/>
        <v>136.1</v>
      </c>
      <c r="Q18" s="102">
        <f t="shared" si="4"/>
        <v>1445.3999999999999</v>
      </c>
    </row>
    <row r="19" spans="1:33">
      <c r="A19" s="102">
        <v>1998</v>
      </c>
      <c r="B19" s="102">
        <v>25.4</v>
      </c>
      <c r="C19" s="102">
        <v>18.5</v>
      </c>
      <c r="D19" s="102">
        <v>15.3</v>
      </c>
      <c r="E19" s="102">
        <v>114.8</v>
      </c>
      <c r="F19" s="102">
        <v>196.2</v>
      </c>
      <c r="G19" s="102">
        <v>221.6</v>
      </c>
      <c r="H19" s="102">
        <v>425.7</v>
      </c>
      <c r="I19" s="102">
        <v>302.7</v>
      </c>
      <c r="J19" s="102">
        <v>15.9</v>
      </c>
      <c r="K19" s="102">
        <v>116.7</v>
      </c>
      <c r="L19" s="102">
        <v>10.7</v>
      </c>
      <c r="M19" s="102">
        <v>17.2</v>
      </c>
      <c r="N19" s="102">
        <f t="shared" si="1"/>
        <v>174</v>
      </c>
      <c r="O19" s="102">
        <f t="shared" si="2"/>
        <v>1162.1000000000001</v>
      </c>
      <c r="P19" s="102">
        <f t="shared" si="3"/>
        <v>144.6</v>
      </c>
      <c r="Q19" s="102">
        <f t="shared" si="4"/>
        <v>1480.7000000000003</v>
      </c>
    </row>
    <row r="20" spans="1:33">
      <c r="A20" s="102">
        <v>1999</v>
      </c>
      <c r="B20" s="102">
        <v>24.2</v>
      </c>
      <c r="C20" s="102">
        <v>3.5</v>
      </c>
      <c r="D20" s="102">
        <v>24</v>
      </c>
      <c r="E20" s="102">
        <v>99.3</v>
      </c>
      <c r="F20" s="102">
        <v>159.30000000000001</v>
      </c>
      <c r="G20" s="102">
        <v>409.9</v>
      </c>
      <c r="H20" s="102">
        <v>259.3</v>
      </c>
      <c r="I20" s="102">
        <v>271.60000000000002</v>
      </c>
      <c r="J20" s="102">
        <v>53</v>
      </c>
      <c r="K20" s="102">
        <v>134.6</v>
      </c>
      <c r="L20" s="102">
        <v>59.4</v>
      </c>
      <c r="M20" s="102">
        <v>1</v>
      </c>
      <c r="N20" s="102">
        <f t="shared" si="1"/>
        <v>151</v>
      </c>
      <c r="O20" s="102">
        <f t="shared" si="2"/>
        <v>1153.0999999999999</v>
      </c>
      <c r="P20" s="102">
        <f t="shared" si="3"/>
        <v>195</v>
      </c>
      <c r="Q20" s="102">
        <f t="shared" si="4"/>
        <v>1499.1</v>
      </c>
    </row>
    <row r="21" spans="1:33">
      <c r="A21" s="102">
        <v>2000</v>
      </c>
      <c r="B21" s="102">
        <v>18</v>
      </c>
      <c r="C21" s="102">
        <v>23.6</v>
      </c>
      <c r="D21" s="102">
        <v>42</v>
      </c>
      <c r="E21" s="102">
        <v>87</v>
      </c>
      <c r="F21" s="102">
        <v>130.80000000000001</v>
      </c>
      <c r="G21" s="102">
        <v>608.1</v>
      </c>
      <c r="H21" s="102">
        <v>181.1</v>
      </c>
      <c r="I21" s="102">
        <v>220.3</v>
      </c>
      <c r="J21" s="102">
        <v>72.900000000000006</v>
      </c>
      <c r="K21" s="102">
        <v>67.599999999999994</v>
      </c>
      <c r="L21" s="102">
        <v>39.1</v>
      </c>
      <c r="M21" s="102">
        <v>17.600000000000001</v>
      </c>
      <c r="N21" s="102">
        <f t="shared" si="1"/>
        <v>170.6</v>
      </c>
      <c r="O21" s="102">
        <f t="shared" si="2"/>
        <v>1213.2000000000003</v>
      </c>
      <c r="P21" s="102">
        <f t="shared" si="3"/>
        <v>124.29999999999998</v>
      </c>
      <c r="Q21" s="102">
        <f t="shared" si="4"/>
        <v>1508.0999999999997</v>
      </c>
    </row>
    <row r="22" spans="1:33">
      <c r="A22" s="102">
        <v>2001</v>
      </c>
      <c r="B22" s="102">
        <v>7.6</v>
      </c>
      <c r="C22" s="102">
        <v>12.7</v>
      </c>
      <c r="D22" s="102">
        <v>13.5</v>
      </c>
      <c r="E22" s="102">
        <v>7.5</v>
      </c>
      <c r="F22" s="102">
        <v>130.69999999999999</v>
      </c>
      <c r="G22" s="102">
        <v>449.5</v>
      </c>
      <c r="H22" s="102">
        <v>222.3</v>
      </c>
      <c r="I22" s="102">
        <v>153</v>
      </c>
      <c r="J22" s="102">
        <v>158.9</v>
      </c>
      <c r="K22" s="102">
        <v>120.9</v>
      </c>
      <c r="L22" s="102">
        <v>15.4</v>
      </c>
      <c r="M22" s="102">
        <v>7.8</v>
      </c>
      <c r="N22" s="102">
        <f t="shared" si="1"/>
        <v>41.3</v>
      </c>
      <c r="O22" s="102">
        <f t="shared" si="2"/>
        <v>1114.4000000000001</v>
      </c>
      <c r="P22" s="102">
        <f t="shared" si="3"/>
        <v>144.10000000000002</v>
      </c>
      <c r="Q22" s="102">
        <f t="shared" si="4"/>
        <v>1299.8000000000002</v>
      </c>
    </row>
    <row r="23" spans="1:33">
      <c r="A23" s="102">
        <v>2002</v>
      </c>
      <c r="B23" s="102">
        <v>14</v>
      </c>
      <c r="C23" s="102">
        <v>82.9</v>
      </c>
      <c r="D23" s="102">
        <v>34.9</v>
      </c>
      <c r="E23" s="102">
        <v>39.9</v>
      </c>
      <c r="F23" s="102">
        <v>261.39999999999998</v>
      </c>
      <c r="G23" s="102">
        <v>140.69999999999999</v>
      </c>
      <c r="H23" s="102">
        <v>137.19999999999999</v>
      </c>
      <c r="I23" s="102">
        <v>206.9</v>
      </c>
      <c r="J23" s="102">
        <v>23.9</v>
      </c>
      <c r="K23" s="102">
        <v>96.6</v>
      </c>
      <c r="L23" s="102">
        <v>6.6</v>
      </c>
      <c r="M23" s="102">
        <v>18.7</v>
      </c>
      <c r="N23" s="102">
        <f t="shared" si="1"/>
        <v>171.70000000000002</v>
      </c>
      <c r="O23" s="102">
        <f t="shared" si="2"/>
        <v>770.09999999999991</v>
      </c>
      <c r="P23" s="102">
        <f t="shared" si="3"/>
        <v>121.89999999999999</v>
      </c>
      <c r="Q23" s="102">
        <f t="shared" si="4"/>
        <v>1063.6999999999998</v>
      </c>
    </row>
    <row r="24" spans="1:33">
      <c r="A24" s="102">
        <v>2003</v>
      </c>
      <c r="B24" s="102">
        <v>13.7</v>
      </c>
      <c r="C24" s="102">
        <v>0</v>
      </c>
      <c r="D24" s="102">
        <v>40.6</v>
      </c>
      <c r="E24" s="102">
        <v>142.5</v>
      </c>
      <c r="F24" s="102">
        <v>137.5</v>
      </c>
      <c r="G24" s="102">
        <v>253.5</v>
      </c>
      <c r="H24" s="102">
        <v>441.4</v>
      </c>
      <c r="I24" s="102">
        <v>68.8</v>
      </c>
      <c r="J24" s="102">
        <v>58.7</v>
      </c>
      <c r="K24" s="102">
        <v>36.799999999999997</v>
      </c>
      <c r="L24" s="102">
        <v>14.6</v>
      </c>
      <c r="M24" s="102">
        <v>33.1</v>
      </c>
      <c r="N24" s="102">
        <f t="shared" si="1"/>
        <v>196.8</v>
      </c>
      <c r="O24" s="102">
        <f t="shared" si="2"/>
        <v>959.9</v>
      </c>
      <c r="P24" s="102">
        <f t="shared" si="3"/>
        <v>84.5</v>
      </c>
      <c r="Q24" s="102">
        <f t="shared" si="4"/>
        <v>1241.1999999999996</v>
      </c>
    </row>
    <row r="25" spans="1:33">
      <c r="A25" s="102">
        <v>2004</v>
      </c>
      <c r="B25" s="103">
        <v>33.1</v>
      </c>
      <c r="C25" s="103">
        <v>17.100000000000001</v>
      </c>
      <c r="D25" s="103">
        <v>10.199999999999999</v>
      </c>
      <c r="E25" s="103">
        <v>102.1</v>
      </c>
      <c r="F25" s="103">
        <v>283.10000000000002</v>
      </c>
      <c r="G25" s="103">
        <v>89.7</v>
      </c>
      <c r="H25" s="103">
        <v>280.60000000000002</v>
      </c>
      <c r="I25" s="103">
        <v>166.9</v>
      </c>
      <c r="J25" s="103">
        <v>158.6</v>
      </c>
      <c r="K25" s="103">
        <v>21.1</v>
      </c>
      <c r="L25" s="103">
        <v>47.1</v>
      </c>
      <c r="M25" s="103">
        <v>8.6</v>
      </c>
      <c r="N25" s="102">
        <f t="shared" si="1"/>
        <v>162.5</v>
      </c>
      <c r="O25" s="102">
        <f t="shared" si="2"/>
        <v>978.90000000000009</v>
      </c>
      <c r="P25" s="102">
        <f t="shared" si="3"/>
        <v>76.8</v>
      </c>
      <c r="Q25" s="102">
        <f t="shared" si="4"/>
        <v>1218.1999999999998</v>
      </c>
    </row>
    <row r="26" spans="1:33">
      <c r="A26" s="102">
        <v>2005</v>
      </c>
      <c r="B26" s="103">
        <v>29.4</v>
      </c>
      <c r="C26" s="103">
        <v>8.1999999999999993</v>
      </c>
      <c r="D26" s="103">
        <v>37.200000000000003</v>
      </c>
      <c r="E26" s="103">
        <v>69.5</v>
      </c>
      <c r="F26" s="103">
        <v>174.5</v>
      </c>
      <c r="G26" s="103">
        <v>389.1</v>
      </c>
      <c r="H26" s="103">
        <v>264.89999999999998</v>
      </c>
      <c r="I26" s="103">
        <v>184</v>
      </c>
      <c r="J26" s="103">
        <v>85.5</v>
      </c>
      <c r="K26" s="103">
        <v>41.5</v>
      </c>
      <c r="L26" s="103">
        <v>9.6999999999999993</v>
      </c>
      <c r="M26" s="103">
        <v>14.9</v>
      </c>
      <c r="N26" s="102">
        <f t="shared" si="1"/>
        <v>144.30000000000001</v>
      </c>
      <c r="O26" s="102">
        <f t="shared" si="2"/>
        <v>1098</v>
      </c>
      <c r="P26" s="102">
        <f t="shared" si="3"/>
        <v>66.100000000000009</v>
      </c>
      <c r="Q26" s="102">
        <f t="shared" si="4"/>
        <v>1308.4000000000003</v>
      </c>
    </row>
    <row r="27" spans="1:33">
      <c r="A27" s="102">
        <v>2006</v>
      </c>
      <c r="B27" s="102">
        <v>1.8</v>
      </c>
      <c r="C27" s="102">
        <v>21.7</v>
      </c>
      <c r="D27" s="102">
        <v>19.100000000000001</v>
      </c>
      <c r="E27" s="102">
        <v>73.599999999999994</v>
      </c>
      <c r="F27" s="102">
        <v>65.900000000000006</v>
      </c>
      <c r="G27" s="102">
        <v>323.5</v>
      </c>
      <c r="H27" s="102">
        <v>92.8</v>
      </c>
      <c r="I27" s="102">
        <v>158.1</v>
      </c>
      <c r="J27" s="102">
        <v>49.2</v>
      </c>
      <c r="K27" s="102">
        <v>227.6</v>
      </c>
      <c r="L27" s="102">
        <v>10.199999999999999</v>
      </c>
      <c r="M27" s="102">
        <v>16.600000000000001</v>
      </c>
      <c r="N27" s="102">
        <f t="shared" si="1"/>
        <v>116.19999999999999</v>
      </c>
      <c r="O27" s="102">
        <f t="shared" si="2"/>
        <v>689.5</v>
      </c>
      <c r="P27" s="102">
        <f t="shared" si="3"/>
        <v>254.39999999999998</v>
      </c>
      <c r="Q27" s="102">
        <f t="shared" si="4"/>
        <v>1060.0999999999999</v>
      </c>
    </row>
    <row r="28" spans="1:33">
      <c r="A28" s="102">
        <v>2007</v>
      </c>
      <c r="B28" s="102">
        <v>22.3</v>
      </c>
      <c r="C28" s="102">
        <v>2.4</v>
      </c>
      <c r="D28" s="102">
        <v>27.3</v>
      </c>
      <c r="E28" s="102">
        <v>71.7</v>
      </c>
      <c r="F28" s="102">
        <v>141.30000000000001</v>
      </c>
      <c r="G28" s="102">
        <v>350.8</v>
      </c>
      <c r="H28" s="102">
        <v>370</v>
      </c>
      <c r="I28" s="102">
        <v>188.6</v>
      </c>
      <c r="J28" s="102">
        <v>66.8</v>
      </c>
      <c r="K28" s="102">
        <v>43.6</v>
      </c>
      <c r="L28" s="102">
        <v>2.2000000000000002</v>
      </c>
      <c r="M28" s="102">
        <v>11.6</v>
      </c>
      <c r="N28" s="102">
        <f t="shared" si="1"/>
        <v>123.7</v>
      </c>
      <c r="O28" s="102">
        <f t="shared" si="2"/>
        <v>1117.5</v>
      </c>
      <c r="P28" s="102">
        <f t="shared" si="3"/>
        <v>57.400000000000006</v>
      </c>
      <c r="Q28" s="102">
        <f t="shared" si="4"/>
        <v>1298.5999999999997</v>
      </c>
    </row>
    <row r="29" spans="1:33">
      <c r="A29" s="102">
        <v>2008</v>
      </c>
      <c r="B29" s="102">
        <v>15.2</v>
      </c>
      <c r="C29" s="102">
        <v>8.1</v>
      </c>
      <c r="D29" s="102">
        <v>63.1</v>
      </c>
      <c r="E29" s="102">
        <v>56.7</v>
      </c>
      <c r="F29" s="102">
        <v>328.7</v>
      </c>
      <c r="G29" s="102">
        <v>258.8</v>
      </c>
      <c r="H29" s="102">
        <v>278.60000000000002</v>
      </c>
      <c r="I29" s="102">
        <v>171.3</v>
      </c>
      <c r="J29" s="102">
        <v>140.30000000000001</v>
      </c>
      <c r="K29" s="102">
        <v>107.7</v>
      </c>
      <c r="L29" s="102">
        <v>66.099999999999994</v>
      </c>
      <c r="M29" s="102">
        <v>12.5</v>
      </c>
      <c r="N29" s="102">
        <f t="shared" si="1"/>
        <v>143.10000000000002</v>
      </c>
      <c r="O29" s="102">
        <f t="shared" si="2"/>
        <v>1177.7</v>
      </c>
      <c r="P29" s="102">
        <f t="shared" si="3"/>
        <v>186.3</v>
      </c>
      <c r="Q29" s="102">
        <f t="shared" si="4"/>
        <v>1507.1</v>
      </c>
    </row>
    <row r="30" spans="1:33">
      <c r="A30" s="102">
        <v>2009</v>
      </c>
      <c r="B30" s="102">
        <v>6.2</v>
      </c>
      <c r="C30" s="102">
        <v>2.7</v>
      </c>
      <c r="D30" s="102">
        <v>40.700000000000003</v>
      </c>
      <c r="E30" s="102">
        <v>93.5</v>
      </c>
      <c r="F30" s="102">
        <v>189</v>
      </c>
      <c r="G30" s="102">
        <v>292.3</v>
      </c>
      <c r="H30" s="102">
        <v>228.4</v>
      </c>
      <c r="I30" s="102">
        <v>243.6</v>
      </c>
      <c r="J30" s="102">
        <v>16.8</v>
      </c>
      <c r="K30" s="102">
        <v>24.8</v>
      </c>
      <c r="L30" s="102">
        <v>6.6</v>
      </c>
      <c r="M30" s="102">
        <v>9.5</v>
      </c>
      <c r="N30" s="102">
        <f t="shared" si="1"/>
        <v>143.1</v>
      </c>
      <c r="O30" s="102">
        <f t="shared" si="2"/>
        <v>970.1</v>
      </c>
      <c r="P30" s="102">
        <f t="shared" si="3"/>
        <v>40.9</v>
      </c>
      <c r="Q30" s="102">
        <f t="shared" si="4"/>
        <v>1154.0999999999999</v>
      </c>
    </row>
    <row r="31" spans="1:33">
      <c r="A31" s="102">
        <v>2010</v>
      </c>
      <c r="B31" s="102">
        <v>0.8</v>
      </c>
      <c r="C31" s="102">
        <v>0.5</v>
      </c>
      <c r="D31" s="102">
        <v>0</v>
      </c>
      <c r="E31" s="102">
        <v>128.30000000000001</v>
      </c>
      <c r="F31" s="102">
        <v>120</v>
      </c>
      <c r="G31" s="102">
        <v>374.3</v>
      </c>
      <c r="H31" s="102">
        <v>299.2</v>
      </c>
      <c r="I31" s="102">
        <v>74.8</v>
      </c>
      <c r="J31" s="102">
        <v>177.5</v>
      </c>
      <c r="K31" s="102">
        <v>61.8</v>
      </c>
      <c r="L31" s="102">
        <v>30.6</v>
      </c>
      <c r="M31" s="102">
        <v>30.9</v>
      </c>
      <c r="N31" s="102">
        <f t="shared" si="1"/>
        <v>129.60000000000002</v>
      </c>
      <c r="O31" s="102">
        <f t="shared" si="2"/>
        <v>1045.8</v>
      </c>
      <c r="P31" s="102">
        <f t="shared" si="3"/>
        <v>123.30000000000001</v>
      </c>
      <c r="Q31" s="102">
        <f t="shared" si="4"/>
        <v>1298.7</v>
      </c>
    </row>
    <row r="32" spans="1:33">
      <c r="A32" s="102">
        <v>2011</v>
      </c>
      <c r="B32" s="102">
        <v>26.3</v>
      </c>
      <c r="C32" s="102">
        <v>9.1999999999999993</v>
      </c>
      <c r="D32" s="102">
        <v>11.6</v>
      </c>
      <c r="E32" s="102">
        <v>29</v>
      </c>
      <c r="F32" s="102">
        <v>62.2</v>
      </c>
      <c r="G32" s="102">
        <v>290.3</v>
      </c>
      <c r="H32" s="102">
        <v>42</v>
      </c>
      <c r="I32" s="102">
        <v>142.30000000000001</v>
      </c>
      <c r="J32" s="102">
        <v>134.9</v>
      </c>
      <c r="K32" s="102">
        <v>64.8</v>
      </c>
      <c r="L32" s="102">
        <v>18.100000000000001</v>
      </c>
      <c r="M32" s="102">
        <v>11.9</v>
      </c>
      <c r="N32" s="102">
        <f t="shared" si="1"/>
        <v>76.099999999999994</v>
      </c>
      <c r="O32" s="102">
        <f t="shared" si="2"/>
        <v>671.69999999999993</v>
      </c>
      <c r="P32" s="102">
        <f t="shared" si="3"/>
        <v>94.800000000000011</v>
      </c>
      <c r="Q32" s="102">
        <f t="shared" si="4"/>
        <v>842.6</v>
      </c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</row>
    <row r="33" spans="1:33">
      <c r="A33" s="102">
        <v>2012</v>
      </c>
      <c r="B33" s="102">
        <v>20.3</v>
      </c>
      <c r="C33" s="102">
        <v>11.8</v>
      </c>
      <c r="D33" s="102">
        <v>31.6</v>
      </c>
      <c r="E33" s="102">
        <v>4</v>
      </c>
      <c r="F33" s="102">
        <v>386.5</v>
      </c>
      <c r="G33" s="102">
        <v>244.4</v>
      </c>
      <c r="H33" s="102">
        <v>351.4</v>
      </c>
      <c r="I33" s="102">
        <v>93.2</v>
      </c>
      <c r="J33" s="102">
        <v>115.3</v>
      </c>
      <c r="K33" s="102">
        <v>58.3</v>
      </c>
      <c r="L33" s="102">
        <v>14.7</v>
      </c>
      <c r="M33" s="102">
        <v>4.8</v>
      </c>
      <c r="N33" s="102">
        <f t="shared" si="1"/>
        <v>67.7</v>
      </c>
      <c r="O33" s="102">
        <f t="shared" si="2"/>
        <v>1190.8</v>
      </c>
      <c r="P33" s="102">
        <f t="shared" si="3"/>
        <v>77.8</v>
      </c>
      <c r="Q33" s="102">
        <f t="shared" si="4"/>
        <v>1336.3</v>
      </c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</row>
    <row r="34" spans="1:33">
      <c r="A34" s="102">
        <v>2013</v>
      </c>
      <c r="B34" s="102">
        <v>8.1999999999999993</v>
      </c>
      <c r="C34" s="102">
        <v>5.8</v>
      </c>
      <c r="D34" s="102">
        <v>36.9</v>
      </c>
      <c r="E34" s="102">
        <v>33.4</v>
      </c>
      <c r="F34" s="102">
        <v>137.30000000000001</v>
      </c>
      <c r="G34" s="102">
        <v>185</v>
      </c>
      <c r="H34" s="102">
        <v>50.7</v>
      </c>
      <c r="I34" s="102">
        <v>115.2</v>
      </c>
      <c r="J34" s="102">
        <v>40.5</v>
      </c>
      <c r="K34" s="102">
        <v>52.7</v>
      </c>
      <c r="L34" s="102">
        <v>45.3</v>
      </c>
      <c r="M34" s="102">
        <v>28.7</v>
      </c>
      <c r="N34" s="102">
        <f t="shared" si="1"/>
        <v>84.3</v>
      </c>
      <c r="O34" s="102">
        <f t="shared" si="2"/>
        <v>528.70000000000005</v>
      </c>
      <c r="P34" s="102">
        <f t="shared" si="3"/>
        <v>126.7</v>
      </c>
      <c r="Q34" s="102">
        <f t="shared" si="4"/>
        <v>739.7</v>
      </c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</row>
    <row r="35" spans="1:33">
      <c r="A35" s="102">
        <v>2014</v>
      </c>
      <c r="B35" s="128">
        <v>10</v>
      </c>
      <c r="C35" s="128">
        <v>20.9</v>
      </c>
      <c r="D35" s="128">
        <v>76.7</v>
      </c>
      <c r="E35" s="128">
        <v>51.5</v>
      </c>
      <c r="F35" s="128">
        <v>41.2</v>
      </c>
      <c r="G35" s="128">
        <v>356.2</v>
      </c>
      <c r="H35" s="128">
        <v>270.5</v>
      </c>
      <c r="I35" s="128">
        <v>160</v>
      </c>
      <c r="J35" s="128">
        <v>252.1</v>
      </c>
      <c r="K35" s="128">
        <v>69.7</v>
      </c>
      <c r="L35" s="128">
        <v>40.200000000000003</v>
      </c>
      <c r="M35" s="128">
        <v>10.6</v>
      </c>
      <c r="N35" s="102">
        <f t="shared" ref="N35:N36" si="5">SUM(B35:E35)</f>
        <v>159.1</v>
      </c>
      <c r="O35" s="102">
        <f t="shared" ref="O35:O36" si="6">SUM(F35:J35)</f>
        <v>1080</v>
      </c>
      <c r="P35" s="102">
        <f t="shared" ref="P35:P36" si="7">SUM(K35:M35)</f>
        <v>120.5</v>
      </c>
      <c r="Q35" s="102">
        <f t="shared" ref="Q35:Q36" si="8">SUM(B35:M35)</f>
        <v>1359.6</v>
      </c>
    </row>
    <row r="36" spans="1:33">
      <c r="A36" s="102">
        <v>2015</v>
      </c>
      <c r="B36" s="128">
        <v>32.1</v>
      </c>
      <c r="C36" s="128">
        <v>7</v>
      </c>
      <c r="D36" s="128">
        <v>29.1</v>
      </c>
      <c r="E36" s="128">
        <v>33.200000000000003</v>
      </c>
      <c r="F36" s="128">
        <v>217.6</v>
      </c>
      <c r="G36" s="128">
        <v>425.5</v>
      </c>
      <c r="H36" s="128">
        <v>144.69999999999999</v>
      </c>
      <c r="I36" s="128">
        <v>190.6</v>
      </c>
      <c r="J36" s="128">
        <v>84</v>
      </c>
      <c r="K36" s="128">
        <v>100.5</v>
      </c>
      <c r="L36" s="128">
        <v>25</v>
      </c>
      <c r="M36" s="128">
        <v>46.8</v>
      </c>
      <c r="N36" s="102">
        <f t="shared" si="5"/>
        <v>101.4</v>
      </c>
      <c r="O36" s="102">
        <f t="shared" si="6"/>
        <v>1062.4000000000001</v>
      </c>
      <c r="P36" s="102">
        <f t="shared" si="7"/>
        <v>172.3</v>
      </c>
      <c r="Q36" s="102">
        <f t="shared" si="8"/>
        <v>1336.1</v>
      </c>
    </row>
    <row r="37" spans="1:33">
      <c r="A37" s="102">
        <v>2016</v>
      </c>
      <c r="B37" s="126">
        <v>18.600000000000001</v>
      </c>
      <c r="C37" s="126">
        <v>2.8</v>
      </c>
      <c r="D37" s="126">
        <v>0.3</v>
      </c>
      <c r="E37" s="126">
        <v>111.9</v>
      </c>
      <c r="F37" s="126">
        <v>173.20000000000005</v>
      </c>
      <c r="G37" s="126">
        <v>309.39999999999998</v>
      </c>
      <c r="H37" s="126">
        <v>71.900000000000006</v>
      </c>
      <c r="I37" s="126">
        <v>226.7</v>
      </c>
      <c r="J37" s="126">
        <v>70.900000000000006</v>
      </c>
      <c r="K37" s="126">
        <v>5.6</v>
      </c>
      <c r="L37" s="126">
        <v>50.8</v>
      </c>
      <c r="M37" s="126">
        <v>63</v>
      </c>
      <c r="N37" s="102">
        <f>SUM(B37:E37)</f>
        <v>133.60000000000002</v>
      </c>
      <c r="O37" s="102">
        <f>SUM(F37:J37)</f>
        <v>852.1</v>
      </c>
      <c r="P37" s="102">
        <f>SUM(K37:M37)</f>
        <v>119.4</v>
      </c>
      <c r="Q37" s="102">
        <f>SUM(B37:M37)</f>
        <v>1105.0999999999999</v>
      </c>
      <c r="R37" s="102">
        <f t="shared" ref="R37:AG37" si="9">100*(B37-B4)/B4</f>
        <v>-8.3934866543562192E-2</v>
      </c>
      <c r="S37" s="102">
        <f t="shared" si="9"/>
        <v>-84.302733006306937</v>
      </c>
      <c r="T37" s="102">
        <f t="shared" si="9"/>
        <v>-99.043919928293988</v>
      </c>
      <c r="U37" s="102">
        <f t="shared" si="9"/>
        <v>70.823394714244841</v>
      </c>
      <c r="V37" s="102">
        <f t="shared" si="9"/>
        <v>-4.0476437796475064</v>
      </c>
      <c r="W37" s="102">
        <f t="shared" si="9"/>
        <v>5.6976011785931284</v>
      </c>
      <c r="X37" s="102">
        <f t="shared" si="9"/>
        <v>-72.419414775656008</v>
      </c>
      <c r="Y37" s="102">
        <f t="shared" si="9"/>
        <v>27.381913959613648</v>
      </c>
      <c r="Z37" s="102">
        <f t="shared" si="9"/>
        <v>-38.798521755550162</v>
      </c>
      <c r="AA37" s="102">
        <f t="shared" si="9"/>
        <v>-92.988496752484551</v>
      </c>
      <c r="AB37" s="102">
        <f t="shared" si="9"/>
        <v>66.369870023538979</v>
      </c>
      <c r="AC37" s="102">
        <f t="shared" si="9"/>
        <v>334.48275862068965</v>
      </c>
      <c r="AD37" s="102">
        <f t="shared" si="9"/>
        <v>0.19686884784853886</v>
      </c>
      <c r="AE37" s="102">
        <f t="shared" si="9"/>
        <v>-17.089471683770427</v>
      </c>
      <c r="AF37" s="102">
        <f t="shared" si="9"/>
        <v>-4.4059145838024776</v>
      </c>
      <c r="AG37" s="102">
        <f t="shared" si="9"/>
        <v>-14.065203444857001</v>
      </c>
    </row>
  </sheetData>
  <mergeCells count="6">
    <mergeCell ref="A1:A3"/>
    <mergeCell ref="B1:Q1"/>
    <mergeCell ref="B2:M2"/>
    <mergeCell ref="R1:AG1"/>
    <mergeCell ref="N2:Q2"/>
    <mergeCell ref="R2:AG2"/>
  </mergeCells>
  <phoneticPr fontId="2" type="noConversion"/>
  <pageMargins left="0.75" right="0.75" top="1" bottom="1" header="0.5" footer="0.5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30">
    <tabColor rgb="FFC00000"/>
  </sheetPr>
  <dimension ref="A1:AG53"/>
  <sheetViews>
    <sheetView zoomScale="70" workbookViewId="0">
      <pane ySplit="3" topLeftCell="A4" activePane="bottomLeft" state="frozen"/>
      <selection pane="bottomLeft" activeCell="A41" sqref="A41"/>
    </sheetView>
  </sheetViews>
  <sheetFormatPr defaultRowHeight="14.25"/>
  <cols>
    <col min="1" max="10" width="7.125" style="2" customWidth="1"/>
    <col min="11" max="11" width="7.125" style="31" customWidth="1"/>
    <col min="12" max="30" width="7.125" style="2" customWidth="1"/>
    <col min="31" max="31" width="8.75" style="2" customWidth="1"/>
  </cols>
  <sheetData>
    <row r="1" spans="1:31" ht="14.25" customHeight="1">
      <c r="A1" s="163" t="s">
        <v>33</v>
      </c>
      <c r="B1" s="164" t="s">
        <v>34</v>
      </c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6"/>
      <c r="O1" s="166"/>
      <c r="P1" s="167"/>
      <c r="Q1" s="168" t="s">
        <v>35</v>
      </c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</row>
    <row r="2" spans="1:31">
      <c r="A2" s="163"/>
      <c r="B2" s="163" t="s">
        <v>36</v>
      </c>
      <c r="C2" s="163"/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69" t="s">
        <v>37</v>
      </c>
      <c r="O2" s="170"/>
      <c r="P2" s="171"/>
      <c r="Q2" s="168" t="s">
        <v>38</v>
      </c>
      <c r="R2" s="165"/>
      <c r="S2" s="165"/>
      <c r="T2" s="165"/>
      <c r="U2" s="165"/>
      <c r="V2" s="165"/>
      <c r="W2" s="165"/>
      <c r="X2" s="165"/>
      <c r="Y2" s="165"/>
      <c r="Z2" s="165"/>
      <c r="AA2" s="165"/>
      <c r="AB2" s="165"/>
      <c r="AC2" s="165"/>
      <c r="AD2" s="165"/>
      <c r="AE2" s="172"/>
    </row>
    <row r="3" spans="1:31">
      <c r="A3" s="163"/>
      <c r="B3" s="38" t="s">
        <v>39</v>
      </c>
      <c r="C3" s="38" t="s">
        <v>40</v>
      </c>
      <c r="D3" s="38" t="s">
        <v>9</v>
      </c>
      <c r="E3" s="38" t="s">
        <v>10</v>
      </c>
      <c r="F3" s="38" t="s">
        <v>11</v>
      </c>
      <c r="G3" s="38" t="s">
        <v>12</v>
      </c>
      <c r="H3" s="38" t="s">
        <v>13</v>
      </c>
      <c r="I3" s="38" t="s">
        <v>14</v>
      </c>
      <c r="J3" s="38" t="s">
        <v>15</v>
      </c>
      <c r="K3" s="29" t="s">
        <v>16</v>
      </c>
      <c r="L3" s="38" t="s">
        <v>17</v>
      </c>
      <c r="M3" s="38" t="s">
        <v>18</v>
      </c>
      <c r="N3" s="40" t="s">
        <v>41</v>
      </c>
      <c r="O3" s="40" t="s">
        <v>42</v>
      </c>
      <c r="P3" s="40" t="s">
        <v>43</v>
      </c>
      <c r="Q3" s="4" t="s">
        <v>44</v>
      </c>
      <c r="R3" s="5" t="s">
        <v>45</v>
      </c>
      <c r="S3" s="5" t="s">
        <v>46</v>
      </c>
      <c r="T3" s="5" t="s">
        <v>47</v>
      </c>
      <c r="U3" s="38" t="s">
        <v>48</v>
      </c>
      <c r="V3" s="38" t="s">
        <v>49</v>
      </c>
      <c r="W3" s="38" t="s">
        <v>25</v>
      </c>
      <c r="X3" s="38" t="s">
        <v>26</v>
      </c>
      <c r="Y3" s="38" t="s">
        <v>27</v>
      </c>
      <c r="Z3" s="39" t="s">
        <v>50</v>
      </c>
      <c r="AA3" s="39" t="s">
        <v>51</v>
      </c>
      <c r="AB3" s="39" t="s">
        <v>52</v>
      </c>
      <c r="AC3" s="38" t="s">
        <v>41</v>
      </c>
      <c r="AD3" s="38" t="s">
        <v>42</v>
      </c>
      <c r="AE3" s="38" t="s">
        <v>43</v>
      </c>
    </row>
    <row r="4" spans="1:31">
      <c r="A4" s="147" t="s">
        <v>261</v>
      </c>
      <c r="B4" s="147" t="e">
        <f t="shared" ref="B4:Q4" si="0">AVERAGE(B5:B50)</f>
        <v>#DIV/0!</v>
      </c>
      <c r="C4" s="147" t="e">
        <f t="shared" si="0"/>
        <v>#DIV/0!</v>
      </c>
      <c r="D4" s="147" t="e">
        <f t="shared" si="0"/>
        <v>#DIV/0!</v>
      </c>
      <c r="E4" s="147" t="e">
        <f t="shared" si="0"/>
        <v>#DIV/0!</v>
      </c>
      <c r="F4" s="147" t="e">
        <f t="shared" si="0"/>
        <v>#DIV/0!</v>
      </c>
      <c r="G4" s="147" t="e">
        <f t="shared" si="0"/>
        <v>#DIV/0!</v>
      </c>
      <c r="H4" s="147" t="e">
        <f t="shared" si="0"/>
        <v>#DIV/0!</v>
      </c>
      <c r="I4" s="147" t="e">
        <f t="shared" si="0"/>
        <v>#DIV/0!</v>
      </c>
      <c r="J4" s="147" t="e">
        <f t="shared" si="0"/>
        <v>#DIV/0!</v>
      </c>
      <c r="K4" s="29" t="e">
        <f t="shared" si="0"/>
        <v>#DIV/0!</v>
      </c>
      <c r="L4" s="147" t="e">
        <f t="shared" si="0"/>
        <v>#DIV/0!</v>
      </c>
      <c r="M4" s="147" t="e">
        <f t="shared" si="0"/>
        <v>#DIV/0!</v>
      </c>
      <c r="N4" s="153">
        <f t="shared" si="0"/>
        <v>0</v>
      </c>
      <c r="O4" s="153">
        <f t="shared" si="0"/>
        <v>0</v>
      </c>
      <c r="P4" s="153">
        <f t="shared" si="0"/>
        <v>0</v>
      </c>
      <c r="Q4" s="154" t="e">
        <f t="shared" si="0"/>
        <v>#DIV/0!</v>
      </c>
      <c r="R4" s="154"/>
      <c r="S4" s="154"/>
      <c r="T4" s="154"/>
      <c r="U4" s="153"/>
      <c r="V4" s="153"/>
      <c r="W4" s="153"/>
      <c r="X4" s="153"/>
      <c r="Y4" s="153"/>
      <c r="Z4" s="25"/>
      <c r="AA4" s="25"/>
      <c r="AB4" s="25"/>
      <c r="AC4" s="153"/>
      <c r="AD4" s="153"/>
      <c r="AE4" s="153"/>
    </row>
    <row r="5" spans="1:31" ht="15">
      <c r="A5" s="7">
        <v>1965</v>
      </c>
      <c r="B5" s="7"/>
      <c r="C5" s="21"/>
      <c r="D5" s="7"/>
      <c r="E5" s="7"/>
      <c r="F5" s="7"/>
      <c r="G5" s="7"/>
      <c r="H5" s="7"/>
      <c r="I5" s="7"/>
      <c r="J5" s="7"/>
      <c r="K5" s="30"/>
      <c r="L5" s="8"/>
      <c r="M5" s="8"/>
      <c r="O5" s="2">
        <f t="shared" ref="O5:O45" si="1">SUM(F5:J5)</f>
        <v>0</v>
      </c>
    </row>
    <row r="6" spans="1:31" ht="15">
      <c r="A6" s="7">
        <v>1966</v>
      </c>
      <c r="B6" s="7"/>
      <c r="C6" s="21"/>
      <c r="D6" s="7"/>
      <c r="E6" s="7"/>
      <c r="F6" s="7"/>
      <c r="G6" s="7"/>
      <c r="H6" s="7"/>
      <c r="I6" s="7"/>
      <c r="J6" s="7"/>
      <c r="K6" s="30"/>
      <c r="L6" s="8"/>
      <c r="M6" s="8"/>
    </row>
    <row r="7" spans="1:31" ht="15">
      <c r="A7" s="7">
        <v>1967</v>
      </c>
      <c r="B7" s="7"/>
      <c r="C7" s="21"/>
      <c r="D7" s="7"/>
      <c r="E7" s="7"/>
      <c r="F7" s="7"/>
      <c r="G7" s="7"/>
      <c r="H7" s="7"/>
      <c r="I7" s="7"/>
      <c r="J7" s="7"/>
      <c r="K7" s="30"/>
      <c r="L7" s="8"/>
      <c r="M7" s="8"/>
      <c r="N7" s="2">
        <f>K5+L5+M5+B7+C7+D7+E7</f>
        <v>0</v>
      </c>
      <c r="O7" s="2">
        <f t="shared" si="1"/>
        <v>0</v>
      </c>
      <c r="P7" s="2">
        <f t="shared" ref="P7:P24" si="2">SUM(N7:O7)</f>
        <v>0</v>
      </c>
    </row>
    <row r="8" spans="1:31" ht="15">
      <c r="A8" s="7">
        <v>1968</v>
      </c>
      <c r="B8" s="7"/>
      <c r="C8" s="21"/>
      <c r="D8" s="7"/>
      <c r="E8" s="7"/>
      <c r="F8" s="7"/>
      <c r="G8" s="7"/>
      <c r="H8" s="7"/>
      <c r="I8" s="7"/>
      <c r="J8" s="7"/>
      <c r="K8" s="30"/>
      <c r="L8" s="8"/>
      <c r="M8" s="8"/>
      <c r="N8" s="2">
        <f t="shared" ref="N8:N24" si="3">K7+L7+M7+B8+C8+D8+E8</f>
        <v>0</v>
      </c>
      <c r="O8" s="2">
        <f t="shared" si="1"/>
        <v>0</v>
      </c>
      <c r="P8" s="2">
        <f t="shared" si="2"/>
        <v>0</v>
      </c>
    </row>
    <row r="9" spans="1:31" ht="15">
      <c r="A9" s="7">
        <v>1969</v>
      </c>
      <c r="B9" s="7"/>
      <c r="C9" s="21"/>
      <c r="D9" s="7"/>
      <c r="E9" s="7"/>
      <c r="F9" s="7"/>
      <c r="G9" s="7"/>
      <c r="H9" s="7"/>
      <c r="I9" s="7"/>
      <c r="J9" s="7"/>
      <c r="K9" s="30"/>
      <c r="L9" s="8"/>
      <c r="M9" s="8"/>
      <c r="N9" s="2">
        <f t="shared" si="3"/>
        <v>0</v>
      </c>
      <c r="O9" s="2">
        <f t="shared" si="1"/>
        <v>0</v>
      </c>
      <c r="P9" s="2">
        <f t="shared" si="2"/>
        <v>0</v>
      </c>
    </row>
    <row r="10" spans="1:31" ht="15">
      <c r="A10" s="7">
        <v>1970</v>
      </c>
      <c r="B10" s="7"/>
      <c r="C10" s="21"/>
      <c r="D10" s="7"/>
      <c r="E10" s="7"/>
      <c r="F10" s="7"/>
      <c r="G10" s="7"/>
      <c r="H10" s="7"/>
      <c r="I10" s="7"/>
      <c r="J10" s="7"/>
      <c r="K10" s="30"/>
      <c r="L10" s="8"/>
      <c r="M10" s="8"/>
      <c r="N10" s="2">
        <f t="shared" si="3"/>
        <v>0</v>
      </c>
      <c r="O10" s="2">
        <f t="shared" si="1"/>
        <v>0</v>
      </c>
      <c r="P10" s="2">
        <f t="shared" si="2"/>
        <v>0</v>
      </c>
    </row>
    <row r="11" spans="1:31" ht="15">
      <c r="A11" s="7">
        <v>1971</v>
      </c>
      <c r="B11" s="7"/>
      <c r="C11" s="21"/>
      <c r="D11" s="7"/>
      <c r="E11" s="7"/>
      <c r="F11" s="7"/>
      <c r="G11" s="7"/>
      <c r="H11" s="7"/>
      <c r="I11" s="7"/>
      <c r="J11" s="7"/>
      <c r="K11" s="30"/>
      <c r="L11" s="8"/>
      <c r="M11" s="8"/>
      <c r="N11" s="2">
        <f t="shared" si="3"/>
        <v>0</v>
      </c>
      <c r="O11" s="2">
        <f t="shared" si="1"/>
        <v>0</v>
      </c>
      <c r="P11" s="2">
        <f t="shared" si="2"/>
        <v>0</v>
      </c>
    </row>
    <row r="12" spans="1:31" ht="15">
      <c r="A12" s="7">
        <v>1972</v>
      </c>
      <c r="B12" s="7"/>
      <c r="C12" s="21"/>
      <c r="D12" s="7"/>
      <c r="E12" s="7"/>
      <c r="F12" s="7"/>
      <c r="G12" s="7"/>
      <c r="H12" s="7"/>
      <c r="I12" s="7"/>
      <c r="J12" s="7"/>
      <c r="K12" s="30"/>
      <c r="L12" s="8"/>
      <c r="M12" s="8"/>
      <c r="N12" s="2">
        <f t="shared" si="3"/>
        <v>0</v>
      </c>
      <c r="O12" s="2">
        <f t="shared" si="1"/>
        <v>0</v>
      </c>
      <c r="P12" s="2">
        <f t="shared" si="2"/>
        <v>0</v>
      </c>
    </row>
    <row r="13" spans="1:31" ht="15">
      <c r="A13" s="7">
        <v>1973</v>
      </c>
      <c r="B13" s="7"/>
      <c r="C13" s="21"/>
      <c r="D13" s="7"/>
      <c r="E13" s="7"/>
      <c r="F13" s="7"/>
      <c r="G13" s="7"/>
      <c r="H13" s="7"/>
      <c r="I13" s="7"/>
      <c r="J13" s="7"/>
      <c r="K13" s="30"/>
      <c r="L13" s="8"/>
      <c r="M13" s="8"/>
      <c r="N13" s="2">
        <f t="shared" si="3"/>
        <v>0</v>
      </c>
      <c r="O13" s="2">
        <f t="shared" si="1"/>
        <v>0</v>
      </c>
      <c r="P13" s="2">
        <f t="shared" si="2"/>
        <v>0</v>
      </c>
    </row>
    <row r="14" spans="1:31" ht="15">
      <c r="A14" s="7">
        <v>1974</v>
      </c>
      <c r="B14" s="7"/>
      <c r="C14" s="21"/>
      <c r="D14" s="7"/>
      <c r="E14" s="7"/>
      <c r="F14" s="7"/>
      <c r="G14" s="7"/>
      <c r="H14" s="7"/>
      <c r="I14" s="7"/>
      <c r="J14" s="7"/>
      <c r="K14" s="30"/>
      <c r="L14" s="8"/>
      <c r="M14" s="8"/>
      <c r="N14" s="2">
        <f t="shared" si="3"/>
        <v>0</v>
      </c>
      <c r="O14" s="2">
        <f t="shared" si="1"/>
        <v>0</v>
      </c>
      <c r="P14" s="2">
        <f t="shared" si="2"/>
        <v>0</v>
      </c>
    </row>
    <row r="15" spans="1:31" ht="15">
      <c r="A15" s="7">
        <v>1975</v>
      </c>
      <c r="B15" s="7"/>
      <c r="C15" s="21"/>
      <c r="D15" s="7"/>
      <c r="E15" s="7"/>
      <c r="F15" s="7"/>
      <c r="G15" s="7"/>
      <c r="H15" s="7"/>
      <c r="I15" s="7"/>
      <c r="J15" s="7"/>
      <c r="K15" s="30"/>
      <c r="L15" s="8"/>
      <c r="M15" s="8"/>
      <c r="N15" s="2">
        <f t="shared" si="3"/>
        <v>0</v>
      </c>
      <c r="O15" s="2">
        <f t="shared" si="1"/>
        <v>0</v>
      </c>
      <c r="P15" s="2">
        <f t="shared" si="2"/>
        <v>0</v>
      </c>
    </row>
    <row r="16" spans="1:31" ht="15">
      <c r="A16" s="7">
        <v>1976</v>
      </c>
      <c r="B16" s="7"/>
      <c r="C16" s="21"/>
      <c r="D16" s="7"/>
      <c r="E16" s="7"/>
      <c r="F16" s="7"/>
      <c r="G16" s="7"/>
      <c r="H16" s="7"/>
      <c r="I16" s="7"/>
      <c r="J16" s="7"/>
      <c r="K16" s="30"/>
      <c r="L16" s="8"/>
      <c r="M16" s="8"/>
      <c r="N16" s="2">
        <f t="shared" si="3"/>
        <v>0</v>
      </c>
      <c r="O16" s="2">
        <f t="shared" si="1"/>
        <v>0</v>
      </c>
      <c r="P16" s="2">
        <f t="shared" si="2"/>
        <v>0</v>
      </c>
    </row>
    <row r="17" spans="1:16" ht="15">
      <c r="A17" s="7">
        <v>1977</v>
      </c>
      <c r="B17" s="7"/>
      <c r="C17" s="21"/>
      <c r="D17" s="7"/>
      <c r="E17" s="7"/>
      <c r="F17" s="7"/>
      <c r="G17" s="7"/>
      <c r="H17" s="7"/>
      <c r="I17" s="7"/>
      <c r="J17" s="7"/>
      <c r="K17" s="30"/>
      <c r="L17" s="8"/>
      <c r="M17" s="8"/>
      <c r="N17" s="2">
        <f t="shared" si="3"/>
        <v>0</v>
      </c>
      <c r="O17" s="2">
        <f t="shared" si="1"/>
        <v>0</v>
      </c>
      <c r="P17" s="2">
        <f t="shared" si="2"/>
        <v>0</v>
      </c>
    </row>
    <row r="18" spans="1:16" ht="15">
      <c r="A18" s="7">
        <v>1978</v>
      </c>
      <c r="B18" s="7"/>
      <c r="C18" s="21"/>
      <c r="D18" s="7"/>
      <c r="E18" s="7"/>
      <c r="F18" s="7"/>
      <c r="G18" s="7"/>
      <c r="H18" s="7"/>
      <c r="I18" s="7"/>
      <c r="J18" s="7"/>
      <c r="K18" s="30"/>
      <c r="L18" s="8"/>
      <c r="M18" s="8"/>
      <c r="N18" s="2">
        <f t="shared" si="3"/>
        <v>0</v>
      </c>
      <c r="O18" s="2">
        <f t="shared" si="1"/>
        <v>0</v>
      </c>
      <c r="P18" s="2">
        <f t="shared" si="2"/>
        <v>0</v>
      </c>
    </row>
    <row r="19" spans="1:16" ht="15">
      <c r="A19" s="7">
        <v>1979</v>
      </c>
      <c r="B19" s="7"/>
      <c r="C19" s="21"/>
      <c r="D19" s="7"/>
      <c r="E19" s="7"/>
      <c r="F19" s="7"/>
      <c r="G19" s="7"/>
      <c r="H19" s="7"/>
      <c r="I19" s="7"/>
      <c r="J19" s="7"/>
      <c r="K19" s="30"/>
      <c r="L19" s="8"/>
      <c r="M19" s="8"/>
      <c r="N19" s="2">
        <f t="shared" si="3"/>
        <v>0</v>
      </c>
      <c r="O19" s="2">
        <f t="shared" si="1"/>
        <v>0</v>
      </c>
      <c r="P19" s="2">
        <f t="shared" si="2"/>
        <v>0</v>
      </c>
    </row>
    <row r="20" spans="1:16" ht="15">
      <c r="A20" s="7">
        <v>1980</v>
      </c>
      <c r="B20" s="7"/>
      <c r="C20" s="21"/>
      <c r="D20" s="7"/>
      <c r="E20" s="7"/>
      <c r="F20" s="7"/>
      <c r="G20" s="7"/>
      <c r="H20" s="7"/>
      <c r="I20" s="7"/>
      <c r="J20" s="7"/>
      <c r="K20" s="30"/>
      <c r="L20" s="8"/>
      <c r="M20" s="8"/>
      <c r="N20" s="2">
        <f t="shared" si="3"/>
        <v>0</v>
      </c>
      <c r="O20" s="2">
        <f t="shared" si="1"/>
        <v>0</v>
      </c>
      <c r="P20" s="2">
        <f t="shared" si="2"/>
        <v>0</v>
      </c>
    </row>
    <row r="21" spans="1:16" ht="15">
      <c r="A21" s="7">
        <v>1981</v>
      </c>
      <c r="B21" s="7"/>
      <c r="C21" s="21"/>
      <c r="D21" s="7"/>
      <c r="E21" s="7"/>
      <c r="F21" s="7"/>
      <c r="G21" s="7"/>
      <c r="H21" s="7"/>
      <c r="I21" s="7"/>
      <c r="J21" s="7"/>
      <c r="K21" s="30"/>
      <c r="L21" s="8"/>
      <c r="M21" s="8"/>
      <c r="N21" s="2">
        <f t="shared" si="3"/>
        <v>0</v>
      </c>
      <c r="O21" s="2">
        <f t="shared" si="1"/>
        <v>0</v>
      </c>
      <c r="P21" s="2">
        <f t="shared" si="2"/>
        <v>0</v>
      </c>
    </row>
    <row r="22" spans="1:16" ht="15">
      <c r="A22" s="7">
        <v>1982</v>
      </c>
      <c r="B22" s="7"/>
      <c r="C22" s="21"/>
      <c r="D22" s="7"/>
      <c r="E22" s="7"/>
      <c r="F22" s="7"/>
      <c r="G22" s="7"/>
      <c r="H22" s="7"/>
      <c r="I22" s="7"/>
      <c r="J22" s="7"/>
      <c r="K22" s="30"/>
      <c r="L22" s="8"/>
      <c r="M22" s="8"/>
      <c r="N22" s="2">
        <f t="shared" si="3"/>
        <v>0</v>
      </c>
      <c r="O22" s="2">
        <f t="shared" si="1"/>
        <v>0</v>
      </c>
      <c r="P22" s="2">
        <f t="shared" si="2"/>
        <v>0</v>
      </c>
    </row>
    <row r="23" spans="1:16" ht="15">
      <c r="A23" s="7">
        <v>1983</v>
      </c>
      <c r="B23" s="7"/>
      <c r="C23" s="21"/>
      <c r="D23" s="7"/>
      <c r="E23" s="7"/>
      <c r="F23" s="7"/>
      <c r="G23" s="7"/>
      <c r="H23" s="7"/>
      <c r="I23" s="7"/>
      <c r="J23" s="7"/>
      <c r="K23" s="30"/>
      <c r="L23" s="8"/>
      <c r="M23" s="8"/>
      <c r="N23" s="2">
        <f t="shared" si="3"/>
        <v>0</v>
      </c>
      <c r="O23" s="2">
        <f t="shared" si="1"/>
        <v>0</v>
      </c>
      <c r="P23" s="2">
        <f t="shared" si="2"/>
        <v>0</v>
      </c>
    </row>
    <row r="24" spans="1:16" ht="15">
      <c r="A24" s="7">
        <v>1984</v>
      </c>
      <c r="B24" s="7"/>
      <c r="C24" s="21"/>
      <c r="D24" s="7"/>
      <c r="E24" s="7"/>
      <c r="F24" s="7"/>
      <c r="G24" s="7"/>
      <c r="H24" s="7"/>
      <c r="I24" s="7"/>
      <c r="J24" s="7"/>
      <c r="K24" s="30"/>
      <c r="L24" s="8"/>
      <c r="M24" s="8"/>
      <c r="N24" s="2">
        <f t="shared" si="3"/>
        <v>0</v>
      </c>
      <c r="O24" s="2">
        <f t="shared" si="1"/>
        <v>0</v>
      </c>
      <c r="P24" s="2">
        <f t="shared" si="2"/>
        <v>0</v>
      </c>
    </row>
    <row r="25" spans="1:16">
      <c r="A25" s="7">
        <v>1985</v>
      </c>
      <c r="B25" s="9"/>
      <c r="C25" s="21"/>
      <c r="D25" s="9"/>
      <c r="E25" s="9"/>
      <c r="F25" s="9"/>
      <c r="G25" s="9"/>
      <c r="H25" s="9"/>
      <c r="I25" s="9"/>
      <c r="J25" s="9"/>
      <c r="K25" s="30"/>
      <c r="L25" s="9"/>
      <c r="M25" s="9"/>
      <c r="N25" s="2">
        <f>K24+L24+M24+B25+C25+D25+E25</f>
        <v>0</v>
      </c>
      <c r="O25" s="2">
        <f t="shared" si="1"/>
        <v>0</v>
      </c>
      <c r="P25" s="2">
        <f t="shared" ref="P25:P45" si="4">SUM(N25:O25)</f>
        <v>0</v>
      </c>
    </row>
    <row r="26" spans="1:16">
      <c r="A26" s="7">
        <v>1986</v>
      </c>
      <c r="B26" s="9"/>
      <c r="C26" s="21"/>
      <c r="D26" s="9"/>
      <c r="E26" s="9"/>
      <c r="F26" s="9"/>
      <c r="G26" s="9"/>
      <c r="H26" s="9"/>
      <c r="I26" s="9"/>
      <c r="J26" s="9"/>
      <c r="K26" s="30"/>
      <c r="L26" s="9"/>
      <c r="M26" s="9"/>
      <c r="N26" s="2">
        <f t="shared" ref="N26:N45" si="5">K25+L25+M25+B26+C26+D26+E26</f>
        <v>0</v>
      </c>
      <c r="O26" s="2">
        <f t="shared" si="1"/>
        <v>0</v>
      </c>
      <c r="P26" s="2">
        <f t="shared" si="4"/>
        <v>0</v>
      </c>
    </row>
    <row r="27" spans="1:16">
      <c r="A27" s="7">
        <v>1987</v>
      </c>
      <c r="B27" s="7"/>
      <c r="C27" s="21"/>
      <c r="D27" s="7"/>
      <c r="E27" s="7"/>
      <c r="F27" s="7"/>
      <c r="G27" s="7"/>
      <c r="H27" s="7"/>
      <c r="I27" s="7"/>
      <c r="J27" s="7"/>
      <c r="K27" s="30"/>
      <c r="L27" s="7"/>
      <c r="M27" s="7"/>
      <c r="N27" s="2">
        <f t="shared" si="5"/>
        <v>0</v>
      </c>
      <c r="O27" s="2">
        <f t="shared" si="1"/>
        <v>0</v>
      </c>
      <c r="P27" s="2">
        <f t="shared" si="4"/>
        <v>0</v>
      </c>
    </row>
    <row r="28" spans="1:16">
      <c r="A28" s="7">
        <v>1988</v>
      </c>
      <c r="B28" s="7"/>
      <c r="C28" s="21"/>
      <c r="D28" s="7"/>
      <c r="E28" s="7"/>
      <c r="F28" s="7"/>
      <c r="G28" s="7"/>
      <c r="H28" s="7"/>
      <c r="I28" s="7"/>
      <c r="J28" s="7"/>
      <c r="K28" s="30"/>
      <c r="L28" s="7"/>
      <c r="M28" s="7"/>
      <c r="N28" s="2">
        <f t="shared" si="5"/>
        <v>0</v>
      </c>
      <c r="O28" s="2">
        <f t="shared" si="1"/>
        <v>0</v>
      </c>
      <c r="P28" s="2">
        <f t="shared" si="4"/>
        <v>0</v>
      </c>
    </row>
    <row r="29" spans="1:16">
      <c r="A29" s="7">
        <v>1989</v>
      </c>
      <c r="B29" s="7"/>
      <c r="C29" s="21"/>
      <c r="D29" s="7"/>
      <c r="E29" s="7"/>
      <c r="F29" s="7"/>
      <c r="G29" s="7"/>
      <c r="H29" s="7"/>
      <c r="I29" s="7"/>
      <c r="J29" s="7"/>
      <c r="K29" s="30"/>
      <c r="L29" s="7"/>
      <c r="M29" s="7"/>
      <c r="N29" s="2">
        <f t="shared" si="5"/>
        <v>0</v>
      </c>
      <c r="O29" s="2">
        <f t="shared" si="1"/>
        <v>0</v>
      </c>
      <c r="P29" s="2">
        <f t="shared" si="4"/>
        <v>0</v>
      </c>
    </row>
    <row r="30" spans="1:16">
      <c r="A30" s="7">
        <v>1990</v>
      </c>
      <c r="B30" s="7"/>
      <c r="C30" s="21"/>
      <c r="D30" s="7"/>
      <c r="E30" s="7"/>
      <c r="F30" s="7"/>
      <c r="G30" s="7"/>
      <c r="H30" s="7"/>
      <c r="I30" s="7"/>
      <c r="J30" s="7"/>
      <c r="K30" s="30"/>
      <c r="L30" s="7"/>
      <c r="M30" s="7"/>
      <c r="N30" s="2">
        <f t="shared" si="5"/>
        <v>0</v>
      </c>
      <c r="O30" s="2">
        <f t="shared" si="1"/>
        <v>0</v>
      </c>
      <c r="P30" s="2">
        <f t="shared" si="4"/>
        <v>0</v>
      </c>
    </row>
    <row r="31" spans="1:16">
      <c r="A31" s="7">
        <v>1991</v>
      </c>
      <c r="B31" s="7"/>
      <c r="C31" s="21"/>
      <c r="D31" s="7"/>
      <c r="E31" s="7"/>
      <c r="F31" s="7"/>
      <c r="G31" s="7"/>
      <c r="H31" s="7"/>
      <c r="I31" s="7"/>
      <c r="J31" s="7"/>
      <c r="K31" s="30"/>
      <c r="L31" s="7"/>
      <c r="M31" s="7"/>
      <c r="N31" s="2">
        <f t="shared" si="5"/>
        <v>0</v>
      </c>
      <c r="O31" s="2">
        <f t="shared" si="1"/>
        <v>0</v>
      </c>
      <c r="P31" s="2">
        <f t="shared" si="4"/>
        <v>0</v>
      </c>
    </row>
    <row r="32" spans="1:16">
      <c r="A32" s="7">
        <v>1992</v>
      </c>
      <c r="B32" s="7"/>
      <c r="C32" s="21"/>
      <c r="D32" s="7"/>
      <c r="E32" s="7"/>
      <c r="F32" s="7"/>
      <c r="G32" s="7"/>
      <c r="H32" s="7"/>
      <c r="I32" s="7"/>
      <c r="J32" s="7"/>
      <c r="K32" s="30"/>
      <c r="L32" s="7"/>
      <c r="M32" s="7"/>
      <c r="N32" s="2">
        <f t="shared" si="5"/>
        <v>0</v>
      </c>
      <c r="O32" s="2">
        <f t="shared" si="1"/>
        <v>0</v>
      </c>
      <c r="P32" s="2">
        <f t="shared" si="4"/>
        <v>0</v>
      </c>
    </row>
    <row r="33" spans="1:31">
      <c r="A33" s="7">
        <v>1993</v>
      </c>
      <c r="B33" s="7"/>
      <c r="C33" s="21"/>
      <c r="D33" s="7"/>
      <c r="E33" s="7"/>
      <c r="F33" s="7"/>
      <c r="G33" s="7"/>
      <c r="H33" s="7"/>
      <c r="I33" s="7"/>
      <c r="J33" s="7"/>
      <c r="K33" s="30"/>
      <c r="L33" s="7"/>
      <c r="M33" s="7"/>
      <c r="N33" s="2">
        <f t="shared" si="5"/>
        <v>0</v>
      </c>
      <c r="O33" s="2">
        <f t="shared" si="1"/>
        <v>0</v>
      </c>
      <c r="P33" s="2">
        <f t="shared" si="4"/>
        <v>0</v>
      </c>
    </row>
    <row r="34" spans="1:31">
      <c r="A34" s="7">
        <v>1994</v>
      </c>
      <c r="B34" s="7"/>
      <c r="C34" s="21"/>
      <c r="D34" s="7"/>
      <c r="E34" s="7"/>
      <c r="F34" s="7"/>
      <c r="G34" s="7"/>
      <c r="H34" s="7"/>
      <c r="I34" s="7"/>
      <c r="J34" s="7"/>
      <c r="K34" s="30"/>
      <c r="L34" s="7"/>
      <c r="M34" s="7"/>
      <c r="N34" s="2">
        <f t="shared" si="5"/>
        <v>0</v>
      </c>
      <c r="O34" s="2">
        <f t="shared" si="1"/>
        <v>0</v>
      </c>
      <c r="P34" s="2">
        <f t="shared" si="4"/>
        <v>0</v>
      </c>
    </row>
    <row r="35" spans="1:31">
      <c r="A35" s="7">
        <v>1995</v>
      </c>
      <c r="B35" s="7"/>
      <c r="C35" s="21"/>
      <c r="D35" s="7"/>
      <c r="E35" s="7"/>
      <c r="F35" s="7"/>
      <c r="G35" s="7"/>
      <c r="H35" s="7"/>
      <c r="I35" s="7"/>
      <c r="J35" s="7"/>
      <c r="K35" s="30"/>
      <c r="L35" s="7"/>
      <c r="M35" s="7"/>
      <c r="N35" s="2">
        <f t="shared" si="5"/>
        <v>0</v>
      </c>
      <c r="O35" s="2">
        <f t="shared" si="1"/>
        <v>0</v>
      </c>
      <c r="P35" s="2">
        <f t="shared" si="4"/>
        <v>0</v>
      </c>
    </row>
    <row r="36" spans="1:31">
      <c r="A36" s="7">
        <v>1996</v>
      </c>
      <c r="B36" s="7"/>
      <c r="C36" s="21"/>
      <c r="D36" s="7"/>
      <c r="E36" s="7"/>
      <c r="F36" s="7"/>
      <c r="G36" s="7"/>
      <c r="H36" s="7"/>
      <c r="I36" s="7"/>
      <c r="J36" s="7"/>
      <c r="K36" s="30"/>
      <c r="L36" s="7"/>
      <c r="M36" s="7"/>
      <c r="N36" s="2">
        <f t="shared" si="5"/>
        <v>0</v>
      </c>
      <c r="O36" s="2">
        <f t="shared" si="1"/>
        <v>0</v>
      </c>
      <c r="P36" s="2">
        <f t="shared" si="4"/>
        <v>0</v>
      </c>
    </row>
    <row r="37" spans="1:31">
      <c r="A37" s="7">
        <v>1997</v>
      </c>
      <c r="B37" s="7"/>
      <c r="C37" s="21"/>
      <c r="D37" s="7"/>
      <c r="E37" s="7"/>
      <c r="F37" s="7"/>
      <c r="G37" s="7"/>
      <c r="H37" s="7"/>
      <c r="I37" s="7"/>
      <c r="J37" s="7"/>
      <c r="K37" s="30"/>
      <c r="L37" s="7"/>
      <c r="M37" s="7"/>
      <c r="N37" s="2">
        <f t="shared" si="5"/>
        <v>0</v>
      </c>
      <c r="O37" s="2">
        <f t="shared" si="1"/>
        <v>0</v>
      </c>
      <c r="P37" s="2">
        <f t="shared" si="4"/>
        <v>0</v>
      </c>
    </row>
    <row r="38" spans="1:31">
      <c r="A38" s="7">
        <v>1998</v>
      </c>
      <c r="B38" s="7"/>
      <c r="C38" s="21"/>
      <c r="D38" s="7"/>
      <c r="E38" s="7"/>
      <c r="F38" s="7"/>
      <c r="G38" s="7"/>
      <c r="H38" s="7"/>
      <c r="I38" s="7"/>
      <c r="J38" s="7"/>
      <c r="K38" s="30"/>
      <c r="L38" s="7"/>
      <c r="M38" s="7"/>
      <c r="N38" s="2">
        <f t="shared" si="5"/>
        <v>0</v>
      </c>
      <c r="O38" s="2">
        <f t="shared" si="1"/>
        <v>0</v>
      </c>
      <c r="P38" s="2">
        <f t="shared" si="4"/>
        <v>0</v>
      </c>
    </row>
    <row r="39" spans="1:31">
      <c r="A39" s="7">
        <v>1999</v>
      </c>
      <c r="B39" s="7"/>
      <c r="C39" s="21"/>
      <c r="D39" s="7"/>
      <c r="E39" s="7"/>
      <c r="F39" s="7"/>
      <c r="G39" s="7"/>
      <c r="H39" s="7"/>
      <c r="I39" s="7"/>
      <c r="J39" s="7"/>
      <c r="K39" s="30"/>
      <c r="L39" s="7"/>
      <c r="M39" s="7"/>
      <c r="N39" s="2">
        <f t="shared" si="5"/>
        <v>0</v>
      </c>
      <c r="O39" s="2">
        <f t="shared" si="1"/>
        <v>0</v>
      </c>
      <c r="P39" s="2">
        <f t="shared" si="4"/>
        <v>0</v>
      </c>
    </row>
    <row r="40" spans="1:31">
      <c r="A40" s="7">
        <v>2000</v>
      </c>
      <c r="B40" s="7"/>
      <c r="C40" s="21"/>
      <c r="D40" s="7"/>
      <c r="E40" s="7"/>
      <c r="F40" s="7"/>
      <c r="G40" s="7"/>
      <c r="H40" s="7"/>
      <c r="I40" s="7"/>
      <c r="J40" s="7"/>
      <c r="K40" s="30"/>
      <c r="L40" s="7"/>
      <c r="M40" s="7"/>
      <c r="N40" s="2">
        <f t="shared" si="5"/>
        <v>0</v>
      </c>
      <c r="O40" s="2">
        <f t="shared" si="1"/>
        <v>0</v>
      </c>
      <c r="P40" s="2">
        <f t="shared" si="4"/>
        <v>0</v>
      </c>
    </row>
    <row r="41" spans="1:31">
      <c r="A41" s="7">
        <v>2001</v>
      </c>
      <c r="B41" s="7"/>
      <c r="C41" s="21"/>
      <c r="D41" s="7"/>
      <c r="E41" s="7"/>
      <c r="F41" s="7"/>
      <c r="G41" s="7"/>
      <c r="H41" s="7"/>
      <c r="I41" s="7"/>
      <c r="J41" s="7"/>
      <c r="K41" s="30"/>
      <c r="L41" s="7"/>
      <c r="M41" s="7"/>
      <c r="N41" s="2">
        <f t="shared" si="5"/>
        <v>0</v>
      </c>
      <c r="O41" s="2">
        <f t="shared" si="1"/>
        <v>0</v>
      </c>
      <c r="P41" s="2">
        <f t="shared" si="4"/>
        <v>0</v>
      </c>
    </row>
    <row r="42" spans="1:31">
      <c r="A42" s="7">
        <v>2002</v>
      </c>
      <c r="B42" s="7"/>
      <c r="C42" s="21"/>
      <c r="D42" s="7"/>
      <c r="E42" s="7"/>
      <c r="F42" s="7"/>
      <c r="G42" s="7"/>
      <c r="H42" s="7"/>
      <c r="I42" s="7"/>
      <c r="J42" s="7"/>
      <c r="K42" s="30"/>
      <c r="L42" s="7"/>
      <c r="M42" s="7"/>
      <c r="N42" s="2">
        <f t="shared" si="5"/>
        <v>0</v>
      </c>
      <c r="O42" s="2">
        <f t="shared" si="1"/>
        <v>0</v>
      </c>
      <c r="P42" s="2">
        <f t="shared" si="4"/>
        <v>0</v>
      </c>
    </row>
    <row r="43" spans="1:31">
      <c r="A43" s="7">
        <v>2003</v>
      </c>
      <c r="B43" s="7"/>
      <c r="C43" s="21"/>
      <c r="D43" s="7"/>
      <c r="E43" s="7"/>
      <c r="F43" s="7"/>
      <c r="G43" s="7"/>
      <c r="H43" s="7"/>
      <c r="I43" s="7"/>
      <c r="J43" s="7"/>
      <c r="K43" s="30"/>
      <c r="L43" s="7"/>
      <c r="M43" s="7"/>
      <c r="N43" s="2">
        <f t="shared" si="5"/>
        <v>0</v>
      </c>
      <c r="O43" s="2">
        <f t="shared" si="1"/>
        <v>0</v>
      </c>
      <c r="P43" s="2">
        <f t="shared" si="4"/>
        <v>0</v>
      </c>
    </row>
    <row r="44" spans="1:31">
      <c r="A44" s="7">
        <v>2004</v>
      </c>
      <c r="B44" s="38"/>
      <c r="C44" s="24"/>
      <c r="D44" s="38"/>
      <c r="E44" s="38"/>
      <c r="F44" s="38"/>
      <c r="G44" s="38"/>
      <c r="H44" s="38"/>
      <c r="I44" s="38"/>
      <c r="J44" s="38"/>
      <c r="K44" s="29"/>
      <c r="L44" s="38"/>
      <c r="M44" s="38"/>
      <c r="N44" s="2">
        <f t="shared" si="5"/>
        <v>0</v>
      </c>
      <c r="O44" s="2">
        <f t="shared" si="1"/>
        <v>0</v>
      </c>
      <c r="P44" s="2">
        <f t="shared" si="4"/>
        <v>0</v>
      </c>
      <c r="Q44" s="2" t="e">
        <f t="shared" ref="Q44:AE44" si="6">(B44-B51)/B51*100</f>
        <v>#DIV/0!</v>
      </c>
      <c r="R44" s="2" t="e">
        <f t="shared" si="6"/>
        <v>#DIV/0!</v>
      </c>
      <c r="S44" s="2" t="e">
        <f t="shared" si="6"/>
        <v>#DIV/0!</v>
      </c>
      <c r="T44" s="2" t="e">
        <f t="shared" si="6"/>
        <v>#DIV/0!</v>
      </c>
      <c r="U44" s="2" t="e">
        <f t="shared" si="6"/>
        <v>#DIV/0!</v>
      </c>
      <c r="V44" s="2" t="e">
        <f t="shared" si="6"/>
        <v>#DIV/0!</v>
      </c>
      <c r="W44" s="2" t="e">
        <f t="shared" si="6"/>
        <v>#DIV/0!</v>
      </c>
      <c r="X44" s="2" t="e">
        <f t="shared" si="6"/>
        <v>#DIV/0!</v>
      </c>
      <c r="Y44" s="2" t="e">
        <f t="shared" si="6"/>
        <v>#DIV/0!</v>
      </c>
      <c r="Z44" s="14" t="e">
        <f t="shared" si="6"/>
        <v>#DIV/0!</v>
      </c>
      <c r="AA44" s="14" t="e">
        <f t="shared" si="6"/>
        <v>#DIV/0!</v>
      </c>
      <c r="AB44" s="14" t="e">
        <f t="shared" si="6"/>
        <v>#DIV/0!</v>
      </c>
      <c r="AC44" s="2" t="e">
        <f t="shared" si="6"/>
        <v>#DIV/0!</v>
      </c>
      <c r="AD44" s="2" t="e">
        <f t="shared" si="6"/>
        <v>#DIV/0!</v>
      </c>
      <c r="AE44" s="2" t="e">
        <f t="shared" si="6"/>
        <v>#DIV/0!</v>
      </c>
    </row>
    <row r="45" spans="1:31">
      <c r="A45" s="7">
        <v>2005</v>
      </c>
      <c r="B45" s="16"/>
      <c r="C45" s="16"/>
      <c r="D45" s="16"/>
      <c r="E45" s="16"/>
      <c r="F45" s="16"/>
      <c r="G45" s="16"/>
      <c r="H45" s="16"/>
      <c r="I45" s="16"/>
      <c r="J45" s="16"/>
      <c r="K45" s="32"/>
      <c r="L45" s="16"/>
      <c r="M45" s="16"/>
      <c r="N45" s="2">
        <f t="shared" si="5"/>
        <v>0</v>
      </c>
      <c r="O45" s="2">
        <f t="shared" si="1"/>
        <v>0</v>
      </c>
      <c r="P45" s="2">
        <f t="shared" si="4"/>
        <v>0</v>
      </c>
      <c r="Q45" s="2" t="e">
        <f t="shared" ref="Q45:AE45" si="7">(B45-B51)/B51*100</f>
        <v>#DIV/0!</v>
      </c>
      <c r="R45" s="2" t="e">
        <f t="shared" si="7"/>
        <v>#DIV/0!</v>
      </c>
      <c r="S45" s="2" t="e">
        <f t="shared" si="7"/>
        <v>#DIV/0!</v>
      </c>
      <c r="T45" s="2" t="e">
        <f t="shared" si="7"/>
        <v>#DIV/0!</v>
      </c>
      <c r="U45" s="2" t="e">
        <f t="shared" si="7"/>
        <v>#DIV/0!</v>
      </c>
      <c r="V45" s="2" t="e">
        <f t="shared" si="7"/>
        <v>#DIV/0!</v>
      </c>
      <c r="W45" s="2" t="e">
        <f t="shared" si="7"/>
        <v>#DIV/0!</v>
      </c>
      <c r="X45" s="2" t="e">
        <f t="shared" si="7"/>
        <v>#DIV/0!</v>
      </c>
      <c r="Y45" s="2" t="e">
        <f t="shared" si="7"/>
        <v>#DIV/0!</v>
      </c>
      <c r="Z45" s="2" t="e">
        <f t="shared" si="7"/>
        <v>#DIV/0!</v>
      </c>
      <c r="AA45" s="2" t="e">
        <f t="shared" si="7"/>
        <v>#DIV/0!</v>
      </c>
      <c r="AB45" s="2" t="e">
        <f t="shared" si="7"/>
        <v>#DIV/0!</v>
      </c>
      <c r="AC45" s="2" t="e">
        <f t="shared" si="7"/>
        <v>#DIV/0!</v>
      </c>
      <c r="AD45" s="2" t="e">
        <f t="shared" si="7"/>
        <v>#DIV/0!</v>
      </c>
      <c r="AE45" s="2" t="e">
        <f t="shared" si="7"/>
        <v>#DIV/0!</v>
      </c>
    </row>
    <row r="46" spans="1:31">
      <c r="A46" s="2">
        <v>2006</v>
      </c>
      <c r="B46" s="27"/>
      <c r="C46" s="27"/>
      <c r="D46" s="27"/>
      <c r="E46" s="27"/>
      <c r="F46" s="27"/>
      <c r="G46" s="27"/>
      <c r="H46" s="27"/>
      <c r="I46" s="27"/>
      <c r="J46" s="27"/>
      <c r="K46" s="34"/>
      <c r="L46" s="28"/>
      <c r="M46" s="28"/>
      <c r="N46" s="2">
        <f>K45+L45+M45+B46+C46+D46+E46</f>
        <v>0</v>
      </c>
      <c r="O46" s="2">
        <f>SUM(F46:J46)</f>
        <v>0</v>
      </c>
      <c r="P46" s="2">
        <f>SUM(N46:O46)</f>
        <v>0</v>
      </c>
      <c r="Q46" s="2" t="e">
        <f t="shared" ref="Q46:AE46" si="8">(B46-B51)/B51*100</f>
        <v>#DIV/0!</v>
      </c>
      <c r="R46" s="2" t="e">
        <f t="shared" si="8"/>
        <v>#DIV/0!</v>
      </c>
      <c r="S46" s="2" t="e">
        <f t="shared" si="8"/>
        <v>#DIV/0!</v>
      </c>
      <c r="T46" s="2" t="e">
        <f t="shared" si="8"/>
        <v>#DIV/0!</v>
      </c>
      <c r="U46" s="2" t="e">
        <f t="shared" si="8"/>
        <v>#DIV/0!</v>
      </c>
      <c r="V46" s="2" t="e">
        <f t="shared" si="8"/>
        <v>#DIV/0!</v>
      </c>
      <c r="W46" s="2" t="e">
        <f t="shared" si="8"/>
        <v>#DIV/0!</v>
      </c>
      <c r="X46" s="2" t="e">
        <f t="shared" si="8"/>
        <v>#DIV/0!</v>
      </c>
      <c r="Y46" s="2" t="e">
        <f t="shared" si="8"/>
        <v>#DIV/0!</v>
      </c>
      <c r="Z46" s="2" t="e">
        <f t="shared" si="8"/>
        <v>#DIV/0!</v>
      </c>
      <c r="AA46" s="2" t="e">
        <f t="shared" si="8"/>
        <v>#DIV/0!</v>
      </c>
      <c r="AB46" s="2" t="e">
        <f t="shared" si="8"/>
        <v>#DIV/0!</v>
      </c>
      <c r="AC46" s="2" t="e">
        <f t="shared" si="8"/>
        <v>#DIV/0!</v>
      </c>
      <c r="AD46" s="2" t="e">
        <f t="shared" si="8"/>
        <v>#DIV/0!</v>
      </c>
      <c r="AE46" s="2" t="e">
        <f t="shared" si="8"/>
        <v>#DIV/0!</v>
      </c>
    </row>
    <row r="47" spans="1:31">
      <c r="A47" s="2">
        <v>2007</v>
      </c>
      <c r="B47" s="17"/>
      <c r="C47" s="17"/>
      <c r="D47" s="17"/>
      <c r="E47" s="17"/>
      <c r="F47" s="17"/>
      <c r="G47" s="17"/>
      <c r="H47" s="17"/>
      <c r="I47" s="17"/>
      <c r="J47" s="17"/>
      <c r="K47" s="32"/>
      <c r="L47" s="16"/>
      <c r="M47" s="16"/>
      <c r="N47" s="2">
        <f>K46+L46+M46+B47+C47+D47+E47</f>
        <v>0</v>
      </c>
      <c r="O47" s="2">
        <f>SUM(F47:J47)</f>
        <v>0</v>
      </c>
      <c r="P47" s="2">
        <f>SUM(N47:O47)</f>
        <v>0</v>
      </c>
      <c r="Q47" s="2" t="e">
        <f t="shared" ref="Q47:AE47" si="9">(B47-B51)/B51*100</f>
        <v>#DIV/0!</v>
      </c>
      <c r="R47" s="2" t="e">
        <f t="shared" si="9"/>
        <v>#DIV/0!</v>
      </c>
      <c r="S47" s="2" t="e">
        <f t="shared" si="9"/>
        <v>#DIV/0!</v>
      </c>
      <c r="T47" s="2" t="e">
        <f t="shared" si="9"/>
        <v>#DIV/0!</v>
      </c>
      <c r="U47" s="2" t="e">
        <f t="shared" si="9"/>
        <v>#DIV/0!</v>
      </c>
      <c r="V47" s="2" t="e">
        <f t="shared" si="9"/>
        <v>#DIV/0!</v>
      </c>
      <c r="W47" s="2" t="e">
        <f t="shared" si="9"/>
        <v>#DIV/0!</v>
      </c>
      <c r="X47" s="2" t="e">
        <f t="shared" si="9"/>
        <v>#DIV/0!</v>
      </c>
      <c r="Y47" s="2" t="e">
        <f t="shared" si="9"/>
        <v>#DIV/0!</v>
      </c>
      <c r="Z47" s="2" t="e">
        <f t="shared" si="9"/>
        <v>#DIV/0!</v>
      </c>
      <c r="AA47" s="2" t="e">
        <f t="shared" si="9"/>
        <v>#DIV/0!</v>
      </c>
      <c r="AB47" s="2" t="e">
        <f t="shared" si="9"/>
        <v>#DIV/0!</v>
      </c>
      <c r="AC47" s="2" t="e">
        <f t="shared" si="9"/>
        <v>#DIV/0!</v>
      </c>
      <c r="AD47" s="2" t="e">
        <f t="shared" si="9"/>
        <v>#DIV/0!</v>
      </c>
      <c r="AE47" s="2" t="e">
        <f t="shared" si="9"/>
        <v>#DIV/0!</v>
      </c>
    </row>
    <row r="48" spans="1:31">
      <c r="A48" s="2">
        <v>2008</v>
      </c>
      <c r="N48" s="2">
        <f>K47+L47+M47+B48+C48+D48+E48</f>
        <v>0</v>
      </c>
      <c r="O48" s="2">
        <f>SUM(F48:J48)</f>
        <v>0</v>
      </c>
      <c r="P48" s="2">
        <f>SUM(N48:O48)</f>
        <v>0</v>
      </c>
      <c r="Q48" s="2" t="e">
        <f t="shared" ref="Q48:AE48" si="10">(B48-B51)/B51*100</f>
        <v>#DIV/0!</v>
      </c>
      <c r="R48" s="2" t="e">
        <f t="shared" si="10"/>
        <v>#DIV/0!</v>
      </c>
      <c r="S48" s="2" t="e">
        <f t="shared" si="10"/>
        <v>#DIV/0!</v>
      </c>
      <c r="T48" s="2" t="e">
        <f t="shared" si="10"/>
        <v>#DIV/0!</v>
      </c>
      <c r="U48" s="2" t="e">
        <f t="shared" si="10"/>
        <v>#DIV/0!</v>
      </c>
      <c r="V48" s="2" t="e">
        <f t="shared" si="10"/>
        <v>#DIV/0!</v>
      </c>
      <c r="W48" s="2" t="e">
        <f t="shared" si="10"/>
        <v>#DIV/0!</v>
      </c>
      <c r="X48" s="2" t="e">
        <f t="shared" si="10"/>
        <v>#DIV/0!</v>
      </c>
      <c r="Y48" s="2" t="e">
        <f t="shared" si="10"/>
        <v>#DIV/0!</v>
      </c>
      <c r="Z48" s="2" t="e">
        <f t="shared" si="10"/>
        <v>#DIV/0!</v>
      </c>
      <c r="AA48" s="2" t="e">
        <f t="shared" si="10"/>
        <v>#DIV/0!</v>
      </c>
      <c r="AB48" s="2" t="e">
        <f t="shared" si="10"/>
        <v>#DIV/0!</v>
      </c>
      <c r="AC48" s="2" t="e">
        <f t="shared" si="10"/>
        <v>#DIV/0!</v>
      </c>
      <c r="AD48" s="2" t="e">
        <f t="shared" si="10"/>
        <v>#DIV/0!</v>
      </c>
      <c r="AE48" s="2" t="e">
        <f t="shared" si="10"/>
        <v>#DIV/0!</v>
      </c>
    </row>
    <row r="49" spans="1:33">
      <c r="A49" s="2">
        <v>2009</v>
      </c>
      <c r="N49" s="2">
        <f>K48+L48+M48+B49+C49+D49+E49</f>
        <v>0</v>
      </c>
      <c r="O49" s="2">
        <f>SUM(F49:J49)</f>
        <v>0</v>
      </c>
      <c r="P49" s="2">
        <f>SUM(N49:O49)</f>
        <v>0</v>
      </c>
      <c r="Q49" s="2" t="e">
        <f t="shared" ref="Q49:AE49" si="11">(B49-B51)/B51*100</f>
        <v>#DIV/0!</v>
      </c>
      <c r="R49" s="2" t="e">
        <f t="shared" si="11"/>
        <v>#DIV/0!</v>
      </c>
      <c r="S49" s="2" t="e">
        <f t="shared" si="11"/>
        <v>#DIV/0!</v>
      </c>
      <c r="T49" s="2" t="e">
        <f t="shared" si="11"/>
        <v>#DIV/0!</v>
      </c>
      <c r="U49" s="2" t="e">
        <f t="shared" si="11"/>
        <v>#DIV/0!</v>
      </c>
      <c r="V49" s="2" t="e">
        <f t="shared" si="11"/>
        <v>#DIV/0!</v>
      </c>
      <c r="W49" s="2" t="e">
        <f t="shared" si="11"/>
        <v>#DIV/0!</v>
      </c>
      <c r="X49" s="2" t="e">
        <f t="shared" si="11"/>
        <v>#DIV/0!</v>
      </c>
      <c r="Y49" s="2" t="e">
        <f t="shared" si="11"/>
        <v>#DIV/0!</v>
      </c>
      <c r="Z49" s="2" t="e">
        <f t="shared" si="11"/>
        <v>#DIV/0!</v>
      </c>
      <c r="AA49" s="2" t="e">
        <f t="shared" si="11"/>
        <v>#DIV/0!</v>
      </c>
      <c r="AB49" s="2" t="e">
        <f t="shared" si="11"/>
        <v>#DIV/0!</v>
      </c>
      <c r="AC49" s="2" t="e">
        <f t="shared" si="11"/>
        <v>#DIV/0!</v>
      </c>
      <c r="AD49" s="2" t="e">
        <f t="shared" si="11"/>
        <v>#DIV/0!</v>
      </c>
      <c r="AE49" s="2" t="e">
        <f t="shared" si="11"/>
        <v>#DIV/0!</v>
      </c>
    </row>
    <row r="50" spans="1:33">
      <c r="A50" s="2">
        <v>2010</v>
      </c>
    </row>
    <row r="51" spans="1:33" s="26" customFormat="1">
      <c r="A51" s="12"/>
      <c r="B51" s="12" t="e">
        <f t="shared" ref="B51:P51" si="12">AVERAGE(B5:B45)</f>
        <v>#DIV/0!</v>
      </c>
      <c r="C51" s="12" t="e">
        <f t="shared" si="12"/>
        <v>#DIV/0!</v>
      </c>
      <c r="D51" s="12" t="e">
        <f t="shared" si="12"/>
        <v>#DIV/0!</v>
      </c>
      <c r="E51" s="12" t="e">
        <f t="shared" si="12"/>
        <v>#DIV/0!</v>
      </c>
      <c r="F51" s="12" t="e">
        <f t="shared" si="12"/>
        <v>#DIV/0!</v>
      </c>
      <c r="G51" s="12" t="e">
        <f t="shared" si="12"/>
        <v>#DIV/0!</v>
      </c>
      <c r="H51" s="12" t="e">
        <f t="shared" si="12"/>
        <v>#DIV/0!</v>
      </c>
      <c r="I51" s="12" t="e">
        <f t="shared" si="12"/>
        <v>#DIV/0!</v>
      </c>
      <c r="J51" s="12" t="e">
        <f t="shared" si="12"/>
        <v>#DIV/0!</v>
      </c>
      <c r="K51" s="33" t="e">
        <f t="shared" si="12"/>
        <v>#DIV/0!</v>
      </c>
      <c r="L51" s="12" t="e">
        <f t="shared" si="12"/>
        <v>#DIV/0!</v>
      </c>
      <c r="M51" s="12" t="e">
        <f t="shared" si="12"/>
        <v>#DIV/0!</v>
      </c>
      <c r="N51" s="10">
        <f t="shared" si="12"/>
        <v>0</v>
      </c>
      <c r="O51" s="10">
        <f t="shared" si="12"/>
        <v>0</v>
      </c>
      <c r="P51" s="10">
        <f t="shared" si="12"/>
        <v>0</v>
      </c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</row>
    <row r="52" spans="1:33">
      <c r="A52" s="2">
        <v>2011</v>
      </c>
    </row>
    <row r="53" spans="1:33">
      <c r="A53" s="2">
        <v>2013</v>
      </c>
      <c r="N53" s="2">
        <f>SUM(B53:E53)</f>
        <v>0</v>
      </c>
      <c r="O53" s="2">
        <f>SUM(F53:J53)</f>
        <v>0</v>
      </c>
      <c r="P53" s="2">
        <f>SUM(K53:M53)</f>
        <v>0</v>
      </c>
      <c r="Q53" s="2">
        <f>SUM(B53:M53)</f>
        <v>0</v>
      </c>
      <c r="R53" s="2" t="e">
        <f t="shared" ref="R53:AG53" si="13">100*(B53-B4)/B4</f>
        <v>#DIV/0!</v>
      </c>
      <c r="S53" s="2" t="e">
        <f t="shared" si="13"/>
        <v>#DIV/0!</v>
      </c>
      <c r="T53" s="2" t="e">
        <f t="shared" si="13"/>
        <v>#DIV/0!</v>
      </c>
      <c r="U53" s="2" t="e">
        <f t="shared" si="13"/>
        <v>#DIV/0!</v>
      </c>
      <c r="V53" s="2" t="e">
        <f t="shared" si="13"/>
        <v>#DIV/0!</v>
      </c>
      <c r="W53" s="2" t="e">
        <f t="shared" si="13"/>
        <v>#DIV/0!</v>
      </c>
      <c r="X53" s="2" t="e">
        <f t="shared" si="13"/>
        <v>#DIV/0!</v>
      </c>
      <c r="Y53" s="2" t="e">
        <f t="shared" si="13"/>
        <v>#DIV/0!</v>
      </c>
      <c r="Z53" s="2" t="e">
        <f t="shared" si="13"/>
        <v>#DIV/0!</v>
      </c>
      <c r="AA53" s="2" t="e">
        <f t="shared" si="13"/>
        <v>#DIV/0!</v>
      </c>
      <c r="AB53" s="2" t="e">
        <f t="shared" si="13"/>
        <v>#DIV/0!</v>
      </c>
      <c r="AC53" s="2" t="e">
        <f t="shared" si="13"/>
        <v>#DIV/0!</v>
      </c>
      <c r="AD53" s="2" t="e">
        <f t="shared" si="13"/>
        <v>#DIV/0!</v>
      </c>
      <c r="AE53" s="2" t="e">
        <f t="shared" si="13"/>
        <v>#DIV/0!</v>
      </c>
      <c r="AF53" t="e">
        <f t="shared" si="13"/>
        <v>#DIV/0!</v>
      </c>
      <c r="AG53" t="e">
        <f t="shared" si="13"/>
        <v>#DIV/0!</v>
      </c>
    </row>
  </sheetData>
  <mergeCells count="6">
    <mergeCell ref="A1:A3"/>
    <mergeCell ref="B1:P1"/>
    <mergeCell ref="Q1:AE1"/>
    <mergeCell ref="B2:M2"/>
    <mergeCell ref="N2:P2"/>
    <mergeCell ref="Q2:AE2"/>
  </mergeCells>
  <phoneticPr fontId="2" type="noConversion"/>
  <pageMargins left="0.75" right="0.75" top="1" bottom="1" header="0.5" footer="0.5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>
  <sheetPr codeName="Sheet31"/>
  <dimension ref="A1:AG56"/>
  <sheetViews>
    <sheetView zoomScale="85" zoomScaleNormal="85" workbookViewId="0">
      <pane ySplit="5" topLeftCell="A6" activePane="bottomLeft" state="frozen"/>
      <selection pane="bottomLeft" activeCell="A56" sqref="A56:XFD56"/>
    </sheetView>
  </sheetViews>
  <sheetFormatPr defaultRowHeight="12"/>
  <cols>
    <col min="1" max="32" width="7.125" style="102" customWidth="1"/>
    <col min="33" max="33" width="8.75" style="102" customWidth="1"/>
    <col min="34" max="16384" width="9" style="102"/>
  </cols>
  <sheetData>
    <row r="1" spans="1:33" s="118" customFormat="1" ht="14.25" customHeight="1">
      <c r="A1" s="176" t="s">
        <v>53</v>
      </c>
      <c r="B1" s="176" t="s">
        <v>171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2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116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32</v>
      </c>
      <c r="O2" s="176"/>
      <c r="P2" s="176"/>
      <c r="Q2" s="176"/>
      <c r="R2" s="176" t="s">
        <v>38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 ht="24">
      <c r="A3" s="176"/>
      <c r="B3" s="124" t="s">
        <v>149</v>
      </c>
      <c r="C3" s="124" t="s">
        <v>150</v>
      </c>
      <c r="D3" s="124" t="s">
        <v>9</v>
      </c>
      <c r="E3" s="124" t="s">
        <v>10</v>
      </c>
      <c r="F3" s="124" t="s">
        <v>11</v>
      </c>
      <c r="G3" s="124" t="s">
        <v>12</v>
      </c>
      <c r="H3" s="124" t="s">
        <v>13</v>
      </c>
      <c r="I3" s="124" t="s">
        <v>14</v>
      </c>
      <c r="J3" s="124" t="s">
        <v>15</v>
      </c>
      <c r="K3" s="124" t="s">
        <v>16</v>
      </c>
      <c r="L3" s="124" t="s">
        <v>17</v>
      </c>
      <c r="M3" s="124" t="s">
        <v>18</v>
      </c>
      <c r="N3" s="124" t="s">
        <v>145</v>
      </c>
      <c r="O3" s="124" t="s">
        <v>146</v>
      </c>
      <c r="P3" s="124" t="s">
        <v>147</v>
      </c>
      <c r="Q3" s="124" t="s">
        <v>148</v>
      </c>
      <c r="R3" s="124" t="s">
        <v>149</v>
      </c>
      <c r="S3" s="124" t="s">
        <v>150</v>
      </c>
      <c r="T3" s="124" t="s">
        <v>151</v>
      </c>
      <c r="U3" s="124" t="s">
        <v>152</v>
      </c>
      <c r="V3" s="124" t="s">
        <v>153</v>
      </c>
      <c r="W3" s="124" t="s">
        <v>154</v>
      </c>
      <c r="X3" s="124" t="s">
        <v>25</v>
      </c>
      <c r="Y3" s="124" t="s">
        <v>26</v>
      </c>
      <c r="Z3" s="124" t="s">
        <v>27</v>
      </c>
      <c r="AA3" s="124" t="s">
        <v>155</v>
      </c>
      <c r="AB3" s="124" t="s">
        <v>156</v>
      </c>
      <c r="AC3" s="124" t="s">
        <v>157</v>
      </c>
      <c r="AD3" s="124" t="s">
        <v>90</v>
      </c>
      <c r="AE3" s="124" t="s">
        <v>42</v>
      </c>
      <c r="AF3" s="124" t="s">
        <v>111</v>
      </c>
      <c r="AG3" s="124" t="s">
        <v>66</v>
      </c>
    </row>
    <row r="4" spans="1:33" s="118" customFormat="1">
      <c r="A4" s="150" t="s">
        <v>261</v>
      </c>
      <c r="B4" s="150">
        <f t="shared" ref="B4:Q4" si="0">AVERAGE(B5:B55)</f>
        <v>24.105882352941173</v>
      </c>
      <c r="C4" s="150">
        <f t="shared" si="0"/>
        <v>25.709803921568625</v>
      </c>
      <c r="D4" s="150">
        <f t="shared" si="0"/>
        <v>38.729411764705873</v>
      </c>
      <c r="E4" s="150">
        <f t="shared" si="0"/>
        <v>85.768627450980375</v>
      </c>
      <c r="F4" s="150">
        <f t="shared" si="0"/>
        <v>191.51372549019612</v>
      </c>
      <c r="G4" s="150">
        <f t="shared" si="0"/>
        <v>277.16078431372551</v>
      </c>
      <c r="H4" s="150">
        <f t="shared" si="0"/>
        <v>233.55294117647057</v>
      </c>
      <c r="I4" s="150">
        <f t="shared" si="0"/>
        <v>175.75686274509803</v>
      </c>
      <c r="J4" s="150">
        <f t="shared" si="0"/>
        <v>114.12156862745101</v>
      </c>
      <c r="K4" s="150">
        <f t="shared" si="0"/>
        <v>97.460784313725512</v>
      </c>
      <c r="L4" s="150">
        <f t="shared" si="0"/>
        <v>40.929411764705868</v>
      </c>
      <c r="M4" s="150">
        <f t="shared" si="0"/>
        <v>20.398039215686275</v>
      </c>
      <c r="N4" s="150">
        <f t="shared" si="0"/>
        <v>174.31372549019611</v>
      </c>
      <c r="O4" s="150">
        <f t="shared" si="0"/>
        <v>992.10588235294108</v>
      </c>
      <c r="P4" s="150">
        <f t="shared" si="0"/>
        <v>158.78823529411767</v>
      </c>
      <c r="Q4" s="150">
        <f t="shared" si="0"/>
        <v>1325.2078431372554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1965</v>
      </c>
      <c r="B5" s="102">
        <v>29.8</v>
      </c>
      <c r="C5" s="102">
        <v>24.2</v>
      </c>
      <c r="D5" s="102">
        <v>64.099999999999994</v>
      </c>
      <c r="E5" s="102">
        <v>163.9</v>
      </c>
      <c r="F5" s="102">
        <v>220.6</v>
      </c>
      <c r="G5" s="102">
        <v>329.9</v>
      </c>
      <c r="H5" s="102">
        <v>140.6</v>
      </c>
      <c r="I5" s="102">
        <v>250.2</v>
      </c>
      <c r="J5" s="102">
        <v>69.900000000000006</v>
      </c>
      <c r="K5" s="102">
        <v>196</v>
      </c>
      <c r="L5" s="102">
        <v>48.2</v>
      </c>
      <c r="M5" s="102">
        <v>21.3</v>
      </c>
      <c r="N5" s="102">
        <f>SUM(B5:E5)</f>
        <v>282</v>
      </c>
      <c r="O5" s="102">
        <f>SUM(F5:J5)</f>
        <v>1011.1999999999999</v>
      </c>
      <c r="P5" s="102">
        <f>SUM(K5:M5)</f>
        <v>265.5</v>
      </c>
      <c r="Q5" s="102">
        <f>SUM(B5:M5)</f>
        <v>1558.7</v>
      </c>
    </row>
    <row r="6" spans="1:33">
      <c r="A6" s="102">
        <v>1966</v>
      </c>
      <c r="B6" s="102">
        <v>22</v>
      </c>
      <c r="C6" s="102">
        <v>8</v>
      </c>
      <c r="D6" s="102">
        <v>16.600000000000001</v>
      </c>
      <c r="E6" s="102">
        <v>73.8</v>
      </c>
      <c r="F6" s="102">
        <v>199</v>
      </c>
      <c r="G6" s="102">
        <v>243.3</v>
      </c>
      <c r="H6" s="102">
        <v>150</v>
      </c>
      <c r="I6" s="102">
        <v>96.6</v>
      </c>
      <c r="J6" s="102">
        <v>80.2</v>
      </c>
      <c r="K6" s="102">
        <v>114.8</v>
      </c>
      <c r="L6" s="102">
        <v>19</v>
      </c>
      <c r="M6" s="102">
        <v>19.600000000000001</v>
      </c>
      <c r="N6" s="102">
        <f t="shared" ref="N6:N55" si="1">SUM(B6:E6)</f>
        <v>120.4</v>
      </c>
      <c r="O6" s="102">
        <f t="shared" ref="O6:O55" si="2">SUM(F6:J6)</f>
        <v>769.1</v>
      </c>
      <c r="P6" s="102">
        <f t="shared" ref="P6:P55" si="3">SUM(K6:M6)</f>
        <v>153.4</v>
      </c>
      <c r="Q6" s="102">
        <f t="shared" ref="Q6:Q55" si="4">SUM(B6:M6)</f>
        <v>1042.9000000000001</v>
      </c>
    </row>
    <row r="7" spans="1:33">
      <c r="A7" s="102">
        <v>1967</v>
      </c>
      <c r="B7" s="102">
        <v>8.5</v>
      </c>
      <c r="C7" s="102">
        <v>42.8</v>
      </c>
      <c r="D7" s="102">
        <v>44.6</v>
      </c>
      <c r="E7" s="102">
        <v>160.30000000000001</v>
      </c>
      <c r="F7" s="102">
        <v>294.7</v>
      </c>
      <c r="G7" s="102">
        <v>249.6</v>
      </c>
      <c r="H7" s="102">
        <v>177.8</v>
      </c>
      <c r="I7" s="102">
        <v>235.8</v>
      </c>
      <c r="J7" s="102">
        <v>173.2</v>
      </c>
      <c r="K7" s="102">
        <v>38.299999999999997</v>
      </c>
      <c r="L7" s="102">
        <v>86.6</v>
      </c>
      <c r="M7" s="102">
        <v>21.9</v>
      </c>
      <c r="N7" s="102">
        <f t="shared" si="1"/>
        <v>256.20000000000005</v>
      </c>
      <c r="O7" s="102">
        <f t="shared" si="2"/>
        <v>1131.0999999999999</v>
      </c>
      <c r="P7" s="102">
        <f t="shared" si="3"/>
        <v>146.79999999999998</v>
      </c>
      <c r="Q7" s="102">
        <f t="shared" si="4"/>
        <v>1534.1000000000001</v>
      </c>
    </row>
    <row r="8" spans="1:33">
      <c r="A8" s="102">
        <v>1968</v>
      </c>
      <c r="B8" s="102">
        <v>18.2</v>
      </c>
      <c r="C8" s="102">
        <v>32.799999999999997</v>
      </c>
      <c r="D8" s="102">
        <v>39.200000000000003</v>
      </c>
      <c r="E8" s="102">
        <v>164.8</v>
      </c>
      <c r="F8" s="102">
        <v>183</v>
      </c>
      <c r="G8" s="102">
        <v>423.1</v>
      </c>
      <c r="H8" s="102">
        <v>273.7</v>
      </c>
      <c r="I8" s="102">
        <v>273.7</v>
      </c>
      <c r="J8" s="102">
        <v>25.5</v>
      </c>
      <c r="K8" s="102">
        <v>141</v>
      </c>
      <c r="L8" s="102">
        <v>27.4</v>
      </c>
      <c r="M8" s="102">
        <v>8.5</v>
      </c>
      <c r="N8" s="102">
        <f t="shared" si="1"/>
        <v>255</v>
      </c>
      <c r="O8" s="102">
        <f t="shared" si="2"/>
        <v>1179</v>
      </c>
      <c r="P8" s="102">
        <f t="shared" si="3"/>
        <v>176.9</v>
      </c>
      <c r="Q8" s="102">
        <f t="shared" si="4"/>
        <v>1610.9</v>
      </c>
    </row>
    <row r="9" spans="1:33">
      <c r="A9" s="102">
        <v>1969</v>
      </c>
      <c r="B9" s="102">
        <v>22.3</v>
      </c>
      <c r="C9" s="102">
        <v>6.5</v>
      </c>
      <c r="D9" s="102">
        <v>36.1</v>
      </c>
      <c r="E9" s="102">
        <v>115.2</v>
      </c>
      <c r="F9" s="102">
        <v>132</v>
      </c>
      <c r="G9" s="102">
        <v>327.8</v>
      </c>
      <c r="H9" s="102">
        <v>276.10000000000002</v>
      </c>
      <c r="I9" s="102">
        <v>331.2</v>
      </c>
      <c r="J9" s="102">
        <v>36.5</v>
      </c>
      <c r="K9" s="102">
        <v>74.099999999999994</v>
      </c>
      <c r="L9" s="102">
        <v>37.1</v>
      </c>
      <c r="M9" s="102">
        <v>11.7</v>
      </c>
      <c r="N9" s="102">
        <f t="shared" si="1"/>
        <v>180.10000000000002</v>
      </c>
      <c r="O9" s="102">
        <f t="shared" si="2"/>
        <v>1103.6000000000001</v>
      </c>
      <c r="P9" s="102">
        <f t="shared" si="3"/>
        <v>122.89999999999999</v>
      </c>
      <c r="Q9" s="102">
        <f t="shared" si="4"/>
        <v>1406.6</v>
      </c>
    </row>
    <row r="10" spans="1:33">
      <c r="A10" s="102">
        <v>1970</v>
      </c>
      <c r="B10" s="102">
        <v>33</v>
      </c>
      <c r="C10" s="102">
        <v>12.4</v>
      </c>
      <c r="D10" s="102">
        <v>89.8</v>
      </c>
      <c r="E10" s="102">
        <v>83.8</v>
      </c>
      <c r="F10" s="102">
        <v>143.5</v>
      </c>
      <c r="G10" s="102">
        <v>112.3</v>
      </c>
      <c r="H10" s="102">
        <v>338.8</v>
      </c>
      <c r="I10" s="102">
        <v>111</v>
      </c>
      <c r="J10" s="102">
        <v>276.10000000000002</v>
      </c>
      <c r="K10" s="102">
        <v>71.3</v>
      </c>
      <c r="L10" s="102">
        <v>41.4</v>
      </c>
      <c r="M10" s="102">
        <v>54</v>
      </c>
      <c r="N10" s="102">
        <f t="shared" si="1"/>
        <v>219</v>
      </c>
      <c r="O10" s="102">
        <f t="shared" si="2"/>
        <v>981.7</v>
      </c>
      <c r="P10" s="102">
        <f t="shared" si="3"/>
        <v>166.7</v>
      </c>
      <c r="Q10" s="102">
        <f t="shared" si="4"/>
        <v>1367.4</v>
      </c>
    </row>
    <row r="11" spans="1:33">
      <c r="A11" s="102">
        <v>1971</v>
      </c>
      <c r="B11" s="102">
        <v>26</v>
      </c>
      <c r="C11" s="102">
        <v>20</v>
      </c>
      <c r="D11" s="102">
        <v>21.4</v>
      </c>
      <c r="E11" s="102">
        <v>187.8</v>
      </c>
      <c r="F11" s="102">
        <v>221.5</v>
      </c>
      <c r="G11" s="102">
        <v>345.4</v>
      </c>
      <c r="H11" s="102">
        <v>114.8</v>
      </c>
      <c r="I11" s="102">
        <v>253.2</v>
      </c>
      <c r="J11" s="102">
        <v>174.8</v>
      </c>
      <c r="K11" s="102">
        <v>117.8</v>
      </c>
      <c r="L11" s="102">
        <v>29.9</v>
      </c>
      <c r="M11" s="102">
        <v>35</v>
      </c>
      <c r="N11" s="102">
        <f t="shared" si="1"/>
        <v>255.20000000000002</v>
      </c>
      <c r="O11" s="102">
        <f t="shared" si="2"/>
        <v>1109.6999999999998</v>
      </c>
      <c r="P11" s="102">
        <f t="shared" si="3"/>
        <v>182.7</v>
      </c>
      <c r="Q11" s="102">
        <f t="shared" si="4"/>
        <v>1547.6</v>
      </c>
    </row>
    <row r="12" spans="1:33">
      <c r="A12" s="102">
        <v>1972</v>
      </c>
      <c r="B12" s="102">
        <v>17.2</v>
      </c>
      <c r="C12" s="102">
        <v>12.3</v>
      </c>
      <c r="D12" s="102">
        <v>63.3</v>
      </c>
      <c r="E12" s="102">
        <v>93.1</v>
      </c>
      <c r="F12" s="102">
        <v>304.3</v>
      </c>
      <c r="G12" s="102">
        <v>115.7</v>
      </c>
      <c r="H12" s="102">
        <v>79.3</v>
      </c>
      <c r="I12" s="102">
        <v>26.9</v>
      </c>
      <c r="J12" s="102">
        <v>385.4</v>
      </c>
      <c r="K12" s="102">
        <v>81.7</v>
      </c>
      <c r="L12" s="102">
        <v>65.8</v>
      </c>
      <c r="M12" s="102">
        <v>21.3</v>
      </c>
      <c r="N12" s="102">
        <f t="shared" si="1"/>
        <v>185.89999999999998</v>
      </c>
      <c r="O12" s="102">
        <f t="shared" si="2"/>
        <v>911.6</v>
      </c>
      <c r="P12" s="102">
        <f t="shared" si="3"/>
        <v>168.8</v>
      </c>
      <c r="Q12" s="102">
        <f t="shared" si="4"/>
        <v>1266.3</v>
      </c>
    </row>
    <row r="13" spans="1:33">
      <c r="A13" s="102">
        <v>1973</v>
      </c>
      <c r="B13" s="102">
        <v>37.6</v>
      </c>
      <c r="C13" s="102">
        <v>21.2</v>
      </c>
      <c r="D13" s="102">
        <v>53.8</v>
      </c>
      <c r="E13" s="102">
        <v>87.9</v>
      </c>
      <c r="F13" s="102">
        <v>165.2</v>
      </c>
      <c r="G13" s="102">
        <v>339.8</v>
      </c>
      <c r="H13" s="102">
        <v>154.6</v>
      </c>
      <c r="I13" s="102">
        <v>224.2</v>
      </c>
      <c r="J13" s="102">
        <v>129.6</v>
      </c>
      <c r="K13" s="102">
        <v>55.3</v>
      </c>
      <c r="L13" s="102">
        <v>40.4</v>
      </c>
      <c r="M13" s="102">
        <v>6.7</v>
      </c>
      <c r="N13" s="102">
        <f t="shared" si="1"/>
        <v>200.5</v>
      </c>
      <c r="O13" s="102">
        <f t="shared" si="2"/>
        <v>1013.4</v>
      </c>
      <c r="P13" s="102">
        <f t="shared" si="3"/>
        <v>102.39999999999999</v>
      </c>
      <c r="Q13" s="102">
        <f t="shared" si="4"/>
        <v>1316.3</v>
      </c>
    </row>
    <row r="14" spans="1:33">
      <c r="A14" s="102">
        <v>1974</v>
      </c>
      <c r="B14" s="102">
        <v>18.600000000000001</v>
      </c>
      <c r="C14" s="102">
        <v>5.2</v>
      </c>
      <c r="D14" s="102">
        <v>36.5</v>
      </c>
      <c r="E14" s="102">
        <v>146.80000000000001</v>
      </c>
      <c r="F14" s="102">
        <v>214.5</v>
      </c>
      <c r="G14" s="102">
        <v>258.7</v>
      </c>
      <c r="H14" s="102">
        <v>194</v>
      </c>
      <c r="I14" s="102">
        <v>345.7</v>
      </c>
      <c r="J14" s="102">
        <v>134.4</v>
      </c>
      <c r="K14" s="102">
        <v>77.2</v>
      </c>
      <c r="L14" s="102">
        <v>20.399999999999999</v>
      </c>
      <c r="M14" s="102">
        <v>16.5</v>
      </c>
      <c r="N14" s="102">
        <f t="shared" si="1"/>
        <v>207.10000000000002</v>
      </c>
      <c r="O14" s="102">
        <f t="shared" si="2"/>
        <v>1147.3000000000002</v>
      </c>
      <c r="P14" s="102">
        <f t="shared" si="3"/>
        <v>114.1</v>
      </c>
      <c r="Q14" s="102">
        <f t="shared" si="4"/>
        <v>1468.5000000000002</v>
      </c>
    </row>
    <row r="15" spans="1:33">
      <c r="A15" s="102">
        <v>1975</v>
      </c>
      <c r="B15" s="102">
        <v>32.200000000000003</v>
      </c>
      <c r="C15" s="102">
        <v>16.600000000000001</v>
      </c>
      <c r="D15" s="102">
        <v>30.3</v>
      </c>
      <c r="E15" s="102">
        <v>75.400000000000006</v>
      </c>
      <c r="F15" s="102">
        <v>304.89999999999998</v>
      </c>
      <c r="G15" s="102">
        <v>133.6</v>
      </c>
      <c r="H15" s="102">
        <v>83.1</v>
      </c>
      <c r="I15" s="102">
        <v>143.5</v>
      </c>
      <c r="J15" s="102">
        <v>221.3</v>
      </c>
      <c r="K15" s="102">
        <v>53.6</v>
      </c>
      <c r="L15" s="102">
        <v>84.8</v>
      </c>
      <c r="M15" s="102">
        <v>4.0999999999999996</v>
      </c>
      <c r="N15" s="102">
        <f t="shared" si="1"/>
        <v>154.5</v>
      </c>
      <c r="O15" s="102">
        <f t="shared" si="2"/>
        <v>886.40000000000009</v>
      </c>
      <c r="P15" s="102">
        <f t="shared" si="3"/>
        <v>142.5</v>
      </c>
      <c r="Q15" s="102">
        <f t="shared" si="4"/>
        <v>1183.3999999999999</v>
      </c>
    </row>
    <row r="16" spans="1:33">
      <c r="A16" s="102">
        <v>1976</v>
      </c>
      <c r="B16" s="102">
        <v>20.5</v>
      </c>
      <c r="C16" s="102">
        <v>13.6</v>
      </c>
      <c r="D16" s="102">
        <v>38.299999999999997</v>
      </c>
      <c r="E16" s="102">
        <v>103.7</v>
      </c>
      <c r="F16" s="102">
        <v>300.89999999999998</v>
      </c>
      <c r="G16" s="102">
        <v>315.89999999999998</v>
      </c>
      <c r="H16" s="102">
        <v>286.7</v>
      </c>
      <c r="I16" s="102">
        <v>71.7</v>
      </c>
      <c r="J16" s="102">
        <v>168.1</v>
      </c>
      <c r="K16" s="102">
        <v>175.6</v>
      </c>
      <c r="L16" s="102">
        <v>43.8</v>
      </c>
      <c r="M16" s="102">
        <v>17.100000000000001</v>
      </c>
      <c r="N16" s="102">
        <f t="shared" si="1"/>
        <v>176.10000000000002</v>
      </c>
      <c r="O16" s="102">
        <f t="shared" si="2"/>
        <v>1143.3</v>
      </c>
      <c r="P16" s="102">
        <f t="shared" si="3"/>
        <v>236.49999999999997</v>
      </c>
      <c r="Q16" s="102">
        <f t="shared" si="4"/>
        <v>1555.8999999999996</v>
      </c>
    </row>
    <row r="17" spans="1:17">
      <c r="A17" s="102">
        <v>1977</v>
      </c>
      <c r="B17" s="102">
        <v>26.1</v>
      </c>
      <c r="C17" s="102">
        <v>31.6</v>
      </c>
      <c r="D17" s="102">
        <v>22</v>
      </c>
      <c r="E17" s="102">
        <v>119.3</v>
      </c>
      <c r="F17" s="102">
        <v>191.2</v>
      </c>
      <c r="G17" s="102">
        <v>573.20000000000005</v>
      </c>
      <c r="H17" s="102">
        <v>332.9</v>
      </c>
      <c r="I17" s="102">
        <v>131.6</v>
      </c>
      <c r="J17" s="102">
        <v>68.900000000000006</v>
      </c>
      <c r="K17" s="102">
        <v>213.7</v>
      </c>
      <c r="L17" s="102">
        <v>35.9</v>
      </c>
      <c r="M17" s="102">
        <v>3.3</v>
      </c>
      <c r="N17" s="102">
        <f t="shared" si="1"/>
        <v>199</v>
      </c>
      <c r="O17" s="102">
        <f t="shared" si="2"/>
        <v>1297.8000000000002</v>
      </c>
      <c r="P17" s="102">
        <f t="shared" si="3"/>
        <v>252.9</v>
      </c>
      <c r="Q17" s="102">
        <f t="shared" si="4"/>
        <v>1749.7000000000003</v>
      </c>
    </row>
    <row r="18" spans="1:17">
      <c r="A18" s="102">
        <v>1978</v>
      </c>
      <c r="B18" s="102">
        <v>11.4</v>
      </c>
      <c r="C18" s="102">
        <v>9.4</v>
      </c>
      <c r="D18" s="102">
        <v>14.3</v>
      </c>
      <c r="E18" s="102">
        <v>70.900000000000006</v>
      </c>
      <c r="F18" s="102">
        <v>264.89999999999998</v>
      </c>
      <c r="G18" s="102">
        <v>301.60000000000002</v>
      </c>
      <c r="H18" s="102">
        <v>248.9</v>
      </c>
      <c r="I18" s="102">
        <v>169.5</v>
      </c>
      <c r="J18" s="102">
        <v>67.3</v>
      </c>
      <c r="K18" s="102">
        <v>133.6</v>
      </c>
      <c r="L18" s="102">
        <v>83.1</v>
      </c>
      <c r="M18" s="102">
        <v>13.6</v>
      </c>
      <c r="N18" s="102">
        <f t="shared" si="1"/>
        <v>106</v>
      </c>
      <c r="O18" s="102">
        <f t="shared" si="2"/>
        <v>1052.2</v>
      </c>
      <c r="P18" s="102">
        <f t="shared" si="3"/>
        <v>230.29999999999998</v>
      </c>
      <c r="Q18" s="102">
        <f t="shared" si="4"/>
        <v>1388.4999999999998</v>
      </c>
    </row>
    <row r="19" spans="1:17">
      <c r="A19" s="102">
        <v>1979</v>
      </c>
      <c r="B19" s="102">
        <v>8.3000000000000007</v>
      </c>
      <c r="C19" s="102">
        <v>68.7</v>
      </c>
      <c r="D19" s="102">
        <v>17.899999999999999</v>
      </c>
      <c r="E19" s="102">
        <v>124.4</v>
      </c>
      <c r="F19" s="102">
        <v>161.9</v>
      </c>
      <c r="G19" s="102">
        <v>389.8</v>
      </c>
      <c r="H19" s="102">
        <v>452.5</v>
      </c>
      <c r="I19" s="102">
        <v>171.2</v>
      </c>
      <c r="J19" s="102">
        <v>126</v>
      </c>
      <c r="K19" s="102">
        <v>39.299999999999997</v>
      </c>
      <c r="L19" s="102">
        <v>5.0999999999999996</v>
      </c>
      <c r="M19" s="102">
        <v>33.299999999999997</v>
      </c>
      <c r="N19" s="102">
        <f t="shared" si="1"/>
        <v>219.3</v>
      </c>
      <c r="O19" s="102">
        <f t="shared" si="2"/>
        <v>1301.4000000000001</v>
      </c>
      <c r="P19" s="102">
        <f t="shared" si="3"/>
        <v>77.699999999999989</v>
      </c>
      <c r="Q19" s="102">
        <f t="shared" si="4"/>
        <v>1598.3999999999999</v>
      </c>
    </row>
    <row r="20" spans="1:17">
      <c r="A20" s="102">
        <v>1980</v>
      </c>
      <c r="B20" s="102">
        <v>12.4</v>
      </c>
      <c r="C20" s="102">
        <v>24.7</v>
      </c>
      <c r="D20" s="102">
        <v>13.2</v>
      </c>
      <c r="E20" s="102">
        <v>69.8</v>
      </c>
      <c r="F20" s="102">
        <v>222.1</v>
      </c>
      <c r="G20" s="102">
        <v>220.3</v>
      </c>
      <c r="H20" s="102">
        <v>220.9</v>
      </c>
      <c r="I20" s="102">
        <v>230.2</v>
      </c>
      <c r="J20" s="102">
        <v>61.6</v>
      </c>
      <c r="K20" s="102">
        <v>116.8</v>
      </c>
      <c r="L20" s="102">
        <v>17.7</v>
      </c>
      <c r="M20" s="102">
        <v>41.8</v>
      </c>
      <c r="N20" s="102">
        <f t="shared" si="1"/>
        <v>120.1</v>
      </c>
      <c r="O20" s="102">
        <f t="shared" si="2"/>
        <v>955.1</v>
      </c>
      <c r="P20" s="102">
        <f t="shared" si="3"/>
        <v>176.3</v>
      </c>
      <c r="Q20" s="102">
        <f t="shared" si="4"/>
        <v>1251.4999999999998</v>
      </c>
    </row>
    <row r="21" spans="1:17">
      <c r="A21" s="102">
        <v>1981</v>
      </c>
      <c r="B21" s="102">
        <v>22.3</v>
      </c>
      <c r="C21" s="102">
        <v>27.2</v>
      </c>
      <c r="D21" s="102">
        <v>22.9</v>
      </c>
      <c r="E21" s="102">
        <v>48.4</v>
      </c>
      <c r="F21" s="102">
        <v>133.6</v>
      </c>
      <c r="G21" s="102">
        <v>113.8</v>
      </c>
      <c r="H21" s="102">
        <v>160.4</v>
      </c>
      <c r="I21" s="102">
        <v>150.4</v>
      </c>
      <c r="J21" s="102">
        <v>142.6</v>
      </c>
      <c r="K21" s="102">
        <v>58.5</v>
      </c>
      <c r="L21" s="102">
        <v>61.8</v>
      </c>
      <c r="M21" s="102">
        <v>13.2</v>
      </c>
      <c r="N21" s="102">
        <f t="shared" si="1"/>
        <v>120.80000000000001</v>
      </c>
      <c r="O21" s="102">
        <f t="shared" si="2"/>
        <v>700.8</v>
      </c>
      <c r="P21" s="102">
        <f t="shared" si="3"/>
        <v>133.5</v>
      </c>
      <c r="Q21" s="102">
        <f t="shared" si="4"/>
        <v>955.1</v>
      </c>
    </row>
    <row r="22" spans="1:17">
      <c r="A22" s="102">
        <v>1982</v>
      </c>
      <c r="B22" s="102">
        <v>24</v>
      </c>
      <c r="C22" s="102">
        <v>63.5</v>
      </c>
      <c r="D22" s="102">
        <v>21.4</v>
      </c>
      <c r="E22" s="102">
        <v>110.8</v>
      </c>
      <c r="F22" s="102">
        <v>261.8</v>
      </c>
      <c r="G22" s="102">
        <v>206.1</v>
      </c>
      <c r="H22" s="102">
        <v>151.80000000000001</v>
      </c>
      <c r="I22" s="102">
        <v>162.80000000000001</v>
      </c>
      <c r="J22" s="102">
        <v>203.5</v>
      </c>
      <c r="K22" s="102">
        <v>87.7</v>
      </c>
      <c r="L22" s="102">
        <v>56.4</v>
      </c>
      <c r="M22" s="102">
        <v>17.3</v>
      </c>
      <c r="N22" s="102">
        <f t="shared" si="1"/>
        <v>219.7</v>
      </c>
      <c r="O22" s="102">
        <f t="shared" si="2"/>
        <v>986</v>
      </c>
      <c r="P22" s="102">
        <f t="shared" si="3"/>
        <v>161.4</v>
      </c>
      <c r="Q22" s="102">
        <f t="shared" si="4"/>
        <v>1367.1000000000001</v>
      </c>
    </row>
    <row r="23" spans="1:17">
      <c r="A23" s="102">
        <v>1983</v>
      </c>
      <c r="B23" s="102">
        <v>38.299999999999997</v>
      </c>
      <c r="C23" s="102">
        <v>46.9</v>
      </c>
      <c r="D23" s="102">
        <v>49.6</v>
      </c>
      <c r="E23" s="102">
        <v>70.3</v>
      </c>
      <c r="F23" s="102">
        <v>253.3</v>
      </c>
      <c r="G23" s="102">
        <v>204.8</v>
      </c>
      <c r="H23" s="102">
        <v>279.10000000000002</v>
      </c>
      <c r="I23" s="102">
        <v>200.3</v>
      </c>
      <c r="J23" s="102">
        <v>142.30000000000001</v>
      </c>
      <c r="K23" s="102">
        <v>109.4</v>
      </c>
      <c r="L23" s="102">
        <v>48.8</v>
      </c>
      <c r="M23" s="102">
        <v>23.7</v>
      </c>
      <c r="N23" s="102">
        <f t="shared" si="1"/>
        <v>205.09999999999997</v>
      </c>
      <c r="O23" s="102">
        <f t="shared" si="2"/>
        <v>1079.8</v>
      </c>
      <c r="P23" s="102">
        <f t="shared" si="3"/>
        <v>181.89999999999998</v>
      </c>
      <c r="Q23" s="102">
        <f t="shared" si="4"/>
        <v>1466.8000000000002</v>
      </c>
    </row>
    <row r="24" spans="1:17">
      <c r="A24" s="102">
        <v>1984</v>
      </c>
      <c r="B24" s="102">
        <v>23.2</v>
      </c>
      <c r="C24" s="102">
        <v>19.8</v>
      </c>
      <c r="D24" s="102">
        <v>31.9</v>
      </c>
      <c r="E24" s="102">
        <v>137.30000000000001</v>
      </c>
      <c r="F24" s="102">
        <v>292.39999999999998</v>
      </c>
      <c r="G24" s="102">
        <v>114.6</v>
      </c>
      <c r="H24" s="102">
        <v>143.5</v>
      </c>
      <c r="I24" s="102">
        <v>183.8</v>
      </c>
      <c r="J24" s="102">
        <v>137.80000000000001</v>
      </c>
      <c r="K24" s="102">
        <v>66</v>
      </c>
      <c r="L24" s="102">
        <v>17.2</v>
      </c>
      <c r="M24" s="102">
        <v>27.2</v>
      </c>
      <c r="N24" s="102">
        <f t="shared" si="1"/>
        <v>212.20000000000002</v>
      </c>
      <c r="O24" s="102">
        <f t="shared" si="2"/>
        <v>872.09999999999991</v>
      </c>
      <c r="P24" s="102">
        <f t="shared" si="3"/>
        <v>110.4</v>
      </c>
      <c r="Q24" s="102">
        <f t="shared" si="4"/>
        <v>1194.7</v>
      </c>
    </row>
    <row r="25" spans="1:17">
      <c r="A25" s="102">
        <v>1985</v>
      </c>
      <c r="B25" s="102">
        <v>13.2</v>
      </c>
      <c r="C25" s="102">
        <v>16.899999999999999</v>
      </c>
      <c r="D25" s="102">
        <v>40.6</v>
      </c>
      <c r="E25" s="102">
        <v>80.7</v>
      </c>
      <c r="F25" s="102">
        <v>223.2</v>
      </c>
      <c r="G25" s="102">
        <v>266.10000000000002</v>
      </c>
      <c r="H25" s="102">
        <v>277</v>
      </c>
      <c r="I25" s="102">
        <v>89.2</v>
      </c>
      <c r="J25" s="102">
        <v>81</v>
      </c>
      <c r="K25" s="102">
        <v>49.8</v>
      </c>
      <c r="L25" s="102">
        <v>48.9</v>
      </c>
      <c r="M25" s="102">
        <v>10.199999999999999</v>
      </c>
      <c r="N25" s="102">
        <f t="shared" si="1"/>
        <v>151.4</v>
      </c>
      <c r="O25" s="102">
        <f t="shared" si="2"/>
        <v>936.5</v>
      </c>
      <c r="P25" s="102">
        <f t="shared" si="3"/>
        <v>108.89999999999999</v>
      </c>
      <c r="Q25" s="102">
        <f t="shared" si="4"/>
        <v>1196.8000000000002</v>
      </c>
    </row>
    <row r="26" spans="1:17">
      <c r="A26" s="102">
        <v>1986</v>
      </c>
      <c r="B26" s="102">
        <v>16.600000000000001</v>
      </c>
      <c r="C26" s="102">
        <v>20.2</v>
      </c>
      <c r="D26" s="102">
        <v>14.9</v>
      </c>
      <c r="E26" s="102">
        <v>77</v>
      </c>
      <c r="F26" s="102">
        <v>203.3</v>
      </c>
      <c r="G26" s="102">
        <v>298.3</v>
      </c>
      <c r="H26" s="102">
        <v>288.39999999999998</v>
      </c>
      <c r="I26" s="102">
        <v>207.1</v>
      </c>
      <c r="J26" s="102">
        <v>109.4</v>
      </c>
      <c r="K26" s="102">
        <v>113</v>
      </c>
      <c r="L26" s="102">
        <v>58</v>
      </c>
      <c r="M26" s="102">
        <v>4.7</v>
      </c>
      <c r="N26" s="102">
        <f t="shared" si="1"/>
        <v>128.69999999999999</v>
      </c>
      <c r="O26" s="102">
        <f t="shared" si="2"/>
        <v>1106.5</v>
      </c>
      <c r="P26" s="102">
        <f t="shared" si="3"/>
        <v>175.7</v>
      </c>
      <c r="Q26" s="102">
        <f t="shared" si="4"/>
        <v>1410.9</v>
      </c>
    </row>
    <row r="27" spans="1:17">
      <c r="A27" s="102">
        <v>1987</v>
      </c>
      <c r="B27" s="102">
        <v>20.7</v>
      </c>
      <c r="C27" s="102">
        <v>6.4</v>
      </c>
      <c r="D27" s="102">
        <v>42.8</v>
      </c>
      <c r="E27" s="102">
        <v>10.5</v>
      </c>
      <c r="F27" s="102">
        <v>144.6</v>
      </c>
      <c r="G27" s="102">
        <v>222.5</v>
      </c>
      <c r="H27" s="102">
        <v>248</v>
      </c>
      <c r="I27" s="102">
        <v>200.1</v>
      </c>
      <c r="J27" s="102">
        <v>78.400000000000006</v>
      </c>
      <c r="K27" s="102">
        <v>147.6</v>
      </c>
      <c r="L27" s="102">
        <v>53.6</v>
      </c>
      <c r="M27" s="102">
        <v>5.9</v>
      </c>
      <c r="N27" s="102">
        <f t="shared" si="1"/>
        <v>80.400000000000006</v>
      </c>
      <c r="O27" s="102">
        <f t="shared" si="2"/>
        <v>893.6</v>
      </c>
      <c r="P27" s="102">
        <f t="shared" si="3"/>
        <v>207.1</v>
      </c>
      <c r="Q27" s="102">
        <f t="shared" si="4"/>
        <v>1181.0999999999999</v>
      </c>
    </row>
    <row r="28" spans="1:17">
      <c r="A28" s="102">
        <v>1988</v>
      </c>
      <c r="B28" s="102">
        <v>15.2</v>
      </c>
      <c r="C28" s="102">
        <v>28.9</v>
      </c>
      <c r="D28" s="102">
        <v>14.5</v>
      </c>
      <c r="E28" s="102">
        <v>32.4</v>
      </c>
      <c r="F28" s="102">
        <v>120.4</v>
      </c>
      <c r="G28" s="102">
        <v>390.7</v>
      </c>
      <c r="H28" s="102">
        <v>72</v>
      </c>
      <c r="I28" s="102">
        <v>373.4</v>
      </c>
      <c r="J28" s="102">
        <v>172.7</v>
      </c>
      <c r="K28" s="102">
        <v>42</v>
      </c>
      <c r="L28" s="102">
        <v>4.0999999999999996</v>
      </c>
      <c r="M28" s="102">
        <v>8.1999999999999993</v>
      </c>
      <c r="N28" s="102">
        <f t="shared" si="1"/>
        <v>91</v>
      </c>
      <c r="O28" s="102">
        <f t="shared" si="2"/>
        <v>1129.2</v>
      </c>
      <c r="P28" s="102">
        <f t="shared" si="3"/>
        <v>54.3</v>
      </c>
      <c r="Q28" s="102">
        <f t="shared" si="4"/>
        <v>1274.5</v>
      </c>
    </row>
    <row r="29" spans="1:17">
      <c r="A29" s="102">
        <v>1989</v>
      </c>
      <c r="B29" s="102">
        <v>15.5</v>
      </c>
      <c r="C29" s="102">
        <v>23</v>
      </c>
      <c r="D29" s="102">
        <v>63</v>
      </c>
      <c r="E29" s="102">
        <v>28.8</v>
      </c>
      <c r="F29" s="102">
        <v>122.3</v>
      </c>
      <c r="G29" s="102">
        <v>220</v>
      </c>
      <c r="H29" s="102">
        <v>121.4</v>
      </c>
      <c r="I29" s="102">
        <v>211.2</v>
      </c>
      <c r="J29" s="102">
        <v>82.7</v>
      </c>
      <c r="K29" s="102">
        <v>99.4</v>
      </c>
      <c r="L29" s="102">
        <v>20.6</v>
      </c>
      <c r="M29" s="102">
        <v>41.5</v>
      </c>
      <c r="N29" s="102">
        <f t="shared" si="1"/>
        <v>130.30000000000001</v>
      </c>
      <c r="O29" s="102">
        <f t="shared" si="2"/>
        <v>757.60000000000014</v>
      </c>
      <c r="P29" s="102">
        <f t="shared" si="3"/>
        <v>161.5</v>
      </c>
      <c r="Q29" s="102">
        <f t="shared" si="4"/>
        <v>1049.4000000000001</v>
      </c>
    </row>
    <row r="30" spans="1:17">
      <c r="A30" s="102">
        <v>1990</v>
      </c>
      <c r="B30" s="102">
        <v>22.6</v>
      </c>
      <c r="C30" s="102">
        <v>30.4</v>
      </c>
      <c r="D30" s="102">
        <v>46.3</v>
      </c>
      <c r="E30" s="102">
        <v>78</v>
      </c>
      <c r="F30" s="102">
        <v>254.3</v>
      </c>
      <c r="G30" s="102">
        <v>389.6</v>
      </c>
      <c r="H30" s="102">
        <v>94.3</v>
      </c>
      <c r="I30" s="102">
        <v>16.399999999999999</v>
      </c>
      <c r="J30" s="102">
        <v>56.3</v>
      </c>
      <c r="K30" s="102">
        <v>75.900000000000006</v>
      </c>
      <c r="L30" s="102">
        <v>43.6</v>
      </c>
      <c r="M30" s="102">
        <v>11.8</v>
      </c>
      <c r="N30" s="102">
        <f t="shared" si="1"/>
        <v>177.3</v>
      </c>
      <c r="O30" s="102">
        <f t="shared" si="2"/>
        <v>810.9</v>
      </c>
      <c r="P30" s="102">
        <f t="shared" si="3"/>
        <v>131.30000000000001</v>
      </c>
      <c r="Q30" s="102">
        <f t="shared" si="4"/>
        <v>1119.4999999999998</v>
      </c>
    </row>
    <row r="31" spans="1:17">
      <c r="A31" s="102">
        <v>1991</v>
      </c>
      <c r="B31" s="102">
        <v>66.5</v>
      </c>
      <c r="C31" s="102">
        <v>12.2</v>
      </c>
      <c r="D31" s="102">
        <v>57.9</v>
      </c>
      <c r="E31" s="102">
        <v>41.5</v>
      </c>
      <c r="F31" s="102">
        <v>135.1</v>
      </c>
      <c r="G31" s="102">
        <v>323.10000000000002</v>
      </c>
      <c r="H31" s="102">
        <v>803.8</v>
      </c>
      <c r="I31" s="102">
        <v>197.3</v>
      </c>
      <c r="J31" s="102">
        <v>97.6</v>
      </c>
      <c r="K31" s="102">
        <v>41.3</v>
      </c>
      <c r="L31" s="102">
        <v>48.7</v>
      </c>
      <c r="M31" s="102">
        <v>21.4</v>
      </c>
      <c r="N31" s="102">
        <f t="shared" si="1"/>
        <v>178.1</v>
      </c>
      <c r="O31" s="102">
        <f t="shared" si="2"/>
        <v>1556.8999999999999</v>
      </c>
      <c r="P31" s="102">
        <f t="shared" si="3"/>
        <v>111.4</v>
      </c>
      <c r="Q31" s="102">
        <f t="shared" si="4"/>
        <v>1846.3999999999999</v>
      </c>
    </row>
    <row r="32" spans="1:17">
      <c r="A32" s="102">
        <v>1992</v>
      </c>
      <c r="B32" s="102">
        <v>50.8</v>
      </c>
      <c r="C32" s="102">
        <v>38.299999999999997</v>
      </c>
      <c r="D32" s="102">
        <v>56</v>
      </c>
      <c r="E32" s="102">
        <v>128.1</v>
      </c>
      <c r="F32" s="102">
        <v>327</v>
      </c>
      <c r="G32" s="102">
        <v>336.3</v>
      </c>
      <c r="H32" s="102">
        <v>289.10000000000002</v>
      </c>
      <c r="I32" s="102">
        <v>43.6</v>
      </c>
      <c r="J32" s="102">
        <v>47</v>
      </c>
      <c r="K32" s="102">
        <v>171.5</v>
      </c>
      <c r="L32" s="102">
        <v>8.5</v>
      </c>
      <c r="M32" s="102">
        <v>13.3</v>
      </c>
      <c r="N32" s="102">
        <f t="shared" si="1"/>
        <v>273.2</v>
      </c>
      <c r="O32" s="102">
        <f t="shared" si="2"/>
        <v>1043</v>
      </c>
      <c r="P32" s="102">
        <f t="shared" si="3"/>
        <v>193.3</v>
      </c>
      <c r="Q32" s="102">
        <f t="shared" si="4"/>
        <v>1509.4999999999998</v>
      </c>
    </row>
    <row r="33" spans="1:17">
      <c r="A33" s="102">
        <v>1993</v>
      </c>
      <c r="B33" s="102">
        <v>25.3</v>
      </c>
      <c r="C33" s="102">
        <v>55.3</v>
      </c>
      <c r="D33" s="102">
        <v>7.6</v>
      </c>
      <c r="E33" s="102">
        <v>48.2</v>
      </c>
      <c r="F33" s="102">
        <v>110.6</v>
      </c>
      <c r="G33" s="102">
        <v>297.39999999999998</v>
      </c>
      <c r="H33" s="102">
        <v>305.5</v>
      </c>
      <c r="I33" s="102">
        <v>351.2</v>
      </c>
      <c r="J33" s="102">
        <v>119.3</v>
      </c>
      <c r="K33" s="102">
        <v>29.4</v>
      </c>
      <c r="L33" s="102">
        <v>67.099999999999994</v>
      </c>
      <c r="M33" s="102">
        <v>12.9</v>
      </c>
      <c r="N33" s="102">
        <f t="shared" si="1"/>
        <v>136.39999999999998</v>
      </c>
      <c r="O33" s="102">
        <f t="shared" si="2"/>
        <v>1184</v>
      </c>
      <c r="P33" s="102">
        <f t="shared" si="3"/>
        <v>109.4</v>
      </c>
      <c r="Q33" s="102">
        <f t="shared" si="4"/>
        <v>1429.8</v>
      </c>
    </row>
    <row r="34" spans="1:17">
      <c r="A34" s="102">
        <v>1994</v>
      </c>
      <c r="B34" s="102">
        <v>25.8</v>
      </c>
      <c r="C34" s="102">
        <v>13.9</v>
      </c>
      <c r="D34" s="102">
        <v>69.099999999999994</v>
      </c>
      <c r="E34" s="102">
        <v>27.7</v>
      </c>
      <c r="F34" s="102">
        <v>216.1</v>
      </c>
      <c r="G34" s="102">
        <v>292.2</v>
      </c>
      <c r="H34" s="102">
        <v>140.69999999999999</v>
      </c>
      <c r="I34" s="102">
        <v>64.900000000000006</v>
      </c>
      <c r="J34" s="102">
        <v>129.30000000000001</v>
      </c>
      <c r="K34" s="102">
        <v>125.5</v>
      </c>
      <c r="L34" s="102">
        <v>87.3</v>
      </c>
      <c r="M34" s="102">
        <v>37.299999999999997</v>
      </c>
      <c r="N34" s="102">
        <f t="shared" si="1"/>
        <v>136.5</v>
      </c>
      <c r="O34" s="102">
        <f t="shared" si="2"/>
        <v>843.2</v>
      </c>
      <c r="P34" s="102">
        <f t="shared" si="3"/>
        <v>250.10000000000002</v>
      </c>
      <c r="Q34" s="102">
        <f t="shared" si="4"/>
        <v>1229.8</v>
      </c>
    </row>
    <row r="35" spans="1:17">
      <c r="A35" s="102">
        <v>1995</v>
      </c>
      <c r="B35" s="102">
        <v>22.4</v>
      </c>
      <c r="C35" s="102">
        <v>45.6</v>
      </c>
      <c r="D35" s="102">
        <v>28.4</v>
      </c>
      <c r="E35" s="102">
        <v>77.900000000000006</v>
      </c>
      <c r="F35" s="102">
        <v>105.9</v>
      </c>
      <c r="G35" s="102">
        <v>211.1</v>
      </c>
      <c r="H35" s="102">
        <v>320.3</v>
      </c>
      <c r="I35" s="102">
        <v>251.9</v>
      </c>
      <c r="J35" s="102">
        <v>149.5</v>
      </c>
      <c r="K35" s="102">
        <v>72.2</v>
      </c>
      <c r="L35" s="102">
        <v>41.6</v>
      </c>
      <c r="M35" s="102">
        <v>6.5</v>
      </c>
      <c r="N35" s="102">
        <f t="shared" si="1"/>
        <v>174.3</v>
      </c>
      <c r="O35" s="102">
        <f t="shared" si="2"/>
        <v>1038.6999999999998</v>
      </c>
      <c r="P35" s="102">
        <f t="shared" si="3"/>
        <v>120.30000000000001</v>
      </c>
      <c r="Q35" s="102">
        <f t="shared" si="4"/>
        <v>1333.3000000000002</v>
      </c>
    </row>
    <row r="36" spans="1:17">
      <c r="A36" s="102">
        <v>1996</v>
      </c>
      <c r="B36" s="102">
        <v>18.7</v>
      </c>
      <c r="C36" s="102">
        <v>7.8</v>
      </c>
      <c r="D36" s="102">
        <v>65.7</v>
      </c>
      <c r="E36" s="102">
        <v>93.7</v>
      </c>
      <c r="F36" s="102">
        <v>204.1</v>
      </c>
      <c r="G36" s="102">
        <v>234.5</v>
      </c>
      <c r="H36" s="102">
        <v>228.6</v>
      </c>
      <c r="I36" s="102">
        <v>163.80000000000001</v>
      </c>
      <c r="J36" s="102">
        <v>30.3</v>
      </c>
      <c r="K36" s="102">
        <v>62.5</v>
      </c>
      <c r="L36" s="102">
        <v>85.1</v>
      </c>
      <c r="M36" s="102">
        <v>19</v>
      </c>
      <c r="N36" s="102">
        <f t="shared" si="1"/>
        <v>185.9</v>
      </c>
      <c r="O36" s="102">
        <f t="shared" si="2"/>
        <v>861.3</v>
      </c>
      <c r="P36" s="102">
        <f t="shared" si="3"/>
        <v>166.6</v>
      </c>
      <c r="Q36" s="102">
        <f t="shared" si="4"/>
        <v>1213.8</v>
      </c>
    </row>
    <row r="37" spans="1:17">
      <c r="A37" s="102">
        <v>1997</v>
      </c>
      <c r="B37" s="102">
        <v>44.9</v>
      </c>
      <c r="C37" s="102">
        <v>77.900000000000006</v>
      </c>
      <c r="D37" s="102">
        <v>36.9</v>
      </c>
      <c r="E37" s="102">
        <v>101.9</v>
      </c>
      <c r="F37" s="102">
        <v>104.3</v>
      </c>
      <c r="G37" s="102">
        <v>220.6</v>
      </c>
      <c r="H37" s="102">
        <v>344.4</v>
      </c>
      <c r="I37" s="102">
        <v>126.7</v>
      </c>
      <c r="J37" s="102">
        <v>236.1</v>
      </c>
      <c r="K37" s="102">
        <v>145.6</v>
      </c>
      <c r="L37" s="102">
        <v>20.6</v>
      </c>
      <c r="M37" s="102">
        <v>23.1</v>
      </c>
      <c r="N37" s="102">
        <f t="shared" si="1"/>
        <v>261.60000000000002</v>
      </c>
      <c r="O37" s="102">
        <f t="shared" si="2"/>
        <v>1032.0999999999999</v>
      </c>
      <c r="P37" s="102">
        <f t="shared" si="3"/>
        <v>189.29999999999998</v>
      </c>
      <c r="Q37" s="102">
        <f t="shared" si="4"/>
        <v>1482.9999999999995</v>
      </c>
    </row>
    <row r="38" spans="1:17">
      <c r="A38" s="102">
        <v>1998</v>
      </c>
      <c r="B38" s="102">
        <v>45.3</v>
      </c>
      <c r="C38" s="102">
        <v>19</v>
      </c>
      <c r="D38" s="102">
        <v>16.8</v>
      </c>
      <c r="E38" s="102">
        <v>82.6</v>
      </c>
      <c r="F38" s="102">
        <v>140.5</v>
      </c>
      <c r="G38" s="102">
        <v>317</v>
      </c>
      <c r="H38" s="102">
        <v>386.6</v>
      </c>
      <c r="I38" s="102">
        <v>235.1</v>
      </c>
      <c r="J38" s="102">
        <v>25.6</v>
      </c>
      <c r="K38" s="102">
        <v>93.1</v>
      </c>
      <c r="L38" s="102">
        <v>23</v>
      </c>
      <c r="M38" s="102">
        <v>16.7</v>
      </c>
      <c r="N38" s="102">
        <f t="shared" si="1"/>
        <v>163.69999999999999</v>
      </c>
      <c r="O38" s="102">
        <f t="shared" si="2"/>
        <v>1104.8</v>
      </c>
      <c r="P38" s="102">
        <f t="shared" si="3"/>
        <v>132.79999999999998</v>
      </c>
      <c r="Q38" s="102">
        <f t="shared" si="4"/>
        <v>1401.3</v>
      </c>
    </row>
    <row r="39" spans="1:17">
      <c r="A39" s="102">
        <v>1999</v>
      </c>
      <c r="B39" s="102">
        <v>24.8</v>
      </c>
      <c r="C39" s="102">
        <v>8.6</v>
      </c>
      <c r="D39" s="102">
        <v>36.9</v>
      </c>
      <c r="E39" s="102">
        <v>29.5</v>
      </c>
      <c r="F39" s="102">
        <v>97.1</v>
      </c>
      <c r="G39" s="102">
        <v>268.60000000000002</v>
      </c>
      <c r="H39" s="102">
        <v>330.6</v>
      </c>
      <c r="I39" s="102">
        <v>206.9</v>
      </c>
      <c r="J39" s="102">
        <v>45.3</v>
      </c>
      <c r="K39" s="102">
        <v>121.1</v>
      </c>
      <c r="L39" s="102">
        <v>61.7</v>
      </c>
      <c r="M39" s="102">
        <v>6.8</v>
      </c>
      <c r="N39" s="102">
        <f t="shared" si="1"/>
        <v>99.8</v>
      </c>
      <c r="O39" s="102">
        <f t="shared" si="2"/>
        <v>948.5</v>
      </c>
      <c r="P39" s="102">
        <f t="shared" si="3"/>
        <v>189.60000000000002</v>
      </c>
      <c r="Q39" s="102">
        <f t="shared" si="4"/>
        <v>1237.8999999999999</v>
      </c>
    </row>
    <row r="40" spans="1:17">
      <c r="A40" s="102">
        <v>2000</v>
      </c>
      <c r="B40" s="102">
        <v>21.9</v>
      </c>
      <c r="C40" s="102">
        <v>32.5</v>
      </c>
      <c r="D40" s="102">
        <v>38.5</v>
      </c>
      <c r="E40" s="102">
        <v>74.599999999999994</v>
      </c>
      <c r="F40" s="102">
        <v>148.69999999999999</v>
      </c>
      <c r="G40" s="102">
        <v>409.4</v>
      </c>
      <c r="H40" s="102">
        <v>226.9</v>
      </c>
      <c r="I40" s="102">
        <v>260.60000000000002</v>
      </c>
      <c r="J40" s="102">
        <v>83.5</v>
      </c>
      <c r="K40" s="102">
        <v>95.4</v>
      </c>
      <c r="L40" s="102">
        <v>40.700000000000003</v>
      </c>
      <c r="M40" s="102">
        <v>18.2</v>
      </c>
      <c r="N40" s="102">
        <f t="shared" si="1"/>
        <v>167.5</v>
      </c>
      <c r="O40" s="102">
        <f t="shared" si="2"/>
        <v>1129.0999999999999</v>
      </c>
      <c r="P40" s="102">
        <f t="shared" si="3"/>
        <v>154.30000000000001</v>
      </c>
      <c r="Q40" s="102">
        <f t="shared" si="4"/>
        <v>1450.9</v>
      </c>
    </row>
    <row r="41" spans="1:17">
      <c r="A41" s="102">
        <v>2001</v>
      </c>
      <c r="B41" s="102">
        <v>15</v>
      </c>
      <c r="C41" s="102">
        <v>18.2</v>
      </c>
      <c r="D41" s="102">
        <v>26.6</v>
      </c>
      <c r="E41" s="102">
        <v>51.9</v>
      </c>
      <c r="F41" s="102">
        <v>192.2</v>
      </c>
      <c r="G41" s="102">
        <v>410.2</v>
      </c>
      <c r="H41" s="102">
        <v>197.9</v>
      </c>
      <c r="I41" s="102">
        <v>74.5</v>
      </c>
      <c r="J41" s="102">
        <v>42.8</v>
      </c>
      <c r="K41" s="102">
        <v>169.7</v>
      </c>
      <c r="L41" s="102">
        <v>22.7</v>
      </c>
      <c r="M41" s="102">
        <v>24.8</v>
      </c>
      <c r="N41" s="102">
        <f t="shared" si="1"/>
        <v>111.7</v>
      </c>
      <c r="O41" s="102">
        <f t="shared" si="2"/>
        <v>917.59999999999991</v>
      </c>
      <c r="P41" s="102">
        <f t="shared" si="3"/>
        <v>217.2</v>
      </c>
      <c r="Q41" s="102">
        <f t="shared" si="4"/>
        <v>1246.5</v>
      </c>
    </row>
    <row r="42" spans="1:17">
      <c r="A42" s="102">
        <v>2002</v>
      </c>
      <c r="B42" s="102">
        <v>15.1</v>
      </c>
      <c r="C42" s="102">
        <v>75.2</v>
      </c>
      <c r="D42" s="102">
        <v>92.5</v>
      </c>
      <c r="E42" s="102">
        <v>43.5</v>
      </c>
      <c r="F42" s="102">
        <v>218.7</v>
      </c>
      <c r="G42" s="102">
        <v>332.9</v>
      </c>
      <c r="H42" s="102">
        <v>217.6</v>
      </c>
      <c r="I42" s="102">
        <v>226.5</v>
      </c>
      <c r="J42" s="102">
        <v>21.4</v>
      </c>
      <c r="K42" s="102">
        <v>74.3</v>
      </c>
      <c r="L42" s="102">
        <v>20.9</v>
      </c>
      <c r="M42" s="102">
        <v>25.2</v>
      </c>
      <c r="N42" s="102">
        <f t="shared" si="1"/>
        <v>226.3</v>
      </c>
      <c r="O42" s="102">
        <f t="shared" si="2"/>
        <v>1017.0999999999999</v>
      </c>
      <c r="P42" s="102">
        <f t="shared" si="3"/>
        <v>120.39999999999999</v>
      </c>
      <c r="Q42" s="102">
        <f t="shared" si="4"/>
        <v>1363.8000000000002</v>
      </c>
    </row>
    <row r="43" spans="1:17">
      <c r="A43" s="102">
        <v>2003</v>
      </c>
      <c r="B43" s="102">
        <v>19</v>
      </c>
      <c r="C43" s="102">
        <v>1.3</v>
      </c>
      <c r="D43" s="102">
        <v>25.5</v>
      </c>
      <c r="E43" s="102">
        <v>96.3</v>
      </c>
      <c r="F43" s="102">
        <v>231.8</v>
      </c>
      <c r="G43" s="102">
        <v>132.6</v>
      </c>
      <c r="H43" s="102">
        <v>202.1</v>
      </c>
      <c r="I43" s="102">
        <v>54.4</v>
      </c>
      <c r="J43" s="102">
        <v>87.2</v>
      </c>
      <c r="K43" s="102">
        <v>61.6</v>
      </c>
      <c r="L43" s="102">
        <v>24</v>
      </c>
      <c r="M43" s="102">
        <v>43.7</v>
      </c>
      <c r="N43" s="102">
        <f t="shared" si="1"/>
        <v>142.1</v>
      </c>
      <c r="O43" s="102">
        <f t="shared" si="2"/>
        <v>708.1</v>
      </c>
      <c r="P43" s="102">
        <f t="shared" si="3"/>
        <v>129.30000000000001</v>
      </c>
      <c r="Q43" s="102">
        <f t="shared" si="4"/>
        <v>979.50000000000011</v>
      </c>
    </row>
    <row r="44" spans="1:17">
      <c r="A44" s="102">
        <v>2004</v>
      </c>
      <c r="B44" s="103">
        <v>42.6</v>
      </c>
      <c r="C44" s="102">
        <v>66.7</v>
      </c>
      <c r="D44" s="103">
        <v>22.9</v>
      </c>
      <c r="E44" s="103">
        <v>92.2</v>
      </c>
      <c r="F44" s="103">
        <v>267.5</v>
      </c>
      <c r="G44" s="103">
        <v>71.8</v>
      </c>
      <c r="H44" s="103">
        <v>339.9</v>
      </c>
      <c r="I44" s="103">
        <v>151.69999999999999</v>
      </c>
      <c r="J44" s="103">
        <v>99.1</v>
      </c>
      <c r="K44" s="103">
        <v>34.200000000000003</v>
      </c>
      <c r="L44" s="103">
        <v>32.1</v>
      </c>
      <c r="M44" s="103">
        <v>13.6</v>
      </c>
      <c r="N44" s="102">
        <f t="shared" si="1"/>
        <v>224.40000000000003</v>
      </c>
      <c r="O44" s="102">
        <f t="shared" si="2"/>
        <v>930.00000000000011</v>
      </c>
      <c r="P44" s="102">
        <f t="shared" si="3"/>
        <v>79.900000000000006</v>
      </c>
      <c r="Q44" s="102">
        <f t="shared" si="4"/>
        <v>1234.2999999999997</v>
      </c>
    </row>
    <row r="45" spans="1:17">
      <c r="A45" s="102">
        <v>2005</v>
      </c>
      <c r="B45" s="103">
        <v>31.6</v>
      </c>
      <c r="C45" s="103">
        <v>14.9</v>
      </c>
      <c r="D45" s="103">
        <v>36.299999999999997</v>
      </c>
      <c r="E45" s="103">
        <v>57.6</v>
      </c>
      <c r="F45" s="103">
        <v>190.2</v>
      </c>
      <c r="G45" s="103">
        <v>232.1</v>
      </c>
      <c r="H45" s="103">
        <v>225.9</v>
      </c>
      <c r="I45" s="103">
        <v>76.099999999999994</v>
      </c>
      <c r="J45" s="103">
        <v>80.7</v>
      </c>
      <c r="K45" s="103">
        <v>60.3</v>
      </c>
      <c r="L45" s="103">
        <v>45.3</v>
      </c>
      <c r="M45" s="103">
        <v>24.5</v>
      </c>
      <c r="N45" s="102">
        <f t="shared" si="1"/>
        <v>140.4</v>
      </c>
      <c r="O45" s="102">
        <f t="shared" si="2"/>
        <v>805</v>
      </c>
      <c r="P45" s="102">
        <f t="shared" si="3"/>
        <v>130.1</v>
      </c>
      <c r="Q45" s="102">
        <f t="shared" si="4"/>
        <v>1075.5</v>
      </c>
    </row>
    <row r="46" spans="1:17">
      <c r="A46" s="102">
        <v>2006</v>
      </c>
      <c r="B46" s="103">
        <v>8.6</v>
      </c>
      <c r="C46" s="103">
        <v>32.1</v>
      </c>
      <c r="D46" s="103">
        <v>27.7</v>
      </c>
      <c r="E46" s="103">
        <v>68.900000000000006</v>
      </c>
      <c r="F46" s="103">
        <v>116.1</v>
      </c>
      <c r="G46" s="103">
        <v>357.6</v>
      </c>
      <c r="H46" s="103">
        <v>127</v>
      </c>
      <c r="I46" s="103">
        <v>78.3</v>
      </c>
      <c r="J46" s="103">
        <v>135.6</v>
      </c>
      <c r="K46" s="103">
        <v>227</v>
      </c>
      <c r="L46" s="103">
        <v>20.2</v>
      </c>
      <c r="M46" s="103">
        <v>25.4</v>
      </c>
      <c r="N46" s="102">
        <f t="shared" si="1"/>
        <v>137.30000000000001</v>
      </c>
      <c r="O46" s="102">
        <f t="shared" si="2"/>
        <v>814.6</v>
      </c>
      <c r="P46" s="102">
        <f t="shared" si="3"/>
        <v>272.59999999999997</v>
      </c>
      <c r="Q46" s="102">
        <f t="shared" si="4"/>
        <v>1224.5000000000002</v>
      </c>
    </row>
    <row r="47" spans="1:17">
      <c r="A47" s="102">
        <v>2007</v>
      </c>
      <c r="B47" s="103">
        <v>34.799999999999997</v>
      </c>
      <c r="C47" s="103">
        <v>10.1</v>
      </c>
      <c r="D47" s="103">
        <v>35.5</v>
      </c>
      <c r="E47" s="103">
        <v>112.1</v>
      </c>
      <c r="F47" s="103">
        <v>90.8</v>
      </c>
      <c r="G47" s="103">
        <v>398.6</v>
      </c>
      <c r="H47" s="103">
        <v>329.7</v>
      </c>
      <c r="I47" s="103">
        <v>217.8</v>
      </c>
      <c r="J47" s="103">
        <v>105.2</v>
      </c>
      <c r="K47" s="103">
        <v>32.9</v>
      </c>
      <c r="L47" s="103">
        <v>1.6</v>
      </c>
      <c r="M47" s="103">
        <v>20.399999999999999</v>
      </c>
      <c r="N47" s="102">
        <f t="shared" si="1"/>
        <v>192.5</v>
      </c>
      <c r="O47" s="102">
        <f t="shared" si="2"/>
        <v>1142.1000000000001</v>
      </c>
      <c r="P47" s="102">
        <f t="shared" si="3"/>
        <v>54.9</v>
      </c>
      <c r="Q47" s="102">
        <f t="shared" si="4"/>
        <v>1389.5000000000002</v>
      </c>
    </row>
    <row r="48" spans="1:17">
      <c r="A48" s="102">
        <v>2008</v>
      </c>
      <c r="B48" s="102">
        <v>13.7</v>
      </c>
      <c r="C48" s="102">
        <v>33</v>
      </c>
      <c r="D48" s="102">
        <v>50.1</v>
      </c>
      <c r="E48" s="102">
        <v>89.7</v>
      </c>
      <c r="F48" s="102">
        <v>364.6</v>
      </c>
      <c r="G48" s="102">
        <v>229.8</v>
      </c>
      <c r="H48" s="102">
        <v>248.5</v>
      </c>
      <c r="I48" s="102">
        <v>292.5</v>
      </c>
      <c r="J48" s="102">
        <v>92</v>
      </c>
      <c r="K48" s="102">
        <v>146.30000000000001</v>
      </c>
      <c r="L48" s="102">
        <v>90.2</v>
      </c>
      <c r="M48" s="102">
        <v>6.3</v>
      </c>
      <c r="N48" s="102">
        <f t="shared" si="1"/>
        <v>186.5</v>
      </c>
      <c r="O48" s="102">
        <f t="shared" si="2"/>
        <v>1227.4000000000001</v>
      </c>
      <c r="P48" s="102">
        <f t="shared" si="3"/>
        <v>242.8</v>
      </c>
      <c r="Q48" s="102">
        <f t="shared" si="4"/>
        <v>1656.7</v>
      </c>
    </row>
    <row r="49" spans="1:33">
      <c r="A49" s="102">
        <v>2009</v>
      </c>
      <c r="B49" s="102">
        <v>13.7</v>
      </c>
      <c r="C49" s="102">
        <v>15.6</v>
      </c>
      <c r="D49" s="102">
        <v>35.6</v>
      </c>
      <c r="E49" s="102">
        <v>175.7</v>
      </c>
      <c r="F49" s="102">
        <v>132.80000000000001</v>
      </c>
      <c r="G49" s="102">
        <v>155</v>
      </c>
      <c r="H49" s="102">
        <v>140.9</v>
      </c>
      <c r="I49" s="102">
        <v>106.2</v>
      </c>
      <c r="J49" s="102">
        <v>24.3</v>
      </c>
      <c r="K49" s="102">
        <v>54.5</v>
      </c>
      <c r="L49" s="102">
        <v>12</v>
      </c>
      <c r="M49" s="102">
        <v>16.2</v>
      </c>
      <c r="N49" s="102">
        <f t="shared" si="1"/>
        <v>240.6</v>
      </c>
      <c r="O49" s="102">
        <f t="shared" si="2"/>
        <v>559.20000000000005</v>
      </c>
      <c r="P49" s="102">
        <f t="shared" si="3"/>
        <v>82.7</v>
      </c>
      <c r="Q49" s="102">
        <f t="shared" si="4"/>
        <v>882.5</v>
      </c>
    </row>
    <row r="50" spans="1:33">
      <c r="A50" s="102">
        <v>2010</v>
      </c>
      <c r="B50" s="102">
        <v>2.2000000000000002</v>
      </c>
      <c r="C50" s="102">
        <v>3.4</v>
      </c>
      <c r="D50" s="102">
        <v>2.6</v>
      </c>
      <c r="E50" s="102">
        <v>89.6</v>
      </c>
      <c r="F50" s="102">
        <v>102.7</v>
      </c>
      <c r="G50" s="102">
        <v>281.7</v>
      </c>
      <c r="H50" s="102">
        <v>274.3</v>
      </c>
      <c r="I50" s="102">
        <v>137.4</v>
      </c>
      <c r="J50" s="102">
        <v>238.3</v>
      </c>
      <c r="K50" s="102">
        <v>122.1</v>
      </c>
      <c r="L50" s="102">
        <v>36.299999999999997</v>
      </c>
      <c r="M50" s="102">
        <v>43.1</v>
      </c>
      <c r="N50" s="102">
        <f t="shared" si="1"/>
        <v>97.8</v>
      </c>
      <c r="O50" s="102">
        <f t="shared" si="2"/>
        <v>1034.4000000000001</v>
      </c>
      <c r="P50" s="102">
        <f t="shared" si="3"/>
        <v>201.49999999999997</v>
      </c>
      <c r="Q50" s="102">
        <f t="shared" si="4"/>
        <v>1333.6999999999998</v>
      </c>
    </row>
    <row r="51" spans="1:33">
      <c r="A51" s="102">
        <v>2011</v>
      </c>
      <c r="B51" s="102">
        <v>31.6</v>
      </c>
      <c r="C51" s="102">
        <v>11.4</v>
      </c>
      <c r="D51" s="102">
        <v>21.4</v>
      </c>
      <c r="E51" s="102">
        <v>45.5</v>
      </c>
      <c r="F51" s="102">
        <v>78.599999999999994</v>
      </c>
      <c r="G51" s="102">
        <v>202.1</v>
      </c>
      <c r="H51" s="102">
        <v>25.9</v>
      </c>
      <c r="I51" s="102">
        <v>146</v>
      </c>
      <c r="J51" s="102">
        <v>76</v>
      </c>
      <c r="K51" s="102">
        <v>102.8</v>
      </c>
      <c r="L51" s="102">
        <v>34.200000000000003</v>
      </c>
      <c r="M51" s="102">
        <v>21</v>
      </c>
      <c r="N51" s="102">
        <f t="shared" si="1"/>
        <v>109.9</v>
      </c>
      <c r="O51" s="102">
        <f t="shared" si="2"/>
        <v>528.59999999999991</v>
      </c>
      <c r="P51" s="102">
        <f t="shared" si="3"/>
        <v>158</v>
      </c>
      <c r="Q51" s="102">
        <f t="shared" si="4"/>
        <v>796.5</v>
      </c>
    </row>
    <row r="52" spans="1:33">
      <c r="A52" s="102">
        <v>2012</v>
      </c>
      <c r="B52" s="102">
        <v>30.4</v>
      </c>
      <c r="C52" s="102">
        <v>24.4</v>
      </c>
      <c r="D52" s="102">
        <v>44.1</v>
      </c>
      <c r="E52" s="102">
        <v>70</v>
      </c>
      <c r="F52" s="102">
        <v>184.9</v>
      </c>
      <c r="G52" s="102">
        <v>290.5</v>
      </c>
      <c r="H52" s="102">
        <v>323.60000000000002</v>
      </c>
      <c r="I52" s="102">
        <v>90.7</v>
      </c>
      <c r="J52" s="102">
        <v>113.6</v>
      </c>
      <c r="K52" s="102">
        <v>59.5</v>
      </c>
      <c r="L52" s="102">
        <v>31.9</v>
      </c>
      <c r="M52" s="102">
        <v>13.5</v>
      </c>
      <c r="N52" s="102">
        <f t="shared" si="1"/>
        <v>168.9</v>
      </c>
      <c r="O52" s="102">
        <f t="shared" si="2"/>
        <v>1003.3000000000001</v>
      </c>
      <c r="P52" s="102">
        <f t="shared" si="3"/>
        <v>104.9</v>
      </c>
      <c r="Q52" s="102">
        <f t="shared" si="4"/>
        <v>1277.0999999999999</v>
      </c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  <c r="AD52" s="104"/>
      <c r="AE52" s="104"/>
      <c r="AF52" s="104"/>
      <c r="AG52" s="104"/>
    </row>
    <row r="53" spans="1:33">
      <c r="A53" s="102">
        <v>2013</v>
      </c>
      <c r="B53" s="102">
        <v>15</v>
      </c>
      <c r="C53" s="102">
        <v>19.5</v>
      </c>
      <c r="D53" s="102">
        <v>37</v>
      </c>
      <c r="E53" s="102">
        <v>68</v>
      </c>
      <c r="F53" s="102">
        <v>182.5</v>
      </c>
      <c r="G53" s="102">
        <v>197</v>
      </c>
      <c r="H53" s="102">
        <v>66</v>
      </c>
      <c r="I53" s="102">
        <v>98.5</v>
      </c>
      <c r="J53" s="102">
        <v>37.5</v>
      </c>
      <c r="K53" s="102">
        <v>65</v>
      </c>
      <c r="L53" s="102">
        <v>44</v>
      </c>
      <c r="M53" s="102">
        <v>30.5</v>
      </c>
      <c r="N53" s="102">
        <f t="shared" si="1"/>
        <v>139.5</v>
      </c>
      <c r="O53" s="102">
        <f t="shared" si="2"/>
        <v>581.5</v>
      </c>
      <c r="P53" s="102">
        <f t="shared" si="3"/>
        <v>139.5</v>
      </c>
      <c r="Q53" s="102">
        <f t="shared" si="4"/>
        <v>860.5</v>
      </c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  <c r="AD53" s="104"/>
      <c r="AE53" s="104"/>
      <c r="AF53" s="104"/>
      <c r="AG53" s="104"/>
    </row>
    <row r="54" spans="1:33">
      <c r="A54" s="102">
        <v>2014</v>
      </c>
      <c r="B54" s="128">
        <v>14.2</v>
      </c>
      <c r="C54" s="128">
        <v>31.5</v>
      </c>
      <c r="D54" s="128">
        <v>88.6</v>
      </c>
      <c r="E54" s="128">
        <v>38.4</v>
      </c>
      <c r="F54" s="128">
        <v>104.3</v>
      </c>
      <c r="G54" s="128">
        <v>363.8</v>
      </c>
      <c r="H54" s="128">
        <v>299</v>
      </c>
      <c r="I54" s="128">
        <v>171.4</v>
      </c>
      <c r="J54" s="128">
        <v>200</v>
      </c>
      <c r="K54" s="128">
        <v>93.6</v>
      </c>
      <c r="L54" s="128">
        <v>60.5</v>
      </c>
      <c r="M54" s="128">
        <v>17.3</v>
      </c>
      <c r="N54" s="102">
        <f t="shared" si="1"/>
        <v>172.70000000000002</v>
      </c>
      <c r="O54" s="102">
        <f t="shared" si="2"/>
        <v>1138.5</v>
      </c>
      <c r="P54" s="102">
        <f t="shared" si="3"/>
        <v>171.4</v>
      </c>
      <c r="Q54" s="102">
        <f t="shared" si="4"/>
        <v>1482.6</v>
      </c>
    </row>
    <row r="55" spans="1:33">
      <c r="A55" s="102">
        <v>2015</v>
      </c>
      <c r="B55" s="128">
        <v>39.799999999999997</v>
      </c>
      <c r="C55" s="128">
        <v>9.6</v>
      </c>
      <c r="D55" s="128">
        <v>65.7</v>
      </c>
      <c r="E55" s="128">
        <v>54</v>
      </c>
      <c r="F55" s="128">
        <v>186.7</v>
      </c>
      <c r="G55" s="128">
        <v>462.8</v>
      </c>
      <c r="H55" s="128">
        <v>155.80000000000001</v>
      </c>
      <c r="I55" s="128">
        <v>278.7</v>
      </c>
      <c r="J55" s="128">
        <v>97.5</v>
      </c>
      <c r="K55" s="128">
        <v>159.69999999999999</v>
      </c>
      <c r="L55" s="128">
        <v>27.6</v>
      </c>
      <c r="M55" s="128">
        <v>46.2</v>
      </c>
      <c r="N55" s="102">
        <f t="shared" si="1"/>
        <v>169.1</v>
      </c>
      <c r="O55" s="102">
        <f t="shared" si="2"/>
        <v>1181.5</v>
      </c>
      <c r="P55" s="102">
        <f t="shared" si="3"/>
        <v>233.5</v>
      </c>
      <c r="Q55" s="102">
        <f t="shared" si="4"/>
        <v>1584.1</v>
      </c>
    </row>
    <row r="56" spans="1:33" s="129" customFormat="1" ht="13.5">
      <c r="A56" s="129">
        <v>2016</v>
      </c>
      <c r="B56" s="130">
        <v>25.8</v>
      </c>
      <c r="C56" s="130">
        <v>7</v>
      </c>
      <c r="D56" s="130">
        <v>35.1</v>
      </c>
      <c r="E56" s="130">
        <v>122.7</v>
      </c>
      <c r="F56" s="130">
        <v>160.30000000000001</v>
      </c>
      <c r="G56" s="130">
        <v>367.1</v>
      </c>
      <c r="H56" s="130">
        <v>40.6</v>
      </c>
      <c r="I56" s="130">
        <v>139.9</v>
      </c>
      <c r="J56" s="130">
        <v>50.7</v>
      </c>
      <c r="K56" s="130">
        <v>95.9</v>
      </c>
      <c r="L56" s="130">
        <v>53.3</v>
      </c>
      <c r="M56" s="130">
        <v>12</v>
      </c>
      <c r="N56" s="129">
        <f>SUM(B56:E56)</f>
        <v>190.60000000000002</v>
      </c>
      <c r="O56" s="129">
        <f>SUM(F56:J56)</f>
        <v>758.60000000000014</v>
      </c>
      <c r="P56" s="129">
        <f>SUM(K56:M56)</f>
        <v>161.19999999999999</v>
      </c>
      <c r="Q56" s="129">
        <f>SUM(B56:M56)</f>
        <v>1110.4000000000001</v>
      </c>
      <c r="R56" s="129">
        <f t="shared" ref="R56:AG56" si="5">100*(B56-B4)/B4</f>
        <v>7.0278184480234467</v>
      </c>
      <c r="S56" s="129">
        <f t="shared" si="5"/>
        <v>-72.77303233679072</v>
      </c>
      <c r="T56" s="129">
        <f t="shared" si="5"/>
        <v>-9.3712029161603638</v>
      </c>
      <c r="U56" s="129">
        <f t="shared" si="5"/>
        <v>43.059302272415565</v>
      </c>
      <c r="V56" s="129">
        <f t="shared" si="5"/>
        <v>-16.298427389630614</v>
      </c>
      <c r="W56" s="129">
        <f t="shared" si="5"/>
        <v>32.450195257230178</v>
      </c>
      <c r="X56" s="129">
        <f t="shared" si="5"/>
        <v>-82.616361071932289</v>
      </c>
      <c r="Y56" s="129">
        <f t="shared" si="5"/>
        <v>-20.401401222723006</v>
      </c>
      <c r="Z56" s="129">
        <f t="shared" si="5"/>
        <v>-55.573691625717338</v>
      </c>
      <c r="AA56" s="129">
        <f t="shared" si="5"/>
        <v>-1.6014485464239168</v>
      </c>
      <c r="AB56" s="129">
        <f t="shared" si="5"/>
        <v>30.224202356999175</v>
      </c>
      <c r="AC56" s="129">
        <f t="shared" si="5"/>
        <v>-41.170816110737292</v>
      </c>
      <c r="AD56" s="129">
        <f t="shared" si="5"/>
        <v>9.3430821147356529</v>
      </c>
      <c r="AE56" s="129">
        <f t="shared" si="5"/>
        <v>-23.536387245194394</v>
      </c>
      <c r="AF56" s="129">
        <f t="shared" si="5"/>
        <v>1.5188560420834047</v>
      </c>
      <c r="AG56" s="129">
        <f t="shared" si="5"/>
        <v>-16.209370043322863</v>
      </c>
    </row>
  </sheetData>
  <mergeCells count="6">
    <mergeCell ref="A1:A3"/>
    <mergeCell ref="B1:Q1"/>
    <mergeCell ref="B2:M2"/>
    <mergeCell ref="R1:AG1"/>
    <mergeCell ref="N2:Q2"/>
    <mergeCell ref="R2:AG2"/>
  </mergeCells>
  <phoneticPr fontId="2" type="noConversion"/>
  <pageMargins left="0.75" right="0.75" top="1" bottom="1" header="0.5" footer="0.5"/>
  <pageSetup paperSize="9" orientation="portrait" horizontalDpi="200" verticalDpi="200" copies="0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>
  <sheetPr codeName="Sheet32"/>
  <dimension ref="A1:AG61"/>
  <sheetViews>
    <sheetView zoomScale="85" zoomScaleNormal="85" workbookViewId="0">
      <pane ySplit="5" topLeftCell="A6" activePane="bottomLeft" state="frozen"/>
      <selection pane="bottomLeft" activeCell="R61" sqref="R61"/>
    </sheetView>
  </sheetViews>
  <sheetFormatPr defaultRowHeight="12"/>
  <cols>
    <col min="1" max="37" width="7.125" style="102" customWidth="1"/>
    <col min="38" max="16384" width="9" style="102"/>
  </cols>
  <sheetData>
    <row r="1" spans="1:33" s="118" customFormat="1" ht="14.25" customHeight="1">
      <c r="A1" s="176" t="s">
        <v>172</v>
      </c>
      <c r="B1" s="176" t="s">
        <v>180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181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173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174</v>
      </c>
      <c r="O2" s="176"/>
      <c r="P2" s="176"/>
      <c r="Q2" s="176"/>
      <c r="R2" s="176" t="s">
        <v>175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 ht="24">
      <c r="A3" s="176"/>
      <c r="B3" s="124" t="s">
        <v>182</v>
      </c>
      <c r="C3" s="124" t="s">
        <v>183</v>
      </c>
      <c r="D3" s="124" t="s">
        <v>9</v>
      </c>
      <c r="E3" s="124" t="s">
        <v>10</v>
      </c>
      <c r="F3" s="124" t="s">
        <v>11</v>
      </c>
      <c r="G3" s="124" t="s">
        <v>12</v>
      </c>
      <c r="H3" s="124" t="s">
        <v>13</v>
      </c>
      <c r="I3" s="124" t="s">
        <v>14</v>
      </c>
      <c r="J3" s="124" t="s">
        <v>15</v>
      </c>
      <c r="K3" s="124" t="s">
        <v>16</v>
      </c>
      <c r="L3" s="124" t="s">
        <v>17</v>
      </c>
      <c r="M3" s="124" t="s">
        <v>18</v>
      </c>
      <c r="N3" s="124" t="s">
        <v>184</v>
      </c>
      <c r="O3" s="124" t="s">
        <v>185</v>
      </c>
      <c r="P3" s="124" t="s">
        <v>186</v>
      </c>
      <c r="Q3" s="124" t="s">
        <v>187</v>
      </c>
      <c r="R3" s="124" t="s">
        <v>182</v>
      </c>
      <c r="S3" s="124" t="s">
        <v>183</v>
      </c>
      <c r="T3" s="124" t="s">
        <v>188</v>
      </c>
      <c r="U3" s="124" t="s">
        <v>189</v>
      </c>
      <c r="V3" s="124" t="s">
        <v>190</v>
      </c>
      <c r="W3" s="124" t="s">
        <v>191</v>
      </c>
      <c r="X3" s="124" t="s">
        <v>25</v>
      </c>
      <c r="Y3" s="124" t="s">
        <v>26</v>
      </c>
      <c r="Z3" s="124" t="s">
        <v>27</v>
      </c>
      <c r="AA3" s="124" t="s">
        <v>192</v>
      </c>
      <c r="AB3" s="124" t="s">
        <v>193</v>
      </c>
      <c r="AC3" s="124" t="s">
        <v>194</v>
      </c>
      <c r="AD3" s="124" t="s">
        <v>176</v>
      </c>
      <c r="AE3" s="124" t="s">
        <v>177</v>
      </c>
      <c r="AF3" s="124" t="s">
        <v>178</v>
      </c>
      <c r="AG3" s="124" t="s">
        <v>179</v>
      </c>
    </row>
    <row r="4" spans="1:33" s="118" customFormat="1">
      <c r="A4" s="150" t="s">
        <v>261</v>
      </c>
      <c r="B4" s="150">
        <f t="shared" ref="B4:Q4" si="0">AVERAGE(B5:B60)</f>
        <v>20.94464285714286</v>
      </c>
      <c r="C4" s="150">
        <f t="shared" si="0"/>
        <v>22.412500000000001</v>
      </c>
      <c r="D4" s="150">
        <f t="shared" si="0"/>
        <v>41.612499999999997</v>
      </c>
      <c r="E4" s="150">
        <f t="shared" si="0"/>
        <v>98.40714285714283</v>
      </c>
      <c r="F4" s="150">
        <f t="shared" si="0"/>
        <v>179.59464285714284</v>
      </c>
      <c r="G4" s="150">
        <f t="shared" si="0"/>
        <v>202.81071428571423</v>
      </c>
      <c r="H4" s="150">
        <f t="shared" si="0"/>
        <v>187.16071428571425</v>
      </c>
      <c r="I4" s="150">
        <f t="shared" si="0"/>
        <v>132.2053571428572</v>
      </c>
      <c r="J4" s="150">
        <f t="shared" si="0"/>
        <v>98.757142857142867</v>
      </c>
      <c r="K4" s="150">
        <f t="shared" si="0"/>
        <v>91.212499999999991</v>
      </c>
      <c r="L4" s="150">
        <f t="shared" si="0"/>
        <v>47.721428571428582</v>
      </c>
      <c r="M4" s="150">
        <f t="shared" si="0"/>
        <v>21.712500000000006</v>
      </c>
      <c r="N4" s="150">
        <f t="shared" si="0"/>
        <v>183.37678571428575</v>
      </c>
      <c r="O4" s="150">
        <f t="shared" si="0"/>
        <v>800.52857142857124</v>
      </c>
      <c r="P4" s="150">
        <f t="shared" si="0"/>
        <v>160.64642857142854</v>
      </c>
      <c r="Q4" s="150">
        <f t="shared" si="0"/>
        <v>1144.5517857142856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1960</v>
      </c>
      <c r="B5" s="102">
        <v>10.4</v>
      </c>
      <c r="C5" s="102">
        <v>32</v>
      </c>
      <c r="D5" s="102">
        <v>67</v>
      </c>
      <c r="E5" s="102">
        <v>61.4</v>
      </c>
      <c r="F5" s="102">
        <v>180.4</v>
      </c>
      <c r="G5" s="102">
        <v>152.5</v>
      </c>
      <c r="H5" s="102">
        <v>215</v>
      </c>
      <c r="I5" s="102">
        <v>81.400000000000006</v>
      </c>
      <c r="J5" s="102">
        <v>121.3</v>
      </c>
      <c r="K5" s="102">
        <v>38.1</v>
      </c>
      <c r="L5" s="102">
        <v>62</v>
      </c>
      <c r="M5" s="102">
        <v>14.7</v>
      </c>
      <c r="N5" s="102">
        <f>SUM(B5:E5)</f>
        <v>170.8</v>
      </c>
      <c r="O5" s="102">
        <f>SUM(F5:J5)</f>
        <v>750.59999999999991</v>
      </c>
      <c r="P5" s="102">
        <f>SUM(K5:M5)</f>
        <v>114.8</v>
      </c>
      <c r="Q5" s="102">
        <f>SUM(B5:M5)</f>
        <v>1036.2</v>
      </c>
    </row>
    <row r="6" spans="1:33">
      <c r="A6" s="102">
        <v>1961</v>
      </c>
      <c r="B6" s="102">
        <v>12.4</v>
      </c>
      <c r="C6" s="102">
        <v>14.3</v>
      </c>
      <c r="D6" s="102">
        <v>64.099999999999994</v>
      </c>
      <c r="E6" s="102">
        <v>164.9</v>
      </c>
      <c r="F6" s="102">
        <v>175.8</v>
      </c>
      <c r="G6" s="102">
        <v>46.4</v>
      </c>
      <c r="H6" s="102">
        <v>192.3</v>
      </c>
      <c r="I6" s="102">
        <v>126.2</v>
      </c>
      <c r="J6" s="102">
        <v>78</v>
      </c>
      <c r="K6" s="102">
        <v>211</v>
      </c>
      <c r="L6" s="102">
        <v>98.4</v>
      </c>
      <c r="M6" s="102">
        <v>56.2</v>
      </c>
      <c r="N6" s="102">
        <f t="shared" ref="N6:N60" si="1">SUM(B6:E6)</f>
        <v>255.7</v>
      </c>
      <c r="O6" s="102">
        <f t="shared" ref="O6:O60" si="2">SUM(F6:J6)</f>
        <v>618.70000000000005</v>
      </c>
      <c r="P6" s="102">
        <f t="shared" ref="P6:P60" si="3">SUM(K6:M6)</f>
        <v>365.59999999999997</v>
      </c>
      <c r="Q6" s="102">
        <f t="shared" ref="Q6:Q60" si="4">SUM(B6:M6)</f>
        <v>1240.0000000000002</v>
      </c>
    </row>
    <row r="7" spans="1:33">
      <c r="A7" s="102">
        <v>1962</v>
      </c>
      <c r="B7" s="102">
        <v>14.9</v>
      </c>
      <c r="C7" s="102">
        <v>7.7</v>
      </c>
      <c r="D7" s="102">
        <v>29.1</v>
      </c>
      <c r="E7" s="102">
        <v>72.400000000000006</v>
      </c>
      <c r="F7" s="102">
        <v>145.4</v>
      </c>
      <c r="G7" s="102">
        <v>153.6</v>
      </c>
      <c r="H7" s="102">
        <v>90.8</v>
      </c>
      <c r="I7" s="102">
        <v>107.3</v>
      </c>
      <c r="J7" s="102">
        <v>48</v>
      </c>
      <c r="K7" s="102">
        <v>84.2</v>
      </c>
      <c r="L7" s="102">
        <v>33.799999999999997</v>
      </c>
      <c r="M7" s="102">
        <v>19.2</v>
      </c>
      <c r="N7" s="102">
        <f t="shared" si="1"/>
        <v>124.10000000000001</v>
      </c>
      <c r="O7" s="102">
        <f t="shared" si="2"/>
        <v>545.1</v>
      </c>
      <c r="P7" s="102">
        <f t="shared" si="3"/>
        <v>137.19999999999999</v>
      </c>
      <c r="Q7" s="102">
        <f t="shared" si="4"/>
        <v>806.4</v>
      </c>
    </row>
    <row r="8" spans="1:33">
      <c r="A8" s="102">
        <v>1963</v>
      </c>
      <c r="B8" s="102">
        <v>4.9000000000000004</v>
      </c>
      <c r="C8" s="102">
        <v>12.2</v>
      </c>
      <c r="D8" s="102">
        <v>35</v>
      </c>
      <c r="E8" s="102">
        <v>36.9</v>
      </c>
      <c r="F8" s="102">
        <v>175.3</v>
      </c>
      <c r="G8" s="102">
        <v>63.7</v>
      </c>
      <c r="H8" s="102">
        <v>353.7</v>
      </c>
      <c r="I8" s="102">
        <v>32.4</v>
      </c>
      <c r="J8" s="102">
        <v>55.1</v>
      </c>
      <c r="K8" s="102">
        <v>79.900000000000006</v>
      </c>
      <c r="L8" s="102">
        <v>182.3</v>
      </c>
      <c r="M8" s="102">
        <v>36.4</v>
      </c>
      <c r="N8" s="102">
        <f t="shared" si="1"/>
        <v>89</v>
      </c>
      <c r="O8" s="102">
        <f t="shared" si="2"/>
        <v>680.2</v>
      </c>
      <c r="P8" s="102">
        <f t="shared" si="3"/>
        <v>298.60000000000002</v>
      </c>
      <c r="Q8" s="102">
        <f t="shared" si="4"/>
        <v>1067.8000000000002</v>
      </c>
    </row>
    <row r="9" spans="1:33">
      <c r="A9" s="102">
        <v>1964</v>
      </c>
      <c r="B9" s="102">
        <v>14.2</v>
      </c>
      <c r="C9" s="102">
        <v>25.3</v>
      </c>
      <c r="D9" s="102">
        <v>26.8</v>
      </c>
      <c r="E9" s="102">
        <v>201.9</v>
      </c>
      <c r="F9" s="102">
        <v>99.5</v>
      </c>
      <c r="G9" s="102">
        <v>239.5</v>
      </c>
      <c r="H9" s="102">
        <v>188.7</v>
      </c>
      <c r="I9" s="102">
        <v>207.6</v>
      </c>
      <c r="J9" s="102">
        <v>94.2</v>
      </c>
      <c r="K9" s="102">
        <v>111</v>
      </c>
      <c r="L9" s="102">
        <v>19.3</v>
      </c>
      <c r="M9" s="102">
        <v>44.4</v>
      </c>
      <c r="N9" s="102">
        <f t="shared" si="1"/>
        <v>268.2</v>
      </c>
      <c r="O9" s="102">
        <f t="shared" si="2"/>
        <v>829.50000000000011</v>
      </c>
      <c r="P9" s="102">
        <f t="shared" si="3"/>
        <v>174.70000000000002</v>
      </c>
      <c r="Q9" s="102">
        <f t="shared" si="4"/>
        <v>1272.4000000000001</v>
      </c>
    </row>
    <row r="10" spans="1:33">
      <c r="A10" s="102">
        <v>1965</v>
      </c>
      <c r="B10" s="102">
        <v>26.3</v>
      </c>
      <c r="C10" s="102">
        <v>26.1</v>
      </c>
      <c r="D10" s="102">
        <v>70.2</v>
      </c>
      <c r="E10" s="102">
        <v>105.9</v>
      </c>
      <c r="F10" s="102">
        <v>245.5</v>
      </c>
      <c r="G10" s="102">
        <v>143.6</v>
      </c>
      <c r="H10" s="102">
        <v>154.1</v>
      </c>
      <c r="I10" s="102">
        <v>161.30000000000001</v>
      </c>
      <c r="J10" s="102">
        <v>54.7</v>
      </c>
      <c r="K10" s="102">
        <v>191.5</v>
      </c>
      <c r="L10" s="102">
        <v>54.5</v>
      </c>
      <c r="M10" s="102">
        <v>26.8</v>
      </c>
      <c r="N10" s="102">
        <f t="shared" si="1"/>
        <v>228.5</v>
      </c>
      <c r="O10" s="102">
        <f t="shared" si="2"/>
        <v>759.2</v>
      </c>
      <c r="P10" s="102">
        <f t="shared" si="3"/>
        <v>272.8</v>
      </c>
      <c r="Q10" s="102">
        <f t="shared" si="4"/>
        <v>1260.5</v>
      </c>
    </row>
    <row r="11" spans="1:33">
      <c r="A11" s="102">
        <v>1966</v>
      </c>
      <c r="B11" s="102">
        <v>7.5</v>
      </c>
      <c r="C11" s="102">
        <v>14.7</v>
      </c>
      <c r="D11" s="102">
        <v>5.8</v>
      </c>
      <c r="E11" s="102">
        <v>124.4</v>
      </c>
      <c r="F11" s="102">
        <v>139.30000000000001</v>
      </c>
      <c r="G11" s="102">
        <v>179</v>
      </c>
      <c r="H11" s="102">
        <v>122.8</v>
      </c>
      <c r="I11" s="102">
        <v>38</v>
      </c>
      <c r="J11" s="102">
        <v>85</v>
      </c>
      <c r="K11" s="102">
        <v>72.599999999999994</v>
      </c>
      <c r="L11" s="102">
        <v>13.6</v>
      </c>
      <c r="M11" s="102">
        <v>22.5</v>
      </c>
      <c r="N11" s="102">
        <f t="shared" si="1"/>
        <v>152.4</v>
      </c>
      <c r="O11" s="102">
        <f t="shared" si="2"/>
        <v>564.1</v>
      </c>
      <c r="P11" s="102">
        <f t="shared" si="3"/>
        <v>108.69999999999999</v>
      </c>
      <c r="Q11" s="102">
        <f t="shared" si="4"/>
        <v>825.2</v>
      </c>
    </row>
    <row r="12" spans="1:33">
      <c r="A12" s="102">
        <v>1967</v>
      </c>
      <c r="B12" s="102">
        <v>6.1</v>
      </c>
      <c r="C12" s="102">
        <v>42.1</v>
      </c>
      <c r="D12" s="102">
        <v>23.7</v>
      </c>
      <c r="E12" s="102">
        <v>132.69999999999999</v>
      </c>
      <c r="F12" s="102">
        <v>258.7</v>
      </c>
      <c r="G12" s="102">
        <v>354.5</v>
      </c>
      <c r="H12" s="102">
        <v>187.6</v>
      </c>
      <c r="I12" s="102">
        <v>214.1</v>
      </c>
      <c r="J12" s="102">
        <v>188.2</v>
      </c>
      <c r="K12" s="102">
        <v>38</v>
      </c>
      <c r="L12" s="102">
        <v>62.2</v>
      </c>
      <c r="M12" s="102">
        <v>20.6</v>
      </c>
      <c r="N12" s="102">
        <f t="shared" si="1"/>
        <v>204.6</v>
      </c>
      <c r="O12" s="102">
        <f t="shared" si="2"/>
        <v>1203.1000000000001</v>
      </c>
      <c r="P12" s="102">
        <f t="shared" si="3"/>
        <v>120.80000000000001</v>
      </c>
      <c r="Q12" s="102">
        <f t="shared" si="4"/>
        <v>1528.5</v>
      </c>
    </row>
    <row r="13" spans="1:33">
      <c r="A13" s="102">
        <v>1968</v>
      </c>
      <c r="B13" s="102">
        <v>7.7</v>
      </c>
      <c r="C13" s="102">
        <v>12.7</v>
      </c>
      <c r="D13" s="102">
        <v>29.4</v>
      </c>
      <c r="E13" s="102">
        <v>116.4</v>
      </c>
      <c r="F13" s="102">
        <v>237.3</v>
      </c>
      <c r="G13" s="102">
        <v>150.9</v>
      </c>
      <c r="H13" s="102">
        <v>239.9</v>
      </c>
      <c r="I13" s="102">
        <v>123.9</v>
      </c>
      <c r="J13" s="102">
        <v>39.799999999999997</v>
      </c>
      <c r="K13" s="102">
        <v>70.8</v>
      </c>
      <c r="L13" s="102">
        <v>46.4</v>
      </c>
      <c r="M13" s="102">
        <v>17.899999999999999</v>
      </c>
      <c r="N13" s="102">
        <f t="shared" si="1"/>
        <v>166.2</v>
      </c>
      <c r="O13" s="102">
        <f t="shared" si="2"/>
        <v>791.8</v>
      </c>
      <c r="P13" s="102">
        <f t="shared" si="3"/>
        <v>135.1</v>
      </c>
      <c r="Q13" s="102">
        <f t="shared" si="4"/>
        <v>1093.1000000000001</v>
      </c>
    </row>
    <row r="14" spans="1:33">
      <c r="A14" s="102">
        <v>1969</v>
      </c>
      <c r="B14" s="102">
        <v>30.3</v>
      </c>
      <c r="C14" s="102">
        <v>4.5999999999999996</v>
      </c>
      <c r="D14" s="102">
        <v>16.600000000000001</v>
      </c>
      <c r="E14" s="102">
        <v>68.5</v>
      </c>
      <c r="F14" s="102">
        <v>183.8</v>
      </c>
      <c r="G14" s="102">
        <v>238</v>
      </c>
      <c r="H14" s="102">
        <v>249.9</v>
      </c>
      <c r="I14" s="102">
        <v>139.19999999999999</v>
      </c>
      <c r="J14" s="102">
        <v>23.8</v>
      </c>
      <c r="K14" s="102">
        <v>94.6</v>
      </c>
      <c r="L14" s="102">
        <v>45.2</v>
      </c>
      <c r="M14" s="102">
        <v>6</v>
      </c>
      <c r="N14" s="102">
        <f t="shared" si="1"/>
        <v>120</v>
      </c>
      <c r="O14" s="102">
        <f t="shared" si="2"/>
        <v>834.7</v>
      </c>
      <c r="P14" s="102">
        <f t="shared" si="3"/>
        <v>145.80000000000001</v>
      </c>
      <c r="Q14" s="102">
        <f t="shared" si="4"/>
        <v>1100.4999999999998</v>
      </c>
    </row>
    <row r="15" spans="1:33">
      <c r="A15" s="102">
        <v>1970</v>
      </c>
      <c r="B15" s="102">
        <v>27.1</v>
      </c>
      <c r="C15" s="102">
        <v>20.9</v>
      </c>
      <c r="D15" s="102">
        <v>118.1</v>
      </c>
      <c r="E15" s="102">
        <v>161.1</v>
      </c>
      <c r="F15" s="102">
        <v>139</v>
      </c>
      <c r="G15" s="102">
        <v>140.1</v>
      </c>
      <c r="H15" s="102">
        <v>238.6</v>
      </c>
      <c r="I15" s="102">
        <v>81.5</v>
      </c>
      <c r="J15" s="102">
        <v>163.19999999999999</v>
      </c>
      <c r="K15" s="102">
        <v>20.2</v>
      </c>
      <c r="L15" s="102">
        <v>52.3</v>
      </c>
      <c r="M15" s="102">
        <v>51.9</v>
      </c>
      <c r="N15" s="102">
        <f t="shared" si="1"/>
        <v>327.2</v>
      </c>
      <c r="O15" s="102">
        <f t="shared" si="2"/>
        <v>762.40000000000009</v>
      </c>
      <c r="P15" s="102">
        <f t="shared" si="3"/>
        <v>124.4</v>
      </c>
      <c r="Q15" s="102">
        <f t="shared" si="4"/>
        <v>1214</v>
      </c>
    </row>
    <row r="16" spans="1:33">
      <c r="A16" s="102">
        <v>1971</v>
      </c>
      <c r="B16" s="102">
        <v>9.9</v>
      </c>
      <c r="C16" s="102">
        <v>22.3</v>
      </c>
      <c r="D16" s="102">
        <v>40.9</v>
      </c>
      <c r="E16" s="102">
        <v>113.5</v>
      </c>
      <c r="F16" s="102">
        <v>244.2</v>
      </c>
      <c r="G16" s="102">
        <v>312.2</v>
      </c>
      <c r="H16" s="102">
        <v>82</v>
      </c>
      <c r="I16" s="102">
        <v>234.4</v>
      </c>
      <c r="J16" s="102">
        <v>117.7</v>
      </c>
      <c r="K16" s="102">
        <v>75.599999999999994</v>
      </c>
      <c r="L16" s="102">
        <v>28.6</v>
      </c>
      <c r="M16" s="102">
        <v>37.4</v>
      </c>
      <c r="N16" s="102">
        <f t="shared" si="1"/>
        <v>186.6</v>
      </c>
      <c r="O16" s="102">
        <f t="shared" si="2"/>
        <v>990.5</v>
      </c>
      <c r="P16" s="102">
        <f t="shared" si="3"/>
        <v>141.6</v>
      </c>
      <c r="Q16" s="102">
        <f t="shared" si="4"/>
        <v>1318.7</v>
      </c>
    </row>
    <row r="17" spans="1:17">
      <c r="A17" s="102">
        <v>1972</v>
      </c>
      <c r="B17" s="102">
        <v>11.8</v>
      </c>
      <c r="C17" s="102">
        <v>13.2</v>
      </c>
      <c r="D17" s="102">
        <v>53.2</v>
      </c>
      <c r="E17" s="102">
        <v>125.8</v>
      </c>
      <c r="F17" s="102">
        <v>357.2</v>
      </c>
      <c r="G17" s="102">
        <v>172.3</v>
      </c>
      <c r="H17" s="102">
        <v>37.700000000000003</v>
      </c>
      <c r="I17" s="102">
        <v>34.799999999999997</v>
      </c>
      <c r="J17" s="102">
        <v>237.8</v>
      </c>
      <c r="K17" s="102">
        <v>139.6</v>
      </c>
      <c r="L17" s="102">
        <v>58.8</v>
      </c>
      <c r="M17" s="102">
        <v>26.5</v>
      </c>
      <c r="N17" s="102">
        <f t="shared" si="1"/>
        <v>204</v>
      </c>
      <c r="O17" s="102">
        <f t="shared" si="2"/>
        <v>839.8</v>
      </c>
      <c r="P17" s="102">
        <f t="shared" si="3"/>
        <v>224.89999999999998</v>
      </c>
      <c r="Q17" s="102">
        <f t="shared" si="4"/>
        <v>1268.6999999999998</v>
      </c>
    </row>
    <row r="18" spans="1:17">
      <c r="A18" s="102">
        <v>1973</v>
      </c>
      <c r="B18" s="102">
        <v>24.3</v>
      </c>
      <c r="C18" s="102">
        <v>25.5</v>
      </c>
      <c r="D18" s="102">
        <v>26.9</v>
      </c>
      <c r="E18" s="102">
        <v>92.2</v>
      </c>
      <c r="F18" s="102">
        <v>140</v>
      </c>
      <c r="G18" s="102">
        <v>227.4</v>
      </c>
      <c r="H18" s="102">
        <v>173.1</v>
      </c>
      <c r="I18" s="102">
        <v>130.9</v>
      </c>
      <c r="J18" s="102">
        <v>145.19999999999999</v>
      </c>
      <c r="K18" s="102">
        <v>46.4</v>
      </c>
      <c r="L18" s="102">
        <v>46.1</v>
      </c>
      <c r="M18" s="102">
        <v>4.9000000000000004</v>
      </c>
      <c r="N18" s="102">
        <f t="shared" si="1"/>
        <v>168.89999999999998</v>
      </c>
      <c r="O18" s="102">
        <f t="shared" si="2"/>
        <v>816.59999999999991</v>
      </c>
      <c r="P18" s="102">
        <f t="shared" si="3"/>
        <v>97.4</v>
      </c>
      <c r="Q18" s="102">
        <f t="shared" si="4"/>
        <v>1082.9000000000001</v>
      </c>
    </row>
    <row r="19" spans="1:17">
      <c r="A19" s="102">
        <v>1974</v>
      </c>
      <c r="B19" s="102">
        <v>32.4</v>
      </c>
      <c r="C19" s="102">
        <v>11.5</v>
      </c>
      <c r="D19" s="102">
        <v>45.1</v>
      </c>
      <c r="E19" s="102">
        <v>163.30000000000001</v>
      </c>
      <c r="F19" s="102">
        <v>96.4</v>
      </c>
      <c r="G19" s="102">
        <v>244.7</v>
      </c>
      <c r="H19" s="102">
        <v>233.7</v>
      </c>
      <c r="I19" s="102">
        <v>134.6</v>
      </c>
      <c r="J19" s="102">
        <v>81.7</v>
      </c>
      <c r="K19" s="102">
        <v>59.5</v>
      </c>
      <c r="L19" s="102">
        <v>16.100000000000001</v>
      </c>
      <c r="M19" s="102">
        <v>13.9</v>
      </c>
      <c r="N19" s="102">
        <f t="shared" si="1"/>
        <v>252.3</v>
      </c>
      <c r="O19" s="102">
        <f t="shared" si="2"/>
        <v>791.1</v>
      </c>
      <c r="P19" s="102">
        <f t="shared" si="3"/>
        <v>89.5</v>
      </c>
      <c r="Q19" s="102">
        <f t="shared" si="4"/>
        <v>1132.9000000000001</v>
      </c>
    </row>
    <row r="20" spans="1:17">
      <c r="A20" s="102">
        <v>1975</v>
      </c>
      <c r="B20" s="102">
        <v>23.1</v>
      </c>
      <c r="C20" s="102">
        <v>20.8</v>
      </c>
      <c r="D20" s="102">
        <v>46.8</v>
      </c>
      <c r="E20" s="102">
        <v>180.9</v>
      </c>
      <c r="F20" s="102">
        <v>168.3</v>
      </c>
      <c r="G20" s="102">
        <v>84.7</v>
      </c>
      <c r="H20" s="102">
        <v>162.19999999999999</v>
      </c>
      <c r="I20" s="102">
        <v>139.1</v>
      </c>
      <c r="J20" s="102">
        <v>64.7</v>
      </c>
      <c r="K20" s="102">
        <v>52.8</v>
      </c>
      <c r="L20" s="102">
        <v>68.2</v>
      </c>
      <c r="M20" s="102">
        <v>4.4000000000000004</v>
      </c>
      <c r="N20" s="102">
        <f t="shared" si="1"/>
        <v>271.60000000000002</v>
      </c>
      <c r="O20" s="102">
        <f t="shared" si="2"/>
        <v>619</v>
      </c>
      <c r="P20" s="102">
        <f t="shared" si="3"/>
        <v>125.4</v>
      </c>
      <c r="Q20" s="102">
        <f t="shared" si="4"/>
        <v>1016</v>
      </c>
    </row>
    <row r="21" spans="1:17">
      <c r="A21" s="102">
        <v>1976</v>
      </c>
      <c r="B21" s="102">
        <v>24.5</v>
      </c>
      <c r="C21" s="102">
        <v>12.8</v>
      </c>
      <c r="D21" s="102">
        <v>40.1</v>
      </c>
      <c r="E21" s="102">
        <v>199.3</v>
      </c>
      <c r="F21" s="102">
        <v>180.5</v>
      </c>
      <c r="G21" s="102">
        <v>347.8</v>
      </c>
      <c r="H21" s="102">
        <v>209.8</v>
      </c>
      <c r="I21" s="102">
        <v>84.4</v>
      </c>
      <c r="J21" s="102">
        <v>109.5</v>
      </c>
      <c r="K21" s="102">
        <v>168.5</v>
      </c>
      <c r="L21" s="102">
        <v>72.2</v>
      </c>
      <c r="M21" s="102">
        <v>10</v>
      </c>
      <c r="N21" s="102">
        <f t="shared" si="1"/>
        <v>276.70000000000005</v>
      </c>
      <c r="O21" s="102">
        <f t="shared" si="2"/>
        <v>931.99999999999989</v>
      </c>
      <c r="P21" s="102">
        <f t="shared" si="3"/>
        <v>250.7</v>
      </c>
      <c r="Q21" s="102">
        <f t="shared" si="4"/>
        <v>1459.4</v>
      </c>
    </row>
    <row r="22" spans="1:17">
      <c r="A22" s="102">
        <v>1977</v>
      </c>
      <c r="B22" s="102">
        <v>13.6</v>
      </c>
      <c r="C22" s="102">
        <v>20.100000000000001</v>
      </c>
      <c r="D22" s="102">
        <v>50.6</v>
      </c>
      <c r="E22" s="102">
        <v>151</v>
      </c>
      <c r="F22" s="102">
        <v>217.4</v>
      </c>
      <c r="G22" s="102">
        <v>303.7</v>
      </c>
      <c r="H22" s="102">
        <v>216.8</v>
      </c>
      <c r="I22" s="102">
        <v>162.80000000000001</v>
      </c>
      <c r="J22" s="102">
        <v>87.2</v>
      </c>
      <c r="K22" s="102">
        <v>150.1</v>
      </c>
      <c r="L22" s="102">
        <v>52.4</v>
      </c>
      <c r="M22" s="102">
        <v>4.8</v>
      </c>
      <c r="N22" s="102">
        <f t="shared" si="1"/>
        <v>235.3</v>
      </c>
      <c r="O22" s="102">
        <f t="shared" si="2"/>
        <v>987.90000000000009</v>
      </c>
      <c r="P22" s="102">
        <f t="shared" si="3"/>
        <v>207.3</v>
      </c>
      <c r="Q22" s="102">
        <f t="shared" si="4"/>
        <v>1430.5</v>
      </c>
    </row>
    <row r="23" spans="1:17">
      <c r="A23" s="102">
        <v>1978</v>
      </c>
      <c r="B23" s="102">
        <v>26</v>
      </c>
      <c r="C23" s="102">
        <v>5.2</v>
      </c>
      <c r="D23" s="102">
        <v>21.5</v>
      </c>
      <c r="E23" s="102">
        <v>79.400000000000006</v>
      </c>
      <c r="F23" s="102">
        <v>249.7</v>
      </c>
      <c r="G23" s="102">
        <v>162.9</v>
      </c>
      <c r="H23" s="102">
        <v>56.7</v>
      </c>
      <c r="I23" s="102">
        <v>93.2</v>
      </c>
      <c r="J23" s="102">
        <v>42.8</v>
      </c>
      <c r="K23" s="102">
        <v>135.5</v>
      </c>
      <c r="L23" s="102">
        <v>91.2</v>
      </c>
      <c r="M23" s="102">
        <v>6</v>
      </c>
      <c r="N23" s="102">
        <f t="shared" si="1"/>
        <v>132.10000000000002</v>
      </c>
      <c r="O23" s="102">
        <f t="shared" si="2"/>
        <v>605.29999999999995</v>
      </c>
      <c r="P23" s="102">
        <f t="shared" si="3"/>
        <v>232.7</v>
      </c>
      <c r="Q23" s="102">
        <f t="shared" si="4"/>
        <v>970.10000000000014</v>
      </c>
    </row>
    <row r="24" spans="1:17">
      <c r="A24" s="102">
        <v>1979</v>
      </c>
      <c r="B24" s="102">
        <v>7.5</v>
      </c>
      <c r="C24" s="102">
        <v>29.2</v>
      </c>
      <c r="D24" s="102">
        <v>19.7</v>
      </c>
      <c r="E24" s="102">
        <v>83.2</v>
      </c>
      <c r="F24" s="102">
        <v>124.4</v>
      </c>
      <c r="G24" s="102">
        <v>243.4</v>
      </c>
      <c r="H24" s="102">
        <v>280.8</v>
      </c>
      <c r="I24" s="102">
        <v>187.5</v>
      </c>
      <c r="J24" s="102">
        <v>107.8</v>
      </c>
      <c r="K24" s="102">
        <v>29.2</v>
      </c>
      <c r="L24" s="102">
        <v>3.7</v>
      </c>
      <c r="M24" s="102">
        <v>30.2</v>
      </c>
      <c r="N24" s="102">
        <f t="shared" si="1"/>
        <v>139.60000000000002</v>
      </c>
      <c r="O24" s="102">
        <f t="shared" si="2"/>
        <v>943.9</v>
      </c>
      <c r="P24" s="102">
        <f t="shared" si="3"/>
        <v>63.099999999999994</v>
      </c>
      <c r="Q24" s="102">
        <f t="shared" si="4"/>
        <v>1146.6000000000001</v>
      </c>
    </row>
    <row r="25" spans="1:17">
      <c r="A25" s="102">
        <v>1980</v>
      </c>
      <c r="B25" s="102">
        <v>15.3</v>
      </c>
      <c r="C25" s="102">
        <v>16.899999999999999</v>
      </c>
      <c r="D25" s="102">
        <v>20.399999999999999</v>
      </c>
      <c r="E25" s="102">
        <v>53.2</v>
      </c>
      <c r="F25" s="102">
        <v>199.5</v>
      </c>
      <c r="G25" s="102">
        <v>264.8</v>
      </c>
      <c r="H25" s="102">
        <v>204.9</v>
      </c>
      <c r="I25" s="102">
        <v>195.2</v>
      </c>
      <c r="J25" s="102">
        <v>74.900000000000006</v>
      </c>
      <c r="K25" s="102">
        <v>134.1</v>
      </c>
      <c r="L25" s="102">
        <v>48.6</v>
      </c>
      <c r="M25" s="102">
        <v>26.3</v>
      </c>
      <c r="N25" s="102">
        <f t="shared" si="1"/>
        <v>105.80000000000001</v>
      </c>
      <c r="O25" s="102">
        <f t="shared" si="2"/>
        <v>939.30000000000007</v>
      </c>
      <c r="P25" s="102">
        <f t="shared" si="3"/>
        <v>209</v>
      </c>
      <c r="Q25" s="102">
        <f t="shared" si="4"/>
        <v>1254.0999999999999</v>
      </c>
    </row>
    <row r="26" spans="1:17">
      <c r="A26" s="102">
        <v>1981</v>
      </c>
      <c r="B26" s="102">
        <v>23.4</v>
      </c>
      <c r="C26" s="102">
        <v>14.5</v>
      </c>
      <c r="D26" s="102">
        <v>25.6</v>
      </c>
      <c r="E26" s="102">
        <v>94.1</v>
      </c>
      <c r="F26" s="102">
        <v>170.5</v>
      </c>
      <c r="G26" s="102">
        <v>76.5</v>
      </c>
      <c r="H26" s="102">
        <v>158.1</v>
      </c>
      <c r="I26" s="102">
        <v>76.900000000000006</v>
      </c>
      <c r="J26" s="102">
        <v>146.6</v>
      </c>
      <c r="K26" s="102">
        <v>71</v>
      </c>
      <c r="L26" s="102">
        <v>79.900000000000006</v>
      </c>
      <c r="M26" s="102">
        <v>1.3</v>
      </c>
      <c r="N26" s="102">
        <f t="shared" si="1"/>
        <v>157.6</v>
      </c>
      <c r="O26" s="102">
        <f t="shared" si="2"/>
        <v>628.6</v>
      </c>
      <c r="P26" s="102">
        <f t="shared" si="3"/>
        <v>152.20000000000002</v>
      </c>
      <c r="Q26" s="102">
        <f t="shared" si="4"/>
        <v>938.4</v>
      </c>
    </row>
    <row r="27" spans="1:17">
      <c r="A27" s="102">
        <v>1982</v>
      </c>
      <c r="B27" s="102">
        <v>29.7</v>
      </c>
      <c r="C27" s="102">
        <v>52.9</v>
      </c>
      <c r="D27" s="102">
        <v>45.3</v>
      </c>
      <c r="E27" s="102">
        <v>124.2</v>
      </c>
      <c r="F27" s="102">
        <v>130.4</v>
      </c>
      <c r="G27" s="102">
        <v>191.9</v>
      </c>
      <c r="H27" s="102">
        <v>72.3</v>
      </c>
      <c r="I27" s="102">
        <v>161.9</v>
      </c>
      <c r="J27" s="102">
        <v>138.69999999999999</v>
      </c>
      <c r="K27" s="102">
        <v>62</v>
      </c>
      <c r="L27" s="102">
        <v>104.4</v>
      </c>
      <c r="M27" s="102">
        <v>19.8</v>
      </c>
      <c r="N27" s="102">
        <f t="shared" si="1"/>
        <v>252.1</v>
      </c>
      <c r="O27" s="102">
        <f t="shared" si="2"/>
        <v>695.2</v>
      </c>
      <c r="P27" s="102">
        <f t="shared" si="3"/>
        <v>186.20000000000002</v>
      </c>
      <c r="Q27" s="102">
        <f t="shared" si="4"/>
        <v>1133.5</v>
      </c>
    </row>
    <row r="28" spans="1:17">
      <c r="A28" s="102">
        <v>1983</v>
      </c>
      <c r="B28" s="102">
        <v>51.6</v>
      </c>
      <c r="C28" s="102">
        <v>37.9</v>
      </c>
      <c r="D28" s="102">
        <v>28.3</v>
      </c>
      <c r="E28" s="102">
        <v>156</v>
      </c>
      <c r="F28" s="102">
        <v>101.4</v>
      </c>
      <c r="G28" s="102">
        <v>181.4</v>
      </c>
      <c r="H28" s="102">
        <v>107.3</v>
      </c>
      <c r="I28" s="102">
        <v>160</v>
      </c>
      <c r="J28" s="102">
        <v>127.2</v>
      </c>
      <c r="K28" s="102">
        <v>68.599999999999994</v>
      </c>
      <c r="L28" s="102">
        <v>50.2</v>
      </c>
      <c r="M28" s="102">
        <v>23.3</v>
      </c>
      <c r="N28" s="102">
        <f t="shared" si="1"/>
        <v>273.8</v>
      </c>
      <c r="O28" s="102">
        <f t="shared" si="2"/>
        <v>677.30000000000007</v>
      </c>
      <c r="P28" s="102">
        <f t="shared" si="3"/>
        <v>142.1</v>
      </c>
      <c r="Q28" s="102">
        <f t="shared" si="4"/>
        <v>1093.2</v>
      </c>
    </row>
    <row r="29" spans="1:17">
      <c r="A29" s="102">
        <v>1984</v>
      </c>
      <c r="B29" s="102">
        <v>22.5</v>
      </c>
      <c r="C29" s="102">
        <v>10.9</v>
      </c>
      <c r="D29" s="102">
        <v>27</v>
      </c>
      <c r="E29" s="102">
        <v>107.7</v>
      </c>
      <c r="F29" s="102">
        <v>243</v>
      </c>
      <c r="G29" s="102">
        <v>133.30000000000001</v>
      </c>
      <c r="H29" s="102">
        <v>135.69999999999999</v>
      </c>
      <c r="I29" s="102">
        <v>200.4</v>
      </c>
      <c r="J29" s="102">
        <v>85.7</v>
      </c>
      <c r="K29" s="102">
        <v>82.9</v>
      </c>
      <c r="L29" s="102">
        <v>33.299999999999997</v>
      </c>
      <c r="M29" s="102">
        <v>53.6</v>
      </c>
      <c r="N29" s="102">
        <f t="shared" si="1"/>
        <v>168.1</v>
      </c>
      <c r="O29" s="102">
        <f t="shared" si="2"/>
        <v>798.1</v>
      </c>
      <c r="P29" s="102">
        <f t="shared" si="3"/>
        <v>169.8</v>
      </c>
      <c r="Q29" s="102">
        <f t="shared" si="4"/>
        <v>1136</v>
      </c>
    </row>
    <row r="30" spans="1:17">
      <c r="A30" s="102">
        <v>1985</v>
      </c>
      <c r="B30" s="102">
        <v>8</v>
      </c>
      <c r="C30" s="102">
        <v>38</v>
      </c>
      <c r="D30" s="102">
        <v>32.700000000000003</v>
      </c>
      <c r="E30" s="102">
        <v>101.4</v>
      </c>
      <c r="F30" s="102">
        <v>192.2</v>
      </c>
      <c r="G30" s="102">
        <v>186.8</v>
      </c>
      <c r="H30" s="102">
        <v>220.9</v>
      </c>
      <c r="I30" s="102">
        <v>172</v>
      </c>
      <c r="J30" s="102">
        <v>48.4</v>
      </c>
      <c r="K30" s="102">
        <v>63.3</v>
      </c>
      <c r="L30" s="102">
        <v>56.7</v>
      </c>
      <c r="M30" s="102">
        <v>19.899999999999999</v>
      </c>
      <c r="N30" s="102">
        <f t="shared" si="1"/>
        <v>180.10000000000002</v>
      </c>
      <c r="O30" s="102">
        <f t="shared" si="2"/>
        <v>820.3</v>
      </c>
      <c r="P30" s="102">
        <f t="shared" si="3"/>
        <v>139.9</v>
      </c>
      <c r="Q30" s="102">
        <f t="shared" si="4"/>
        <v>1140.3000000000002</v>
      </c>
    </row>
    <row r="31" spans="1:17">
      <c r="A31" s="102">
        <v>1986</v>
      </c>
      <c r="B31" s="102">
        <v>12.8</v>
      </c>
      <c r="C31" s="102">
        <v>10.199999999999999</v>
      </c>
      <c r="D31" s="102">
        <v>32.700000000000003</v>
      </c>
      <c r="E31" s="102">
        <v>47.8</v>
      </c>
      <c r="F31" s="102">
        <v>101.3</v>
      </c>
      <c r="G31" s="102">
        <v>185.4</v>
      </c>
      <c r="H31" s="102">
        <v>207.2</v>
      </c>
      <c r="I31" s="102">
        <v>138.69999999999999</v>
      </c>
      <c r="J31" s="102">
        <v>114.2</v>
      </c>
      <c r="K31" s="102">
        <v>71.099999999999994</v>
      </c>
      <c r="L31" s="102">
        <v>26.1</v>
      </c>
      <c r="M31" s="102">
        <v>2.5</v>
      </c>
      <c r="N31" s="102">
        <f t="shared" si="1"/>
        <v>103.5</v>
      </c>
      <c r="O31" s="102">
        <f t="shared" si="2"/>
        <v>746.8</v>
      </c>
      <c r="P31" s="102">
        <f t="shared" si="3"/>
        <v>99.699999999999989</v>
      </c>
      <c r="Q31" s="102">
        <f t="shared" si="4"/>
        <v>950.00000000000023</v>
      </c>
    </row>
    <row r="32" spans="1:17">
      <c r="A32" s="102">
        <v>1987</v>
      </c>
      <c r="B32" s="102">
        <v>20.5</v>
      </c>
      <c r="C32" s="102">
        <v>19.2</v>
      </c>
      <c r="D32" s="102">
        <v>29</v>
      </c>
      <c r="E32" s="102">
        <v>32.700000000000003</v>
      </c>
      <c r="F32" s="102">
        <v>158</v>
      </c>
      <c r="G32" s="102">
        <v>168.9</v>
      </c>
      <c r="H32" s="102">
        <v>235.5</v>
      </c>
      <c r="I32" s="102">
        <v>92.5</v>
      </c>
      <c r="J32" s="102">
        <v>75.8</v>
      </c>
      <c r="K32" s="102">
        <v>176.8</v>
      </c>
      <c r="L32" s="102">
        <v>57</v>
      </c>
      <c r="M32" s="102">
        <v>3.4</v>
      </c>
      <c r="N32" s="102">
        <f t="shared" si="1"/>
        <v>101.4</v>
      </c>
      <c r="O32" s="102">
        <f t="shared" si="2"/>
        <v>730.69999999999993</v>
      </c>
      <c r="P32" s="102">
        <f t="shared" si="3"/>
        <v>237.20000000000002</v>
      </c>
      <c r="Q32" s="102">
        <f t="shared" si="4"/>
        <v>1069.3</v>
      </c>
    </row>
    <row r="33" spans="1:17">
      <c r="A33" s="102">
        <v>1988</v>
      </c>
      <c r="B33" s="102">
        <v>19.5</v>
      </c>
      <c r="C33" s="102">
        <v>15.4</v>
      </c>
      <c r="D33" s="102">
        <v>4</v>
      </c>
      <c r="E33" s="102">
        <v>98.3</v>
      </c>
      <c r="F33" s="102">
        <v>120</v>
      </c>
      <c r="G33" s="102">
        <v>202.7</v>
      </c>
      <c r="H33" s="102">
        <v>117.6</v>
      </c>
      <c r="I33" s="102">
        <v>325.10000000000002</v>
      </c>
      <c r="J33" s="102">
        <v>204.5</v>
      </c>
      <c r="K33" s="102">
        <v>54.4</v>
      </c>
      <c r="L33" s="102">
        <v>2.2999999999999998</v>
      </c>
      <c r="M33" s="102">
        <v>10.7</v>
      </c>
      <c r="N33" s="102">
        <f t="shared" si="1"/>
        <v>137.19999999999999</v>
      </c>
      <c r="O33" s="102">
        <f t="shared" si="2"/>
        <v>969.9</v>
      </c>
      <c r="P33" s="102">
        <f t="shared" si="3"/>
        <v>67.399999999999991</v>
      </c>
      <c r="Q33" s="102">
        <f t="shared" si="4"/>
        <v>1174.5</v>
      </c>
    </row>
    <row r="34" spans="1:17">
      <c r="A34" s="102">
        <v>1989</v>
      </c>
      <c r="B34" s="102">
        <v>7.6</v>
      </c>
      <c r="C34" s="102">
        <v>29</v>
      </c>
      <c r="D34" s="102">
        <v>51.8</v>
      </c>
      <c r="E34" s="102">
        <v>37.200000000000003</v>
      </c>
      <c r="F34" s="102">
        <v>91.3</v>
      </c>
      <c r="G34" s="102">
        <v>183.5</v>
      </c>
      <c r="H34" s="102">
        <v>59.8</v>
      </c>
      <c r="I34" s="102">
        <v>138.19999999999999</v>
      </c>
      <c r="J34" s="102">
        <v>134.5</v>
      </c>
      <c r="K34" s="102">
        <v>93.7</v>
      </c>
      <c r="L34" s="102">
        <v>31.6</v>
      </c>
      <c r="M34" s="102">
        <v>22.9</v>
      </c>
      <c r="N34" s="102">
        <f t="shared" si="1"/>
        <v>125.60000000000001</v>
      </c>
      <c r="O34" s="102">
        <f t="shared" si="2"/>
        <v>607.29999999999995</v>
      </c>
      <c r="P34" s="102">
        <f t="shared" si="3"/>
        <v>148.20000000000002</v>
      </c>
      <c r="Q34" s="102">
        <f t="shared" si="4"/>
        <v>881.1</v>
      </c>
    </row>
    <row r="35" spans="1:17">
      <c r="A35" s="102">
        <v>1990</v>
      </c>
      <c r="B35" s="102">
        <v>23.4</v>
      </c>
      <c r="C35" s="102">
        <v>29.8</v>
      </c>
      <c r="D35" s="102">
        <v>66.8</v>
      </c>
      <c r="E35" s="102">
        <v>67.400000000000006</v>
      </c>
      <c r="F35" s="102">
        <v>176.6</v>
      </c>
      <c r="G35" s="102">
        <v>286.2</v>
      </c>
      <c r="H35" s="102">
        <v>103</v>
      </c>
      <c r="I35" s="102">
        <v>36.6</v>
      </c>
      <c r="J35" s="102">
        <v>145.19999999999999</v>
      </c>
      <c r="K35" s="102">
        <v>66.400000000000006</v>
      </c>
      <c r="L35" s="102">
        <v>40.4</v>
      </c>
      <c r="M35" s="102">
        <v>15.4</v>
      </c>
      <c r="N35" s="102">
        <f t="shared" si="1"/>
        <v>187.4</v>
      </c>
      <c r="O35" s="102">
        <f t="shared" si="2"/>
        <v>747.59999999999991</v>
      </c>
      <c r="P35" s="102">
        <f t="shared" si="3"/>
        <v>122.20000000000002</v>
      </c>
      <c r="Q35" s="102">
        <f t="shared" si="4"/>
        <v>1057.2</v>
      </c>
    </row>
    <row r="36" spans="1:17">
      <c r="A36" s="102">
        <v>1991</v>
      </c>
      <c r="B36" s="102">
        <v>51.2</v>
      </c>
      <c r="C36" s="102">
        <v>54.5</v>
      </c>
      <c r="D36" s="102">
        <v>83.9</v>
      </c>
      <c r="E36" s="102">
        <v>72.900000000000006</v>
      </c>
      <c r="F36" s="102">
        <v>191.4</v>
      </c>
      <c r="G36" s="102">
        <v>171.1</v>
      </c>
      <c r="H36" s="102">
        <v>457.7</v>
      </c>
      <c r="I36" s="102">
        <v>131.30000000000001</v>
      </c>
      <c r="J36" s="102">
        <v>65.3</v>
      </c>
      <c r="K36" s="102">
        <v>55.9</v>
      </c>
      <c r="L36" s="102">
        <v>57.8</v>
      </c>
      <c r="M36" s="102">
        <v>23</v>
      </c>
      <c r="N36" s="102">
        <f t="shared" si="1"/>
        <v>262.5</v>
      </c>
      <c r="O36" s="102">
        <f t="shared" si="2"/>
        <v>1016.8</v>
      </c>
      <c r="P36" s="102">
        <f t="shared" si="3"/>
        <v>136.69999999999999</v>
      </c>
      <c r="Q36" s="102">
        <f t="shared" si="4"/>
        <v>1416</v>
      </c>
    </row>
    <row r="37" spans="1:17">
      <c r="A37" s="102">
        <v>1992</v>
      </c>
      <c r="B37" s="102">
        <v>34.4</v>
      </c>
      <c r="C37" s="102">
        <v>42.4</v>
      </c>
      <c r="D37" s="102">
        <v>65.7</v>
      </c>
      <c r="E37" s="102">
        <v>145.69999999999999</v>
      </c>
      <c r="F37" s="102">
        <v>132.9</v>
      </c>
      <c r="G37" s="102">
        <v>265.8</v>
      </c>
      <c r="H37" s="102">
        <v>169.2</v>
      </c>
      <c r="I37" s="102">
        <v>23.7</v>
      </c>
      <c r="J37" s="102">
        <v>46.5</v>
      </c>
      <c r="K37" s="102">
        <v>59.1</v>
      </c>
      <c r="L37" s="102">
        <v>11.5</v>
      </c>
      <c r="M37" s="102">
        <v>33.4</v>
      </c>
      <c r="N37" s="102">
        <f t="shared" si="1"/>
        <v>288.2</v>
      </c>
      <c r="O37" s="102">
        <f t="shared" si="2"/>
        <v>638.10000000000014</v>
      </c>
      <c r="P37" s="102">
        <f t="shared" si="3"/>
        <v>104</v>
      </c>
      <c r="Q37" s="102">
        <f t="shared" si="4"/>
        <v>1030.3000000000002</v>
      </c>
    </row>
    <row r="38" spans="1:17">
      <c r="A38" s="102">
        <v>1993</v>
      </c>
      <c r="B38" s="102">
        <v>40.9</v>
      </c>
      <c r="C38" s="102">
        <v>64.3</v>
      </c>
      <c r="D38" s="102">
        <v>15</v>
      </c>
      <c r="E38" s="102">
        <v>63.9</v>
      </c>
      <c r="F38" s="102">
        <v>166.9</v>
      </c>
      <c r="G38" s="102">
        <v>155</v>
      </c>
      <c r="H38" s="102">
        <v>313.2</v>
      </c>
      <c r="I38" s="102">
        <v>144.6</v>
      </c>
      <c r="J38" s="102">
        <v>100.1</v>
      </c>
      <c r="K38" s="102">
        <v>53.8</v>
      </c>
      <c r="L38" s="102">
        <v>54.9</v>
      </c>
      <c r="M38" s="102">
        <v>10</v>
      </c>
      <c r="N38" s="102">
        <f t="shared" si="1"/>
        <v>184.1</v>
      </c>
      <c r="O38" s="102">
        <f t="shared" si="2"/>
        <v>879.8</v>
      </c>
      <c r="P38" s="102">
        <f t="shared" si="3"/>
        <v>118.69999999999999</v>
      </c>
      <c r="Q38" s="102">
        <f t="shared" si="4"/>
        <v>1182.6000000000001</v>
      </c>
    </row>
    <row r="39" spans="1:17">
      <c r="A39" s="102">
        <v>1994</v>
      </c>
      <c r="B39" s="102">
        <v>13.1</v>
      </c>
      <c r="C39" s="102">
        <v>17.2</v>
      </c>
      <c r="D39" s="102">
        <v>64</v>
      </c>
      <c r="E39" s="102">
        <v>51.5</v>
      </c>
      <c r="F39" s="102">
        <v>191.3</v>
      </c>
      <c r="G39" s="102">
        <v>132.80000000000001</v>
      </c>
      <c r="H39" s="102">
        <v>201.4</v>
      </c>
      <c r="I39" s="102">
        <v>103.8</v>
      </c>
      <c r="J39" s="102">
        <v>91.6</v>
      </c>
      <c r="K39" s="102">
        <v>189.4</v>
      </c>
      <c r="L39" s="102">
        <v>66.400000000000006</v>
      </c>
      <c r="M39" s="102">
        <v>30.9</v>
      </c>
      <c r="N39" s="102">
        <f t="shared" si="1"/>
        <v>145.80000000000001</v>
      </c>
      <c r="O39" s="102">
        <f t="shared" si="2"/>
        <v>720.9</v>
      </c>
      <c r="P39" s="102">
        <f t="shared" si="3"/>
        <v>286.7</v>
      </c>
      <c r="Q39" s="102">
        <f t="shared" si="4"/>
        <v>1153.4000000000003</v>
      </c>
    </row>
    <row r="40" spans="1:17">
      <c r="A40" s="102">
        <v>1995</v>
      </c>
      <c r="B40" s="102">
        <v>21.1</v>
      </c>
      <c r="C40" s="102">
        <v>41.1</v>
      </c>
      <c r="D40" s="102">
        <v>23.3</v>
      </c>
      <c r="E40" s="102">
        <v>53.5</v>
      </c>
      <c r="F40" s="102">
        <v>199</v>
      </c>
      <c r="G40" s="102">
        <v>166.9</v>
      </c>
      <c r="H40" s="102">
        <v>190.2</v>
      </c>
      <c r="I40" s="102">
        <v>89.2</v>
      </c>
      <c r="J40" s="102">
        <v>142</v>
      </c>
      <c r="K40" s="102">
        <v>39.6</v>
      </c>
      <c r="L40" s="102">
        <v>86.1</v>
      </c>
      <c r="M40" s="102">
        <v>4.8</v>
      </c>
      <c r="N40" s="102">
        <f t="shared" si="1"/>
        <v>139</v>
      </c>
      <c r="O40" s="102">
        <f t="shared" si="2"/>
        <v>787.3</v>
      </c>
      <c r="P40" s="102">
        <f t="shared" si="3"/>
        <v>130.5</v>
      </c>
      <c r="Q40" s="102">
        <f t="shared" si="4"/>
        <v>1056.8</v>
      </c>
    </row>
    <row r="41" spans="1:17">
      <c r="A41" s="102">
        <v>1996</v>
      </c>
      <c r="B41" s="102">
        <v>19.899999999999999</v>
      </c>
      <c r="C41" s="102">
        <v>2.5</v>
      </c>
      <c r="D41" s="102">
        <v>98.7</v>
      </c>
      <c r="E41" s="102">
        <v>55.3</v>
      </c>
      <c r="F41" s="102">
        <v>176.2</v>
      </c>
      <c r="G41" s="102">
        <v>319.8</v>
      </c>
      <c r="H41" s="102">
        <v>354.4</v>
      </c>
      <c r="I41" s="102">
        <v>108.3</v>
      </c>
      <c r="J41" s="102">
        <v>8.1</v>
      </c>
      <c r="K41" s="102">
        <v>67.599999999999994</v>
      </c>
      <c r="L41" s="102">
        <v>66.099999999999994</v>
      </c>
      <c r="M41" s="102">
        <v>23.7</v>
      </c>
      <c r="N41" s="102">
        <f t="shared" si="1"/>
        <v>176.39999999999998</v>
      </c>
      <c r="O41" s="102">
        <f t="shared" si="2"/>
        <v>966.8</v>
      </c>
      <c r="P41" s="102">
        <f t="shared" si="3"/>
        <v>157.39999999999998</v>
      </c>
      <c r="Q41" s="102">
        <f t="shared" si="4"/>
        <v>1300.5999999999997</v>
      </c>
    </row>
    <row r="42" spans="1:17">
      <c r="A42" s="102">
        <v>1997</v>
      </c>
      <c r="B42" s="102">
        <v>59.5</v>
      </c>
      <c r="C42" s="102">
        <v>44</v>
      </c>
      <c r="D42" s="102">
        <v>54.7</v>
      </c>
      <c r="E42" s="102">
        <v>115.7</v>
      </c>
      <c r="F42" s="102">
        <v>141.9</v>
      </c>
      <c r="G42" s="102">
        <v>169.4</v>
      </c>
      <c r="H42" s="102">
        <v>147.69999999999999</v>
      </c>
      <c r="I42" s="102">
        <v>70.900000000000006</v>
      </c>
      <c r="J42" s="102">
        <v>128.6</v>
      </c>
      <c r="K42" s="102">
        <v>187.3</v>
      </c>
      <c r="L42" s="102">
        <v>23.4</v>
      </c>
      <c r="M42" s="102">
        <v>14.2</v>
      </c>
      <c r="N42" s="102">
        <f t="shared" si="1"/>
        <v>273.89999999999998</v>
      </c>
      <c r="O42" s="102">
        <f t="shared" si="2"/>
        <v>658.5</v>
      </c>
      <c r="P42" s="102">
        <f t="shared" si="3"/>
        <v>224.9</v>
      </c>
      <c r="Q42" s="102">
        <f t="shared" si="4"/>
        <v>1157.3</v>
      </c>
    </row>
    <row r="43" spans="1:17">
      <c r="A43" s="102">
        <v>1998</v>
      </c>
      <c r="B43" s="102">
        <v>36.299999999999997</v>
      </c>
      <c r="C43" s="102">
        <v>8.8000000000000007</v>
      </c>
      <c r="D43" s="102">
        <v>8.5</v>
      </c>
      <c r="E43" s="102">
        <v>45.5</v>
      </c>
      <c r="F43" s="102">
        <v>168.6</v>
      </c>
      <c r="G43" s="102">
        <v>225.7</v>
      </c>
      <c r="H43" s="102">
        <v>210.1</v>
      </c>
      <c r="I43" s="102">
        <v>165.6</v>
      </c>
      <c r="J43" s="102">
        <v>15.3</v>
      </c>
      <c r="K43" s="102">
        <v>149.19999999999999</v>
      </c>
      <c r="L43" s="102">
        <v>16.100000000000001</v>
      </c>
      <c r="M43" s="102">
        <v>28.2</v>
      </c>
      <c r="N43" s="102">
        <f t="shared" si="1"/>
        <v>99.1</v>
      </c>
      <c r="O43" s="102">
        <f t="shared" si="2"/>
        <v>785.3</v>
      </c>
      <c r="P43" s="102">
        <f t="shared" si="3"/>
        <v>193.49999999999997</v>
      </c>
      <c r="Q43" s="102">
        <f t="shared" si="4"/>
        <v>1077.8999999999999</v>
      </c>
    </row>
    <row r="44" spans="1:17">
      <c r="A44" s="102">
        <v>1999</v>
      </c>
      <c r="B44" s="102">
        <v>20.8</v>
      </c>
      <c r="C44" s="102">
        <v>19.600000000000001</v>
      </c>
      <c r="D44" s="102">
        <v>31.6</v>
      </c>
      <c r="E44" s="102">
        <v>81</v>
      </c>
      <c r="F44" s="102">
        <v>134.9</v>
      </c>
      <c r="G44" s="102">
        <v>391.4</v>
      </c>
      <c r="H44" s="102">
        <v>333.8</v>
      </c>
      <c r="I44" s="102">
        <v>275.3</v>
      </c>
      <c r="J44" s="102">
        <v>111.6</v>
      </c>
      <c r="K44" s="102">
        <v>142.5</v>
      </c>
      <c r="L44" s="102">
        <v>55.7</v>
      </c>
      <c r="M44" s="102">
        <v>3.6</v>
      </c>
      <c r="N44" s="102">
        <f t="shared" si="1"/>
        <v>153</v>
      </c>
      <c r="O44" s="102">
        <f t="shared" si="2"/>
        <v>1246.9999999999998</v>
      </c>
      <c r="P44" s="102">
        <f t="shared" si="3"/>
        <v>201.79999999999998</v>
      </c>
      <c r="Q44" s="102">
        <f t="shared" si="4"/>
        <v>1601.7999999999997</v>
      </c>
    </row>
    <row r="45" spans="1:17">
      <c r="A45" s="102">
        <v>2000</v>
      </c>
      <c r="B45" s="102">
        <v>34.5</v>
      </c>
      <c r="C45" s="102">
        <v>20.6</v>
      </c>
      <c r="D45" s="102">
        <v>75.7</v>
      </c>
      <c r="E45" s="102">
        <v>118.4</v>
      </c>
      <c r="F45" s="102">
        <v>169.7</v>
      </c>
      <c r="G45" s="102">
        <v>395.7</v>
      </c>
      <c r="H45" s="102">
        <v>76</v>
      </c>
      <c r="I45" s="102">
        <v>182.8</v>
      </c>
      <c r="J45" s="102">
        <v>281.5</v>
      </c>
      <c r="K45" s="102">
        <v>77.8</v>
      </c>
      <c r="L45" s="102">
        <v>26.8</v>
      </c>
      <c r="M45" s="102">
        <v>15.1</v>
      </c>
      <c r="N45" s="102">
        <f t="shared" si="1"/>
        <v>249.20000000000002</v>
      </c>
      <c r="O45" s="102">
        <f t="shared" si="2"/>
        <v>1105.7</v>
      </c>
      <c r="P45" s="102">
        <f t="shared" si="3"/>
        <v>119.69999999999999</v>
      </c>
      <c r="Q45" s="102">
        <f t="shared" si="4"/>
        <v>1474.5999999999997</v>
      </c>
    </row>
    <row r="46" spans="1:17">
      <c r="A46" s="102">
        <v>2001</v>
      </c>
      <c r="B46" s="102">
        <v>13.7</v>
      </c>
      <c r="C46" s="102">
        <v>19.399999999999999</v>
      </c>
      <c r="D46" s="102">
        <v>32</v>
      </c>
      <c r="E46" s="102">
        <v>110.6</v>
      </c>
      <c r="F46" s="102">
        <v>118.9</v>
      </c>
      <c r="G46" s="102">
        <v>163.19999999999999</v>
      </c>
      <c r="H46" s="102">
        <v>190.9</v>
      </c>
      <c r="I46" s="102">
        <v>73.599999999999994</v>
      </c>
      <c r="J46" s="102">
        <v>13.5</v>
      </c>
      <c r="K46" s="102">
        <v>140.30000000000001</v>
      </c>
      <c r="L46" s="102">
        <v>35.5</v>
      </c>
      <c r="M46" s="102">
        <v>9.9</v>
      </c>
      <c r="N46" s="102">
        <f t="shared" si="1"/>
        <v>175.7</v>
      </c>
      <c r="O46" s="102">
        <f t="shared" si="2"/>
        <v>560.1</v>
      </c>
      <c r="P46" s="102">
        <f t="shared" si="3"/>
        <v>185.70000000000002</v>
      </c>
      <c r="Q46" s="102">
        <f t="shared" si="4"/>
        <v>921.50000000000011</v>
      </c>
    </row>
    <row r="47" spans="1:17">
      <c r="A47" s="102">
        <v>2002</v>
      </c>
      <c r="B47" s="102">
        <v>9.5</v>
      </c>
      <c r="C47" s="102">
        <v>41.2</v>
      </c>
      <c r="D47" s="102">
        <v>45.1</v>
      </c>
      <c r="E47" s="102">
        <v>86.2</v>
      </c>
      <c r="F47" s="102">
        <v>282.8</v>
      </c>
      <c r="G47" s="102">
        <v>255.8</v>
      </c>
      <c r="H47" s="102">
        <v>190.2</v>
      </c>
      <c r="I47" s="102">
        <v>359.3</v>
      </c>
      <c r="J47" s="102">
        <v>39.4</v>
      </c>
      <c r="K47" s="102">
        <v>101.6</v>
      </c>
      <c r="L47" s="102">
        <v>12.7</v>
      </c>
      <c r="M47" s="102">
        <v>42.7</v>
      </c>
      <c r="N47" s="102">
        <f t="shared" si="1"/>
        <v>182</v>
      </c>
      <c r="O47" s="102">
        <f t="shared" si="2"/>
        <v>1127.5</v>
      </c>
      <c r="P47" s="102">
        <f t="shared" si="3"/>
        <v>157</v>
      </c>
      <c r="Q47" s="102">
        <f t="shared" si="4"/>
        <v>1466.5</v>
      </c>
    </row>
    <row r="48" spans="1:17">
      <c r="A48" s="102">
        <v>2003</v>
      </c>
      <c r="B48" s="102">
        <v>26</v>
      </c>
      <c r="C48" s="102">
        <v>3</v>
      </c>
      <c r="D48" s="102">
        <v>35.9</v>
      </c>
      <c r="E48" s="102">
        <v>194.5</v>
      </c>
      <c r="F48" s="102">
        <v>155.6</v>
      </c>
      <c r="G48" s="102">
        <v>134.9</v>
      </c>
      <c r="H48" s="102">
        <v>205.4</v>
      </c>
      <c r="I48" s="102">
        <v>47.6</v>
      </c>
      <c r="J48" s="102">
        <v>86.2</v>
      </c>
      <c r="K48" s="102">
        <v>81.3</v>
      </c>
      <c r="L48" s="102">
        <v>18.8</v>
      </c>
      <c r="M48" s="102">
        <v>29.4</v>
      </c>
      <c r="N48" s="102">
        <f t="shared" si="1"/>
        <v>259.39999999999998</v>
      </c>
      <c r="O48" s="102">
        <f t="shared" si="2"/>
        <v>629.70000000000005</v>
      </c>
      <c r="P48" s="102">
        <f t="shared" si="3"/>
        <v>129.5</v>
      </c>
      <c r="Q48" s="102">
        <f t="shared" si="4"/>
        <v>1018.5999999999999</v>
      </c>
    </row>
    <row r="49" spans="1:33">
      <c r="A49" s="102">
        <v>2004</v>
      </c>
      <c r="B49" s="103">
        <v>31.1</v>
      </c>
      <c r="C49" s="103">
        <v>40.4</v>
      </c>
      <c r="D49" s="103">
        <v>25.1</v>
      </c>
      <c r="E49" s="103">
        <v>165.2</v>
      </c>
      <c r="F49" s="103">
        <v>343.2</v>
      </c>
      <c r="G49" s="103">
        <v>62.1</v>
      </c>
      <c r="H49" s="103">
        <v>285.10000000000002</v>
      </c>
      <c r="I49" s="103">
        <v>126.3</v>
      </c>
      <c r="J49" s="103">
        <v>38.1</v>
      </c>
      <c r="K49" s="103">
        <v>24.8</v>
      </c>
      <c r="L49" s="103">
        <v>50.1</v>
      </c>
      <c r="M49" s="103">
        <v>37.1</v>
      </c>
      <c r="N49" s="102">
        <f t="shared" si="1"/>
        <v>261.79999999999995</v>
      </c>
      <c r="O49" s="102">
        <f t="shared" si="2"/>
        <v>854.80000000000007</v>
      </c>
      <c r="P49" s="102">
        <f t="shared" si="3"/>
        <v>112</v>
      </c>
      <c r="Q49" s="102">
        <f t="shared" si="4"/>
        <v>1228.5999999999997</v>
      </c>
    </row>
    <row r="50" spans="1:33">
      <c r="A50" s="102">
        <v>2005</v>
      </c>
      <c r="B50" s="103">
        <v>27.9</v>
      </c>
      <c r="C50" s="103">
        <v>11.5</v>
      </c>
      <c r="D50" s="103">
        <v>42.4</v>
      </c>
      <c r="E50" s="103">
        <v>29.4</v>
      </c>
      <c r="F50" s="103">
        <v>232.9</v>
      </c>
      <c r="G50" s="103">
        <v>146.69999999999999</v>
      </c>
      <c r="H50" s="103">
        <v>167.6</v>
      </c>
      <c r="I50" s="103">
        <v>121.6</v>
      </c>
      <c r="J50" s="103">
        <v>68.2</v>
      </c>
      <c r="K50" s="102">
        <v>48.2</v>
      </c>
      <c r="L50" s="102">
        <v>52.8</v>
      </c>
      <c r="M50" s="102">
        <v>23.1</v>
      </c>
      <c r="N50" s="102">
        <f t="shared" si="1"/>
        <v>111.19999999999999</v>
      </c>
      <c r="O50" s="102">
        <f t="shared" si="2"/>
        <v>737.00000000000011</v>
      </c>
      <c r="P50" s="102">
        <f t="shared" si="3"/>
        <v>124.1</v>
      </c>
      <c r="Q50" s="102">
        <f t="shared" si="4"/>
        <v>972.30000000000007</v>
      </c>
    </row>
    <row r="51" spans="1:33">
      <c r="A51" s="102">
        <v>2006</v>
      </c>
      <c r="B51" s="102">
        <v>11.5</v>
      </c>
      <c r="C51" s="102">
        <v>29.5</v>
      </c>
      <c r="D51" s="102">
        <v>40.6</v>
      </c>
      <c r="E51" s="102">
        <v>75.900000000000006</v>
      </c>
      <c r="F51" s="102">
        <v>125.7</v>
      </c>
      <c r="G51" s="102">
        <v>193.1</v>
      </c>
      <c r="H51" s="102">
        <v>100.5</v>
      </c>
      <c r="I51" s="102">
        <v>110.1</v>
      </c>
      <c r="J51" s="102">
        <v>56.1</v>
      </c>
      <c r="K51" s="102">
        <v>135.5</v>
      </c>
      <c r="L51" s="102">
        <v>16.899999999999999</v>
      </c>
      <c r="M51" s="102">
        <v>10.5</v>
      </c>
      <c r="N51" s="102">
        <f t="shared" si="1"/>
        <v>157.5</v>
      </c>
      <c r="O51" s="102">
        <f t="shared" si="2"/>
        <v>585.5</v>
      </c>
      <c r="P51" s="102">
        <f t="shared" si="3"/>
        <v>162.9</v>
      </c>
      <c r="Q51" s="102">
        <f t="shared" si="4"/>
        <v>905.9</v>
      </c>
    </row>
    <row r="52" spans="1:33">
      <c r="A52" s="102">
        <v>2007</v>
      </c>
      <c r="B52" s="102">
        <v>19.8</v>
      </c>
      <c r="C52" s="102">
        <v>8.3000000000000007</v>
      </c>
      <c r="D52" s="102">
        <v>31.7</v>
      </c>
      <c r="E52" s="102">
        <v>68.900000000000006</v>
      </c>
      <c r="F52" s="102">
        <v>120</v>
      </c>
      <c r="G52" s="102">
        <v>296.3</v>
      </c>
      <c r="H52" s="102">
        <v>283.39999999999998</v>
      </c>
      <c r="I52" s="102">
        <v>119.1</v>
      </c>
      <c r="J52" s="102">
        <v>117.5</v>
      </c>
      <c r="K52" s="102">
        <v>14.8</v>
      </c>
      <c r="L52" s="102">
        <v>0.6</v>
      </c>
      <c r="M52" s="102">
        <v>11.2</v>
      </c>
      <c r="N52" s="102">
        <f t="shared" si="1"/>
        <v>128.69999999999999</v>
      </c>
      <c r="O52" s="102">
        <f t="shared" si="2"/>
        <v>936.30000000000007</v>
      </c>
      <c r="P52" s="102">
        <f t="shared" si="3"/>
        <v>26.6</v>
      </c>
      <c r="Q52" s="102">
        <f t="shared" si="4"/>
        <v>1091.5999999999999</v>
      </c>
    </row>
    <row r="53" spans="1:33">
      <c r="A53" s="102">
        <v>2008</v>
      </c>
      <c r="B53" s="102">
        <v>14.6</v>
      </c>
      <c r="C53" s="102">
        <v>20.100000000000001</v>
      </c>
      <c r="D53" s="102">
        <v>31</v>
      </c>
      <c r="E53" s="102">
        <v>44.3</v>
      </c>
      <c r="F53" s="102">
        <v>165.6</v>
      </c>
      <c r="G53" s="102">
        <v>101.2</v>
      </c>
      <c r="H53" s="102">
        <v>236.6</v>
      </c>
      <c r="I53" s="102">
        <v>283.7</v>
      </c>
      <c r="J53" s="102">
        <v>75.8</v>
      </c>
      <c r="K53" s="102">
        <v>78.099999999999994</v>
      </c>
      <c r="L53" s="102">
        <v>102.6</v>
      </c>
      <c r="M53" s="102">
        <v>12.6</v>
      </c>
      <c r="N53" s="102">
        <f t="shared" si="1"/>
        <v>110</v>
      </c>
      <c r="O53" s="102">
        <f t="shared" si="2"/>
        <v>862.89999999999986</v>
      </c>
      <c r="P53" s="102">
        <f t="shared" si="3"/>
        <v>193.29999999999998</v>
      </c>
      <c r="Q53" s="102">
        <f t="shared" si="4"/>
        <v>1166.1999999999996</v>
      </c>
    </row>
    <row r="54" spans="1:33">
      <c r="A54" s="102">
        <v>2009</v>
      </c>
      <c r="B54" s="102">
        <v>24.2</v>
      </c>
      <c r="C54" s="102">
        <v>25.2</v>
      </c>
      <c r="D54" s="102">
        <v>33.4</v>
      </c>
      <c r="E54" s="102">
        <v>217.5</v>
      </c>
      <c r="F54" s="102">
        <v>129.6</v>
      </c>
      <c r="G54" s="102">
        <v>254.4</v>
      </c>
      <c r="H54" s="102">
        <v>113.3</v>
      </c>
      <c r="I54" s="102">
        <v>106.5</v>
      </c>
      <c r="J54" s="102">
        <v>78.5</v>
      </c>
      <c r="K54" s="102">
        <v>49.8</v>
      </c>
      <c r="L54" s="102">
        <v>14.9</v>
      </c>
      <c r="M54" s="102">
        <v>20.2</v>
      </c>
      <c r="N54" s="102">
        <f t="shared" si="1"/>
        <v>300.3</v>
      </c>
      <c r="O54" s="102">
        <f t="shared" si="2"/>
        <v>682.3</v>
      </c>
      <c r="P54" s="102">
        <f t="shared" si="3"/>
        <v>84.9</v>
      </c>
      <c r="Q54" s="102">
        <f t="shared" si="4"/>
        <v>1067.5</v>
      </c>
    </row>
    <row r="55" spans="1:33">
      <c r="A55" s="102">
        <v>2010</v>
      </c>
      <c r="B55" s="102">
        <v>5.8</v>
      </c>
      <c r="C55" s="102">
        <v>4.4000000000000004</v>
      </c>
      <c r="D55" s="102">
        <v>23.5</v>
      </c>
      <c r="E55" s="102">
        <v>96.5</v>
      </c>
      <c r="F55" s="102">
        <v>166.8</v>
      </c>
      <c r="G55" s="102">
        <v>182.8</v>
      </c>
      <c r="H55" s="102">
        <v>170.5</v>
      </c>
      <c r="I55" s="102">
        <v>47.5</v>
      </c>
      <c r="J55" s="102">
        <v>152</v>
      </c>
      <c r="K55" s="102">
        <v>109.4</v>
      </c>
      <c r="L55" s="102">
        <v>32.299999999999997</v>
      </c>
      <c r="M55" s="102">
        <v>45.9</v>
      </c>
      <c r="N55" s="102">
        <f t="shared" si="1"/>
        <v>130.19999999999999</v>
      </c>
      <c r="O55" s="102">
        <f t="shared" si="2"/>
        <v>719.6</v>
      </c>
      <c r="P55" s="102">
        <f t="shared" si="3"/>
        <v>187.6</v>
      </c>
      <c r="Q55" s="102">
        <f t="shared" si="4"/>
        <v>1037.3999999999999</v>
      </c>
    </row>
    <row r="56" spans="1:33">
      <c r="A56" s="102">
        <v>2011</v>
      </c>
      <c r="B56" s="102">
        <v>9</v>
      </c>
      <c r="C56" s="102">
        <v>3.8</v>
      </c>
      <c r="D56" s="102">
        <v>28.2</v>
      </c>
      <c r="E56" s="102">
        <v>30.9</v>
      </c>
      <c r="F56" s="102">
        <v>110.7</v>
      </c>
      <c r="G56" s="102">
        <v>231.4</v>
      </c>
      <c r="H56" s="102">
        <v>32.4</v>
      </c>
      <c r="I56" s="102">
        <v>54</v>
      </c>
      <c r="J56" s="102">
        <v>89</v>
      </c>
      <c r="K56" s="102">
        <v>137.9</v>
      </c>
      <c r="L56" s="102">
        <v>74.900000000000006</v>
      </c>
      <c r="M56" s="102">
        <v>18.399999999999999</v>
      </c>
      <c r="N56" s="102">
        <f t="shared" si="1"/>
        <v>71.900000000000006</v>
      </c>
      <c r="O56" s="102">
        <f t="shared" si="2"/>
        <v>517.5</v>
      </c>
      <c r="P56" s="102">
        <f t="shared" si="3"/>
        <v>231.20000000000002</v>
      </c>
      <c r="Q56" s="102">
        <f t="shared" si="4"/>
        <v>820.59999999999991</v>
      </c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</row>
    <row r="57" spans="1:33">
      <c r="A57" s="102">
        <v>2012</v>
      </c>
      <c r="B57" s="102">
        <v>13.5</v>
      </c>
      <c r="C57" s="102">
        <v>15.9</v>
      </c>
      <c r="D57" s="102">
        <v>53.6</v>
      </c>
      <c r="E57" s="102">
        <v>67.2</v>
      </c>
      <c r="F57" s="102">
        <v>248.6</v>
      </c>
      <c r="G57" s="102">
        <v>220.3</v>
      </c>
      <c r="H57" s="102">
        <v>214.7</v>
      </c>
      <c r="I57" s="102">
        <v>40.9</v>
      </c>
      <c r="J57" s="102">
        <v>91.5</v>
      </c>
      <c r="K57" s="102">
        <v>61.2</v>
      </c>
      <c r="L57" s="102">
        <v>30.7</v>
      </c>
      <c r="M57" s="102">
        <v>18.7</v>
      </c>
      <c r="N57" s="102">
        <f t="shared" si="1"/>
        <v>150.19999999999999</v>
      </c>
      <c r="O57" s="102">
        <f t="shared" si="2"/>
        <v>815.99999999999989</v>
      </c>
      <c r="P57" s="102">
        <f t="shared" si="3"/>
        <v>110.60000000000001</v>
      </c>
      <c r="Q57" s="102">
        <f t="shared" si="4"/>
        <v>1076.8</v>
      </c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</row>
    <row r="58" spans="1:33">
      <c r="A58" s="102">
        <v>2013</v>
      </c>
      <c r="B58" s="102">
        <v>6.9</v>
      </c>
      <c r="C58" s="102">
        <v>18.5</v>
      </c>
      <c r="D58" s="102">
        <v>58.4</v>
      </c>
      <c r="E58" s="102">
        <v>57.8</v>
      </c>
      <c r="F58" s="102">
        <v>266.10000000000002</v>
      </c>
      <c r="G58" s="102">
        <v>175.3</v>
      </c>
      <c r="H58" s="102">
        <v>13.3</v>
      </c>
      <c r="I58" s="102">
        <v>85.2</v>
      </c>
      <c r="J58" s="102">
        <v>116.8</v>
      </c>
      <c r="K58" s="102">
        <v>76.900000000000006</v>
      </c>
      <c r="L58" s="102">
        <v>37.1</v>
      </c>
      <c r="M58" s="102">
        <v>36.200000000000003</v>
      </c>
      <c r="N58" s="102">
        <f t="shared" si="1"/>
        <v>141.6</v>
      </c>
      <c r="O58" s="102">
        <f t="shared" si="2"/>
        <v>656.7</v>
      </c>
      <c r="P58" s="102">
        <f t="shared" si="3"/>
        <v>150.19999999999999</v>
      </c>
      <c r="Q58" s="102">
        <f t="shared" si="4"/>
        <v>948.5</v>
      </c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</row>
    <row r="59" spans="1:33">
      <c r="A59" s="102">
        <v>2014</v>
      </c>
      <c r="B59" s="128">
        <v>8.5</v>
      </c>
      <c r="C59" s="128">
        <v>38.700000000000003</v>
      </c>
      <c r="D59" s="128">
        <v>94.1</v>
      </c>
      <c r="E59" s="128">
        <v>57.1</v>
      </c>
      <c r="F59" s="128">
        <v>192.4</v>
      </c>
      <c r="G59" s="128">
        <v>126</v>
      </c>
      <c r="H59" s="128">
        <v>411.4</v>
      </c>
      <c r="I59" s="128">
        <v>153.4</v>
      </c>
      <c r="J59" s="128">
        <v>215.8</v>
      </c>
      <c r="K59" s="128">
        <v>105.6</v>
      </c>
      <c r="L59" s="128">
        <v>54</v>
      </c>
      <c r="M59" s="128">
        <v>5.0999999999999996</v>
      </c>
      <c r="N59" s="102">
        <f t="shared" si="1"/>
        <v>198.4</v>
      </c>
      <c r="O59" s="102">
        <f t="shared" si="2"/>
        <v>1099</v>
      </c>
      <c r="P59" s="102">
        <f t="shared" si="3"/>
        <v>164.7</v>
      </c>
      <c r="Q59" s="102">
        <f t="shared" si="4"/>
        <v>1462.0999999999997</v>
      </c>
    </row>
    <row r="60" spans="1:33">
      <c r="A60" s="102">
        <v>2015</v>
      </c>
      <c r="B60" s="131">
        <v>50</v>
      </c>
      <c r="C60" s="131">
        <v>12.3</v>
      </c>
      <c r="D60" s="131">
        <v>40</v>
      </c>
      <c r="E60" s="131">
        <v>50.3</v>
      </c>
      <c r="F60" s="131">
        <v>283.3</v>
      </c>
      <c r="G60" s="131">
        <v>398</v>
      </c>
      <c r="H60" s="131">
        <v>103.5</v>
      </c>
      <c r="I60" s="131">
        <v>167.1</v>
      </c>
      <c r="J60" s="131">
        <v>60</v>
      </c>
      <c r="K60" s="131">
        <v>106.9</v>
      </c>
      <c r="L60" s="131">
        <v>35.9</v>
      </c>
      <c r="M60" s="131">
        <v>54.2</v>
      </c>
      <c r="N60" s="102">
        <f t="shared" si="1"/>
        <v>152.6</v>
      </c>
      <c r="O60" s="102">
        <f t="shared" si="2"/>
        <v>1011.9</v>
      </c>
      <c r="P60" s="102">
        <f t="shared" si="3"/>
        <v>197</v>
      </c>
      <c r="Q60" s="102">
        <f t="shared" si="4"/>
        <v>1361.5000000000002</v>
      </c>
    </row>
    <row r="61" spans="1:33" s="129" customFormat="1" ht="13.5">
      <c r="A61" s="129">
        <v>2016</v>
      </c>
      <c r="B61" s="132">
        <v>23.7</v>
      </c>
      <c r="C61" s="132">
        <v>10.3</v>
      </c>
      <c r="D61" s="132">
        <v>116.5</v>
      </c>
      <c r="E61" s="132">
        <v>184.6</v>
      </c>
      <c r="F61" s="132">
        <v>152.5</v>
      </c>
      <c r="G61" s="132">
        <v>314.10000000000002</v>
      </c>
      <c r="H61" s="132">
        <v>77.400000000000006</v>
      </c>
      <c r="I61" s="132">
        <v>200.9</v>
      </c>
      <c r="J61" s="132">
        <v>45.8</v>
      </c>
      <c r="K61" s="132">
        <v>84.8</v>
      </c>
      <c r="L61" s="132">
        <v>60</v>
      </c>
      <c r="M61" s="132">
        <v>40.200000000000003</v>
      </c>
      <c r="N61" s="129">
        <f>SUM(B61:E61)</f>
        <v>335.1</v>
      </c>
      <c r="O61" s="129">
        <f>SUM(F61:J61)</f>
        <v>790.69999999999993</v>
      </c>
      <c r="P61" s="129">
        <f>SUM(K61:M61)</f>
        <v>185</v>
      </c>
      <c r="Q61" s="129">
        <f>SUM(B61:M61)</f>
        <v>1310.8</v>
      </c>
      <c r="R61" s="129">
        <f t="shared" ref="R61:AG61" si="5">100*(B61-B4)/B4</f>
        <v>13.155426720095472</v>
      </c>
      <c r="S61" s="129">
        <f t="shared" si="5"/>
        <v>-54.043502509760174</v>
      </c>
      <c r="T61" s="129">
        <f t="shared" si="5"/>
        <v>179.96395313908081</v>
      </c>
      <c r="U61" s="129">
        <f t="shared" si="5"/>
        <v>87.588009000508137</v>
      </c>
      <c r="V61" s="129">
        <f t="shared" si="5"/>
        <v>-15.086554045320309</v>
      </c>
      <c r="W61" s="129">
        <f t="shared" si="5"/>
        <v>54.873474562840144</v>
      </c>
      <c r="X61" s="129">
        <f t="shared" si="5"/>
        <v>-58.645167445854391</v>
      </c>
      <c r="Y61" s="129">
        <f t="shared" si="5"/>
        <v>51.960559194975289</v>
      </c>
      <c r="Z61" s="129">
        <f t="shared" si="5"/>
        <v>-53.623607695645894</v>
      </c>
      <c r="AA61" s="129">
        <f t="shared" si="5"/>
        <v>-7.0302864190763268</v>
      </c>
      <c r="AB61" s="129">
        <f t="shared" si="5"/>
        <v>25.729681185451252</v>
      </c>
      <c r="AC61" s="129">
        <f t="shared" si="5"/>
        <v>85.146804835923973</v>
      </c>
      <c r="AD61" s="129">
        <f t="shared" si="5"/>
        <v>82.738506782483356</v>
      </c>
      <c r="AE61" s="129">
        <f t="shared" si="5"/>
        <v>-1.2277602298481214</v>
      </c>
      <c r="AF61" s="129">
        <f t="shared" si="5"/>
        <v>15.159734109957558</v>
      </c>
      <c r="AG61" s="129">
        <f t="shared" si="5"/>
        <v>14.525180630596198</v>
      </c>
    </row>
  </sheetData>
  <mergeCells count="6">
    <mergeCell ref="A1:A3"/>
    <mergeCell ref="B1:Q1"/>
    <mergeCell ref="B2:M2"/>
    <mergeCell ref="R1:AG1"/>
    <mergeCell ref="N2:Q2"/>
    <mergeCell ref="R2:AG2"/>
  </mergeCells>
  <phoneticPr fontId="2" type="noConversion"/>
  <pageMargins left="0.75" right="0.75" top="1" bottom="1" header="0.5" footer="0.5"/>
  <pageSetup paperSize="9" orientation="portrait" horizontalDpi="200" verticalDpi="200" copies="0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>
  <sheetPr codeName="Sheet33"/>
  <dimension ref="A1:AG61"/>
  <sheetViews>
    <sheetView topLeftCell="D1" zoomScale="85" zoomScaleNormal="85" workbookViewId="0">
      <pane ySplit="5" topLeftCell="A6" activePane="bottomLeft" state="frozen"/>
      <selection pane="bottomLeft" activeCell="R61" sqref="R61"/>
    </sheetView>
  </sheetViews>
  <sheetFormatPr defaultRowHeight="12"/>
  <cols>
    <col min="1" max="1" width="8.375" style="102" bestFit="1" customWidth="1"/>
    <col min="2" max="2" width="6.875" style="102" bestFit="1" customWidth="1"/>
    <col min="3" max="4" width="7.5" style="102" bestFit="1" customWidth="1"/>
    <col min="5" max="5" width="7.75" style="102" bestFit="1" customWidth="1"/>
    <col min="6" max="13" width="9.125" style="102" bestFit="1" customWidth="1"/>
    <col min="14" max="14" width="9.625" style="102" bestFit="1" customWidth="1"/>
    <col min="15" max="16" width="9.125" style="102" bestFit="1" customWidth="1"/>
    <col min="17" max="17" width="9.625" style="102" bestFit="1" customWidth="1"/>
    <col min="18" max="33" width="9.125" style="102" bestFit="1" customWidth="1"/>
    <col min="34" max="16384" width="9" style="102"/>
  </cols>
  <sheetData>
    <row r="1" spans="1:33" s="118" customFormat="1" ht="14.25" customHeight="1">
      <c r="A1" s="176" t="s">
        <v>172</v>
      </c>
      <c r="B1" s="176" t="s">
        <v>180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181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173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174</v>
      </c>
      <c r="O2" s="176"/>
      <c r="P2" s="176"/>
      <c r="Q2" s="176"/>
      <c r="R2" s="176" t="s">
        <v>175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>
      <c r="A3" s="176"/>
      <c r="B3" s="124" t="s">
        <v>182</v>
      </c>
      <c r="C3" s="124" t="s">
        <v>183</v>
      </c>
      <c r="D3" s="124" t="s">
        <v>9</v>
      </c>
      <c r="E3" s="124" t="s">
        <v>10</v>
      </c>
      <c r="F3" s="124" t="s">
        <v>11</v>
      </c>
      <c r="G3" s="124" t="s">
        <v>12</v>
      </c>
      <c r="H3" s="124" t="s">
        <v>13</v>
      </c>
      <c r="I3" s="124" t="s">
        <v>14</v>
      </c>
      <c r="J3" s="124" t="s">
        <v>15</v>
      </c>
      <c r="K3" s="124" t="s">
        <v>16</v>
      </c>
      <c r="L3" s="124" t="s">
        <v>17</v>
      </c>
      <c r="M3" s="124" t="s">
        <v>18</v>
      </c>
      <c r="N3" s="124" t="s">
        <v>184</v>
      </c>
      <c r="O3" s="124" t="s">
        <v>185</v>
      </c>
      <c r="P3" s="124" t="s">
        <v>186</v>
      </c>
      <c r="Q3" s="124" t="s">
        <v>187</v>
      </c>
      <c r="R3" s="124" t="s">
        <v>182</v>
      </c>
      <c r="S3" s="124" t="s">
        <v>183</v>
      </c>
      <c r="T3" s="124" t="s">
        <v>188</v>
      </c>
      <c r="U3" s="124" t="s">
        <v>189</v>
      </c>
      <c r="V3" s="124" t="s">
        <v>190</v>
      </c>
      <c r="W3" s="124" t="s">
        <v>191</v>
      </c>
      <c r="X3" s="124" t="s">
        <v>25</v>
      </c>
      <c r="Y3" s="124" t="s">
        <v>26</v>
      </c>
      <c r="Z3" s="124" t="s">
        <v>27</v>
      </c>
      <c r="AA3" s="124" t="s">
        <v>192</v>
      </c>
      <c r="AB3" s="124" t="s">
        <v>193</v>
      </c>
      <c r="AC3" s="124" t="s">
        <v>194</v>
      </c>
      <c r="AD3" s="124" t="s">
        <v>176</v>
      </c>
      <c r="AE3" s="124" t="s">
        <v>177</v>
      </c>
      <c r="AF3" s="124" t="s">
        <v>178</v>
      </c>
      <c r="AG3" s="124" t="s">
        <v>179</v>
      </c>
    </row>
    <row r="4" spans="1:33" s="118" customFormat="1">
      <c r="A4" s="150" t="s">
        <v>261</v>
      </c>
      <c r="B4" s="150">
        <f t="shared" ref="B4:Q4" si="0">AVERAGE(B5:B60)</f>
        <v>30.50357142857143</v>
      </c>
      <c r="C4" s="150">
        <f t="shared" si="0"/>
        <v>36.00535714285715</v>
      </c>
      <c r="D4" s="150">
        <f t="shared" si="0"/>
        <v>57.119642857142864</v>
      </c>
      <c r="E4" s="150">
        <f t="shared" si="0"/>
        <v>125.46785714285713</v>
      </c>
      <c r="F4" s="150">
        <f t="shared" si="0"/>
        <v>207.34107142857138</v>
      </c>
      <c r="G4" s="150">
        <f t="shared" si="0"/>
        <v>264.26249999999999</v>
      </c>
      <c r="H4" s="150">
        <f t="shared" si="0"/>
        <v>226.43928571428563</v>
      </c>
      <c r="I4" s="150">
        <f t="shared" si="0"/>
        <v>159.54464285714283</v>
      </c>
      <c r="J4" s="150">
        <f t="shared" si="0"/>
        <v>102.65357142857145</v>
      </c>
      <c r="K4" s="150">
        <f t="shared" si="0"/>
        <v>108.80357142857143</v>
      </c>
      <c r="L4" s="150">
        <f t="shared" si="0"/>
        <v>62.730357142857144</v>
      </c>
      <c r="M4" s="150">
        <f t="shared" si="0"/>
        <v>28.144642857142845</v>
      </c>
      <c r="N4" s="150">
        <f t="shared" si="0"/>
        <v>249.09642857142859</v>
      </c>
      <c r="O4" s="150">
        <f t="shared" si="0"/>
        <v>960.24107142857144</v>
      </c>
      <c r="P4" s="150">
        <f t="shared" si="0"/>
        <v>199.67857142857139</v>
      </c>
      <c r="Q4" s="150">
        <f t="shared" si="0"/>
        <v>1409.0160714285714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1960</v>
      </c>
      <c r="B5" s="102">
        <v>22</v>
      </c>
      <c r="C5" s="102">
        <v>38.299999999999997</v>
      </c>
      <c r="D5" s="102">
        <v>41.7</v>
      </c>
      <c r="E5" s="102">
        <v>63.6</v>
      </c>
      <c r="F5" s="102">
        <v>225.6</v>
      </c>
      <c r="G5" s="102">
        <v>116.2</v>
      </c>
      <c r="H5" s="102">
        <v>275.89999999999998</v>
      </c>
      <c r="I5" s="102">
        <v>88.9</v>
      </c>
      <c r="J5" s="102">
        <v>159.9</v>
      </c>
      <c r="K5" s="102">
        <v>53.4</v>
      </c>
      <c r="L5" s="102">
        <v>76.3</v>
      </c>
      <c r="M5" s="102">
        <v>20.399999999999999</v>
      </c>
      <c r="N5" s="102">
        <f>SUM(B5:E5)</f>
        <v>165.6</v>
      </c>
      <c r="O5" s="102">
        <f>SUM(F5:J5)</f>
        <v>866.5</v>
      </c>
      <c r="P5" s="102">
        <f>SUM(K5:M5)</f>
        <v>150.1</v>
      </c>
      <c r="Q5" s="102">
        <f>SUM(B5:M5)</f>
        <v>1182.2</v>
      </c>
    </row>
    <row r="6" spans="1:33">
      <c r="A6" s="102">
        <v>1961</v>
      </c>
      <c r="B6" s="102">
        <v>19</v>
      </c>
      <c r="C6" s="102">
        <v>25.6</v>
      </c>
      <c r="D6" s="102">
        <v>65.599999999999994</v>
      </c>
      <c r="E6" s="102">
        <v>301</v>
      </c>
      <c r="F6" s="102">
        <v>146.4</v>
      </c>
      <c r="G6" s="102">
        <v>101.4</v>
      </c>
      <c r="H6" s="102">
        <v>117.7</v>
      </c>
      <c r="I6" s="102">
        <v>135.4</v>
      </c>
      <c r="J6" s="102">
        <v>152.1</v>
      </c>
      <c r="K6" s="102">
        <v>174.2</v>
      </c>
      <c r="L6" s="102">
        <v>214.2</v>
      </c>
      <c r="M6" s="102">
        <v>56.7</v>
      </c>
      <c r="N6" s="102">
        <f t="shared" ref="N6:N60" si="1">SUM(B6:E6)</f>
        <v>411.2</v>
      </c>
      <c r="O6" s="102">
        <f t="shared" ref="O6:O60" si="2">SUM(F6:J6)</f>
        <v>653</v>
      </c>
      <c r="P6" s="102">
        <f t="shared" ref="P6:P60" si="3">SUM(K6:M6)</f>
        <v>445.09999999999997</v>
      </c>
      <c r="Q6" s="102">
        <f t="shared" ref="Q6:Q60" si="4">SUM(B6:M6)</f>
        <v>1509.3000000000002</v>
      </c>
    </row>
    <row r="7" spans="1:33">
      <c r="A7" s="102">
        <v>1962</v>
      </c>
      <c r="B7" s="102">
        <v>22.6</v>
      </c>
      <c r="C7" s="102">
        <v>10.7</v>
      </c>
      <c r="D7" s="102">
        <v>25.9</v>
      </c>
      <c r="E7" s="102">
        <v>107.5</v>
      </c>
      <c r="F7" s="102">
        <v>153.1</v>
      </c>
      <c r="G7" s="102">
        <v>167.6</v>
      </c>
      <c r="H7" s="102">
        <v>74.400000000000006</v>
      </c>
      <c r="I7" s="102">
        <v>93.6</v>
      </c>
      <c r="J7" s="102">
        <v>51.6</v>
      </c>
      <c r="K7" s="102">
        <v>100.2</v>
      </c>
      <c r="L7" s="102">
        <v>29</v>
      </c>
      <c r="M7" s="102">
        <v>23.4</v>
      </c>
      <c r="N7" s="102">
        <f t="shared" si="1"/>
        <v>166.7</v>
      </c>
      <c r="O7" s="102">
        <f t="shared" si="2"/>
        <v>540.30000000000007</v>
      </c>
      <c r="P7" s="102">
        <f t="shared" si="3"/>
        <v>152.6</v>
      </c>
      <c r="Q7" s="102">
        <f t="shared" si="4"/>
        <v>859.6</v>
      </c>
    </row>
    <row r="8" spans="1:33">
      <c r="A8" s="102">
        <v>1963</v>
      </c>
      <c r="B8" s="102">
        <v>5.9</v>
      </c>
      <c r="C8" s="102">
        <v>34.700000000000003</v>
      </c>
      <c r="D8" s="102">
        <v>43.8</v>
      </c>
      <c r="E8" s="102">
        <v>64.7</v>
      </c>
      <c r="F8" s="102">
        <v>200.2</v>
      </c>
      <c r="G8" s="102">
        <v>53.1</v>
      </c>
      <c r="H8" s="102">
        <v>419.7</v>
      </c>
      <c r="I8" s="102">
        <v>109.1</v>
      </c>
      <c r="J8" s="102">
        <v>83.2</v>
      </c>
      <c r="K8" s="102">
        <v>98.4</v>
      </c>
      <c r="L8" s="102">
        <v>201.7</v>
      </c>
      <c r="M8" s="102">
        <v>66.900000000000006</v>
      </c>
      <c r="N8" s="102">
        <f t="shared" si="1"/>
        <v>149.10000000000002</v>
      </c>
      <c r="O8" s="102">
        <f t="shared" si="2"/>
        <v>865.30000000000007</v>
      </c>
      <c r="P8" s="102">
        <f t="shared" si="3"/>
        <v>367</v>
      </c>
      <c r="Q8" s="102">
        <f t="shared" si="4"/>
        <v>1381.4000000000003</v>
      </c>
    </row>
    <row r="9" spans="1:33">
      <c r="A9" s="102">
        <v>1964</v>
      </c>
      <c r="B9" s="102">
        <v>25.9</v>
      </c>
      <c r="C9" s="102">
        <v>44.4</v>
      </c>
      <c r="D9" s="102">
        <v>50.3</v>
      </c>
      <c r="E9" s="102">
        <v>221.3</v>
      </c>
      <c r="F9" s="102">
        <v>107.3</v>
      </c>
      <c r="G9" s="102">
        <v>282.89999999999998</v>
      </c>
      <c r="H9" s="102">
        <v>209.1</v>
      </c>
      <c r="I9" s="102">
        <v>343.5</v>
      </c>
      <c r="J9" s="102">
        <v>142.6</v>
      </c>
      <c r="K9" s="102">
        <v>196.7</v>
      </c>
      <c r="L9" s="102">
        <v>37.6</v>
      </c>
      <c r="M9" s="102">
        <v>50.2</v>
      </c>
      <c r="N9" s="102">
        <f t="shared" si="1"/>
        <v>341.9</v>
      </c>
      <c r="O9" s="102">
        <f t="shared" si="2"/>
        <v>1085.3999999999999</v>
      </c>
      <c r="P9" s="102">
        <f t="shared" si="3"/>
        <v>284.5</v>
      </c>
      <c r="Q9" s="102">
        <f t="shared" si="4"/>
        <v>1711.7999999999997</v>
      </c>
    </row>
    <row r="10" spans="1:33">
      <c r="A10" s="102">
        <v>1965</v>
      </c>
      <c r="B10" s="102">
        <v>28.5</v>
      </c>
      <c r="C10" s="102">
        <v>38.299999999999997</v>
      </c>
      <c r="D10" s="102">
        <v>79.099999999999994</v>
      </c>
      <c r="E10" s="102">
        <v>135.69999999999999</v>
      </c>
      <c r="F10" s="102">
        <v>168</v>
      </c>
      <c r="G10" s="102">
        <v>173.2</v>
      </c>
      <c r="H10" s="102">
        <v>169.6</v>
      </c>
      <c r="I10" s="102">
        <v>253.6</v>
      </c>
      <c r="J10" s="102">
        <v>49.9</v>
      </c>
      <c r="K10" s="102">
        <v>326.7</v>
      </c>
      <c r="L10" s="102">
        <v>48.8</v>
      </c>
      <c r="M10" s="102">
        <v>49.1</v>
      </c>
      <c r="N10" s="102">
        <f t="shared" si="1"/>
        <v>281.59999999999997</v>
      </c>
      <c r="O10" s="102">
        <f t="shared" si="2"/>
        <v>814.3</v>
      </c>
      <c r="P10" s="102">
        <f t="shared" si="3"/>
        <v>424.6</v>
      </c>
      <c r="Q10" s="102">
        <f t="shared" si="4"/>
        <v>1520.5</v>
      </c>
    </row>
    <row r="11" spans="1:33">
      <c r="A11" s="102">
        <v>1966</v>
      </c>
      <c r="B11" s="102">
        <v>23.7</v>
      </c>
      <c r="C11" s="102">
        <v>23.8</v>
      </c>
      <c r="D11" s="102">
        <v>24.5</v>
      </c>
      <c r="E11" s="102">
        <v>170.7</v>
      </c>
      <c r="F11" s="102">
        <v>225.8</v>
      </c>
      <c r="G11" s="102">
        <v>178.1</v>
      </c>
      <c r="H11" s="102">
        <v>267.8</v>
      </c>
      <c r="I11" s="102">
        <v>45.6</v>
      </c>
      <c r="J11" s="102">
        <v>14.1</v>
      </c>
      <c r="K11" s="102">
        <v>203.2</v>
      </c>
      <c r="L11" s="102">
        <v>9.1999999999999993</v>
      </c>
      <c r="M11" s="102">
        <v>43.7</v>
      </c>
      <c r="N11" s="102">
        <f t="shared" si="1"/>
        <v>242.7</v>
      </c>
      <c r="O11" s="102">
        <f t="shared" si="2"/>
        <v>731.40000000000009</v>
      </c>
      <c r="P11" s="102">
        <f t="shared" si="3"/>
        <v>256.09999999999997</v>
      </c>
      <c r="Q11" s="102">
        <f t="shared" si="4"/>
        <v>1230.2000000000003</v>
      </c>
    </row>
    <row r="12" spans="1:33">
      <c r="A12" s="102">
        <v>1967</v>
      </c>
      <c r="B12" s="102">
        <v>4.8</v>
      </c>
      <c r="C12" s="102">
        <v>52.5</v>
      </c>
      <c r="D12" s="102">
        <v>60.8</v>
      </c>
      <c r="E12" s="102">
        <v>76.7</v>
      </c>
      <c r="F12" s="102">
        <v>258.2</v>
      </c>
      <c r="G12" s="102">
        <v>338</v>
      </c>
      <c r="H12" s="102">
        <v>231.7</v>
      </c>
      <c r="I12" s="102">
        <v>288.10000000000002</v>
      </c>
      <c r="J12" s="102">
        <v>170.4</v>
      </c>
      <c r="K12" s="102">
        <v>45.8</v>
      </c>
      <c r="L12" s="102">
        <v>100.4</v>
      </c>
      <c r="M12" s="102">
        <v>44.2</v>
      </c>
      <c r="N12" s="102">
        <f t="shared" si="1"/>
        <v>194.8</v>
      </c>
      <c r="O12" s="102">
        <f t="shared" si="2"/>
        <v>1286.4000000000001</v>
      </c>
      <c r="P12" s="102">
        <f t="shared" si="3"/>
        <v>190.39999999999998</v>
      </c>
      <c r="Q12" s="102">
        <f t="shared" si="4"/>
        <v>1671.6000000000004</v>
      </c>
    </row>
    <row r="13" spans="1:33">
      <c r="A13" s="102">
        <v>1968</v>
      </c>
      <c r="B13" s="102">
        <v>34.6</v>
      </c>
      <c r="C13" s="102">
        <v>20.3</v>
      </c>
      <c r="D13" s="102">
        <v>45.3</v>
      </c>
      <c r="E13" s="102">
        <v>154.1</v>
      </c>
      <c r="F13" s="102">
        <v>189.1</v>
      </c>
      <c r="G13" s="102">
        <v>295.8</v>
      </c>
      <c r="H13" s="102">
        <v>314.2</v>
      </c>
      <c r="I13" s="102">
        <v>183.5</v>
      </c>
      <c r="J13" s="102">
        <v>27.4</v>
      </c>
      <c r="K13" s="102">
        <v>66.3</v>
      </c>
      <c r="L13" s="102">
        <v>90.3</v>
      </c>
      <c r="M13" s="102">
        <v>26.2</v>
      </c>
      <c r="N13" s="102">
        <f t="shared" si="1"/>
        <v>254.3</v>
      </c>
      <c r="O13" s="102">
        <f t="shared" si="2"/>
        <v>1009.9999999999999</v>
      </c>
      <c r="P13" s="102">
        <f t="shared" si="3"/>
        <v>182.79999999999998</v>
      </c>
      <c r="Q13" s="102">
        <f t="shared" si="4"/>
        <v>1447.1000000000001</v>
      </c>
    </row>
    <row r="14" spans="1:33">
      <c r="A14" s="102">
        <v>1969</v>
      </c>
      <c r="B14" s="102">
        <v>15.3</v>
      </c>
      <c r="C14" s="102">
        <v>13.1</v>
      </c>
      <c r="D14" s="102">
        <v>61.7</v>
      </c>
      <c r="E14" s="102">
        <v>84.4</v>
      </c>
      <c r="F14" s="102">
        <v>168.7</v>
      </c>
      <c r="G14" s="102">
        <v>401.7</v>
      </c>
      <c r="H14" s="102">
        <v>292.8</v>
      </c>
      <c r="I14" s="102">
        <v>291.2</v>
      </c>
      <c r="J14" s="102">
        <v>29</v>
      </c>
      <c r="K14" s="102">
        <v>87</v>
      </c>
      <c r="L14" s="102">
        <v>75.8</v>
      </c>
      <c r="M14" s="102">
        <v>4.5</v>
      </c>
      <c r="N14" s="102">
        <f t="shared" si="1"/>
        <v>174.5</v>
      </c>
      <c r="O14" s="102">
        <f t="shared" si="2"/>
        <v>1183.4000000000001</v>
      </c>
      <c r="P14" s="102">
        <f t="shared" si="3"/>
        <v>167.3</v>
      </c>
      <c r="Q14" s="102">
        <f t="shared" si="4"/>
        <v>1525.2</v>
      </c>
    </row>
    <row r="15" spans="1:33">
      <c r="A15" s="102">
        <v>1970</v>
      </c>
      <c r="B15" s="102">
        <v>32.1</v>
      </c>
      <c r="C15" s="102">
        <v>56.7</v>
      </c>
      <c r="D15" s="102">
        <v>118.1</v>
      </c>
      <c r="E15" s="102">
        <v>189.9</v>
      </c>
      <c r="F15" s="102">
        <v>180.5</v>
      </c>
      <c r="G15" s="102">
        <v>107.3</v>
      </c>
      <c r="H15" s="102">
        <v>440.1</v>
      </c>
      <c r="I15" s="102">
        <v>238.4</v>
      </c>
      <c r="J15" s="102">
        <v>84.7</v>
      </c>
      <c r="K15" s="102">
        <v>22.6</v>
      </c>
      <c r="L15" s="102">
        <v>52.1</v>
      </c>
      <c r="M15" s="102">
        <v>76.900000000000006</v>
      </c>
      <c r="N15" s="102">
        <f t="shared" si="1"/>
        <v>396.8</v>
      </c>
      <c r="O15" s="102">
        <f t="shared" si="2"/>
        <v>1051</v>
      </c>
      <c r="P15" s="102">
        <f t="shared" si="3"/>
        <v>151.60000000000002</v>
      </c>
      <c r="Q15" s="102">
        <f t="shared" si="4"/>
        <v>1599.3999999999999</v>
      </c>
    </row>
    <row r="16" spans="1:33">
      <c r="A16" s="102">
        <v>1971</v>
      </c>
      <c r="B16" s="102">
        <v>25.2</v>
      </c>
      <c r="C16" s="102">
        <v>26.1</v>
      </c>
      <c r="D16" s="102">
        <v>46.5</v>
      </c>
      <c r="E16" s="102">
        <v>129.80000000000001</v>
      </c>
      <c r="F16" s="102">
        <v>195.2</v>
      </c>
      <c r="G16" s="102">
        <v>448.7</v>
      </c>
      <c r="H16" s="102">
        <v>64.599999999999994</v>
      </c>
      <c r="I16" s="102">
        <v>304.10000000000002</v>
      </c>
      <c r="J16" s="102">
        <v>118.5</v>
      </c>
      <c r="K16" s="102">
        <v>88.3</v>
      </c>
      <c r="L16" s="102">
        <v>14.9</v>
      </c>
      <c r="M16" s="102">
        <v>50</v>
      </c>
      <c r="N16" s="102">
        <f t="shared" si="1"/>
        <v>227.60000000000002</v>
      </c>
      <c r="O16" s="102">
        <f t="shared" si="2"/>
        <v>1131.0999999999999</v>
      </c>
      <c r="P16" s="102">
        <f t="shared" si="3"/>
        <v>153.19999999999999</v>
      </c>
      <c r="Q16" s="102">
        <f t="shared" si="4"/>
        <v>1511.9</v>
      </c>
    </row>
    <row r="17" spans="1:17">
      <c r="A17" s="102">
        <v>1972</v>
      </c>
      <c r="B17" s="102">
        <v>15.1</v>
      </c>
      <c r="C17" s="102">
        <v>36.5</v>
      </c>
      <c r="D17" s="102">
        <v>85</v>
      </c>
      <c r="E17" s="102">
        <v>190</v>
      </c>
      <c r="F17" s="102">
        <v>283.60000000000002</v>
      </c>
      <c r="G17" s="102">
        <v>282.8</v>
      </c>
      <c r="H17" s="102">
        <v>8.6999999999999993</v>
      </c>
      <c r="I17" s="102">
        <v>29.8</v>
      </c>
      <c r="J17" s="102">
        <v>395.4</v>
      </c>
      <c r="K17" s="102">
        <v>191.4</v>
      </c>
      <c r="L17" s="102">
        <v>114.3</v>
      </c>
      <c r="M17" s="102">
        <v>47.4</v>
      </c>
      <c r="N17" s="102">
        <f t="shared" si="1"/>
        <v>326.60000000000002</v>
      </c>
      <c r="O17" s="102">
        <f t="shared" si="2"/>
        <v>1000.3000000000001</v>
      </c>
      <c r="P17" s="102">
        <f t="shared" si="3"/>
        <v>353.09999999999997</v>
      </c>
      <c r="Q17" s="102">
        <f t="shared" si="4"/>
        <v>1680.0000000000002</v>
      </c>
    </row>
    <row r="18" spans="1:17">
      <c r="A18" s="102">
        <v>1973</v>
      </c>
      <c r="B18" s="102">
        <v>52.9</v>
      </c>
      <c r="C18" s="102">
        <v>41.9</v>
      </c>
      <c r="D18" s="102">
        <v>46</v>
      </c>
      <c r="E18" s="102">
        <v>182.2</v>
      </c>
      <c r="F18" s="102">
        <v>218.9</v>
      </c>
      <c r="G18" s="102">
        <v>259.7</v>
      </c>
      <c r="H18" s="102">
        <v>190.6</v>
      </c>
      <c r="I18" s="102">
        <v>248.9</v>
      </c>
      <c r="J18" s="102">
        <v>143.69999999999999</v>
      </c>
      <c r="K18" s="102">
        <v>31.9</v>
      </c>
      <c r="L18" s="102">
        <v>35.6</v>
      </c>
      <c r="M18" s="102">
        <v>1.8</v>
      </c>
      <c r="N18" s="102">
        <f t="shared" si="1"/>
        <v>323</v>
      </c>
      <c r="O18" s="102">
        <f t="shared" si="2"/>
        <v>1061.8</v>
      </c>
      <c r="P18" s="102">
        <f t="shared" si="3"/>
        <v>69.3</v>
      </c>
      <c r="Q18" s="102">
        <f t="shared" si="4"/>
        <v>1454.1</v>
      </c>
    </row>
    <row r="19" spans="1:17">
      <c r="A19" s="102">
        <v>1974</v>
      </c>
      <c r="B19" s="102">
        <v>54.7</v>
      </c>
      <c r="C19" s="102">
        <v>23.2</v>
      </c>
      <c r="D19" s="102">
        <v>58.7</v>
      </c>
      <c r="E19" s="102">
        <v>206.9</v>
      </c>
      <c r="F19" s="102">
        <v>107</v>
      </c>
      <c r="G19" s="102">
        <v>322.60000000000002</v>
      </c>
      <c r="H19" s="102">
        <v>302.7</v>
      </c>
      <c r="I19" s="102">
        <v>93.9</v>
      </c>
      <c r="J19" s="102">
        <v>60.9</v>
      </c>
      <c r="K19" s="102">
        <v>59.3</v>
      </c>
      <c r="L19" s="102">
        <v>17.5</v>
      </c>
      <c r="M19" s="102">
        <v>25.9</v>
      </c>
      <c r="N19" s="102">
        <f t="shared" si="1"/>
        <v>343.5</v>
      </c>
      <c r="O19" s="102">
        <f t="shared" si="2"/>
        <v>887.09999999999991</v>
      </c>
      <c r="P19" s="102">
        <f t="shared" si="3"/>
        <v>102.69999999999999</v>
      </c>
      <c r="Q19" s="102">
        <f t="shared" si="4"/>
        <v>1333.3000000000002</v>
      </c>
    </row>
    <row r="20" spans="1:17">
      <c r="A20" s="102">
        <v>1975</v>
      </c>
      <c r="B20" s="102">
        <v>28.2</v>
      </c>
      <c r="C20" s="102">
        <v>35.6</v>
      </c>
      <c r="D20" s="102">
        <v>50.2</v>
      </c>
      <c r="E20" s="102">
        <v>160</v>
      </c>
      <c r="F20" s="102">
        <v>286.5</v>
      </c>
      <c r="G20" s="102">
        <v>238.7</v>
      </c>
      <c r="H20" s="102">
        <v>93.6</v>
      </c>
      <c r="I20" s="102">
        <v>132.19999999999999</v>
      </c>
      <c r="J20" s="102">
        <v>112.7</v>
      </c>
      <c r="K20" s="102">
        <v>51.8</v>
      </c>
      <c r="L20" s="102">
        <v>89.5</v>
      </c>
      <c r="M20" s="102">
        <v>3.5</v>
      </c>
      <c r="N20" s="102">
        <f t="shared" si="1"/>
        <v>274</v>
      </c>
      <c r="O20" s="102">
        <f t="shared" si="2"/>
        <v>863.7</v>
      </c>
      <c r="P20" s="102">
        <f t="shared" si="3"/>
        <v>144.80000000000001</v>
      </c>
      <c r="Q20" s="102">
        <f t="shared" si="4"/>
        <v>1282.5</v>
      </c>
    </row>
    <row r="21" spans="1:17">
      <c r="A21" s="102">
        <v>1976</v>
      </c>
      <c r="B21" s="102">
        <v>34.6</v>
      </c>
      <c r="C21" s="102">
        <v>22.4</v>
      </c>
      <c r="D21" s="102">
        <v>77.7</v>
      </c>
      <c r="E21" s="102">
        <v>223.7</v>
      </c>
      <c r="F21" s="102">
        <v>184.1</v>
      </c>
      <c r="G21" s="102">
        <v>307.60000000000002</v>
      </c>
      <c r="H21" s="102">
        <v>146.5</v>
      </c>
      <c r="I21" s="102">
        <v>184.3</v>
      </c>
      <c r="J21" s="102">
        <v>30</v>
      </c>
      <c r="K21" s="102">
        <v>180.3</v>
      </c>
      <c r="L21" s="102">
        <v>82.8</v>
      </c>
      <c r="M21" s="102">
        <v>18.3</v>
      </c>
      <c r="N21" s="102">
        <f t="shared" si="1"/>
        <v>358.4</v>
      </c>
      <c r="O21" s="102">
        <f t="shared" si="2"/>
        <v>852.5</v>
      </c>
      <c r="P21" s="102">
        <f t="shared" si="3"/>
        <v>281.40000000000003</v>
      </c>
      <c r="Q21" s="102">
        <f t="shared" si="4"/>
        <v>1492.3</v>
      </c>
    </row>
    <row r="22" spans="1:17">
      <c r="A22" s="102">
        <v>1977</v>
      </c>
      <c r="B22" s="102">
        <v>24.5</v>
      </c>
      <c r="C22" s="102">
        <v>20.7</v>
      </c>
      <c r="D22" s="102">
        <v>48.3</v>
      </c>
      <c r="E22" s="102">
        <v>210.5</v>
      </c>
      <c r="F22" s="102">
        <v>259</v>
      </c>
      <c r="G22" s="102">
        <v>470.1</v>
      </c>
      <c r="H22" s="102">
        <v>225</v>
      </c>
      <c r="I22" s="102">
        <v>207</v>
      </c>
      <c r="J22" s="102">
        <v>94.6</v>
      </c>
      <c r="K22" s="102">
        <v>291.89999999999998</v>
      </c>
      <c r="L22" s="102">
        <v>50.8</v>
      </c>
      <c r="M22" s="102">
        <v>11.9</v>
      </c>
      <c r="N22" s="102">
        <f t="shared" si="1"/>
        <v>304</v>
      </c>
      <c r="O22" s="102">
        <f t="shared" si="2"/>
        <v>1255.6999999999998</v>
      </c>
      <c r="P22" s="102">
        <f t="shared" si="3"/>
        <v>354.59999999999997</v>
      </c>
      <c r="Q22" s="102">
        <f t="shared" si="4"/>
        <v>1914.3</v>
      </c>
    </row>
    <row r="23" spans="1:17">
      <c r="A23" s="102">
        <v>1978</v>
      </c>
      <c r="B23" s="102">
        <v>18.399999999999999</v>
      </c>
      <c r="C23" s="102">
        <v>5.4</v>
      </c>
      <c r="D23" s="102">
        <v>33</v>
      </c>
      <c r="E23" s="102">
        <v>48.7</v>
      </c>
      <c r="F23" s="102">
        <v>296.89999999999998</v>
      </c>
      <c r="G23" s="102">
        <v>170.4</v>
      </c>
      <c r="H23" s="102">
        <v>16.5</v>
      </c>
      <c r="I23" s="102">
        <v>176.2</v>
      </c>
      <c r="J23" s="102">
        <v>76.7</v>
      </c>
      <c r="K23" s="102">
        <v>213.1</v>
      </c>
      <c r="L23" s="102">
        <v>122.3</v>
      </c>
      <c r="M23" s="102">
        <v>14.3</v>
      </c>
      <c r="N23" s="102">
        <f t="shared" si="1"/>
        <v>105.5</v>
      </c>
      <c r="O23" s="102">
        <f t="shared" si="2"/>
        <v>736.7</v>
      </c>
      <c r="P23" s="102">
        <f t="shared" si="3"/>
        <v>349.7</v>
      </c>
      <c r="Q23" s="102">
        <f t="shared" si="4"/>
        <v>1191.8999999999999</v>
      </c>
    </row>
    <row r="24" spans="1:17">
      <c r="A24" s="102">
        <v>1979</v>
      </c>
      <c r="B24" s="102">
        <v>21.2</v>
      </c>
      <c r="C24" s="102">
        <v>48.6</v>
      </c>
      <c r="D24" s="102">
        <v>14.8</v>
      </c>
      <c r="E24" s="102">
        <v>96.7</v>
      </c>
      <c r="F24" s="102">
        <v>184.8</v>
      </c>
      <c r="G24" s="102">
        <v>390</v>
      </c>
      <c r="H24" s="102">
        <v>473.1</v>
      </c>
      <c r="I24" s="102">
        <v>129.19999999999999</v>
      </c>
      <c r="J24" s="102">
        <v>64.400000000000006</v>
      </c>
      <c r="K24" s="102">
        <v>20.7</v>
      </c>
      <c r="L24" s="102">
        <v>5.5</v>
      </c>
      <c r="M24" s="102">
        <v>18.8</v>
      </c>
      <c r="N24" s="102">
        <f t="shared" si="1"/>
        <v>181.3</v>
      </c>
      <c r="O24" s="102">
        <f t="shared" si="2"/>
        <v>1241.5000000000002</v>
      </c>
      <c r="P24" s="102">
        <f t="shared" si="3"/>
        <v>45</v>
      </c>
      <c r="Q24" s="102">
        <f t="shared" si="4"/>
        <v>1467.8000000000002</v>
      </c>
    </row>
    <row r="25" spans="1:17">
      <c r="A25" s="102">
        <v>1980</v>
      </c>
      <c r="B25" s="102">
        <v>22.2</v>
      </c>
      <c r="C25" s="102">
        <v>33</v>
      </c>
      <c r="D25" s="102">
        <v>34.4</v>
      </c>
      <c r="E25" s="102">
        <v>153.80000000000001</v>
      </c>
      <c r="F25" s="102">
        <v>308.7</v>
      </c>
      <c r="G25" s="102">
        <v>140.69999999999999</v>
      </c>
      <c r="H25" s="102">
        <v>262.3</v>
      </c>
      <c r="I25" s="102">
        <v>154.5</v>
      </c>
      <c r="J25" s="102">
        <v>95.2</v>
      </c>
      <c r="K25" s="102">
        <v>143.5</v>
      </c>
      <c r="L25" s="102">
        <v>89.2</v>
      </c>
      <c r="M25" s="102">
        <v>37.200000000000003</v>
      </c>
      <c r="N25" s="102">
        <f t="shared" si="1"/>
        <v>243.4</v>
      </c>
      <c r="O25" s="102">
        <f t="shared" si="2"/>
        <v>961.40000000000009</v>
      </c>
      <c r="P25" s="102">
        <f t="shared" si="3"/>
        <v>269.89999999999998</v>
      </c>
      <c r="Q25" s="102">
        <f t="shared" si="4"/>
        <v>1474.7</v>
      </c>
    </row>
    <row r="26" spans="1:17">
      <c r="A26" s="102">
        <v>1981</v>
      </c>
      <c r="B26" s="102">
        <v>30.6</v>
      </c>
      <c r="C26" s="102">
        <v>23.3</v>
      </c>
      <c r="D26" s="102">
        <v>68</v>
      </c>
      <c r="E26" s="102">
        <v>172.2</v>
      </c>
      <c r="F26" s="102">
        <v>197.3</v>
      </c>
      <c r="G26" s="102">
        <v>153.5</v>
      </c>
      <c r="H26" s="102">
        <v>89.8</v>
      </c>
      <c r="I26" s="102">
        <v>87.5</v>
      </c>
      <c r="J26" s="102">
        <v>76</v>
      </c>
      <c r="K26" s="102">
        <v>85.5</v>
      </c>
      <c r="L26" s="102">
        <v>145.9</v>
      </c>
      <c r="M26" s="102">
        <v>1.5</v>
      </c>
      <c r="N26" s="102">
        <f t="shared" si="1"/>
        <v>294.10000000000002</v>
      </c>
      <c r="O26" s="102">
        <f t="shared" si="2"/>
        <v>604.1</v>
      </c>
      <c r="P26" s="102">
        <f t="shared" si="3"/>
        <v>232.9</v>
      </c>
      <c r="Q26" s="102">
        <f t="shared" si="4"/>
        <v>1131.1000000000001</v>
      </c>
    </row>
    <row r="27" spans="1:17">
      <c r="A27" s="102">
        <v>1982</v>
      </c>
      <c r="B27" s="102">
        <v>43</v>
      </c>
      <c r="C27" s="102">
        <v>103.5</v>
      </c>
      <c r="D27" s="102">
        <v>17.899999999999999</v>
      </c>
      <c r="E27" s="102">
        <v>219.9</v>
      </c>
      <c r="F27" s="102">
        <v>171.8</v>
      </c>
      <c r="G27" s="102">
        <v>222.5</v>
      </c>
      <c r="H27" s="102">
        <v>83</v>
      </c>
      <c r="I27" s="102">
        <v>300.2</v>
      </c>
      <c r="J27" s="102">
        <v>196.9</v>
      </c>
      <c r="K27" s="102">
        <v>58.1</v>
      </c>
      <c r="L27" s="102">
        <v>90.1</v>
      </c>
      <c r="M27" s="102">
        <v>13.8</v>
      </c>
      <c r="N27" s="102">
        <f t="shared" si="1"/>
        <v>384.3</v>
      </c>
      <c r="O27" s="102">
        <f t="shared" si="2"/>
        <v>974.4</v>
      </c>
      <c r="P27" s="102">
        <f t="shared" si="3"/>
        <v>162</v>
      </c>
      <c r="Q27" s="102">
        <f t="shared" si="4"/>
        <v>1520.6999999999998</v>
      </c>
    </row>
    <row r="28" spans="1:17">
      <c r="A28" s="102">
        <v>1983</v>
      </c>
      <c r="B28" s="102">
        <v>52.6</v>
      </c>
      <c r="C28" s="102">
        <v>56.8</v>
      </c>
      <c r="D28" s="102">
        <v>40.799999999999997</v>
      </c>
      <c r="E28" s="102">
        <v>149.19999999999999</v>
      </c>
      <c r="F28" s="102">
        <v>114.9</v>
      </c>
      <c r="G28" s="102">
        <v>300.60000000000002</v>
      </c>
      <c r="H28" s="102">
        <v>175.4</v>
      </c>
      <c r="I28" s="102">
        <v>167.1</v>
      </c>
      <c r="J28" s="102">
        <v>81.099999999999994</v>
      </c>
      <c r="K28" s="102">
        <v>75.3</v>
      </c>
      <c r="L28" s="102">
        <v>50.5</v>
      </c>
      <c r="M28" s="102">
        <v>29.8</v>
      </c>
      <c r="N28" s="102">
        <f t="shared" si="1"/>
        <v>299.39999999999998</v>
      </c>
      <c r="O28" s="102">
        <f t="shared" si="2"/>
        <v>839.1</v>
      </c>
      <c r="P28" s="102">
        <f t="shared" si="3"/>
        <v>155.6</v>
      </c>
      <c r="Q28" s="102">
        <f t="shared" si="4"/>
        <v>1294.0999999999997</v>
      </c>
    </row>
    <row r="29" spans="1:17">
      <c r="A29" s="102">
        <v>1984</v>
      </c>
      <c r="B29" s="102">
        <v>21</v>
      </c>
      <c r="C29" s="102">
        <v>23.1</v>
      </c>
      <c r="D29" s="102">
        <v>34.9</v>
      </c>
      <c r="E29" s="102">
        <v>110.5</v>
      </c>
      <c r="F29" s="102">
        <v>313.7</v>
      </c>
      <c r="G29" s="102">
        <v>199.7</v>
      </c>
      <c r="H29" s="102">
        <v>114.3</v>
      </c>
      <c r="I29" s="102">
        <v>216.5</v>
      </c>
      <c r="J29" s="102">
        <v>190.1</v>
      </c>
      <c r="K29" s="102">
        <v>84.2</v>
      </c>
      <c r="L29" s="102">
        <v>50.2</v>
      </c>
      <c r="M29" s="102">
        <v>44.2</v>
      </c>
      <c r="N29" s="102">
        <f t="shared" si="1"/>
        <v>189.5</v>
      </c>
      <c r="O29" s="102">
        <f t="shared" si="2"/>
        <v>1034.3</v>
      </c>
      <c r="P29" s="102">
        <f t="shared" si="3"/>
        <v>178.60000000000002</v>
      </c>
      <c r="Q29" s="102">
        <f t="shared" si="4"/>
        <v>1402.3999999999999</v>
      </c>
    </row>
    <row r="30" spans="1:17">
      <c r="A30" s="102">
        <v>1985</v>
      </c>
      <c r="B30" s="102">
        <v>17.399999999999999</v>
      </c>
      <c r="C30" s="102">
        <v>43.1</v>
      </c>
      <c r="D30" s="102">
        <v>35.4</v>
      </c>
      <c r="E30" s="102">
        <v>110.3</v>
      </c>
      <c r="F30" s="102">
        <v>346.5</v>
      </c>
      <c r="G30" s="102">
        <v>194.9</v>
      </c>
      <c r="H30" s="102">
        <v>193</v>
      </c>
      <c r="I30" s="102">
        <v>239.1</v>
      </c>
      <c r="J30" s="102">
        <v>48.6</v>
      </c>
      <c r="K30" s="102">
        <v>106.7</v>
      </c>
      <c r="L30" s="102">
        <v>76.7</v>
      </c>
      <c r="M30" s="102">
        <v>22.6</v>
      </c>
      <c r="N30" s="102">
        <f t="shared" si="1"/>
        <v>206.2</v>
      </c>
      <c r="O30" s="102">
        <f t="shared" si="2"/>
        <v>1022.1</v>
      </c>
      <c r="P30" s="102">
        <f t="shared" si="3"/>
        <v>206</v>
      </c>
      <c r="Q30" s="102">
        <f t="shared" si="4"/>
        <v>1434.3</v>
      </c>
    </row>
    <row r="31" spans="1:17">
      <c r="A31" s="102">
        <v>1986</v>
      </c>
      <c r="B31" s="102">
        <v>19</v>
      </c>
      <c r="C31" s="102">
        <v>19.399999999999999</v>
      </c>
      <c r="D31" s="102">
        <v>57.2</v>
      </c>
      <c r="E31" s="102">
        <v>75.8</v>
      </c>
      <c r="F31" s="102">
        <v>71.5</v>
      </c>
      <c r="G31" s="102">
        <v>220.3</v>
      </c>
      <c r="H31" s="102">
        <v>251.6</v>
      </c>
      <c r="I31" s="102">
        <v>202.1</v>
      </c>
      <c r="J31" s="102">
        <v>63.3</v>
      </c>
      <c r="K31" s="102">
        <v>103</v>
      </c>
      <c r="L31" s="102">
        <v>19.8</v>
      </c>
      <c r="M31" s="102">
        <v>5.9</v>
      </c>
      <c r="N31" s="102">
        <f t="shared" si="1"/>
        <v>171.39999999999998</v>
      </c>
      <c r="O31" s="102">
        <f t="shared" si="2"/>
        <v>808.8</v>
      </c>
      <c r="P31" s="102">
        <f t="shared" si="3"/>
        <v>128.69999999999999</v>
      </c>
      <c r="Q31" s="102">
        <f t="shared" si="4"/>
        <v>1108.8999999999999</v>
      </c>
    </row>
    <row r="32" spans="1:17">
      <c r="A32" s="102">
        <v>1987</v>
      </c>
      <c r="B32" s="102">
        <v>37</v>
      </c>
      <c r="C32" s="102">
        <v>16.5</v>
      </c>
      <c r="D32" s="102">
        <v>39.9</v>
      </c>
      <c r="E32" s="102">
        <v>49.2</v>
      </c>
      <c r="F32" s="102">
        <v>199.3</v>
      </c>
      <c r="G32" s="102">
        <v>304.60000000000002</v>
      </c>
      <c r="H32" s="102">
        <v>202.8</v>
      </c>
      <c r="I32" s="102">
        <v>69</v>
      </c>
      <c r="J32" s="102">
        <v>74.8</v>
      </c>
      <c r="K32" s="102">
        <v>181.6</v>
      </c>
      <c r="L32" s="102">
        <v>77</v>
      </c>
      <c r="M32" s="102">
        <v>3.3</v>
      </c>
      <c r="N32" s="102">
        <f t="shared" si="1"/>
        <v>142.60000000000002</v>
      </c>
      <c r="O32" s="102">
        <f t="shared" si="2"/>
        <v>850.5</v>
      </c>
      <c r="P32" s="102">
        <f t="shared" si="3"/>
        <v>261.90000000000003</v>
      </c>
      <c r="Q32" s="102">
        <f t="shared" si="4"/>
        <v>1254.9999999999998</v>
      </c>
    </row>
    <row r="33" spans="1:17">
      <c r="A33" s="102">
        <v>1988</v>
      </c>
      <c r="B33" s="102">
        <v>23.4</v>
      </c>
      <c r="C33" s="102">
        <v>35.700000000000003</v>
      </c>
      <c r="D33" s="102">
        <v>21.1</v>
      </c>
      <c r="E33" s="102">
        <v>79</v>
      </c>
      <c r="F33" s="102">
        <v>114.4</v>
      </c>
      <c r="G33" s="102">
        <v>247.2</v>
      </c>
      <c r="H33" s="102">
        <v>122.2</v>
      </c>
      <c r="I33" s="102">
        <v>322.39999999999998</v>
      </c>
      <c r="J33" s="102">
        <v>238</v>
      </c>
      <c r="K33" s="102">
        <v>65.900000000000006</v>
      </c>
      <c r="L33" s="102">
        <v>5.8</v>
      </c>
      <c r="M33" s="102">
        <v>11.9</v>
      </c>
      <c r="N33" s="102">
        <f t="shared" si="1"/>
        <v>159.19999999999999</v>
      </c>
      <c r="O33" s="102">
        <f t="shared" si="2"/>
        <v>1044.2</v>
      </c>
      <c r="P33" s="102">
        <f t="shared" si="3"/>
        <v>83.600000000000009</v>
      </c>
      <c r="Q33" s="102">
        <f t="shared" si="4"/>
        <v>1287.0000000000002</v>
      </c>
    </row>
    <row r="34" spans="1:17">
      <c r="A34" s="102">
        <v>1989</v>
      </c>
      <c r="B34" s="102">
        <v>27.2</v>
      </c>
      <c r="C34" s="102">
        <v>53.5</v>
      </c>
      <c r="D34" s="102">
        <v>62.2</v>
      </c>
      <c r="E34" s="102">
        <v>60.3</v>
      </c>
      <c r="F34" s="102">
        <v>82.2</v>
      </c>
      <c r="G34" s="102">
        <v>189.2</v>
      </c>
      <c r="H34" s="102">
        <v>60.4</v>
      </c>
      <c r="I34" s="102">
        <v>187.6</v>
      </c>
      <c r="J34" s="102">
        <v>77.900000000000006</v>
      </c>
      <c r="K34" s="102">
        <v>98</v>
      </c>
      <c r="L34" s="102">
        <v>30.5</v>
      </c>
      <c r="M34" s="102">
        <v>27.3</v>
      </c>
      <c r="N34" s="102">
        <f t="shared" si="1"/>
        <v>203.2</v>
      </c>
      <c r="O34" s="102">
        <f t="shared" si="2"/>
        <v>597.29999999999995</v>
      </c>
      <c r="P34" s="102">
        <f t="shared" si="3"/>
        <v>155.80000000000001</v>
      </c>
      <c r="Q34" s="102">
        <f t="shared" si="4"/>
        <v>956.3</v>
      </c>
    </row>
    <row r="35" spans="1:17">
      <c r="A35" s="102">
        <v>1990</v>
      </c>
      <c r="B35" s="102">
        <v>79.8</v>
      </c>
      <c r="C35" s="102">
        <v>38.1</v>
      </c>
      <c r="D35" s="102">
        <v>97.7</v>
      </c>
      <c r="E35" s="102">
        <v>142.19999999999999</v>
      </c>
      <c r="F35" s="102">
        <v>212.3</v>
      </c>
      <c r="G35" s="102">
        <v>445.2</v>
      </c>
      <c r="H35" s="102">
        <v>363.8</v>
      </c>
      <c r="I35" s="102">
        <v>58.2</v>
      </c>
      <c r="J35" s="102">
        <v>193</v>
      </c>
      <c r="K35" s="102">
        <v>89</v>
      </c>
      <c r="L35" s="102">
        <v>54.4</v>
      </c>
      <c r="M35" s="102">
        <v>29.7</v>
      </c>
      <c r="N35" s="102">
        <f t="shared" si="1"/>
        <v>357.8</v>
      </c>
      <c r="O35" s="102">
        <f t="shared" si="2"/>
        <v>1272.5</v>
      </c>
      <c r="P35" s="102">
        <f t="shared" si="3"/>
        <v>173.1</v>
      </c>
      <c r="Q35" s="102">
        <f t="shared" si="4"/>
        <v>1803.4</v>
      </c>
    </row>
    <row r="36" spans="1:17">
      <c r="A36" s="102">
        <v>1991</v>
      </c>
      <c r="B36" s="102">
        <v>66.599999999999994</v>
      </c>
      <c r="C36" s="102">
        <v>29.1</v>
      </c>
      <c r="D36" s="102">
        <v>85.6</v>
      </c>
      <c r="E36" s="102">
        <v>55.2</v>
      </c>
      <c r="F36" s="102">
        <v>171</v>
      </c>
      <c r="G36" s="102">
        <v>175.3</v>
      </c>
      <c r="H36" s="102">
        <v>375.3</v>
      </c>
      <c r="I36" s="102">
        <v>186.7</v>
      </c>
      <c r="J36" s="102">
        <v>50.8</v>
      </c>
      <c r="K36" s="102">
        <v>80</v>
      </c>
      <c r="L36" s="102">
        <v>67.5</v>
      </c>
      <c r="M36" s="102">
        <v>25.5</v>
      </c>
      <c r="N36" s="102">
        <f t="shared" si="1"/>
        <v>236.5</v>
      </c>
      <c r="O36" s="102">
        <f t="shared" si="2"/>
        <v>959.09999999999991</v>
      </c>
      <c r="P36" s="102">
        <f t="shared" si="3"/>
        <v>173</v>
      </c>
      <c r="Q36" s="102">
        <f t="shared" si="4"/>
        <v>1368.6</v>
      </c>
    </row>
    <row r="37" spans="1:17">
      <c r="A37" s="102">
        <v>1992</v>
      </c>
      <c r="B37" s="102">
        <v>59.7</v>
      </c>
      <c r="C37" s="102">
        <v>57.8</v>
      </c>
      <c r="D37" s="102">
        <v>59.4</v>
      </c>
      <c r="E37" s="102">
        <v>163.69999999999999</v>
      </c>
      <c r="F37" s="102">
        <v>212.5</v>
      </c>
      <c r="G37" s="102">
        <v>288.39999999999998</v>
      </c>
      <c r="H37" s="102">
        <v>208.8</v>
      </c>
      <c r="I37" s="102">
        <v>39.799999999999997</v>
      </c>
      <c r="J37" s="102">
        <v>39.799999999999997</v>
      </c>
      <c r="K37" s="102">
        <v>60.8</v>
      </c>
      <c r="L37" s="102">
        <v>12.6</v>
      </c>
      <c r="M37" s="102">
        <v>38.700000000000003</v>
      </c>
      <c r="N37" s="102">
        <f t="shared" si="1"/>
        <v>340.6</v>
      </c>
      <c r="O37" s="102">
        <f t="shared" si="2"/>
        <v>789.3</v>
      </c>
      <c r="P37" s="102">
        <f t="shared" si="3"/>
        <v>112.1</v>
      </c>
      <c r="Q37" s="102">
        <f t="shared" si="4"/>
        <v>1241.9999999999998</v>
      </c>
    </row>
    <row r="38" spans="1:17">
      <c r="A38" s="102">
        <v>1993</v>
      </c>
      <c r="B38" s="102">
        <v>35.6</v>
      </c>
      <c r="C38" s="102">
        <v>64.900000000000006</v>
      </c>
      <c r="D38" s="102">
        <v>23</v>
      </c>
      <c r="E38" s="102">
        <v>109.8</v>
      </c>
      <c r="F38" s="102">
        <v>220.9</v>
      </c>
      <c r="G38" s="102">
        <v>343.4</v>
      </c>
      <c r="H38" s="102">
        <v>615.20000000000005</v>
      </c>
      <c r="I38" s="102">
        <v>165.6</v>
      </c>
      <c r="J38" s="102">
        <v>120</v>
      </c>
      <c r="K38" s="102">
        <v>53.1</v>
      </c>
      <c r="L38" s="102">
        <v>55.7</v>
      </c>
      <c r="M38" s="102">
        <v>15.1</v>
      </c>
      <c r="N38" s="102">
        <f t="shared" si="1"/>
        <v>233.3</v>
      </c>
      <c r="O38" s="102">
        <f t="shared" si="2"/>
        <v>1465.1</v>
      </c>
      <c r="P38" s="102">
        <f t="shared" si="3"/>
        <v>123.9</v>
      </c>
      <c r="Q38" s="102">
        <f t="shared" si="4"/>
        <v>1822.3</v>
      </c>
    </row>
    <row r="39" spans="1:17">
      <c r="A39" s="102">
        <v>1994</v>
      </c>
      <c r="B39" s="102">
        <v>22</v>
      </c>
      <c r="C39" s="102">
        <v>34</v>
      </c>
      <c r="D39" s="102">
        <v>75.2</v>
      </c>
      <c r="E39" s="102">
        <v>154.19999999999999</v>
      </c>
      <c r="F39" s="102">
        <v>219</v>
      </c>
      <c r="G39" s="102">
        <v>145.6</v>
      </c>
      <c r="H39" s="102">
        <v>237.8</v>
      </c>
      <c r="I39" s="102">
        <v>93.3</v>
      </c>
      <c r="J39" s="102">
        <v>158.5</v>
      </c>
      <c r="K39" s="102">
        <v>179.4</v>
      </c>
      <c r="L39" s="102">
        <v>71.3</v>
      </c>
      <c r="M39" s="102">
        <v>44.5</v>
      </c>
      <c r="N39" s="102">
        <f t="shared" si="1"/>
        <v>285.39999999999998</v>
      </c>
      <c r="O39" s="102">
        <f t="shared" si="2"/>
        <v>854.2</v>
      </c>
      <c r="P39" s="102">
        <f t="shared" si="3"/>
        <v>295.2</v>
      </c>
      <c r="Q39" s="102">
        <f t="shared" si="4"/>
        <v>1434.8</v>
      </c>
    </row>
    <row r="40" spans="1:17">
      <c r="A40" s="102">
        <v>1995</v>
      </c>
      <c r="B40" s="102">
        <v>31.6</v>
      </c>
      <c r="C40" s="102">
        <v>93</v>
      </c>
      <c r="D40" s="102">
        <v>33.6</v>
      </c>
      <c r="E40" s="102">
        <v>62.4</v>
      </c>
      <c r="F40" s="102">
        <v>242.4</v>
      </c>
      <c r="G40" s="102">
        <v>279.3</v>
      </c>
      <c r="H40" s="102">
        <v>110.6</v>
      </c>
      <c r="I40" s="102">
        <v>103.2</v>
      </c>
      <c r="J40" s="102">
        <v>88</v>
      </c>
      <c r="K40" s="102">
        <v>22.9</v>
      </c>
      <c r="L40" s="102">
        <v>56</v>
      </c>
      <c r="M40" s="102">
        <v>3.3</v>
      </c>
      <c r="N40" s="102">
        <f t="shared" si="1"/>
        <v>220.6</v>
      </c>
      <c r="O40" s="102">
        <f t="shared" si="2"/>
        <v>823.50000000000011</v>
      </c>
      <c r="P40" s="102">
        <f t="shared" si="3"/>
        <v>82.2</v>
      </c>
      <c r="Q40" s="102">
        <f t="shared" si="4"/>
        <v>1126.3</v>
      </c>
    </row>
    <row r="41" spans="1:17">
      <c r="A41" s="102">
        <v>1996</v>
      </c>
      <c r="B41" s="102">
        <v>33</v>
      </c>
      <c r="C41" s="102">
        <v>1.4</v>
      </c>
      <c r="D41" s="102">
        <v>124.2</v>
      </c>
      <c r="E41" s="102">
        <v>71.900000000000006</v>
      </c>
      <c r="F41" s="102">
        <v>218.4</v>
      </c>
      <c r="G41" s="102">
        <v>401.8</v>
      </c>
      <c r="H41" s="102">
        <v>413.6</v>
      </c>
      <c r="I41" s="102">
        <v>132.5</v>
      </c>
      <c r="J41" s="102">
        <v>22.8</v>
      </c>
      <c r="K41" s="102">
        <v>49.7</v>
      </c>
      <c r="L41" s="102">
        <v>68.5</v>
      </c>
      <c r="M41" s="102">
        <v>14.4</v>
      </c>
      <c r="N41" s="102">
        <f t="shared" si="1"/>
        <v>230.5</v>
      </c>
      <c r="O41" s="102">
        <f t="shared" si="2"/>
        <v>1189.1000000000001</v>
      </c>
      <c r="P41" s="102">
        <f t="shared" si="3"/>
        <v>132.6</v>
      </c>
      <c r="Q41" s="102">
        <f t="shared" si="4"/>
        <v>1552.2000000000003</v>
      </c>
    </row>
    <row r="42" spans="1:17">
      <c r="A42" s="102">
        <v>1997</v>
      </c>
      <c r="B42" s="102">
        <v>54.6</v>
      </c>
      <c r="C42" s="102">
        <v>73</v>
      </c>
      <c r="D42" s="102">
        <v>48.7</v>
      </c>
      <c r="E42" s="102">
        <v>142.69999999999999</v>
      </c>
      <c r="F42" s="102">
        <v>109.7</v>
      </c>
      <c r="G42" s="102">
        <v>338.6</v>
      </c>
      <c r="H42" s="102">
        <v>326.89999999999998</v>
      </c>
      <c r="I42" s="102">
        <v>71.099999999999994</v>
      </c>
      <c r="J42" s="102">
        <v>165.5</v>
      </c>
      <c r="K42" s="102">
        <v>311.60000000000002</v>
      </c>
      <c r="L42" s="102">
        <v>35.9</v>
      </c>
      <c r="M42" s="102">
        <v>34.9</v>
      </c>
      <c r="N42" s="102">
        <f t="shared" si="1"/>
        <v>319</v>
      </c>
      <c r="O42" s="102">
        <f t="shared" si="2"/>
        <v>1011.8000000000001</v>
      </c>
      <c r="P42" s="102">
        <f t="shared" si="3"/>
        <v>382.4</v>
      </c>
      <c r="Q42" s="102">
        <f t="shared" si="4"/>
        <v>1713.1999999999998</v>
      </c>
    </row>
    <row r="43" spans="1:17">
      <c r="A43" s="102">
        <v>1998</v>
      </c>
      <c r="B43" s="102">
        <v>45.4</v>
      </c>
      <c r="C43" s="102">
        <v>25.7</v>
      </c>
      <c r="D43" s="102">
        <v>38.9</v>
      </c>
      <c r="E43" s="102">
        <v>68.2</v>
      </c>
      <c r="F43" s="102">
        <v>183.8</v>
      </c>
      <c r="G43" s="102">
        <v>353</v>
      </c>
      <c r="H43" s="102">
        <v>532.4</v>
      </c>
      <c r="I43" s="102">
        <v>186</v>
      </c>
      <c r="J43" s="102">
        <v>40.799999999999997</v>
      </c>
      <c r="K43" s="102">
        <v>94.2</v>
      </c>
      <c r="L43" s="102">
        <v>21.2</v>
      </c>
      <c r="M43" s="102">
        <v>14.5</v>
      </c>
      <c r="N43" s="102">
        <f t="shared" si="1"/>
        <v>178.2</v>
      </c>
      <c r="O43" s="102">
        <f t="shared" si="2"/>
        <v>1295.9999999999998</v>
      </c>
      <c r="P43" s="102">
        <f t="shared" si="3"/>
        <v>129.9</v>
      </c>
      <c r="Q43" s="102">
        <f t="shared" si="4"/>
        <v>1604.1000000000001</v>
      </c>
    </row>
    <row r="44" spans="1:17">
      <c r="A44" s="102">
        <v>1999</v>
      </c>
      <c r="B44" s="102">
        <v>29.8</v>
      </c>
      <c r="C44" s="102">
        <v>16.7</v>
      </c>
      <c r="D44" s="102">
        <v>34.700000000000003</v>
      </c>
      <c r="E44" s="102">
        <v>84.5</v>
      </c>
      <c r="F44" s="102">
        <v>210.7</v>
      </c>
      <c r="G44" s="102">
        <v>201.3</v>
      </c>
      <c r="H44" s="102">
        <v>316.8</v>
      </c>
      <c r="I44" s="102">
        <v>340.5</v>
      </c>
      <c r="J44" s="102">
        <v>95.1</v>
      </c>
      <c r="K44" s="102">
        <v>106.5</v>
      </c>
      <c r="L44" s="102">
        <v>68.900000000000006</v>
      </c>
      <c r="M44" s="102">
        <v>3.8</v>
      </c>
      <c r="N44" s="102">
        <f t="shared" si="1"/>
        <v>165.7</v>
      </c>
      <c r="O44" s="102">
        <f t="shared" si="2"/>
        <v>1164.3999999999999</v>
      </c>
      <c r="P44" s="102">
        <f t="shared" si="3"/>
        <v>179.20000000000002</v>
      </c>
      <c r="Q44" s="102">
        <f t="shared" si="4"/>
        <v>1509.3</v>
      </c>
    </row>
    <row r="45" spans="1:17">
      <c r="A45" s="102">
        <v>2000</v>
      </c>
      <c r="B45" s="102">
        <v>41.7</v>
      </c>
      <c r="C45" s="102">
        <v>23</v>
      </c>
      <c r="D45" s="102">
        <v>77.7</v>
      </c>
      <c r="E45" s="102">
        <v>116.8</v>
      </c>
      <c r="F45" s="102">
        <v>245</v>
      </c>
      <c r="G45" s="102">
        <v>788.1</v>
      </c>
      <c r="H45" s="102">
        <v>209.1</v>
      </c>
      <c r="I45" s="102">
        <v>198.9</v>
      </c>
      <c r="J45" s="102">
        <v>151.5</v>
      </c>
      <c r="K45" s="102">
        <v>88.5</v>
      </c>
      <c r="L45" s="102">
        <v>38.700000000000003</v>
      </c>
      <c r="M45" s="102">
        <v>24.6</v>
      </c>
      <c r="N45" s="102">
        <f t="shared" si="1"/>
        <v>259.2</v>
      </c>
      <c r="O45" s="102">
        <f t="shared" si="2"/>
        <v>1592.6</v>
      </c>
      <c r="P45" s="102">
        <f t="shared" si="3"/>
        <v>151.80000000000001</v>
      </c>
      <c r="Q45" s="102">
        <f t="shared" si="4"/>
        <v>2003.6</v>
      </c>
    </row>
    <row r="46" spans="1:17">
      <c r="A46" s="102">
        <v>2001</v>
      </c>
      <c r="B46" s="102">
        <v>28.8</v>
      </c>
      <c r="C46" s="102">
        <v>35.9</v>
      </c>
      <c r="D46" s="102">
        <v>45.4</v>
      </c>
      <c r="E46" s="102">
        <v>166.8</v>
      </c>
      <c r="F46" s="102">
        <v>96.3</v>
      </c>
      <c r="G46" s="102">
        <v>169.9</v>
      </c>
      <c r="H46" s="102">
        <v>176.4</v>
      </c>
      <c r="I46" s="102">
        <v>51.9</v>
      </c>
      <c r="J46" s="102">
        <v>10.1</v>
      </c>
      <c r="K46" s="102">
        <v>173.5</v>
      </c>
      <c r="L46" s="102">
        <v>81.599999999999994</v>
      </c>
      <c r="M46" s="102">
        <v>14.6</v>
      </c>
      <c r="N46" s="102">
        <f t="shared" si="1"/>
        <v>276.89999999999998</v>
      </c>
      <c r="O46" s="102">
        <f t="shared" si="2"/>
        <v>504.6</v>
      </c>
      <c r="P46" s="102">
        <f t="shared" si="3"/>
        <v>269.7</v>
      </c>
      <c r="Q46" s="102">
        <f t="shared" si="4"/>
        <v>1051.1999999999998</v>
      </c>
    </row>
    <row r="47" spans="1:17">
      <c r="A47" s="102">
        <v>2002</v>
      </c>
      <c r="B47" s="102">
        <v>12.1</v>
      </c>
      <c r="C47" s="102">
        <v>89.1</v>
      </c>
      <c r="D47" s="102">
        <v>59</v>
      </c>
      <c r="E47" s="102">
        <v>77.7</v>
      </c>
      <c r="F47" s="102">
        <v>302.3</v>
      </c>
      <c r="G47" s="102">
        <v>169.9</v>
      </c>
      <c r="H47" s="102">
        <v>207.8</v>
      </c>
      <c r="I47" s="102">
        <v>259.39999999999998</v>
      </c>
      <c r="J47" s="102">
        <v>46.5</v>
      </c>
      <c r="K47" s="102">
        <v>122.4</v>
      </c>
      <c r="L47" s="102">
        <v>8.6999999999999993</v>
      </c>
      <c r="M47" s="102">
        <v>72.3</v>
      </c>
      <c r="N47" s="102">
        <f t="shared" si="1"/>
        <v>237.89999999999998</v>
      </c>
      <c r="O47" s="102">
        <f t="shared" si="2"/>
        <v>985.9</v>
      </c>
      <c r="P47" s="102">
        <f t="shared" si="3"/>
        <v>203.39999999999998</v>
      </c>
      <c r="Q47" s="102">
        <f t="shared" si="4"/>
        <v>1427.2000000000003</v>
      </c>
    </row>
    <row r="48" spans="1:17">
      <c r="A48" s="102">
        <v>2003</v>
      </c>
      <c r="B48" s="102">
        <v>38.6</v>
      </c>
      <c r="C48" s="102">
        <v>16.5</v>
      </c>
      <c r="D48" s="102">
        <v>45.9</v>
      </c>
      <c r="E48" s="102">
        <v>147.30000000000001</v>
      </c>
      <c r="F48" s="102">
        <v>196.5</v>
      </c>
      <c r="G48" s="102">
        <v>202.7</v>
      </c>
      <c r="H48" s="102">
        <v>250.8</v>
      </c>
      <c r="I48" s="102">
        <v>78.2</v>
      </c>
      <c r="J48" s="102">
        <v>65.7</v>
      </c>
      <c r="K48" s="102">
        <v>92.6</v>
      </c>
      <c r="L48" s="102">
        <v>29.8</v>
      </c>
      <c r="M48" s="102">
        <v>25</v>
      </c>
      <c r="N48" s="102">
        <f t="shared" si="1"/>
        <v>248.3</v>
      </c>
      <c r="O48" s="102">
        <f t="shared" si="2"/>
        <v>793.90000000000009</v>
      </c>
      <c r="P48" s="102">
        <f t="shared" si="3"/>
        <v>147.39999999999998</v>
      </c>
      <c r="Q48" s="102">
        <f t="shared" si="4"/>
        <v>1189.5999999999999</v>
      </c>
    </row>
    <row r="49" spans="1:33">
      <c r="A49" s="102">
        <v>2004</v>
      </c>
      <c r="B49" s="103">
        <v>37.6</v>
      </c>
      <c r="C49" s="103">
        <v>76.900000000000006</v>
      </c>
      <c r="D49" s="103">
        <v>43.6</v>
      </c>
      <c r="E49" s="103">
        <v>149.6</v>
      </c>
      <c r="F49" s="103">
        <v>207.2</v>
      </c>
      <c r="G49" s="103">
        <v>115.5</v>
      </c>
      <c r="H49" s="103">
        <v>391.3</v>
      </c>
      <c r="I49" s="103">
        <v>54.3</v>
      </c>
      <c r="J49" s="103">
        <v>54.1</v>
      </c>
      <c r="K49" s="103">
        <v>15</v>
      </c>
      <c r="L49" s="103">
        <v>62.4</v>
      </c>
      <c r="M49" s="103">
        <v>18.8</v>
      </c>
      <c r="N49" s="102">
        <f t="shared" si="1"/>
        <v>307.7</v>
      </c>
      <c r="O49" s="102">
        <f t="shared" si="2"/>
        <v>822.4</v>
      </c>
      <c r="P49" s="102">
        <f t="shared" si="3"/>
        <v>96.2</v>
      </c>
      <c r="Q49" s="102">
        <f t="shared" si="4"/>
        <v>1226.3</v>
      </c>
    </row>
    <row r="50" spans="1:33">
      <c r="A50" s="102">
        <v>2005</v>
      </c>
      <c r="B50" s="103">
        <v>55.2</v>
      </c>
      <c r="C50" s="103">
        <v>17.3</v>
      </c>
      <c r="D50" s="103">
        <v>93.4</v>
      </c>
      <c r="E50" s="103">
        <v>60.1</v>
      </c>
      <c r="F50" s="103">
        <v>305.89999999999998</v>
      </c>
      <c r="G50" s="103">
        <v>151</v>
      </c>
      <c r="H50" s="103">
        <v>60.5</v>
      </c>
      <c r="I50" s="103">
        <v>115.2</v>
      </c>
      <c r="J50" s="103">
        <v>7.2</v>
      </c>
      <c r="K50" s="102">
        <v>29.9</v>
      </c>
      <c r="L50" s="102">
        <v>37.299999999999997</v>
      </c>
      <c r="M50" s="102">
        <v>27.1</v>
      </c>
      <c r="N50" s="102">
        <f t="shared" si="1"/>
        <v>226</v>
      </c>
      <c r="O50" s="102">
        <f t="shared" si="2"/>
        <v>639.80000000000007</v>
      </c>
      <c r="P50" s="102">
        <f t="shared" si="3"/>
        <v>94.299999999999983</v>
      </c>
      <c r="Q50" s="102">
        <f t="shared" si="4"/>
        <v>960.1</v>
      </c>
    </row>
    <row r="51" spans="1:33">
      <c r="A51" s="102">
        <v>2006</v>
      </c>
      <c r="B51" s="102">
        <v>18.600000000000001</v>
      </c>
      <c r="C51" s="102">
        <v>40.6</v>
      </c>
      <c r="D51" s="102">
        <v>46.4</v>
      </c>
      <c r="E51" s="102">
        <v>110</v>
      </c>
      <c r="F51" s="102">
        <v>155.6</v>
      </c>
      <c r="G51" s="102">
        <v>335.8</v>
      </c>
      <c r="H51" s="102">
        <v>122.3</v>
      </c>
      <c r="I51" s="102">
        <v>160</v>
      </c>
      <c r="J51" s="102">
        <v>66.5</v>
      </c>
      <c r="K51" s="102">
        <v>130.69999999999999</v>
      </c>
      <c r="L51" s="102">
        <v>36.6</v>
      </c>
      <c r="M51" s="102">
        <v>14</v>
      </c>
      <c r="N51" s="102">
        <f t="shared" si="1"/>
        <v>215.6</v>
      </c>
      <c r="O51" s="102">
        <f t="shared" si="2"/>
        <v>840.19999999999993</v>
      </c>
      <c r="P51" s="102">
        <f t="shared" si="3"/>
        <v>181.29999999999998</v>
      </c>
      <c r="Q51" s="102">
        <f t="shared" si="4"/>
        <v>1237.0999999999999</v>
      </c>
    </row>
    <row r="52" spans="1:33">
      <c r="A52" s="102">
        <v>2007</v>
      </c>
      <c r="B52" s="102">
        <v>37.9</v>
      </c>
      <c r="C52" s="102">
        <v>12.4</v>
      </c>
      <c r="D52" s="102">
        <v>68.099999999999994</v>
      </c>
      <c r="E52" s="102">
        <v>90</v>
      </c>
      <c r="F52" s="102">
        <v>119.4</v>
      </c>
      <c r="G52" s="102">
        <v>394.5</v>
      </c>
      <c r="H52" s="102">
        <v>357.9</v>
      </c>
      <c r="I52" s="102">
        <v>84.8</v>
      </c>
      <c r="J52" s="102">
        <v>99.1</v>
      </c>
      <c r="K52" s="102">
        <v>3.4</v>
      </c>
      <c r="L52" s="102">
        <v>0.5</v>
      </c>
      <c r="M52" s="102">
        <v>16.2</v>
      </c>
      <c r="N52" s="102">
        <f t="shared" si="1"/>
        <v>208.39999999999998</v>
      </c>
      <c r="O52" s="102">
        <f t="shared" si="2"/>
        <v>1055.6999999999998</v>
      </c>
      <c r="P52" s="102">
        <f t="shared" si="3"/>
        <v>20.099999999999998</v>
      </c>
      <c r="Q52" s="102">
        <f t="shared" si="4"/>
        <v>1284.1999999999998</v>
      </c>
    </row>
    <row r="53" spans="1:33">
      <c r="A53" s="102">
        <v>2008</v>
      </c>
      <c r="B53" s="102">
        <v>22.9</v>
      </c>
      <c r="C53" s="102">
        <v>20.399999999999999</v>
      </c>
      <c r="D53" s="102">
        <v>67.8</v>
      </c>
      <c r="E53" s="102">
        <v>80.2</v>
      </c>
      <c r="F53" s="102">
        <v>210.9</v>
      </c>
      <c r="G53" s="102">
        <v>128</v>
      </c>
      <c r="H53" s="102">
        <v>243.8</v>
      </c>
      <c r="I53" s="102">
        <v>269.39999999999998</v>
      </c>
      <c r="J53" s="102">
        <v>104.9</v>
      </c>
      <c r="K53" s="102">
        <v>75.599999999999994</v>
      </c>
      <c r="L53" s="102">
        <v>166.4</v>
      </c>
      <c r="M53" s="102">
        <v>15.8</v>
      </c>
      <c r="N53" s="102">
        <f t="shared" si="1"/>
        <v>191.3</v>
      </c>
      <c r="O53" s="102">
        <f t="shared" si="2"/>
        <v>957</v>
      </c>
      <c r="P53" s="102">
        <f t="shared" si="3"/>
        <v>257.8</v>
      </c>
      <c r="Q53" s="102">
        <f t="shared" si="4"/>
        <v>1406.1000000000001</v>
      </c>
    </row>
    <row r="54" spans="1:33">
      <c r="A54" s="102">
        <v>2009</v>
      </c>
      <c r="B54" s="102">
        <v>18.5</v>
      </c>
      <c r="C54" s="102">
        <v>49.7</v>
      </c>
      <c r="D54" s="102">
        <v>61.5</v>
      </c>
      <c r="E54" s="102">
        <v>272</v>
      </c>
      <c r="F54" s="102">
        <v>153.69999999999999</v>
      </c>
      <c r="G54" s="102">
        <v>236.5</v>
      </c>
      <c r="H54" s="102">
        <v>107.4</v>
      </c>
      <c r="I54" s="102">
        <v>50.8</v>
      </c>
      <c r="J54" s="102">
        <v>90.2</v>
      </c>
      <c r="K54" s="102">
        <v>62.7</v>
      </c>
      <c r="L54" s="102">
        <v>27.9</v>
      </c>
      <c r="M54" s="102">
        <v>22.9</v>
      </c>
      <c r="N54" s="102">
        <f t="shared" si="1"/>
        <v>401.7</v>
      </c>
      <c r="O54" s="102">
        <f t="shared" si="2"/>
        <v>638.6</v>
      </c>
      <c r="P54" s="102">
        <f t="shared" si="3"/>
        <v>113.5</v>
      </c>
      <c r="Q54" s="102">
        <f t="shared" si="4"/>
        <v>1153.8000000000002</v>
      </c>
    </row>
    <row r="55" spans="1:33">
      <c r="A55" s="102">
        <v>2010</v>
      </c>
      <c r="B55" s="102">
        <v>8.4</v>
      </c>
      <c r="C55" s="102">
        <v>5.5</v>
      </c>
      <c r="D55" s="102">
        <v>16.5</v>
      </c>
      <c r="E55" s="102">
        <v>87.8</v>
      </c>
      <c r="F55" s="102">
        <v>110.3</v>
      </c>
      <c r="G55" s="102">
        <v>299.7</v>
      </c>
      <c r="H55" s="102">
        <v>294.60000000000002</v>
      </c>
      <c r="I55" s="102">
        <v>59</v>
      </c>
      <c r="J55" s="102">
        <v>213.1</v>
      </c>
      <c r="K55" s="102">
        <v>157.30000000000001</v>
      </c>
      <c r="L55" s="102">
        <v>46.1</v>
      </c>
      <c r="M55" s="102">
        <v>77.599999999999994</v>
      </c>
      <c r="N55" s="102">
        <f t="shared" si="1"/>
        <v>118.19999999999999</v>
      </c>
      <c r="O55" s="102">
        <f t="shared" si="2"/>
        <v>976.7</v>
      </c>
      <c r="P55" s="102">
        <f t="shared" si="3"/>
        <v>281</v>
      </c>
      <c r="Q55" s="102">
        <f t="shared" si="4"/>
        <v>1375.8999999999999</v>
      </c>
    </row>
    <row r="56" spans="1:33">
      <c r="A56" s="102">
        <v>2011</v>
      </c>
      <c r="B56" s="102">
        <v>20.9</v>
      </c>
      <c r="C56" s="102">
        <v>16.899999999999999</v>
      </c>
      <c r="D56" s="102">
        <v>40.9</v>
      </c>
      <c r="E56" s="102">
        <v>47</v>
      </c>
      <c r="F56" s="102">
        <v>252.9</v>
      </c>
      <c r="G56" s="102">
        <v>304.2</v>
      </c>
      <c r="H56" s="102">
        <v>55</v>
      </c>
      <c r="I56" s="102">
        <v>24</v>
      </c>
      <c r="J56" s="102">
        <v>98.9</v>
      </c>
      <c r="K56" s="102">
        <v>156.6</v>
      </c>
      <c r="L56" s="102">
        <v>55.8</v>
      </c>
      <c r="M56" s="102">
        <v>15.6</v>
      </c>
      <c r="N56" s="102">
        <f t="shared" si="1"/>
        <v>125.69999999999999</v>
      </c>
      <c r="O56" s="102">
        <f t="shared" si="2"/>
        <v>735</v>
      </c>
      <c r="P56" s="102">
        <f t="shared" si="3"/>
        <v>227.99999999999997</v>
      </c>
      <c r="Q56" s="102">
        <f t="shared" si="4"/>
        <v>1088.6999999999998</v>
      </c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</row>
    <row r="57" spans="1:33">
      <c r="A57" s="102">
        <v>2012</v>
      </c>
      <c r="B57" s="102">
        <v>40.9</v>
      </c>
      <c r="C57" s="102">
        <v>41</v>
      </c>
      <c r="D57" s="102">
        <v>73.099999999999994</v>
      </c>
      <c r="E57" s="102">
        <v>110.7</v>
      </c>
      <c r="F57" s="102">
        <v>250.7</v>
      </c>
      <c r="G57" s="102">
        <v>284.7</v>
      </c>
      <c r="H57" s="102">
        <v>303.89999999999998</v>
      </c>
      <c r="I57" s="102">
        <v>95.4</v>
      </c>
      <c r="J57" s="102">
        <v>98.6</v>
      </c>
      <c r="K57" s="102">
        <v>81.8</v>
      </c>
      <c r="L57" s="102">
        <v>59.2</v>
      </c>
      <c r="M57" s="102">
        <v>23.1</v>
      </c>
      <c r="N57" s="102">
        <f t="shared" si="1"/>
        <v>265.7</v>
      </c>
      <c r="O57" s="102">
        <f t="shared" si="2"/>
        <v>1033.3</v>
      </c>
      <c r="P57" s="102">
        <f t="shared" si="3"/>
        <v>164.1</v>
      </c>
      <c r="Q57" s="102">
        <f t="shared" si="4"/>
        <v>1463.1</v>
      </c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</row>
    <row r="58" spans="1:33">
      <c r="A58" s="102">
        <v>2013</v>
      </c>
      <c r="B58" s="102">
        <v>10</v>
      </c>
      <c r="C58" s="102">
        <v>32.200000000000003</v>
      </c>
      <c r="D58" s="102">
        <v>191.4</v>
      </c>
      <c r="E58" s="102">
        <v>105</v>
      </c>
      <c r="F58" s="102">
        <v>355.9</v>
      </c>
      <c r="G58" s="102">
        <v>188.3</v>
      </c>
      <c r="H58" s="102">
        <v>69.3</v>
      </c>
      <c r="I58" s="102">
        <v>155.30000000000001</v>
      </c>
      <c r="J58" s="102">
        <v>117</v>
      </c>
      <c r="K58" s="102">
        <v>95</v>
      </c>
      <c r="L58" s="102">
        <v>44.9</v>
      </c>
      <c r="M58" s="102">
        <v>49</v>
      </c>
      <c r="N58" s="102">
        <f t="shared" si="1"/>
        <v>338.6</v>
      </c>
      <c r="O58" s="102">
        <f t="shared" si="2"/>
        <v>885.8</v>
      </c>
      <c r="P58" s="102">
        <f t="shared" si="3"/>
        <v>188.9</v>
      </c>
      <c r="Q58" s="102">
        <f t="shared" si="4"/>
        <v>1413.3</v>
      </c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</row>
    <row r="59" spans="1:33">
      <c r="A59" s="102">
        <v>2014</v>
      </c>
      <c r="B59" s="133">
        <v>9.5</v>
      </c>
      <c r="C59" s="133">
        <v>48.1</v>
      </c>
      <c r="D59" s="133">
        <v>121.6</v>
      </c>
      <c r="E59" s="133">
        <v>95.2</v>
      </c>
      <c r="F59" s="133">
        <v>144.4</v>
      </c>
      <c r="G59" s="133">
        <v>179.9</v>
      </c>
      <c r="H59" s="133">
        <v>310.5</v>
      </c>
      <c r="I59" s="133">
        <v>164.5</v>
      </c>
      <c r="J59" s="133">
        <v>228.2</v>
      </c>
      <c r="K59" s="133">
        <v>150</v>
      </c>
      <c r="L59" s="133">
        <v>115</v>
      </c>
      <c r="M59" s="133">
        <v>9.3000000000000007</v>
      </c>
      <c r="N59" s="102">
        <f t="shared" si="1"/>
        <v>274.39999999999998</v>
      </c>
      <c r="O59" s="102">
        <f t="shared" si="2"/>
        <v>1027.5</v>
      </c>
      <c r="P59" s="102">
        <f t="shared" si="3"/>
        <v>274.3</v>
      </c>
      <c r="Q59" s="102">
        <f t="shared" si="4"/>
        <v>1576.1999999999998</v>
      </c>
    </row>
    <row r="60" spans="1:33">
      <c r="A60" s="102">
        <v>2015</v>
      </c>
      <c r="B60" s="133">
        <v>45.9</v>
      </c>
      <c r="C60" s="133">
        <v>30.4</v>
      </c>
      <c r="D60" s="133">
        <v>36.6</v>
      </c>
      <c r="E60" s="133">
        <v>56.9</v>
      </c>
      <c r="F60" s="133">
        <v>544.20000000000005</v>
      </c>
      <c r="G60" s="133">
        <v>599</v>
      </c>
      <c r="H60" s="133">
        <v>129.69999999999999</v>
      </c>
      <c r="I60" s="133">
        <v>214</v>
      </c>
      <c r="J60" s="133">
        <v>119</v>
      </c>
      <c r="K60" s="133">
        <v>105.8</v>
      </c>
      <c r="L60" s="133">
        <v>85.7</v>
      </c>
      <c r="M60" s="133">
        <v>74.2</v>
      </c>
      <c r="N60" s="102">
        <f t="shared" si="1"/>
        <v>169.8</v>
      </c>
      <c r="O60" s="102">
        <f t="shared" si="2"/>
        <v>1605.9</v>
      </c>
      <c r="P60" s="102">
        <f t="shared" si="3"/>
        <v>265.7</v>
      </c>
      <c r="Q60" s="102">
        <f t="shared" si="4"/>
        <v>2041.4</v>
      </c>
    </row>
    <row r="61" spans="1:33" s="108" customFormat="1" ht="13.5">
      <c r="A61" s="108">
        <v>2016</v>
      </c>
      <c r="B61" s="108">
        <v>64.5</v>
      </c>
      <c r="C61" s="108">
        <v>10</v>
      </c>
      <c r="D61" s="108">
        <v>73.099999999999994</v>
      </c>
      <c r="E61" s="108">
        <v>229.2</v>
      </c>
      <c r="F61" s="108">
        <v>200.1</v>
      </c>
      <c r="G61" s="108">
        <v>187.2</v>
      </c>
      <c r="H61" s="108">
        <v>251.1</v>
      </c>
      <c r="I61" s="108">
        <v>211.3</v>
      </c>
      <c r="J61" s="108">
        <v>44.5</v>
      </c>
      <c r="K61" s="108">
        <v>80.5</v>
      </c>
      <c r="L61" s="108">
        <v>72.7</v>
      </c>
      <c r="M61" s="108">
        <v>30.8</v>
      </c>
      <c r="N61" s="108">
        <f>SUM(B61:E61)</f>
        <v>376.79999999999995</v>
      </c>
      <c r="O61" s="108">
        <f>SUM(F61:J61)</f>
        <v>894.2</v>
      </c>
      <c r="P61" s="108">
        <f>SUM(K61:M61)</f>
        <v>184</v>
      </c>
      <c r="Q61" s="108">
        <f>SUM(B61:M61)</f>
        <v>1455</v>
      </c>
      <c r="R61" s="129">
        <f t="shared" ref="R61:AG61" si="5">100*(B61-B4)/B4</f>
        <v>111.45064980681418</v>
      </c>
      <c r="S61" s="129">
        <f t="shared" si="5"/>
        <v>-72.226355205078619</v>
      </c>
      <c r="T61" s="129">
        <f t="shared" si="5"/>
        <v>27.976990652452535</v>
      </c>
      <c r="U61" s="129">
        <f t="shared" si="5"/>
        <v>82.676268822407579</v>
      </c>
      <c r="V61" s="129">
        <f t="shared" si="5"/>
        <v>-3.4923478395672918</v>
      </c>
      <c r="W61" s="129">
        <f t="shared" si="5"/>
        <v>-29.161345253299277</v>
      </c>
      <c r="X61" s="129">
        <f t="shared" si="5"/>
        <v>10.890651861899316</v>
      </c>
      <c r="Y61" s="129">
        <f t="shared" si="5"/>
        <v>32.439420224970647</v>
      </c>
      <c r="Z61" s="129">
        <f t="shared" si="5"/>
        <v>-56.65031485927009</v>
      </c>
      <c r="AA61" s="129">
        <f t="shared" si="5"/>
        <v>-26.013458066633845</v>
      </c>
      <c r="AB61" s="129">
        <f t="shared" si="5"/>
        <v>15.892852059551938</v>
      </c>
      <c r="AC61" s="129">
        <f t="shared" si="5"/>
        <v>9.4346805405748864</v>
      </c>
      <c r="AD61" s="129">
        <f t="shared" si="5"/>
        <v>51.266721149296714</v>
      </c>
      <c r="AE61" s="129">
        <f t="shared" si="5"/>
        <v>-6.8775512101685736</v>
      </c>
      <c r="AF61" s="129">
        <f t="shared" si="5"/>
        <v>-7.8519048470756383</v>
      </c>
      <c r="AG61" s="129">
        <f t="shared" si="5"/>
        <v>3.2635489050743369</v>
      </c>
    </row>
  </sheetData>
  <mergeCells count="6">
    <mergeCell ref="A1:A3"/>
    <mergeCell ref="B1:Q1"/>
    <mergeCell ref="B2:M2"/>
    <mergeCell ref="R1:AG1"/>
    <mergeCell ref="N2:Q2"/>
    <mergeCell ref="R2:AG2"/>
  </mergeCells>
  <phoneticPr fontId="2" type="noConversion"/>
  <pageMargins left="0.75" right="0.75" top="1" bottom="1" header="0.5" footer="0.5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>
  <sheetPr codeName="Sheet34"/>
  <dimension ref="A1:AG38"/>
  <sheetViews>
    <sheetView topLeftCell="D1" zoomScale="85" zoomScaleNormal="85" workbookViewId="0">
      <pane ySplit="5" topLeftCell="A6" activePane="bottomLeft" state="frozen"/>
      <selection pane="bottomLeft" activeCell="R38" sqref="R38"/>
    </sheetView>
  </sheetViews>
  <sheetFormatPr defaultRowHeight="12"/>
  <cols>
    <col min="1" max="16384" width="9" style="102"/>
  </cols>
  <sheetData>
    <row r="1" spans="1:33" s="118" customFormat="1" ht="14.25" customHeight="1">
      <c r="A1" s="176" t="s">
        <v>53</v>
      </c>
      <c r="B1" s="176" t="s">
        <v>171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2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116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32</v>
      </c>
      <c r="O2" s="176"/>
      <c r="P2" s="176"/>
      <c r="Q2" s="176"/>
      <c r="R2" s="176" t="s">
        <v>38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>
      <c r="A3" s="176"/>
      <c r="B3" s="124" t="s">
        <v>149</v>
      </c>
      <c r="C3" s="124" t="s">
        <v>150</v>
      </c>
      <c r="D3" s="124" t="s">
        <v>9</v>
      </c>
      <c r="E3" s="124" t="s">
        <v>10</v>
      </c>
      <c r="F3" s="124" t="s">
        <v>11</v>
      </c>
      <c r="G3" s="124" t="s">
        <v>12</v>
      </c>
      <c r="H3" s="124" t="s">
        <v>13</v>
      </c>
      <c r="I3" s="124" t="s">
        <v>14</v>
      </c>
      <c r="J3" s="124" t="s">
        <v>15</v>
      </c>
      <c r="K3" s="124" t="s">
        <v>16</v>
      </c>
      <c r="L3" s="124" t="s">
        <v>17</v>
      </c>
      <c r="M3" s="124" t="s">
        <v>18</v>
      </c>
      <c r="N3" s="124" t="s">
        <v>145</v>
      </c>
      <c r="O3" s="124" t="s">
        <v>146</v>
      </c>
      <c r="P3" s="124" t="s">
        <v>147</v>
      </c>
      <c r="Q3" s="124" t="s">
        <v>148</v>
      </c>
      <c r="R3" s="124" t="s">
        <v>149</v>
      </c>
      <c r="S3" s="124" t="s">
        <v>150</v>
      </c>
      <c r="T3" s="124" t="s">
        <v>151</v>
      </c>
      <c r="U3" s="124" t="s">
        <v>152</v>
      </c>
      <c r="V3" s="124" t="s">
        <v>153</v>
      </c>
      <c r="W3" s="124" t="s">
        <v>154</v>
      </c>
      <c r="X3" s="124" t="s">
        <v>25</v>
      </c>
      <c r="Y3" s="124" t="s">
        <v>26</v>
      </c>
      <c r="Z3" s="124" t="s">
        <v>27</v>
      </c>
      <c r="AA3" s="124" t="s">
        <v>155</v>
      </c>
      <c r="AB3" s="124" t="s">
        <v>156</v>
      </c>
      <c r="AC3" s="124" t="s">
        <v>157</v>
      </c>
      <c r="AD3" s="124" t="s">
        <v>90</v>
      </c>
      <c r="AE3" s="124" t="s">
        <v>42</v>
      </c>
      <c r="AF3" s="124" t="s">
        <v>111</v>
      </c>
      <c r="AG3" s="124" t="s">
        <v>66</v>
      </c>
    </row>
    <row r="4" spans="1:33" s="118" customFormat="1">
      <c r="A4" s="150" t="s">
        <v>261</v>
      </c>
      <c r="B4" s="150">
        <f t="shared" ref="B4:Q4" si="0">AVERAGE(B5:B37)</f>
        <v>21.257575757575761</v>
      </c>
      <c r="C4" s="150">
        <f t="shared" si="0"/>
        <v>21.348484848484855</v>
      </c>
      <c r="D4" s="150">
        <f t="shared" si="0"/>
        <v>41.372727272727275</v>
      </c>
      <c r="E4" s="150">
        <f t="shared" si="0"/>
        <v>72.163636363636357</v>
      </c>
      <c r="F4" s="150">
        <f t="shared" si="0"/>
        <v>198.83030303030304</v>
      </c>
      <c r="G4" s="150">
        <f t="shared" si="0"/>
        <v>232.67575757575753</v>
      </c>
      <c r="H4" s="150">
        <f t="shared" si="0"/>
        <v>206.48181818181817</v>
      </c>
      <c r="I4" s="150">
        <f t="shared" si="0"/>
        <v>143.22121212121209</v>
      </c>
      <c r="J4" s="150">
        <f t="shared" si="0"/>
        <v>89.966666666666654</v>
      </c>
      <c r="K4" s="150">
        <f t="shared" si="0"/>
        <v>86.027272727272717</v>
      </c>
      <c r="L4" s="150">
        <f t="shared" si="0"/>
        <v>36.284848484848489</v>
      </c>
      <c r="M4" s="150">
        <f t="shared" si="0"/>
        <v>18.648484848484845</v>
      </c>
      <c r="N4" s="150">
        <f t="shared" si="0"/>
        <v>156.14242424242423</v>
      </c>
      <c r="O4" s="150">
        <f t="shared" si="0"/>
        <v>871.17575757575742</v>
      </c>
      <c r="P4" s="150">
        <f t="shared" si="0"/>
        <v>140.96060606060607</v>
      </c>
      <c r="Q4" s="150">
        <f t="shared" si="0"/>
        <v>1168.2787878787879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1983</v>
      </c>
      <c r="B5" s="102">
        <v>46.6</v>
      </c>
      <c r="C5" s="102">
        <v>36.6</v>
      </c>
      <c r="D5" s="102">
        <v>46.5</v>
      </c>
      <c r="E5" s="102">
        <v>121.4</v>
      </c>
      <c r="F5" s="102">
        <v>254.8</v>
      </c>
      <c r="G5" s="102">
        <v>207.8</v>
      </c>
      <c r="H5" s="102">
        <v>213.6</v>
      </c>
      <c r="I5" s="102">
        <v>218.4</v>
      </c>
      <c r="J5" s="102">
        <v>143.30000000000001</v>
      </c>
      <c r="K5" s="102">
        <v>67.400000000000006</v>
      </c>
      <c r="L5" s="102">
        <v>45</v>
      </c>
      <c r="M5" s="102">
        <v>26.8</v>
      </c>
      <c r="N5" s="102">
        <f>SUM(B5:E5)</f>
        <v>251.1</v>
      </c>
      <c r="O5" s="102">
        <f>SUM(F5:J5)</f>
        <v>1037.9000000000001</v>
      </c>
      <c r="P5" s="102">
        <f>SUM(K5:M5)</f>
        <v>139.20000000000002</v>
      </c>
      <c r="Q5" s="102">
        <f>SUM(B5:M5)</f>
        <v>1428.2</v>
      </c>
    </row>
    <row r="6" spans="1:33">
      <c r="A6" s="102">
        <v>1984</v>
      </c>
      <c r="B6" s="102">
        <v>22.7</v>
      </c>
      <c r="C6" s="102">
        <v>11.2</v>
      </c>
      <c r="D6" s="102">
        <v>19.899999999999999</v>
      </c>
      <c r="E6" s="102">
        <v>123.5</v>
      </c>
      <c r="F6" s="102">
        <v>186.2</v>
      </c>
      <c r="G6" s="102">
        <v>223.2</v>
      </c>
      <c r="H6" s="102">
        <v>212.1</v>
      </c>
      <c r="I6" s="102">
        <v>171.2</v>
      </c>
      <c r="J6" s="102">
        <v>78.7</v>
      </c>
      <c r="K6" s="102">
        <v>84.7</v>
      </c>
      <c r="L6" s="102">
        <v>47.6</v>
      </c>
      <c r="M6" s="102">
        <v>23.6</v>
      </c>
      <c r="N6" s="102">
        <f t="shared" ref="N6:N37" si="1">SUM(B6:E6)</f>
        <v>177.3</v>
      </c>
      <c r="O6" s="102">
        <f t="shared" ref="O6:O37" si="2">SUM(F6:J6)</f>
        <v>871.40000000000009</v>
      </c>
      <c r="P6" s="102">
        <f t="shared" ref="P6:P37" si="3">SUM(K6:M6)</f>
        <v>155.9</v>
      </c>
      <c r="Q6" s="102">
        <f t="shared" ref="Q6:Q37" si="4">SUM(B6:M6)</f>
        <v>1204.5999999999999</v>
      </c>
    </row>
    <row r="7" spans="1:33">
      <c r="A7" s="102">
        <v>1985</v>
      </c>
      <c r="B7" s="102">
        <v>15.4</v>
      </c>
      <c r="C7" s="102">
        <v>24.8</v>
      </c>
      <c r="D7" s="102">
        <v>28.6</v>
      </c>
      <c r="E7" s="102">
        <v>96.1</v>
      </c>
      <c r="F7" s="102">
        <v>307.60000000000002</v>
      </c>
      <c r="G7" s="102">
        <v>271.5</v>
      </c>
      <c r="H7" s="102">
        <v>254.8</v>
      </c>
      <c r="I7" s="102">
        <v>145.9</v>
      </c>
      <c r="J7" s="102">
        <v>45.1</v>
      </c>
      <c r="K7" s="102">
        <v>61.4</v>
      </c>
      <c r="L7" s="102">
        <v>30.3</v>
      </c>
      <c r="M7" s="102">
        <v>21.8</v>
      </c>
      <c r="N7" s="102">
        <f t="shared" si="1"/>
        <v>164.9</v>
      </c>
      <c r="O7" s="102">
        <f t="shared" si="2"/>
        <v>1024.9000000000001</v>
      </c>
      <c r="P7" s="102">
        <f t="shared" si="3"/>
        <v>113.5</v>
      </c>
      <c r="Q7" s="102">
        <f t="shared" si="4"/>
        <v>1303.3</v>
      </c>
    </row>
    <row r="8" spans="1:33">
      <c r="A8" s="102">
        <v>1986</v>
      </c>
      <c r="B8" s="102">
        <v>7.6</v>
      </c>
      <c r="C8" s="102">
        <v>11.1</v>
      </c>
      <c r="D8" s="102">
        <v>56.2</v>
      </c>
      <c r="E8" s="102">
        <v>72.7</v>
      </c>
      <c r="F8" s="102">
        <v>118.4</v>
      </c>
      <c r="G8" s="102">
        <v>125.7</v>
      </c>
      <c r="H8" s="102">
        <v>178.6</v>
      </c>
      <c r="I8" s="102">
        <v>156.9</v>
      </c>
      <c r="J8" s="102">
        <v>87.5</v>
      </c>
      <c r="K8" s="102">
        <v>102.4</v>
      </c>
      <c r="L8" s="102">
        <v>28.1</v>
      </c>
      <c r="M8" s="102">
        <v>3.7</v>
      </c>
      <c r="N8" s="102">
        <f t="shared" si="1"/>
        <v>147.60000000000002</v>
      </c>
      <c r="O8" s="102">
        <f t="shared" si="2"/>
        <v>667.1</v>
      </c>
      <c r="P8" s="102">
        <f t="shared" si="3"/>
        <v>134.19999999999999</v>
      </c>
      <c r="Q8" s="102">
        <f t="shared" si="4"/>
        <v>948.9</v>
      </c>
    </row>
    <row r="9" spans="1:33">
      <c r="A9" s="102">
        <v>1987</v>
      </c>
      <c r="B9" s="102">
        <v>16.3</v>
      </c>
      <c r="C9" s="102">
        <v>4.5</v>
      </c>
      <c r="D9" s="102">
        <v>24.3</v>
      </c>
      <c r="E9" s="102">
        <v>12.8</v>
      </c>
      <c r="F9" s="102">
        <v>95.1</v>
      </c>
      <c r="G9" s="102">
        <v>190.5</v>
      </c>
      <c r="H9" s="102">
        <v>256.60000000000002</v>
      </c>
      <c r="I9" s="102">
        <v>220.4</v>
      </c>
      <c r="J9" s="102">
        <v>62.9</v>
      </c>
      <c r="K9" s="102">
        <v>205.6</v>
      </c>
      <c r="L9" s="102">
        <v>59.9</v>
      </c>
      <c r="M9" s="102">
        <v>0.9</v>
      </c>
      <c r="N9" s="102">
        <f t="shared" si="1"/>
        <v>57.900000000000006</v>
      </c>
      <c r="O9" s="102">
        <f t="shared" si="2"/>
        <v>825.5</v>
      </c>
      <c r="P9" s="102">
        <f t="shared" si="3"/>
        <v>266.39999999999998</v>
      </c>
      <c r="Q9" s="102">
        <f t="shared" si="4"/>
        <v>1149.8000000000002</v>
      </c>
    </row>
    <row r="10" spans="1:33">
      <c r="A10" s="102">
        <v>1988</v>
      </c>
      <c r="B10" s="102">
        <v>13.8</v>
      </c>
      <c r="C10" s="102">
        <v>24.7</v>
      </c>
      <c r="D10" s="102">
        <v>10.6</v>
      </c>
      <c r="E10" s="102">
        <v>39</v>
      </c>
      <c r="F10" s="102">
        <v>67.7</v>
      </c>
      <c r="G10" s="102">
        <v>401.1</v>
      </c>
      <c r="H10" s="102">
        <v>75.2</v>
      </c>
      <c r="I10" s="102">
        <v>269.60000000000002</v>
      </c>
      <c r="J10" s="102">
        <v>348.7</v>
      </c>
      <c r="K10" s="102">
        <v>61.6</v>
      </c>
      <c r="L10" s="102">
        <v>1.1000000000000001</v>
      </c>
      <c r="M10" s="102">
        <v>7</v>
      </c>
      <c r="N10" s="102">
        <f t="shared" si="1"/>
        <v>88.1</v>
      </c>
      <c r="O10" s="102">
        <f t="shared" si="2"/>
        <v>1162.3</v>
      </c>
      <c r="P10" s="102">
        <f t="shared" si="3"/>
        <v>69.7</v>
      </c>
      <c r="Q10" s="102">
        <f t="shared" si="4"/>
        <v>1320.1</v>
      </c>
    </row>
    <row r="11" spans="1:33">
      <c r="A11" s="102">
        <v>1989</v>
      </c>
      <c r="B11" s="102">
        <v>6.4</v>
      </c>
      <c r="C11" s="102">
        <v>20.6</v>
      </c>
      <c r="D11" s="102">
        <v>48.8</v>
      </c>
      <c r="E11" s="102">
        <v>19.3</v>
      </c>
      <c r="F11" s="102">
        <v>163</v>
      </c>
      <c r="G11" s="102">
        <v>144.80000000000001</v>
      </c>
      <c r="H11" s="102">
        <v>61</v>
      </c>
      <c r="I11" s="102">
        <v>107.2</v>
      </c>
      <c r="J11" s="102">
        <v>44.3</v>
      </c>
      <c r="K11" s="102">
        <v>94.8</v>
      </c>
      <c r="L11" s="102">
        <v>26</v>
      </c>
      <c r="M11" s="102">
        <v>18.5</v>
      </c>
      <c r="N11" s="102">
        <f t="shared" si="1"/>
        <v>95.1</v>
      </c>
      <c r="O11" s="102">
        <f t="shared" si="2"/>
        <v>520.29999999999995</v>
      </c>
      <c r="P11" s="102">
        <f t="shared" si="3"/>
        <v>139.30000000000001</v>
      </c>
      <c r="Q11" s="102">
        <f t="shared" si="4"/>
        <v>754.69999999999993</v>
      </c>
    </row>
    <row r="12" spans="1:33">
      <c r="A12" s="102">
        <v>1990</v>
      </c>
      <c r="B12" s="102">
        <v>21.6</v>
      </c>
      <c r="C12" s="102">
        <v>26.4</v>
      </c>
      <c r="D12" s="102">
        <v>98.1</v>
      </c>
      <c r="E12" s="102">
        <v>73.8</v>
      </c>
      <c r="F12" s="102">
        <v>156.1</v>
      </c>
      <c r="G12" s="102">
        <v>314.60000000000002</v>
      </c>
      <c r="H12" s="102">
        <v>149.1</v>
      </c>
      <c r="I12" s="102">
        <v>71.2</v>
      </c>
      <c r="J12" s="102">
        <v>103.5</v>
      </c>
      <c r="K12" s="102">
        <v>48.4</v>
      </c>
      <c r="L12" s="102">
        <v>34.700000000000003</v>
      </c>
      <c r="M12" s="102">
        <v>11.8</v>
      </c>
      <c r="N12" s="102">
        <f t="shared" si="1"/>
        <v>219.89999999999998</v>
      </c>
      <c r="O12" s="102">
        <f t="shared" si="2"/>
        <v>794.50000000000011</v>
      </c>
      <c r="P12" s="102">
        <f t="shared" si="3"/>
        <v>94.899999999999991</v>
      </c>
      <c r="Q12" s="102">
        <f t="shared" si="4"/>
        <v>1109.3000000000002</v>
      </c>
    </row>
    <row r="13" spans="1:33">
      <c r="A13" s="102">
        <v>1991</v>
      </c>
      <c r="B13" s="102">
        <v>45.3</v>
      </c>
      <c r="C13" s="102">
        <v>9.6999999999999993</v>
      </c>
      <c r="D13" s="102">
        <v>62.8</v>
      </c>
      <c r="E13" s="102">
        <v>38</v>
      </c>
      <c r="F13" s="102">
        <v>165.8</v>
      </c>
      <c r="G13" s="102">
        <v>193.8</v>
      </c>
      <c r="H13" s="102">
        <v>401.5</v>
      </c>
      <c r="I13" s="102">
        <v>143</v>
      </c>
      <c r="J13" s="102">
        <v>37.700000000000003</v>
      </c>
      <c r="K13" s="102">
        <v>45.9</v>
      </c>
      <c r="L13" s="102">
        <v>54.3</v>
      </c>
      <c r="M13" s="102">
        <v>21.3</v>
      </c>
      <c r="N13" s="102">
        <f t="shared" si="1"/>
        <v>155.80000000000001</v>
      </c>
      <c r="O13" s="102">
        <f t="shared" si="2"/>
        <v>941.80000000000007</v>
      </c>
      <c r="P13" s="102">
        <f t="shared" si="3"/>
        <v>121.49999999999999</v>
      </c>
      <c r="Q13" s="102">
        <f t="shared" si="4"/>
        <v>1219.1000000000001</v>
      </c>
    </row>
    <row r="14" spans="1:33">
      <c r="A14" s="102">
        <v>1992</v>
      </c>
      <c r="B14" s="102">
        <v>55.3</v>
      </c>
      <c r="C14" s="102">
        <v>53.1</v>
      </c>
      <c r="D14" s="102">
        <v>62.1</v>
      </c>
      <c r="E14" s="102">
        <v>115.9</v>
      </c>
      <c r="F14" s="102">
        <v>207.5</v>
      </c>
      <c r="G14" s="102">
        <v>244.4</v>
      </c>
      <c r="H14" s="102">
        <v>188.3</v>
      </c>
      <c r="I14" s="102">
        <v>33.1</v>
      </c>
      <c r="J14" s="102">
        <v>34.700000000000003</v>
      </c>
      <c r="K14" s="102">
        <v>68</v>
      </c>
      <c r="L14" s="102">
        <v>11.3</v>
      </c>
      <c r="M14" s="102">
        <v>26.5</v>
      </c>
      <c r="N14" s="102">
        <f t="shared" si="1"/>
        <v>286.39999999999998</v>
      </c>
      <c r="O14" s="102">
        <f t="shared" si="2"/>
        <v>708.00000000000011</v>
      </c>
      <c r="P14" s="102">
        <f t="shared" si="3"/>
        <v>105.8</v>
      </c>
      <c r="Q14" s="102">
        <f t="shared" si="4"/>
        <v>1100.2</v>
      </c>
    </row>
    <row r="15" spans="1:33">
      <c r="A15" s="102">
        <v>1993</v>
      </c>
      <c r="B15" s="102">
        <v>33</v>
      </c>
      <c r="C15" s="102">
        <v>54.2</v>
      </c>
      <c r="D15" s="102">
        <v>6</v>
      </c>
      <c r="E15" s="102">
        <v>94.3</v>
      </c>
      <c r="F15" s="102">
        <v>145.19999999999999</v>
      </c>
      <c r="G15" s="102">
        <v>190.7</v>
      </c>
      <c r="H15" s="102">
        <v>306.39999999999998</v>
      </c>
      <c r="I15" s="102">
        <v>154.9</v>
      </c>
      <c r="J15" s="102">
        <v>202.6</v>
      </c>
      <c r="K15" s="102">
        <v>29.9</v>
      </c>
      <c r="L15" s="102">
        <v>33.1</v>
      </c>
      <c r="M15" s="102">
        <v>4.7</v>
      </c>
      <c r="N15" s="102">
        <f t="shared" si="1"/>
        <v>187.5</v>
      </c>
      <c r="O15" s="102">
        <f t="shared" si="2"/>
        <v>999.8</v>
      </c>
      <c r="P15" s="102">
        <f t="shared" si="3"/>
        <v>67.7</v>
      </c>
      <c r="Q15" s="102">
        <f t="shared" si="4"/>
        <v>1255</v>
      </c>
    </row>
    <row r="16" spans="1:33">
      <c r="A16" s="102">
        <v>1994</v>
      </c>
      <c r="B16" s="102">
        <v>12.2</v>
      </c>
      <c r="C16" s="102">
        <v>11.4</v>
      </c>
      <c r="D16" s="102">
        <v>65.8</v>
      </c>
      <c r="E16" s="102">
        <v>62</v>
      </c>
      <c r="F16" s="102">
        <v>245.7</v>
      </c>
      <c r="G16" s="102">
        <v>207.2</v>
      </c>
      <c r="H16" s="102">
        <v>145.1</v>
      </c>
      <c r="I16" s="102">
        <v>109.2</v>
      </c>
      <c r="J16" s="102">
        <v>89.2</v>
      </c>
      <c r="K16" s="102">
        <v>122</v>
      </c>
      <c r="L16" s="102">
        <v>79.099999999999994</v>
      </c>
      <c r="M16" s="102">
        <v>27.2</v>
      </c>
      <c r="N16" s="102">
        <f t="shared" si="1"/>
        <v>151.4</v>
      </c>
      <c r="O16" s="102">
        <f t="shared" si="2"/>
        <v>796.40000000000009</v>
      </c>
      <c r="P16" s="102">
        <f t="shared" si="3"/>
        <v>228.29999999999998</v>
      </c>
      <c r="Q16" s="102">
        <f t="shared" si="4"/>
        <v>1176.1000000000001</v>
      </c>
    </row>
    <row r="17" spans="1:17">
      <c r="A17" s="102">
        <v>1995</v>
      </c>
      <c r="B17" s="102">
        <v>19.100000000000001</v>
      </c>
      <c r="C17" s="102">
        <v>57.6</v>
      </c>
      <c r="D17" s="102">
        <v>17.5</v>
      </c>
      <c r="E17" s="102">
        <v>49.9</v>
      </c>
      <c r="F17" s="102">
        <v>271.39999999999998</v>
      </c>
      <c r="G17" s="102">
        <v>183.1</v>
      </c>
      <c r="H17" s="102">
        <v>146</v>
      </c>
      <c r="I17" s="102">
        <v>136.1</v>
      </c>
      <c r="J17" s="102">
        <v>154</v>
      </c>
      <c r="K17" s="102">
        <v>41.1</v>
      </c>
      <c r="L17" s="102">
        <v>54.6</v>
      </c>
      <c r="M17" s="102">
        <v>1</v>
      </c>
      <c r="N17" s="102">
        <f t="shared" si="1"/>
        <v>144.1</v>
      </c>
      <c r="O17" s="102">
        <f t="shared" si="2"/>
        <v>890.6</v>
      </c>
      <c r="P17" s="102">
        <f t="shared" si="3"/>
        <v>96.7</v>
      </c>
      <c r="Q17" s="102">
        <f t="shared" si="4"/>
        <v>1131.3999999999999</v>
      </c>
    </row>
    <row r="18" spans="1:17">
      <c r="A18" s="102">
        <v>1996</v>
      </c>
      <c r="B18" s="102">
        <v>12.7</v>
      </c>
      <c r="C18" s="102">
        <v>4.5999999999999996</v>
      </c>
      <c r="D18" s="102">
        <v>94.5</v>
      </c>
      <c r="E18" s="102">
        <v>90.2</v>
      </c>
      <c r="F18" s="102">
        <v>196</v>
      </c>
      <c r="G18" s="102">
        <v>192.1</v>
      </c>
      <c r="H18" s="102">
        <v>339.6</v>
      </c>
      <c r="I18" s="102">
        <v>124.9</v>
      </c>
      <c r="J18" s="102">
        <v>7.1</v>
      </c>
      <c r="K18" s="102">
        <v>33</v>
      </c>
      <c r="L18" s="102">
        <v>58.6</v>
      </c>
      <c r="M18" s="102">
        <v>18</v>
      </c>
      <c r="N18" s="102">
        <f t="shared" si="1"/>
        <v>202</v>
      </c>
      <c r="O18" s="102">
        <f t="shared" si="2"/>
        <v>859.7</v>
      </c>
      <c r="P18" s="102">
        <f t="shared" si="3"/>
        <v>109.6</v>
      </c>
      <c r="Q18" s="102">
        <f t="shared" si="4"/>
        <v>1171.3</v>
      </c>
    </row>
    <row r="19" spans="1:17">
      <c r="A19" s="102">
        <v>1997</v>
      </c>
      <c r="B19" s="102">
        <v>34.4</v>
      </c>
      <c r="C19" s="102">
        <v>56.5</v>
      </c>
      <c r="D19" s="102">
        <v>34.4</v>
      </c>
      <c r="E19" s="102">
        <v>98.9</v>
      </c>
      <c r="F19" s="102">
        <v>127.2</v>
      </c>
      <c r="G19" s="102">
        <v>220.6</v>
      </c>
      <c r="H19" s="102">
        <v>290</v>
      </c>
      <c r="I19" s="102">
        <v>40.1</v>
      </c>
      <c r="J19" s="102">
        <v>157.5</v>
      </c>
      <c r="K19" s="102">
        <v>225.4</v>
      </c>
      <c r="L19" s="102">
        <v>20.8</v>
      </c>
      <c r="M19" s="102">
        <v>14.5</v>
      </c>
      <c r="N19" s="102">
        <f t="shared" si="1"/>
        <v>224.20000000000002</v>
      </c>
      <c r="O19" s="102">
        <f t="shared" si="2"/>
        <v>835.4</v>
      </c>
      <c r="P19" s="102">
        <f t="shared" si="3"/>
        <v>260.70000000000005</v>
      </c>
      <c r="Q19" s="102">
        <f t="shared" si="4"/>
        <v>1320.3</v>
      </c>
    </row>
    <row r="20" spans="1:17">
      <c r="A20" s="102">
        <v>1998</v>
      </c>
      <c r="B20" s="102">
        <v>24.2</v>
      </c>
      <c r="C20" s="102">
        <v>18.3</v>
      </c>
      <c r="D20" s="102">
        <v>25.3</v>
      </c>
      <c r="E20" s="102">
        <v>38.299999999999997</v>
      </c>
      <c r="F20" s="102">
        <v>154</v>
      </c>
      <c r="G20" s="102">
        <v>419.6</v>
      </c>
      <c r="H20" s="102">
        <v>225.3</v>
      </c>
      <c r="I20" s="102">
        <v>155.4</v>
      </c>
      <c r="J20" s="102">
        <v>9.3000000000000007</v>
      </c>
      <c r="K20" s="102">
        <v>87.8</v>
      </c>
      <c r="L20" s="102">
        <v>22.4</v>
      </c>
      <c r="M20" s="102">
        <v>17.8</v>
      </c>
      <c r="N20" s="102">
        <f t="shared" si="1"/>
        <v>106.1</v>
      </c>
      <c r="O20" s="102">
        <f t="shared" si="2"/>
        <v>963.6</v>
      </c>
      <c r="P20" s="102">
        <f t="shared" si="3"/>
        <v>127.99999999999999</v>
      </c>
      <c r="Q20" s="102">
        <f t="shared" si="4"/>
        <v>1197.7</v>
      </c>
    </row>
    <row r="21" spans="1:17">
      <c r="A21" s="102">
        <v>1999</v>
      </c>
      <c r="B21" s="102">
        <v>19.3</v>
      </c>
      <c r="C21" s="102">
        <v>6</v>
      </c>
      <c r="D21" s="102">
        <v>23.5</v>
      </c>
      <c r="E21" s="102">
        <v>44.1</v>
      </c>
      <c r="F21" s="102">
        <v>114.3</v>
      </c>
      <c r="G21" s="102">
        <v>207.8</v>
      </c>
      <c r="H21" s="102">
        <v>427.4</v>
      </c>
      <c r="I21" s="102">
        <v>253.7</v>
      </c>
      <c r="J21" s="102">
        <v>95.5</v>
      </c>
      <c r="K21" s="102">
        <v>111.8</v>
      </c>
      <c r="L21" s="102">
        <v>62.2</v>
      </c>
      <c r="M21" s="102">
        <v>0.7</v>
      </c>
      <c r="N21" s="102">
        <f t="shared" si="1"/>
        <v>92.9</v>
      </c>
      <c r="O21" s="102">
        <f t="shared" si="2"/>
        <v>1098.7</v>
      </c>
      <c r="P21" s="102">
        <f t="shared" si="3"/>
        <v>174.7</v>
      </c>
      <c r="Q21" s="102">
        <f t="shared" si="4"/>
        <v>1366.3</v>
      </c>
    </row>
    <row r="22" spans="1:17">
      <c r="A22" s="102">
        <v>2000</v>
      </c>
      <c r="B22" s="102">
        <v>16</v>
      </c>
      <c r="C22" s="102">
        <v>24.1</v>
      </c>
      <c r="D22" s="102">
        <v>61.4</v>
      </c>
      <c r="E22" s="102">
        <v>74.8</v>
      </c>
      <c r="F22" s="102">
        <v>196.4</v>
      </c>
      <c r="G22" s="102">
        <v>448.8</v>
      </c>
      <c r="H22" s="102">
        <v>124.7</v>
      </c>
      <c r="I22" s="102">
        <v>142.80000000000001</v>
      </c>
      <c r="J22" s="102">
        <v>34.6</v>
      </c>
      <c r="K22" s="102">
        <v>61</v>
      </c>
      <c r="L22" s="102">
        <v>35.9</v>
      </c>
      <c r="M22" s="102">
        <v>23.3</v>
      </c>
      <c r="N22" s="102">
        <f t="shared" si="1"/>
        <v>176.3</v>
      </c>
      <c r="O22" s="102">
        <f t="shared" si="2"/>
        <v>947.30000000000007</v>
      </c>
      <c r="P22" s="102">
        <f t="shared" si="3"/>
        <v>120.2</v>
      </c>
      <c r="Q22" s="102">
        <f t="shared" si="4"/>
        <v>1243.8</v>
      </c>
    </row>
    <row r="23" spans="1:17">
      <c r="A23" s="102">
        <v>2001</v>
      </c>
      <c r="B23" s="102">
        <v>9.6</v>
      </c>
      <c r="C23" s="102">
        <v>12.2</v>
      </c>
      <c r="D23" s="102">
        <v>33.6</v>
      </c>
      <c r="E23" s="102">
        <v>51</v>
      </c>
      <c r="F23" s="102">
        <v>240</v>
      </c>
      <c r="G23" s="102">
        <v>175.9</v>
      </c>
      <c r="H23" s="102">
        <v>184.9</v>
      </c>
      <c r="I23" s="102">
        <v>53.6</v>
      </c>
      <c r="J23" s="102">
        <v>20.2</v>
      </c>
      <c r="K23" s="102">
        <v>132.19999999999999</v>
      </c>
      <c r="L23" s="102">
        <v>32.299999999999997</v>
      </c>
      <c r="M23" s="102">
        <v>13.2</v>
      </c>
      <c r="N23" s="102">
        <f t="shared" si="1"/>
        <v>106.4</v>
      </c>
      <c r="O23" s="102">
        <f t="shared" si="2"/>
        <v>674.6</v>
      </c>
      <c r="P23" s="102">
        <f t="shared" si="3"/>
        <v>177.7</v>
      </c>
      <c r="Q23" s="102">
        <f t="shared" si="4"/>
        <v>958.7</v>
      </c>
    </row>
    <row r="24" spans="1:17">
      <c r="A24" s="102">
        <v>2002</v>
      </c>
      <c r="B24" s="102">
        <v>7.4</v>
      </c>
      <c r="C24" s="102">
        <v>48.5</v>
      </c>
      <c r="D24" s="102">
        <v>56.7</v>
      </c>
      <c r="E24" s="102">
        <v>51.4</v>
      </c>
      <c r="F24" s="102">
        <v>281.2</v>
      </c>
      <c r="G24" s="102">
        <v>213.1</v>
      </c>
      <c r="H24" s="102">
        <v>127.8</v>
      </c>
      <c r="I24" s="102">
        <v>293.39999999999998</v>
      </c>
      <c r="J24" s="102">
        <v>15.3</v>
      </c>
      <c r="K24" s="102">
        <v>76.3</v>
      </c>
      <c r="L24" s="102">
        <v>15.9</v>
      </c>
      <c r="M24" s="102">
        <v>48.1</v>
      </c>
      <c r="N24" s="102">
        <f t="shared" si="1"/>
        <v>164</v>
      </c>
      <c r="O24" s="102">
        <f t="shared" si="2"/>
        <v>930.79999999999984</v>
      </c>
      <c r="P24" s="102">
        <f t="shared" si="3"/>
        <v>140.30000000000001</v>
      </c>
      <c r="Q24" s="102">
        <f t="shared" si="4"/>
        <v>1235.0999999999999</v>
      </c>
    </row>
    <row r="25" spans="1:17">
      <c r="A25" s="102">
        <v>2003</v>
      </c>
      <c r="B25" s="102">
        <v>26</v>
      </c>
      <c r="C25" s="102">
        <v>1.7</v>
      </c>
      <c r="D25" s="102">
        <v>17.5</v>
      </c>
      <c r="E25" s="102">
        <v>148.5</v>
      </c>
      <c r="F25" s="102">
        <v>284.39999999999998</v>
      </c>
      <c r="G25" s="102">
        <v>183.4</v>
      </c>
      <c r="H25" s="102">
        <v>172.6</v>
      </c>
      <c r="I25" s="102">
        <v>80.400000000000006</v>
      </c>
      <c r="J25" s="102">
        <v>92.9</v>
      </c>
      <c r="K25" s="102">
        <v>60.6</v>
      </c>
      <c r="L25" s="102">
        <v>31.6</v>
      </c>
      <c r="M25" s="102">
        <v>33.4</v>
      </c>
      <c r="N25" s="102">
        <f t="shared" si="1"/>
        <v>193.7</v>
      </c>
      <c r="O25" s="102">
        <f t="shared" si="2"/>
        <v>813.69999999999993</v>
      </c>
      <c r="P25" s="102">
        <f t="shared" si="3"/>
        <v>125.6</v>
      </c>
      <c r="Q25" s="102">
        <f t="shared" si="4"/>
        <v>1133</v>
      </c>
    </row>
    <row r="26" spans="1:17">
      <c r="A26" s="102">
        <v>2004</v>
      </c>
      <c r="B26" s="103">
        <v>28.5</v>
      </c>
      <c r="C26" s="103">
        <v>48.3</v>
      </c>
      <c r="D26" s="103">
        <v>9.9</v>
      </c>
      <c r="E26" s="103">
        <v>107.3</v>
      </c>
      <c r="F26" s="103">
        <v>313</v>
      </c>
      <c r="G26" s="103">
        <v>77.5</v>
      </c>
      <c r="H26" s="103">
        <v>421.5</v>
      </c>
      <c r="I26" s="103">
        <v>129.6</v>
      </c>
      <c r="J26" s="103">
        <v>86.2</v>
      </c>
      <c r="K26" s="103">
        <v>17.8</v>
      </c>
      <c r="L26" s="103">
        <v>30.4</v>
      </c>
      <c r="M26" s="103">
        <v>13.4</v>
      </c>
      <c r="N26" s="102">
        <f t="shared" si="1"/>
        <v>194</v>
      </c>
      <c r="O26" s="102">
        <f t="shared" si="2"/>
        <v>1027.8</v>
      </c>
      <c r="P26" s="102">
        <f t="shared" si="3"/>
        <v>61.6</v>
      </c>
      <c r="Q26" s="102">
        <f t="shared" si="4"/>
        <v>1283.4000000000001</v>
      </c>
    </row>
    <row r="27" spans="1:17">
      <c r="A27" s="102">
        <v>2005</v>
      </c>
      <c r="B27" s="103">
        <v>36.5</v>
      </c>
      <c r="C27" s="103">
        <v>11.6</v>
      </c>
      <c r="D27" s="103">
        <v>36</v>
      </c>
      <c r="E27" s="103">
        <v>56.1</v>
      </c>
      <c r="F27" s="103">
        <v>149.4</v>
      </c>
      <c r="G27" s="103">
        <v>336.5</v>
      </c>
      <c r="H27" s="103">
        <v>116</v>
      </c>
      <c r="I27" s="103">
        <v>115.2</v>
      </c>
      <c r="J27" s="103">
        <v>60.1</v>
      </c>
      <c r="K27" s="102">
        <v>52.5</v>
      </c>
      <c r="L27" s="102">
        <v>14.1</v>
      </c>
      <c r="M27" s="102">
        <v>19.8</v>
      </c>
      <c r="N27" s="102">
        <f t="shared" si="1"/>
        <v>140.19999999999999</v>
      </c>
      <c r="O27" s="102">
        <f t="shared" si="2"/>
        <v>777.2</v>
      </c>
      <c r="P27" s="102">
        <f t="shared" si="3"/>
        <v>86.399999999999991</v>
      </c>
      <c r="Q27" s="102">
        <f t="shared" si="4"/>
        <v>1003.8000000000001</v>
      </c>
    </row>
    <row r="28" spans="1:17">
      <c r="A28" s="102">
        <v>2006</v>
      </c>
      <c r="B28" s="102">
        <v>9.6</v>
      </c>
      <c r="C28" s="102">
        <v>21.1</v>
      </c>
      <c r="D28" s="102">
        <v>31.5</v>
      </c>
      <c r="E28" s="102">
        <v>46.4</v>
      </c>
      <c r="F28" s="102">
        <v>188.1</v>
      </c>
      <c r="G28" s="102">
        <v>286.7</v>
      </c>
      <c r="H28" s="102">
        <v>152.69999999999999</v>
      </c>
      <c r="I28" s="102">
        <v>102.7</v>
      </c>
      <c r="J28" s="102">
        <v>89.7</v>
      </c>
      <c r="K28" s="102">
        <v>172.3</v>
      </c>
      <c r="L28" s="102">
        <v>15.5</v>
      </c>
      <c r="M28" s="102">
        <v>10.4</v>
      </c>
      <c r="N28" s="102">
        <f t="shared" si="1"/>
        <v>108.6</v>
      </c>
      <c r="O28" s="102">
        <f t="shared" si="2"/>
        <v>819.90000000000009</v>
      </c>
      <c r="P28" s="102">
        <f t="shared" si="3"/>
        <v>198.20000000000002</v>
      </c>
      <c r="Q28" s="102">
        <f t="shared" si="4"/>
        <v>1126.7</v>
      </c>
    </row>
    <row r="29" spans="1:17">
      <c r="A29" s="102">
        <v>2007</v>
      </c>
      <c r="B29" s="102">
        <v>35.700000000000003</v>
      </c>
      <c r="C29" s="102">
        <v>2.7</v>
      </c>
      <c r="D29" s="102">
        <v>44.7</v>
      </c>
      <c r="E29" s="102">
        <v>113.1</v>
      </c>
      <c r="F29" s="102">
        <v>202.8</v>
      </c>
      <c r="G29" s="102">
        <v>324.89999999999998</v>
      </c>
      <c r="H29" s="102">
        <v>388.9</v>
      </c>
      <c r="I29" s="102">
        <v>94.7</v>
      </c>
      <c r="J29" s="102">
        <v>124.8</v>
      </c>
      <c r="K29" s="102">
        <v>7.9</v>
      </c>
      <c r="L29" s="102">
        <v>0.6</v>
      </c>
      <c r="M29" s="102">
        <v>12.7</v>
      </c>
      <c r="N29" s="102">
        <f t="shared" si="1"/>
        <v>196.2</v>
      </c>
      <c r="O29" s="102">
        <f t="shared" si="2"/>
        <v>1136.1000000000001</v>
      </c>
      <c r="P29" s="102">
        <f t="shared" si="3"/>
        <v>21.2</v>
      </c>
      <c r="Q29" s="102">
        <f t="shared" si="4"/>
        <v>1353.5</v>
      </c>
    </row>
    <row r="30" spans="1:17">
      <c r="A30" s="102">
        <v>2008</v>
      </c>
      <c r="B30" s="102">
        <v>5.2</v>
      </c>
      <c r="C30" s="102">
        <v>22.2</v>
      </c>
      <c r="D30" s="102">
        <v>60.8</v>
      </c>
      <c r="E30" s="102">
        <v>83.2</v>
      </c>
      <c r="F30" s="102">
        <v>362.6</v>
      </c>
      <c r="G30" s="102">
        <v>68.900000000000006</v>
      </c>
      <c r="H30" s="102">
        <v>205.3</v>
      </c>
      <c r="I30" s="102">
        <v>318.7</v>
      </c>
      <c r="J30" s="102">
        <v>123.6</v>
      </c>
      <c r="K30" s="102">
        <v>81.3</v>
      </c>
      <c r="L30" s="102">
        <v>83.2</v>
      </c>
      <c r="M30" s="102">
        <v>14.4</v>
      </c>
      <c r="N30" s="102">
        <f t="shared" si="1"/>
        <v>171.39999999999998</v>
      </c>
      <c r="O30" s="102">
        <f t="shared" si="2"/>
        <v>1079.0999999999999</v>
      </c>
      <c r="P30" s="102">
        <f t="shared" si="3"/>
        <v>178.9</v>
      </c>
      <c r="Q30" s="102">
        <f t="shared" si="4"/>
        <v>1429.4</v>
      </c>
    </row>
    <row r="31" spans="1:17">
      <c r="A31" s="102">
        <v>2009</v>
      </c>
      <c r="B31" s="102">
        <v>10.6</v>
      </c>
      <c r="C31" s="102">
        <v>16.899999999999999</v>
      </c>
      <c r="D31" s="102">
        <v>38.4</v>
      </c>
      <c r="E31" s="102">
        <v>182.6</v>
      </c>
      <c r="F31" s="102">
        <v>174.1</v>
      </c>
      <c r="G31" s="102">
        <v>192.3</v>
      </c>
      <c r="H31" s="102">
        <v>108.7</v>
      </c>
      <c r="I31" s="102">
        <v>79.5</v>
      </c>
      <c r="J31" s="102">
        <v>50.5</v>
      </c>
      <c r="K31" s="102">
        <v>44.7</v>
      </c>
      <c r="L31" s="102">
        <v>19.899999999999999</v>
      </c>
      <c r="M31" s="102">
        <v>11.2</v>
      </c>
      <c r="N31" s="102">
        <f t="shared" si="1"/>
        <v>248.5</v>
      </c>
      <c r="O31" s="102">
        <f t="shared" si="2"/>
        <v>605.09999999999991</v>
      </c>
      <c r="P31" s="102">
        <f t="shared" si="3"/>
        <v>75.8</v>
      </c>
      <c r="Q31" s="102">
        <f t="shared" si="4"/>
        <v>929.4000000000002</v>
      </c>
    </row>
    <row r="32" spans="1:17">
      <c r="A32" s="102">
        <v>2010</v>
      </c>
      <c r="B32" s="102">
        <v>2.4</v>
      </c>
      <c r="C32" s="102">
        <v>2.1</v>
      </c>
      <c r="D32" s="102">
        <v>6</v>
      </c>
      <c r="E32" s="102">
        <v>75.2</v>
      </c>
      <c r="F32" s="102">
        <v>113.9</v>
      </c>
      <c r="G32" s="102">
        <v>259.39999999999998</v>
      </c>
      <c r="H32" s="102">
        <v>252</v>
      </c>
      <c r="I32" s="102">
        <v>66.8</v>
      </c>
      <c r="J32" s="102">
        <v>139.9</v>
      </c>
      <c r="K32" s="102">
        <v>103</v>
      </c>
      <c r="L32" s="102">
        <v>46.9</v>
      </c>
      <c r="M32" s="102">
        <v>49.1</v>
      </c>
      <c r="N32" s="102">
        <f t="shared" si="1"/>
        <v>85.7</v>
      </c>
      <c r="O32" s="102">
        <f t="shared" si="2"/>
        <v>831.99999999999989</v>
      </c>
      <c r="P32" s="102">
        <f t="shared" si="3"/>
        <v>199</v>
      </c>
      <c r="Q32" s="102">
        <f t="shared" si="4"/>
        <v>1116.6999999999998</v>
      </c>
    </row>
    <row r="33" spans="1:33">
      <c r="A33" s="102">
        <v>2011</v>
      </c>
      <c r="B33" s="102">
        <v>31.1</v>
      </c>
      <c r="C33" s="102">
        <v>4.9000000000000004</v>
      </c>
      <c r="D33" s="102">
        <v>25.3</v>
      </c>
      <c r="E33" s="102">
        <v>65.8</v>
      </c>
      <c r="F33" s="102">
        <v>141.1</v>
      </c>
      <c r="G33" s="102">
        <v>232.2</v>
      </c>
      <c r="H33" s="102">
        <v>59.4</v>
      </c>
      <c r="I33" s="102">
        <v>51.9</v>
      </c>
      <c r="J33" s="102">
        <v>94.7</v>
      </c>
      <c r="K33" s="102">
        <v>119.7</v>
      </c>
      <c r="L33" s="102">
        <v>28.9</v>
      </c>
      <c r="M33" s="102">
        <v>10.6</v>
      </c>
      <c r="N33" s="102">
        <f t="shared" si="1"/>
        <v>127.1</v>
      </c>
      <c r="O33" s="102">
        <f t="shared" si="2"/>
        <v>579.29999999999995</v>
      </c>
      <c r="P33" s="102">
        <f t="shared" si="3"/>
        <v>159.19999999999999</v>
      </c>
      <c r="Q33" s="102">
        <f t="shared" si="4"/>
        <v>865.6</v>
      </c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</row>
    <row r="34" spans="1:33">
      <c r="A34" s="102">
        <v>2012</v>
      </c>
      <c r="B34" s="102">
        <v>24.4</v>
      </c>
      <c r="C34" s="102">
        <v>12.7</v>
      </c>
      <c r="D34" s="102">
        <v>27.3</v>
      </c>
      <c r="E34" s="102">
        <v>27.7</v>
      </c>
      <c r="F34" s="102">
        <v>335.3</v>
      </c>
      <c r="G34" s="102">
        <v>238</v>
      </c>
      <c r="H34" s="102">
        <v>180.8</v>
      </c>
      <c r="I34" s="102">
        <v>100.6</v>
      </c>
      <c r="J34" s="102">
        <v>65.599999999999994</v>
      </c>
      <c r="K34" s="102">
        <v>51.4</v>
      </c>
      <c r="L34" s="102">
        <v>30.2</v>
      </c>
      <c r="M34" s="102">
        <v>8.6999999999999993</v>
      </c>
      <c r="N34" s="102">
        <f t="shared" si="1"/>
        <v>92.1</v>
      </c>
      <c r="O34" s="102">
        <f t="shared" si="2"/>
        <v>920.3</v>
      </c>
      <c r="P34" s="102">
        <f t="shared" si="3"/>
        <v>90.3</v>
      </c>
      <c r="Q34" s="102">
        <f t="shared" si="4"/>
        <v>1102.7000000000003</v>
      </c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</row>
    <row r="35" spans="1:33">
      <c r="A35" s="102">
        <v>2013</v>
      </c>
      <c r="B35" s="102">
        <v>7.7</v>
      </c>
      <c r="C35" s="102">
        <v>10.1</v>
      </c>
      <c r="D35" s="102">
        <v>55.5</v>
      </c>
      <c r="E35" s="102">
        <v>23.1</v>
      </c>
      <c r="F35" s="102">
        <v>197.2</v>
      </c>
      <c r="G35" s="102">
        <v>150.30000000000001</v>
      </c>
      <c r="H35" s="102">
        <v>39.299999999999997</v>
      </c>
      <c r="I35" s="102">
        <v>145.1</v>
      </c>
      <c r="J35" s="102">
        <v>57.1</v>
      </c>
      <c r="K35" s="102">
        <v>88.4</v>
      </c>
      <c r="L35" s="102">
        <v>32.700000000000003</v>
      </c>
      <c r="M35" s="102">
        <v>42.1</v>
      </c>
      <c r="N35" s="102">
        <f t="shared" si="1"/>
        <v>96.4</v>
      </c>
      <c r="O35" s="102">
        <f t="shared" si="2"/>
        <v>589</v>
      </c>
      <c r="P35" s="102">
        <f t="shared" si="3"/>
        <v>163.20000000000002</v>
      </c>
      <c r="Q35" s="102">
        <f t="shared" si="4"/>
        <v>848.60000000000014</v>
      </c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</row>
    <row r="36" spans="1:33">
      <c r="A36" s="102">
        <v>2014</v>
      </c>
      <c r="B36" s="133">
        <v>9.1</v>
      </c>
      <c r="C36" s="133">
        <v>30.4</v>
      </c>
      <c r="D36" s="133">
        <v>113.9</v>
      </c>
      <c r="E36" s="133">
        <v>58.4</v>
      </c>
      <c r="F36" s="133">
        <v>132.5</v>
      </c>
      <c r="G36" s="133">
        <v>218.9</v>
      </c>
      <c r="H36" s="133">
        <v>318.2</v>
      </c>
      <c r="I36" s="133">
        <v>129.9</v>
      </c>
      <c r="J36" s="133">
        <v>146</v>
      </c>
      <c r="K36" s="133">
        <v>160.9</v>
      </c>
      <c r="L36" s="133">
        <v>62.5</v>
      </c>
      <c r="M36" s="133">
        <v>5.3</v>
      </c>
      <c r="N36" s="102">
        <f t="shared" si="1"/>
        <v>211.8</v>
      </c>
      <c r="O36" s="102">
        <f t="shared" si="2"/>
        <v>945.49999999999989</v>
      </c>
      <c r="P36" s="102">
        <f t="shared" si="3"/>
        <v>228.70000000000002</v>
      </c>
      <c r="Q36" s="102">
        <f t="shared" si="4"/>
        <v>1386.0000000000002</v>
      </c>
    </row>
    <row r="37" spans="1:33">
      <c r="A37" s="102">
        <v>2015</v>
      </c>
      <c r="B37" s="133">
        <v>35.799999999999997</v>
      </c>
      <c r="C37" s="133">
        <v>3.7</v>
      </c>
      <c r="D37" s="133">
        <v>21.9</v>
      </c>
      <c r="E37" s="133">
        <v>26.6</v>
      </c>
      <c r="F37" s="133">
        <v>273.39999999999998</v>
      </c>
      <c r="G37" s="133">
        <v>333</v>
      </c>
      <c r="H37" s="133">
        <v>90.5</v>
      </c>
      <c r="I37" s="133">
        <v>310.2</v>
      </c>
      <c r="J37" s="133">
        <v>66.099999999999994</v>
      </c>
      <c r="K37" s="133">
        <v>117.7</v>
      </c>
      <c r="L37" s="133">
        <v>47.7</v>
      </c>
      <c r="M37" s="133">
        <v>53.9</v>
      </c>
      <c r="N37" s="102">
        <f t="shared" si="1"/>
        <v>88</v>
      </c>
      <c r="O37" s="102">
        <f t="shared" si="2"/>
        <v>1073.1999999999998</v>
      </c>
      <c r="P37" s="102">
        <f t="shared" si="3"/>
        <v>219.3</v>
      </c>
      <c r="Q37" s="102">
        <f t="shared" si="4"/>
        <v>1380.5</v>
      </c>
    </row>
    <row r="38" spans="1:33" s="129" customFormat="1" ht="13.5">
      <c r="A38" s="129">
        <v>2016</v>
      </c>
      <c r="B38" s="132">
        <v>33</v>
      </c>
      <c r="C38" s="132">
        <v>4.8</v>
      </c>
      <c r="D38" s="132">
        <v>23.4</v>
      </c>
      <c r="E38" s="132">
        <v>130.80000000000001</v>
      </c>
      <c r="F38" s="132">
        <v>230</v>
      </c>
      <c r="G38" s="132">
        <v>250.6</v>
      </c>
      <c r="H38" s="132">
        <v>119.5</v>
      </c>
      <c r="I38" s="132">
        <v>249.7</v>
      </c>
      <c r="J38" s="132">
        <v>10.5</v>
      </c>
      <c r="K38" s="132">
        <v>51.6</v>
      </c>
      <c r="L38" s="132">
        <v>54.5</v>
      </c>
      <c r="M38" s="132">
        <v>15.9</v>
      </c>
      <c r="N38" s="129">
        <f>SUM(B38:E38)</f>
        <v>192</v>
      </c>
      <c r="O38" s="129">
        <f>SUM(F38:J38)</f>
        <v>860.3</v>
      </c>
      <c r="P38" s="129">
        <f>SUM(K38:M38)</f>
        <v>122</v>
      </c>
      <c r="Q38" s="129">
        <f>SUM(B38:M38)</f>
        <v>1174.3</v>
      </c>
      <c r="R38" s="129">
        <f t="shared" ref="R38:AG38" si="5">100*(B38-B4)/B4</f>
        <v>55.238774055595123</v>
      </c>
      <c r="S38" s="129">
        <f t="shared" si="5"/>
        <v>-77.515968772178852</v>
      </c>
      <c r="T38" s="129">
        <f t="shared" si="5"/>
        <v>-43.441001977587355</v>
      </c>
      <c r="U38" s="129">
        <f t="shared" si="5"/>
        <v>81.254724111867006</v>
      </c>
      <c r="V38" s="129">
        <f t="shared" si="5"/>
        <v>15.676532447343547</v>
      </c>
      <c r="W38" s="129">
        <f t="shared" si="5"/>
        <v>7.7035281247151257</v>
      </c>
      <c r="X38" s="129">
        <f t="shared" si="5"/>
        <v>-42.125654911284279</v>
      </c>
      <c r="Y38" s="129">
        <f t="shared" si="5"/>
        <v>74.345682669318521</v>
      </c>
      <c r="Z38" s="129">
        <f t="shared" si="5"/>
        <v>-88.329010744720264</v>
      </c>
      <c r="AA38" s="129">
        <f t="shared" si="5"/>
        <v>-40.019021451970829</v>
      </c>
      <c r="AB38" s="129">
        <f t="shared" si="5"/>
        <v>50.200434274260878</v>
      </c>
      <c r="AC38" s="129">
        <f t="shared" si="5"/>
        <v>-14.738381540461472</v>
      </c>
      <c r="AD38" s="129">
        <f t="shared" si="5"/>
        <v>22.964659304830491</v>
      </c>
      <c r="AE38" s="129">
        <f t="shared" si="5"/>
        <v>-1.2483999332145908</v>
      </c>
      <c r="AF38" s="129">
        <f t="shared" si="5"/>
        <v>-13.45099640991466</v>
      </c>
      <c r="AG38" s="129">
        <f t="shared" si="5"/>
        <v>0.51539171845657261</v>
      </c>
    </row>
  </sheetData>
  <mergeCells count="6">
    <mergeCell ref="A1:A3"/>
    <mergeCell ref="B1:Q1"/>
    <mergeCell ref="B2:M2"/>
    <mergeCell ref="R1:AG1"/>
    <mergeCell ref="N2:Q2"/>
    <mergeCell ref="R2:AG2"/>
  </mergeCells>
  <phoneticPr fontId="2" type="noConversion"/>
  <pageMargins left="0.75" right="0.75" top="1" bottom="1" header="0.5" footer="0.5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>
  <sheetPr codeName="Sheet35"/>
  <dimension ref="A1:AG17"/>
  <sheetViews>
    <sheetView zoomScale="70" zoomScaleNormal="70" workbookViewId="0">
      <pane ySplit="5" topLeftCell="A6" activePane="bottomLeft" state="frozen"/>
      <selection pane="bottomLeft" activeCell="R17" sqref="R17"/>
    </sheetView>
  </sheetViews>
  <sheetFormatPr defaultRowHeight="12"/>
  <cols>
    <col min="1" max="16384" width="9" style="102"/>
  </cols>
  <sheetData>
    <row r="1" spans="1:33" s="118" customFormat="1" ht="14.25" customHeight="1">
      <c r="A1" s="176" t="s">
        <v>53</v>
      </c>
      <c r="B1" s="176" t="s">
        <v>171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2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116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32</v>
      </c>
      <c r="O2" s="176"/>
      <c r="P2" s="176"/>
      <c r="Q2" s="176"/>
      <c r="R2" s="176" t="s">
        <v>38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>
      <c r="A3" s="176"/>
      <c r="B3" s="124" t="s">
        <v>149</v>
      </c>
      <c r="C3" s="124" t="s">
        <v>150</v>
      </c>
      <c r="D3" s="124" t="s">
        <v>9</v>
      </c>
      <c r="E3" s="124" t="s">
        <v>10</v>
      </c>
      <c r="F3" s="124" t="s">
        <v>11</v>
      </c>
      <c r="G3" s="124" t="s">
        <v>12</v>
      </c>
      <c r="H3" s="124" t="s">
        <v>13</v>
      </c>
      <c r="I3" s="124" t="s">
        <v>14</v>
      </c>
      <c r="J3" s="124" t="s">
        <v>15</v>
      </c>
      <c r="K3" s="124" t="s">
        <v>16</v>
      </c>
      <c r="L3" s="124" t="s">
        <v>17</v>
      </c>
      <c r="M3" s="124" t="s">
        <v>18</v>
      </c>
      <c r="N3" s="124" t="s">
        <v>145</v>
      </c>
      <c r="O3" s="124" t="s">
        <v>146</v>
      </c>
      <c r="P3" s="124" t="s">
        <v>147</v>
      </c>
      <c r="Q3" s="124" t="s">
        <v>148</v>
      </c>
      <c r="R3" s="124" t="s">
        <v>149</v>
      </c>
      <c r="S3" s="124" t="s">
        <v>150</v>
      </c>
      <c r="T3" s="124" t="s">
        <v>151</v>
      </c>
      <c r="U3" s="124" t="s">
        <v>152</v>
      </c>
      <c r="V3" s="124" t="s">
        <v>153</v>
      </c>
      <c r="W3" s="124" t="s">
        <v>154</v>
      </c>
      <c r="X3" s="124" t="s">
        <v>25</v>
      </c>
      <c r="Y3" s="124" t="s">
        <v>26</v>
      </c>
      <c r="Z3" s="124" t="s">
        <v>27</v>
      </c>
      <c r="AA3" s="124" t="s">
        <v>155</v>
      </c>
      <c r="AB3" s="124" t="s">
        <v>156</v>
      </c>
      <c r="AC3" s="124" t="s">
        <v>157</v>
      </c>
      <c r="AD3" s="124" t="s">
        <v>90</v>
      </c>
      <c r="AE3" s="124" t="s">
        <v>42</v>
      </c>
      <c r="AF3" s="124" t="s">
        <v>111</v>
      </c>
      <c r="AG3" s="124" t="s">
        <v>66</v>
      </c>
    </row>
    <row r="4" spans="1:33" s="118" customFormat="1">
      <c r="A4" s="150" t="s">
        <v>261</v>
      </c>
      <c r="B4" s="150">
        <f t="shared" ref="B4:Q4" si="0">AVERAGE(B5:B16)</f>
        <v>19.216666666666669</v>
      </c>
      <c r="C4" s="150">
        <f t="shared" si="0"/>
        <v>29.566666666666663</v>
      </c>
      <c r="D4" s="150">
        <f t="shared" si="0"/>
        <v>54.716666666666669</v>
      </c>
      <c r="E4" s="150">
        <f t="shared" si="0"/>
        <v>102.56666666666666</v>
      </c>
      <c r="F4" s="150">
        <f t="shared" si="0"/>
        <v>169.59166666666667</v>
      </c>
      <c r="G4" s="150">
        <f t="shared" si="0"/>
        <v>151.05833333333334</v>
      </c>
      <c r="H4" s="150">
        <f t="shared" si="0"/>
        <v>155.15833333333333</v>
      </c>
      <c r="I4" s="150">
        <f t="shared" si="0"/>
        <v>101.21666666666668</v>
      </c>
      <c r="J4" s="150">
        <f t="shared" si="0"/>
        <v>72.583333333333329</v>
      </c>
      <c r="K4" s="150">
        <f t="shared" si="0"/>
        <v>85.416666666666671</v>
      </c>
      <c r="L4" s="150">
        <f t="shared" si="0"/>
        <v>44.541666666666657</v>
      </c>
      <c r="M4" s="150">
        <f t="shared" si="0"/>
        <v>23.858333333333331</v>
      </c>
      <c r="N4" s="150">
        <f t="shared" si="0"/>
        <v>206.06666666666669</v>
      </c>
      <c r="O4" s="150">
        <f t="shared" si="0"/>
        <v>649.60833333333323</v>
      </c>
      <c r="P4" s="150">
        <f t="shared" si="0"/>
        <v>153.81666666666669</v>
      </c>
      <c r="Q4" s="150">
        <f t="shared" si="0"/>
        <v>1009.4916666666668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3">
        <v>2004</v>
      </c>
      <c r="B5" s="103">
        <v>21.9</v>
      </c>
      <c r="C5" s="103">
        <v>54.4</v>
      </c>
      <c r="D5" s="103">
        <v>60.1</v>
      </c>
      <c r="E5" s="103">
        <v>71.5</v>
      </c>
      <c r="F5" s="103">
        <v>187.2</v>
      </c>
      <c r="G5" s="103">
        <v>76.7</v>
      </c>
      <c r="H5" s="103">
        <v>312.10000000000002</v>
      </c>
      <c r="I5" s="103">
        <v>106</v>
      </c>
      <c r="J5" s="103">
        <v>93.8</v>
      </c>
      <c r="K5" s="103">
        <v>31.2</v>
      </c>
      <c r="L5" s="103">
        <v>79.400000000000006</v>
      </c>
      <c r="M5" s="103">
        <v>22.6</v>
      </c>
      <c r="N5" s="102">
        <f>SUM(B5:E5)</f>
        <v>207.9</v>
      </c>
      <c r="O5" s="102">
        <f>SUM(F5:J5)</f>
        <v>775.8</v>
      </c>
      <c r="P5" s="102">
        <f>SUM(K5:M5)</f>
        <v>133.20000000000002</v>
      </c>
      <c r="Q5" s="102">
        <f>SUM(B5:M5)</f>
        <v>1116.9000000000001</v>
      </c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</row>
    <row r="6" spans="1:33">
      <c r="A6" s="102">
        <v>2005</v>
      </c>
      <c r="B6" s="103">
        <v>41.6</v>
      </c>
      <c r="C6" s="103">
        <v>19.899999999999999</v>
      </c>
      <c r="D6" s="103">
        <v>46.8</v>
      </c>
      <c r="E6" s="103">
        <v>71.8</v>
      </c>
      <c r="F6" s="103">
        <v>154.19999999999999</v>
      </c>
      <c r="G6" s="103">
        <v>94.1</v>
      </c>
      <c r="H6" s="103">
        <v>121</v>
      </c>
      <c r="I6" s="103">
        <v>86</v>
      </c>
      <c r="J6" s="103">
        <v>70.8</v>
      </c>
      <c r="K6" s="102">
        <v>92.5</v>
      </c>
      <c r="L6" s="102">
        <v>24.8</v>
      </c>
      <c r="M6" s="102">
        <v>7.4</v>
      </c>
      <c r="N6" s="102">
        <f t="shared" ref="N6:N16" si="1">SUM(B6:E6)</f>
        <v>180.1</v>
      </c>
      <c r="O6" s="102">
        <f t="shared" ref="O6:O16" si="2">SUM(F6:J6)</f>
        <v>526.09999999999991</v>
      </c>
      <c r="P6" s="102">
        <f t="shared" ref="P6:P16" si="3">SUM(K6:M6)</f>
        <v>124.7</v>
      </c>
      <c r="Q6" s="102">
        <f t="shared" ref="Q6:Q16" si="4">SUM(B6:M6)</f>
        <v>830.89999999999986</v>
      </c>
    </row>
    <row r="7" spans="1:33">
      <c r="A7" s="102">
        <v>2006</v>
      </c>
      <c r="B7" s="102">
        <v>18.2</v>
      </c>
      <c r="C7" s="102">
        <v>68.5</v>
      </c>
      <c r="D7" s="102">
        <v>18.100000000000001</v>
      </c>
      <c r="E7" s="102">
        <v>59.4</v>
      </c>
      <c r="F7" s="102">
        <v>161.5</v>
      </c>
      <c r="G7" s="102">
        <v>125</v>
      </c>
      <c r="H7" s="102">
        <v>110.2</v>
      </c>
      <c r="I7" s="102">
        <v>70.900000000000006</v>
      </c>
      <c r="J7" s="102">
        <v>39.4</v>
      </c>
      <c r="K7" s="102">
        <v>137.4</v>
      </c>
      <c r="L7" s="102">
        <v>57</v>
      </c>
      <c r="M7" s="102">
        <v>23</v>
      </c>
      <c r="N7" s="102">
        <f t="shared" si="1"/>
        <v>164.20000000000002</v>
      </c>
      <c r="O7" s="102">
        <f t="shared" si="2"/>
        <v>507</v>
      </c>
      <c r="P7" s="102">
        <f t="shared" si="3"/>
        <v>217.4</v>
      </c>
      <c r="Q7" s="102">
        <f t="shared" si="4"/>
        <v>888.6</v>
      </c>
    </row>
    <row r="8" spans="1:33">
      <c r="A8" s="102">
        <v>2007</v>
      </c>
      <c r="B8" s="102">
        <v>23.8</v>
      </c>
      <c r="C8" s="102">
        <v>35.5</v>
      </c>
      <c r="D8" s="102">
        <v>38.799999999999997</v>
      </c>
      <c r="E8" s="102">
        <v>181</v>
      </c>
      <c r="F8" s="102">
        <v>83.9</v>
      </c>
      <c r="G8" s="102">
        <v>182.4</v>
      </c>
      <c r="H8" s="102">
        <v>243.1</v>
      </c>
      <c r="I8" s="102">
        <v>113.3</v>
      </c>
      <c r="J8" s="102">
        <v>105.1</v>
      </c>
      <c r="K8" s="102">
        <v>51.6</v>
      </c>
      <c r="L8" s="102">
        <v>4.0999999999999996</v>
      </c>
      <c r="M8" s="102">
        <v>11.3</v>
      </c>
      <c r="N8" s="102">
        <f t="shared" si="1"/>
        <v>279.10000000000002</v>
      </c>
      <c r="O8" s="102">
        <f t="shared" si="2"/>
        <v>727.8</v>
      </c>
      <c r="P8" s="102">
        <f t="shared" si="3"/>
        <v>67</v>
      </c>
      <c r="Q8" s="102">
        <f t="shared" si="4"/>
        <v>1073.8999999999999</v>
      </c>
    </row>
    <row r="9" spans="1:33">
      <c r="A9" s="102">
        <v>2008</v>
      </c>
      <c r="B9" s="102">
        <v>16.7</v>
      </c>
      <c r="C9" s="102">
        <v>23.5</v>
      </c>
      <c r="D9" s="102">
        <v>101.3</v>
      </c>
      <c r="E9" s="102">
        <v>40.6</v>
      </c>
      <c r="F9" s="102">
        <v>108.1</v>
      </c>
      <c r="G9" s="102">
        <v>73.5</v>
      </c>
      <c r="H9" s="102">
        <v>217.9</v>
      </c>
      <c r="I9" s="102">
        <v>204.9</v>
      </c>
      <c r="J9" s="102">
        <v>56.7</v>
      </c>
      <c r="K9" s="102">
        <v>119.2</v>
      </c>
      <c r="L9" s="102">
        <v>110</v>
      </c>
      <c r="M9" s="102">
        <v>14.7</v>
      </c>
      <c r="N9" s="102">
        <f t="shared" si="1"/>
        <v>182.1</v>
      </c>
      <c r="O9" s="102">
        <f t="shared" si="2"/>
        <v>661.1</v>
      </c>
      <c r="P9" s="102">
        <f t="shared" si="3"/>
        <v>243.89999999999998</v>
      </c>
      <c r="Q9" s="102">
        <f t="shared" si="4"/>
        <v>1087.1000000000001</v>
      </c>
    </row>
    <row r="10" spans="1:33">
      <c r="A10" s="102">
        <v>2009</v>
      </c>
      <c r="B10" s="102">
        <v>27.5</v>
      </c>
      <c r="C10" s="102">
        <v>25.5</v>
      </c>
      <c r="D10" s="102">
        <v>54.6</v>
      </c>
      <c r="E10" s="102">
        <v>143.1</v>
      </c>
      <c r="F10" s="102">
        <v>162.6</v>
      </c>
      <c r="G10" s="102">
        <v>138.6</v>
      </c>
      <c r="H10" s="102">
        <v>46.9</v>
      </c>
      <c r="I10" s="102">
        <v>113.1</v>
      </c>
      <c r="J10" s="102">
        <v>55.9</v>
      </c>
      <c r="K10" s="102">
        <v>71</v>
      </c>
      <c r="L10" s="102">
        <v>19.8</v>
      </c>
      <c r="M10" s="102">
        <v>26.2</v>
      </c>
      <c r="N10" s="102">
        <f t="shared" si="1"/>
        <v>250.7</v>
      </c>
      <c r="O10" s="102">
        <f t="shared" si="2"/>
        <v>517.09999999999991</v>
      </c>
      <c r="P10" s="102">
        <f t="shared" si="3"/>
        <v>117</v>
      </c>
      <c r="Q10" s="102">
        <f t="shared" si="4"/>
        <v>884.8</v>
      </c>
    </row>
    <row r="11" spans="1:33">
      <c r="A11" s="102">
        <v>2010</v>
      </c>
      <c r="B11" s="102">
        <v>4.9000000000000004</v>
      </c>
      <c r="C11" s="102">
        <v>7.1</v>
      </c>
      <c r="D11" s="102">
        <v>48.3</v>
      </c>
      <c r="E11" s="102">
        <v>152.9</v>
      </c>
      <c r="F11" s="102">
        <v>189.5</v>
      </c>
      <c r="G11" s="102">
        <v>223.1</v>
      </c>
      <c r="H11" s="102">
        <v>108.3</v>
      </c>
      <c r="I11" s="102">
        <v>91.6</v>
      </c>
      <c r="J11" s="102">
        <v>74.5</v>
      </c>
      <c r="K11" s="102">
        <v>103.7</v>
      </c>
      <c r="L11" s="102">
        <v>27.9</v>
      </c>
      <c r="M11" s="102">
        <v>43.6</v>
      </c>
      <c r="N11" s="102">
        <f t="shared" si="1"/>
        <v>213.2</v>
      </c>
      <c r="O11" s="102">
        <f t="shared" si="2"/>
        <v>687</v>
      </c>
      <c r="P11" s="102">
        <f t="shared" si="3"/>
        <v>175.2</v>
      </c>
      <c r="Q11" s="102">
        <f t="shared" si="4"/>
        <v>1075.3999999999999</v>
      </c>
    </row>
    <row r="12" spans="1:33">
      <c r="A12" s="102">
        <v>2011</v>
      </c>
      <c r="B12" s="102">
        <v>15.3</v>
      </c>
      <c r="C12" s="102">
        <v>7.4</v>
      </c>
      <c r="D12" s="102">
        <v>31.4</v>
      </c>
      <c r="E12" s="102">
        <v>29</v>
      </c>
      <c r="F12" s="102">
        <v>52.1</v>
      </c>
      <c r="G12" s="102">
        <v>144</v>
      </c>
      <c r="H12" s="102">
        <v>36.1</v>
      </c>
      <c r="I12" s="102">
        <v>13.7</v>
      </c>
      <c r="J12" s="102">
        <v>89.3</v>
      </c>
      <c r="K12" s="102">
        <v>173.1</v>
      </c>
      <c r="L12" s="102">
        <v>49.7</v>
      </c>
      <c r="M12" s="102">
        <v>10.7</v>
      </c>
      <c r="N12" s="102">
        <f t="shared" si="1"/>
        <v>83.1</v>
      </c>
      <c r="O12" s="102">
        <f t="shared" si="2"/>
        <v>335.2</v>
      </c>
      <c r="P12" s="102">
        <f t="shared" si="3"/>
        <v>233.5</v>
      </c>
      <c r="Q12" s="102">
        <f t="shared" si="4"/>
        <v>651.80000000000007</v>
      </c>
    </row>
    <row r="13" spans="1:33">
      <c r="A13" s="102">
        <v>2012</v>
      </c>
      <c r="B13" s="102">
        <v>15.3</v>
      </c>
      <c r="C13" s="102">
        <v>11.6</v>
      </c>
      <c r="D13" s="102">
        <v>38.4</v>
      </c>
      <c r="E13" s="102">
        <v>79.3</v>
      </c>
      <c r="F13" s="102">
        <v>301</v>
      </c>
      <c r="G13" s="102">
        <v>131.5</v>
      </c>
      <c r="H13" s="102">
        <v>224.4</v>
      </c>
      <c r="I13" s="102">
        <v>43.1</v>
      </c>
      <c r="J13" s="102">
        <v>75.3</v>
      </c>
      <c r="K13" s="102">
        <v>63.6</v>
      </c>
      <c r="L13" s="102">
        <v>30.4</v>
      </c>
      <c r="M13" s="102">
        <v>27.5</v>
      </c>
      <c r="N13" s="102">
        <f t="shared" si="1"/>
        <v>144.6</v>
      </c>
      <c r="O13" s="102">
        <f t="shared" si="2"/>
        <v>775.3</v>
      </c>
      <c r="P13" s="102">
        <f t="shared" si="3"/>
        <v>121.5</v>
      </c>
      <c r="Q13" s="102">
        <f t="shared" si="4"/>
        <v>1041.4000000000001</v>
      </c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  <c r="AG13" s="104"/>
    </row>
    <row r="14" spans="1:33">
      <c r="A14" s="102">
        <v>2013</v>
      </c>
      <c r="B14" s="102">
        <v>7.5</v>
      </c>
      <c r="C14" s="102">
        <v>13.5</v>
      </c>
      <c r="D14" s="102">
        <v>136.69999999999999</v>
      </c>
      <c r="E14" s="102">
        <v>236.9</v>
      </c>
      <c r="F14" s="102">
        <v>207.9</v>
      </c>
      <c r="G14" s="102">
        <v>161.6</v>
      </c>
      <c r="H14" s="102">
        <v>10.1</v>
      </c>
      <c r="I14" s="102">
        <v>96.2</v>
      </c>
      <c r="J14" s="102">
        <v>116.9</v>
      </c>
      <c r="K14" s="102">
        <v>70.7</v>
      </c>
      <c r="L14" s="102">
        <v>50.5</v>
      </c>
      <c r="M14" s="102">
        <v>22.5</v>
      </c>
      <c r="N14" s="102">
        <f t="shared" si="1"/>
        <v>394.6</v>
      </c>
      <c r="O14" s="102">
        <f t="shared" si="2"/>
        <v>592.70000000000005</v>
      </c>
      <c r="P14" s="102">
        <f t="shared" si="3"/>
        <v>143.69999999999999</v>
      </c>
      <c r="Q14" s="102">
        <f t="shared" si="4"/>
        <v>1131</v>
      </c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</row>
    <row r="15" spans="1:33">
      <c r="A15" s="102">
        <v>2014</v>
      </c>
      <c r="B15" s="131">
        <v>8.9</v>
      </c>
      <c r="C15" s="131">
        <v>26.7</v>
      </c>
      <c r="D15" s="131">
        <v>58.2</v>
      </c>
      <c r="E15" s="131">
        <v>97.1</v>
      </c>
      <c r="F15" s="131">
        <v>219.7</v>
      </c>
      <c r="G15" s="131">
        <v>296.5</v>
      </c>
      <c r="H15" s="131">
        <v>330.6</v>
      </c>
      <c r="I15" s="131">
        <v>153.69999999999999</v>
      </c>
      <c r="J15" s="131">
        <v>36.299999999999997</v>
      </c>
      <c r="K15" s="131">
        <v>40.9</v>
      </c>
      <c r="L15" s="131">
        <v>51.3</v>
      </c>
      <c r="M15" s="131">
        <v>9.1999999999999993</v>
      </c>
      <c r="N15" s="102">
        <f t="shared" si="1"/>
        <v>190.9</v>
      </c>
      <c r="O15" s="102">
        <f t="shared" si="2"/>
        <v>1036.8</v>
      </c>
      <c r="P15" s="102">
        <f t="shared" si="3"/>
        <v>101.39999999999999</v>
      </c>
      <c r="Q15" s="102">
        <f t="shared" si="4"/>
        <v>1329.1000000000001</v>
      </c>
    </row>
    <row r="16" spans="1:33">
      <c r="A16" s="102">
        <v>2015</v>
      </c>
      <c r="B16" s="131">
        <v>29</v>
      </c>
      <c r="C16" s="131">
        <v>61.2</v>
      </c>
      <c r="D16" s="131">
        <v>23.9</v>
      </c>
      <c r="E16" s="131">
        <v>68.2</v>
      </c>
      <c r="F16" s="131">
        <v>207.4</v>
      </c>
      <c r="G16" s="131">
        <v>165.7</v>
      </c>
      <c r="H16" s="131">
        <v>101.2</v>
      </c>
      <c r="I16" s="131">
        <v>122.1</v>
      </c>
      <c r="J16" s="131">
        <v>57</v>
      </c>
      <c r="K16" s="131">
        <v>70.099999999999994</v>
      </c>
      <c r="L16" s="131">
        <v>29.6</v>
      </c>
      <c r="M16" s="131">
        <v>67.599999999999994</v>
      </c>
      <c r="N16" s="102">
        <f t="shared" si="1"/>
        <v>182.3</v>
      </c>
      <c r="O16" s="102">
        <f t="shared" si="2"/>
        <v>653.4</v>
      </c>
      <c r="P16" s="102">
        <f t="shared" si="3"/>
        <v>167.29999999999998</v>
      </c>
      <c r="Q16" s="102">
        <f t="shared" si="4"/>
        <v>1003.0000000000002</v>
      </c>
    </row>
    <row r="17" spans="1:33" ht="13.5">
      <c r="A17" s="102">
        <v>2016</v>
      </c>
      <c r="B17" s="128">
        <v>23.4</v>
      </c>
      <c r="C17" s="128">
        <v>14</v>
      </c>
      <c r="D17" s="128">
        <v>94.4</v>
      </c>
      <c r="E17" s="128">
        <v>150.9</v>
      </c>
      <c r="F17" s="128">
        <v>130.69999999999999</v>
      </c>
      <c r="G17" s="128">
        <v>175.6</v>
      </c>
      <c r="H17" s="128">
        <v>97.2</v>
      </c>
      <c r="I17" s="128">
        <v>99.2</v>
      </c>
      <c r="J17" s="128">
        <v>10.6</v>
      </c>
      <c r="K17" s="128">
        <v>120.9</v>
      </c>
      <c r="L17" s="128">
        <v>59.9</v>
      </c>
      <c r="M17" s="128">
        <v>33.799999999999997</v>
      </c>
      <c r="N17" s="102">
        <f>SUM(B17:E17)</f>
        <v>282.70000000000005</v>
      </c>
      <c r="O17" s="102">
        <f>SUM(F17:J17)</f>
        <v>513.29999999999995</v>
      </c>
      <c r="P17" s="102">
        <f>SUM(K17:M17)</f>
        <v>214.60000000000002</v>
      </c>
      <c r="Q17" s="102">
        <f>SUM(B17:M17)</f>
        <v>1010.6</v>
      </c>
      <c r="R17" s="129">
        <f t="shared" ref="R17:AG17" si="5">100*(B17-B4)/B4</f>
        <v>21.769297484822186</v>
      </c>
      <c r="S17" s="129">
        <f t="shared" si="5"/>
        <v>-52.649379932356254</v>
      </c>
      <c r="T17" s="129">
        <f t="shared" si="5"/>
        <v>72.525129454766983</v>
      </c>
      <c r="U17" s="129">
        <f t="shared" si="5"/>
        <v>47.123821904452399</v>
      </c>
      <c r="V17" s="129">
        <f t="shared" si="5"/>
        <v>-22.932534027811908</v>
      </c>
      <c r="W17" s="129">
        <f t="shared" si="5"/>
        <v>16.246483146687254</v>
      </c>
      <c r="X17" s="129">
        <f t="shared" si="5"/>
        <v>-37.35431548418282</v>
      </c>
      <c r="Y17" s="129">
        <f t="shared" si="5"/>
        <v>-1.9924254898732221</v>
      </c>
      <c r="Z17" s="129">
        <f t="shared" si="5"/>
        <v>-85.396096440872569</v>
      </c>
      <c r="AA17" s="129">
        <f t="shared" si="5"/>
        <v>41.541463414634144</v>
      </c>
      <c r="AB17" s="129">
        <f t="shared" si="5"/>
        <v>34.48082319925166</v>
      </c>
      <c r="AC17" s="129">
        <f t="shared" si="5"/>
        <v>41.669577366398883</v>
      </c>
      <c r="AD17" s="129">
        <f t="shared" si="5"/>
        <v>37.188612099644132</v>
      </c>
      <c r="AE17" s="129">
        <f t="shared" si="5"/>
        <v>-20.983156517388679</v>
      </c>
      <c r="AF17" s="129">
        <f t="shared" si="5"/>
        <v>39.516740708635815</v>
      </c>
      <c r="AG17" s="129">
        <f t="shared" si="5"/>
        <v>0.10979123156042907</v>
      </c>
    </row>
  </sheetData>
  <mergeCells count="6">
    <mergeCell ref="A1:A3"/>
    <mergeCell ref="B1:Q1"/>
    <mergeCell ref="B2:M2"/>
    <mergeCell ref="R1:AG1"/>
    <mergeCell ref="N2:Q2"/>
    <mergeCell ref="R2:AG2"/>
  </mergeCells>
  <phoneticPr fontId="2" type="noConversion"/>
  <pageMargins left="0.75" right="0.75" top="1" bottom="1" header="0.5" footer="0.5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>
  <sheetPr codeName="Sheet36"/>
  <dimension ref="A1:AG17"/>
  <sheetViews>
    <sheetView topLeftCell="J1" zoomScaleNormal="100" workbookViewId="0">
      <pane ySplit="5" topLeftCell="A6" activePane="bottomLeft" state="frozen"/>
      <selection pane="bottomLeft" activeCell="R17" sqref="R17"/>
    </sheetView>
  </sheetViews>
  <sheetFormatPr defaultRowHeight="12"/>
  <cols>
    <col min="1" max="16384" width="9" style="102"/>
  </cols>
  <sheetData>
    <row r="1" spans="1:33" s="118" customFormat="1" ht="14.25" customHeight="1">
      <c r="A1" s="176" t="s">
        <v>53</v>
      </c>
      <c r="B1" s="176" t="s">
        <v>171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2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116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32</v>
      </c>
      <c r="O2" s="176"/>
      <c r="P2" s="176"/>
      <c r="Q2" s="176"/>
      <c r="R2" s="176" t="s">
        <v>38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>
      <c r="A3" s="176"/>
      <c r="B3" s="124" t="s">
        <v>149</v>
      </c>
      <c r="C3" s="124" t="s">
        <v>150</v>
      </c>
      <c r="D3" s="124" t="s">
        <v>9</v>
      </c>
      <c r="E3" s="124" t="s">
        <v>10</v>
      </c>
      <c r="F3" s="124" t="s">
        <v>11</v>
      </c>
      <c r="G3" s="124" t="s">
        <v>12</v>
      </c>
      <c r="H3" s="124" t="s">
        <v>13</v>
      </c>
      <c r="I3" s="124" t="s">
        <v>14</v>
      </c>
      <c r="J3" s="124" t="s">
        <v>15</v>
      </c>
      <c r="K3" s="124" t="s">
        <v>16</v>
      </c>
      <c r="L3" s="124" t="s">
        <v>17</v>
      </c>
      <c r="M3" s="124" t="s">
        <v>18</v>
      </c>
      <c r="N3" s="124" t="s">
        <v>145</v>
      </c>
      <c r="O3" s="124" t="s">
        <v>146</v>
      </c>
      <c r="P3" s="124" t="s">
        <v>147</v>
      </c>
      <c r="Q3" s="124" t="s">
        <v>148</v>
      </c>
      <c r="R3" s="124" t="s">
        <v>149</v>
      </c>
      <c r="S3" s="124" t="s">
        <v>150</v>
      </c>
      <c r="T3" s="124" t="s">
        <v>151</v>
      </c>
      <c r="U3" s="124" t="s">
        <v>152</v>
      </c>
      <c r="V3" s="124" t="s">
        <v>153</v>
      </c>
      <c r="W3" s="124" t="s">
        <v>154</v>
      </c>
      <c r="X3" s="124" t="s">
        <v>25</v>
      </c>
      <c r="Y3" s="124" t="s">
        <v>26</v>
      </c>
      <c r="Z3" s="124" t="s">
        <v>27</v>
      </c>
      <c r="AA3" s="124" t="s">
        <v>155</v>
      </c>
      <c r="AB3" s="124" t="s">
        <v>156</v>
      </c>
      <c r="AC3" s="124" t="s">
        <v>157</v>
      </c>
      <c r="AD3" s="124" t="s">
        <v>90</v>
      </c>
      <c r="AE3" s="124" t="s">
        <v>42</v>
      </c>
      <c r="AF3" s="124" t="s">
        <v>111</v>
      </c>
      <c r="AG3" s="124" t="s">
        <v>66</v>
      </c>
    </row>
    <row r="4" spans="1:33" s="118" customFormat="1">
      <c r="A4" s="150" t="s">
        <v>261</v>
      </c>
      <c r="B4" s="150">
        <f t="shared" ref="B4:Q4" si="0">AVERAGE(B5:B16)</f>
        <v>19.341666666666665</v>
      </c>
      <c r="C4" s="150">
        <f t="shared" si="0"/>
        <v>15.866666666666669</v>
      </c>
      <c r="D4" s="150">
        <f t="shared" si="0"/>
        <v>40.883333333333333</v>
      </c>
      <c r="E4" s="150">
        <f t="shared" si="0"/>
        <v>70.625</v>
      </c>
      <c r="F4" s="150">
        <f t="shared" si="0"/>
        <v>197.70833333333334</v>
      </c>
      <c r="G4" s="150">
        <f t="shared" si="0"/>
        <v>269.20833333333331</v>
      </c>
      <c r="H4" s="150">
        <f t="shared" si="0"/>
        <v>205.73333333333332</v>
      </c>
      <c r="I4" s="150">
        <f t="shared" si="0"/>
        <v>140.64166666666665</v>
      </c>
      <c r="J4" s="150">
        <f t="shared" si="0"/>
        <v>96.716666666666654</v>
      </c>
      <c r="K4" s="150">
        <f t="shared" si="0"/>
        <v>74.75</v>
      </c>
      <c r="L4" s="150">
        <f t="shared" si="0"/>
        <v>47.883333333333333</v>
      </c>
      <c r="M4" s="150">
        <f t="shared" si="0"/>
        <v>20.191666666666666</v>
      </c>
      <c r="N4" s="150">
        <f t="shared" si="0"/>
        <v>146.71666666666667</v>
      </c>
      <c r="O4" s="150">
        <f t="shared" si="0"/>
        <v>910.00833333333355</v>
      </c>
      <c r="P4" s="150">
        <f t="shared" si="0"/>
        <v>142.82499999999999</v>
      </c>
      <c r="Q4" s="150">
        <f t="shared" si="0"/>
        <v>1199.55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3">
        <v>2004</v>
      </c>
      <c r="B5" s="103">
        <v>16.3</v>
      </c>
      <c r="C5" s="103">
        <v>26.8</v>
      </c>
      <c r="D5" s="103">
        <v>32.5</v>
      </c>
      <c r="E5" s="103">
        <v>80.5</v>
      </c>
      <c r="F5" s="103">
        <v>207.4</v>
      </c>
      <c r="G5" s="103">
        <v>117.3</v>
      </c>
      <c r="H5" s="103">
        <v>251.1</v>
      </c>
      <c r="I5" s="103">
        <v>143.9</v>
      </c>
      <c r="J5" s="103">
        <v>40</v>
      </c>
      <c r="K5" s="103">
        <v>4.9000000000000004</v>
      </c>
      <c r="L5" s="103">
        <v>26.1</v>
      </c>
      <c r="M5" s="103">
        <v>13.8</v>
      </c>
      <c r="N5" s="102">
        <f>SUM(B5:E5)</f>
        <v>156.1</v>
      </c>
      <c r="O5" s="102">
        <f>SUM(F5:J5)</f>
        <v>759.69999999999993</v>
      </c>
      <c r="P5" s="102">
        <f>SUM(K5:M5)</f>
        <v>44.8</v>
      </c>
      <c r="Q5" s="102">
        <f>SUM(B5:M5)</f>
        <v>960.59999999999991</v>
      </c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</row>
    <row r="6" spans="1:33">
      <c r="A6" s="102">
        <v>2005</v>
      </c>
      <c r="B6" s="103">
        <v>20.6</v>
      </c>
      <c r="C6" s="103">
        <v>4.3</v>
      </c>
      <c r="D6" s="103">
        <v>39</v>
      </c>
      <c r="E6" s="103">
        <v>55.7</v>
      </c>
      <c r="F6" s="103">
        <v>195</v>
      </c>
      <c r="G6" s="103">
        <v>344.2</v>
      </c>
      <c r="H6" s="103">
        <v>94.7</v>
      </c>
      <c r="I6" s="103">
        <v>115.4</v>
      </c>
      <c r="J6" s="103">
        <v>23.2</v>
      </c>
      <c r="K6" s="102">
        <v>41.4</v>
      </c>
      <c r="L6" s="102">
        <v>50.6</v>
      </c>
      <c r="M6" s="102">
        <v>29.4</v>
      </c>
      <c r="N6" s="102">
        <f t="shared" ref="N6:N16" si="1">SUM(B6:E6)</f>
        <v>119.60000000000001</v>
      </c>
      <c r="O6" s="102">
        <f t="shared" ref="O6:O16" si="2">SUM(F6:J6)</f>
        <v>772.50000000000011</v>
      </c>
      <c r="P6" s="102">
        <f t="shared" ref="P6:P16" si="3">SUM(K6:M6)</f>
        <v>121.4</v>
      </c>
      <c r="Q6" s="102">
        <f t="shared" ref="Q6:Q16" si="4">SUM(B6:M6)</f>
        <v>1013.5</v>
      </c>
    </row>
    <row r="7" spans="1:33">
      <c r="A7" s="102">
        <v>2006</v>
      </c>
      <c r="B7" s="102">
        <v>11.5</v>
      </c>
      <c r="C7" s="102">
        <v>22.7</v>
      </c>
      <c r="D7" s="102">
        <v>25.5</v>
      </c>
      <c r="E7" s="102">
        <v>97.6</v>
      </c>
      <c r="F7" s="102">
        <v>147.30000000000001</v>
      </c>
      <c r="G7" s="102">
        <v>444.2</v>
      </c>
      <c r="H7" s="102">
        <v>208.6</v>
      </c>
      <c r="I7" s="102">
        <v>116.5</v>
      </c>
      <c r="J7" s="102">
        <v>52.4</v>
      </c>
      <c r="K7" s="102">
        <v>177.6</v>
      </c>
      <c r="L7" s="102">
        <v>33.1</v>
      </c>
      <c r="M7" s="102">
        <v>3.6</v>
      </c>
      <c r="N7" s="102">
        <f t="shared" si="1"/>
        <v>157.30000000000001</v>
      </c>
      <c r="O7" s="102">
        <f t="shared" si="2"/>
        <v>969</v>
      </c>
      <c r="P7" s="102">
        <f t="shared" si="3"/>
        <v>214.29999999999998</v>
      </c>
      <c r="Q7" s="102">
        <f t="shared" si="4"/>
        <v>1340.6</v>
      </c>
    </row>
    <row r="8" spans="1:33">
      <c r="A8" s="102">
        <v>2007</v>
      </c>
      <c r="B8" s="102">
        <v>38</v>
      </c>
      <c r="C8" s="102">
        <v>29.6</v>
      </c>
      <c r="D8" s="102">
        <v>14.3</v>
      </c>
      <c r="E8" s="102">
        <v>97.2</v>
      </c>
      <c r="F8" s="102">
        <v>103.1</v>
      </c>
      <c r="G8" s="102">
        <v>448.1</v>
      </c>
      <c r="H8" s="102">
        <v>379.6</v>
      </c>
      <c r="I8" s="102">
        <v>92.7</v>
      </c>
      <c r="J8" s="102">
        <v>120.5</v>
      </c>
      <c r="K8" s="102">
        <v>18.5</v>
      </c>
      <c r="L8" s="102">
        <v>6.3</v>
      </c>
      <c r="M8" s="102">
        <v>20.100000000000001</v>
      </c>
      <c r="N8" s="102">
        <f t="shared" si="1"/>
        <v>179.1</v>
      </c>
      <c r="O8" s="102">
        <f t="shared" si="2"/>
        <v>1144</v>
      </c>
      <c r="P8" s="102">
        <f t="shared" si="3"/>
        <v>44.900000000000006</v>
      </c>
      <c r="Q8" s="102">
        <f t="shared" si="4"/>
        <v>1368</v>
      </c>
    </row>
    <row r="9" spans="1:33">
      <c r="A9" s="102">
        <v>2008</v>
      </c>
      <c r="B9" s="102">
        <v>20.2</v>
      </c>
      <c r="C9" s="102">
        <v>14.4</v>
      </c>
      <c r="D9" s="102">
        <v>83.2</v>
      </c>
      <c r="E9" s="102">
        <v>105.7</v>
      </c>
      <c r="F9" s="102">
        <v>399.3</v>
      </c>
      <c r="G9" s="102">
        <v>170.6</v>
      </c>
      <c r="H9" s="102">
        <v>197.6</v>
      </c>
      <c r="I9" s="102">
        <v>197.2</v>
      </c>
      <c r="J9" s="102">
        <v>118.2</v>
      </c>
      <c r="K9" s="102">
        <v>108.2</v>
      </c>
      <c r="L9" s="102">
        <v>107.3</v>
      </c>
      <c r="M9" s="102">
        <v>8.6</v>
      </c>
      <c r="N9" s="102">
        <f t="shared" si="1"/>
        <v>223.5</v>
      </c>
      <c r="O9" s="102">
        <f t="shared" si="2"/>
        <v>1082.9000000000001</v>
      </c>
      <c r="P9" s="102">
        <f t="shared" si="3"/>
        <v>224.1</v>
      </c>
      <c r="Q9" s="102">
        <f t="shared" si="4"/>
        <v>1530.5</v>
      </c>
    </row>
    <row r="10" spans="1:33">
      <c r="A10" s="102">
        <v>2009</v>
      </c>
      <c r="B10" s="102">
        <v>4.3</v>
      </c>
      <c r="C10" s="102">
        <v>3.6</v>
      </c>
      <c r="D10" s="102">
        <v>68.8</v>
      </c>
      <c r="E10" s="102">
        <v>63</v>
      </c>
      <c r="F10" s="102">
        <v>109.5</v>
      </c>
      <c r="G10" s="102">
        <v>213.8</v>
      </c>
      <c r="H10" s="102">
        <v>191.4</v>
      </c>
      <c r="I10" s="102">
        <v>113</v>
      </c>
      <c r="J10" s="102">
        <v>92.4</v>
      </c>
      <c r="K10" s="102">
        <v>32.299999999999997</v>
      </c>
      <c r="L10" s="102">
        <v>8.3000000000000007</v>
      </c>
      <c r="M10" s="102">
        <v>2.4</v>
      </c>
      <c r="N10" s="102">
        <f t="shared" si="1"/>
        <v>139.69999999999999</v>
      </c>
      <c r="O10" s="102">
        <f t="shared" si="2"/>
        <v>720.1</v>
      </c>
      <c r="P10" s="102">
        <f t="shared" si="3"/>
        <v>42.999999999999993</v>
      </c>
      <c r="Q10" s="102">
        <f t="shared" si="4"/>
        <v>902.79999999999984</v>
      </c>
    </row>
    <row r="11" spans="1:33">
      <c r="A11" s="102">
        <v>2010</v>
      </c>
      <c r="B11" s="102">
        <v>17.2</v>
      </c>
      <c r="C11" s="102">
        <v>1.2</v>
      </c>
      <c r="D11" s="102">
        <v>0.2</v>
      </c>
      <c r="E11" s="102">
        <v>94.5</v>
      </c>
      <c r="F11" s="102">
        <v>399</v>
      </c>
      <c r="G11" s="102">
        <v>272.7</v>
      </c>
      <c r="H11" s="102">
        <v>420</v>
      </c>
      <c r="I11" s="102">
        <v>66</v>
      </c>
      <c r="J11" s="102">
        <v>179.9</v>
      </c>
      <c r="K11" s="102">
        <v>113.9</v>
      </c>
      <c r="L11" s="102">
        <v>34.200000000000003</v>
      </c>
      <c r="M11" s="102">
        <v>29.5</v>
      </c>
      <c r="N11" s="102">
        <f t="shared" si="1"/>
        <v>113.1</v>
      </c>
      <c r="O11" s="102">
        <f t="shared" si="2"/>
        <v>1337.6000000000001</v>
      </c>
      <c r="P11" s="102">
        <f t="shared" si="3"/>
        <v>177.60000000000002</v>
      </c>
      <c r="Q11" s="102">
        <f t="shared" si="4"/>
        <v>1628.3000000000002</v>
      </c>
    </row>
    <row r="12" spans="1:33">
      <c r="A12" s="102">
        <v>2011</v>
      </c>
      <c r="B12" s="102">
        <v>16.3</v>
      </c>
      <c r="C12" s="102">
        <v>7.8</v>
      </c>
      <c r="D12" s="102">
        <v>20</v>
      </c>
      <c r="E12" s="102">
        <v>49</v>
      </c>
      <c r="F12" s="102">
        <v>138.19999999999999</v>
      </c>
      <c r="G12" s="102">
        <v>339.4</v>
      </c>
      <c r="H12" s="102">
        <v>51.6</v>
      </c>
      <c r="I12" s="102">
        <v>93</v>
      </c>
      <c r="J12" s="102">
        <v>81.599999999999994</v>
      </c>
      <c r="K12" s="102">
        <v>121.2</v>
      </c>
      <c r="L12" s="102">
        <v>83.8</v>
      </c>
      <c r="M12" s="102">
        <v>1.5</v>
      </c>
      <c r="N12" s="102">
        <f t="shared" si="1"/>
        <v>93.1</v>
      </c>
      <c r="O12" s="102">
        <f t="shared" si="2"/>
        <v>703.8</v>
      </c>
      <c r="P12" s="102">
        <f t="shared" si="3"/>
        <v>206.5</v>
      </c>
      <c r="Q12" s="102">
        <f t="shared" si="4"/>
        <v>1003.4</v>
      </c>
    </row>
    <row r="13" spans="1:33">
      <c r="A13" s="102">
        <v>2012</v>
      </c>
      <c r="B13" s="102">
        <v>29.5</v>
      </c>
      <c r="C13" s="102">
        <v>14.7</v>
      </c>
      <c r="D13" s="102">
        <v>22.7</v>
      </c>
      <c r="E13" s="102">
        <v>39.299999999999997</v>
      </c>
      <c r="F13" s="102">
        <v>186.8</v>
      </c>
      <c r="G13" s="102">
        <v>208</v>
      </c>
      <c r="H13" s="102">
        <v>201.7</v>
      </c>
      <c r="I13" s="102">
        <v>60.3</v>
      </c>
      <c r="J13" s="102">
        <v>81</v>
      </c>
      <c r="K13" s="102">
        <v>37.799999999999997</v>
      </c>
      <c r="L13" s="102">
        <v>38.4</v>
      </c>
      <c r="M13" s="102">
        <v>7.8</v>
      </c>
      <c r="N13" s="102">
        <f t="shared" si="1"/>
        <v>106.2</v>
      </c>
      <c r="O13" s="102">
        <f t="shared" si="2"/>
        <v>737.8</v>
      </c>
      <c r="P13" s="102">
        <f t="shared" si="3"/>
        <v>83.999999999999986</v>
      </c>
      <c r="Q13" s="102">
        <f t="shared" si="4"/>
        <v>927.99999999999989</v>
      </c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  <c r="AG13" s="104"/>
    </row>
    <row r="14" spans="1:33">
      <c r="A14" s="102">
        <v>2013</v>
      </c>
      <c r="B14" s="102">
        <v>11</v>
      </c>
      <c r="C14" s="102">
        <v>4</v>
      </c>
      <c r="D14" s="102">
        <v>64.8</v>
      </c>
      <c r="E14" s="102">
        <v>81.7</v>
      </c>
      <c r="F14" s="102">
        <v>188.3</v>
      </c>
      <c r="G14" s="102">
        <v>146.5</v>
      </c>
      <c r="H14" s="102">
        <v>84.7</v>
      </c>
      <c r="I14" s="102">
        <v>210.6</v>
      </c>
      <c r="J14" s="102">
        <v>83.5</v>
      </c>
      <c r="K14" s="102">
        <v>28</v>
      </c>
      <c r="L14" s="102">
        <v>16.5</v>
      </c>
      <c r="M14" s="102">
        <v>62.8</v>
      </c>
      <c r="N14" s="102">
        <f t="shared" si="1"/>
        <v>161.5</v>
      </c>
      <c r="O14" s="102">
        <f t="shared" si="2"/>
        <v>713.6</v>
      </c>
      <c r="P14" s="102">
        <f t="shared" si="3"/>
        <v>107.3</v>
      </c>
      <c r="Q14" s="102">
        <f t="shared" si="4"/>
        <v>982.4</v>
      </c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</row>
    <row r="15" spans="1:33">
      <c r="A15" s="102">
        <v>2014</v>
      </c>
      <c r="B15" s="134">
        <v>6.7</v>
      </c>
      <c r="C15" s="134">
        <v>36.5</v>
      </c>
      <c r="D15" s="134">
        <v>108.3</v>
      </c>
      <c r="E15" s="134">
        <v>52</v>
      </c>
      <c r="F15" s="134">
        <v>155.6</v>
      </c>
      <c r="G15" s="134">
        <v>313.10000000000002</v>
      </c>
      <c r="H15" s="134">
        <v>240.7</v>
      </c>
      <c r="I15" s="134">
        <v>218.2</v>
      </c>
      <c r="J15" s="134">
        <v>149.9</v>
      </c>
      <c r="K15" s="134">
        <v>138</v>
      </c>
      <c r="L15" s="134">
        <v>55</v>
      </c>
      <c r="M15" s="134">
        <v>1.5</v>
      </c>
      <c r="N15" s="102">
        <f t="shared" si="1"/>
        <v>203.5</v>
      </c>
      <c r="O15" s="102">
        <f t="shared" si="2"/>
        <v>1077.5000000000002</v>
      </c>
      <c r="P15" s="102">
        <f t="shared" si="3"/>
        <v>194.5</v>
      </c>
      <c r="Q15" s="102">
        <f t="shared" si="4"/>
        <v>1475.5000000000002</v>
      </c>
    </row>
    <row r="16" spans="1:33">
      <c r="A16" s="102">
        <v>2015</v>
      </c>
      <c r="B16" s="133">
        <v>40.5</v>
      </c>
      <c r="C16" s="133">
        <v>24.8</v>
      </c>
      <c r="D16" s="133">
        <v>11.3</v>
      </c>
      <c r="E16" s="133">
        <v>31.3</v>
      </c>
      <c r="F16" s="133">
        <v>143</v>
      </c>
      <c r="G16" s="133">
        <v>212.6</v>
      </c>
      <c r="H16" s="133">
        <v>147.1</v>
      </c>
      <c r="I16" s="133">
        <v>260.89999999999998</v>
      </c>
      <c r="J16" s="133">
        <v>138</v>
      </c>
      <c r="K16" s="133">
        <v>75.2</v>
      </c>
      <c r="L16" s="133">
        <v>115</v>
      </c>
      <c r="M16" s="133">
        <v>61.3</v>
      </c>
      <c r="N16" s="102">
        <f t="shared" si="1"/>
        <v>107.89999999999999</v>
      </c>
      <c r="O16" s="102">
        <f t="shared" si="2"/>
        <v>901.6</v>
      </c>
      <c r="P16" s="102">
        <f t="shared" si="3"/>
        <v>251.5</v>
      </c>
      <c r="Q16" s="102">
        <f t="shared" si="4"/>
        <v>1261</v>
      </c>
    </row>
    <row r="17" spans="1:33" ht="13.5">
      <c r="A17" s="102">
        <v>2016</v>
      </c>
      <c r="B17" s="134">
        <v>33.6</v>
      </c>
      <c r="C17" s="134">
        <v>10.8</v>
      </c>
      <c r="D17" s="134">
        <v>29</v>
      </c>
      <c r="E17" s="134">
        <v>82.3</v>
      </c>
      <c r="F17" s="134">
        <v>290.3</v>
      </c>
      <c r="G17" s="134">
        <v>294.10000000000002</v>
      </c>
      <c r="H17" s="134">
        <v>143.69999999999999</v>
      </c>
      <c r="I17" s="134">
        <v>320.10000000000002</v>
      </c>
      <c r="J17" s="134">
        <v>59.4</v>
      </c>
      <c r="K17" s="134">
        <v>72.8</v>
      </c>
      <c r="L17" s="134">
        <v>45.1</v>
      </c>
      <c r="M17" s="134">
        <v>2.2000000000000002</v>
      </c>
      <c r="N17" s="102">
        <f>SUM(B17:E17)</f>
        <v>155.69999999999999</v>
      </c>
      <c r="O17" s="102">
        <f>SUM(F17:J17)</f>
        <v>1107.6000000000004</v>
      </c>
      <c r="P17" s="102">
        <f>SUM(K17:M17)</f>
        <v>120.10000000000001</v>
      </c>
      <c r="Q17" s="102">
        <f>SUM(B17:M17)</f>
        <v>1383.4</v>
      </c>
      <c r="R17" s="129">
        <f t="shared" ref="R17:AG17" si="5">100*(B17-B4)/B4</f>
        <v>73.718224903059053</v>
      </c>
      <c r="S17" s="129">
        <f t="shared" si="5"/>
        <v>-31.932773109243701</v>
      </c>
      <c r="T17" s="129">
        <f t="shared" si="5"/>
        <v>-29.066449245821442</v>
      </c>
      <c r="U17" s="129">
        <f t="shared" si="5"/>
        <v>16.53097345132743</v>
      </c>
      <c r="V17" s="129">
        <f t="shared" si="5"/>
        <v>46.832455216016854</v>
      </c>
      <c r="W17" s="129">
        <f t="shared" si="5"/>
        <v>9.2462467110354591</v>
      </c>
      <c r="X17" s="129">
        <f t="shared" si="5"/>
        <v>-30.152300712896956</v>
      </c>
      <c r="Y17" s="129">
        <f t="shared" si="5"/>
        <v>127.59969188836882</v>
      </c>
      <c r="Z17" s="129">
        <f t="shared" si="5"/>
        <v>-38.583491297604681</v>
      </c>
      <c r="AA17" s="129">
        <f t="shared" si="5"/>
        <v>-2.6086956521739166</v>
      </c>
      <c r="AB17" s="129">
        <f t="shared" si="5"/>
        <v>-5.8127392969021887</v>
      </c>
      <c r="AC17" s="129">
        <f t="shared" si="5"/>
        <v>-89.104416013206773</v>
      </c>
      <c r="AD17" s="129">
        <f t="shared" si="5"/>
        <v>6.122912643417008</v>
      </c>
      <c r="AE17" s="129">
        <f t="shared" si="5"/>
        <v>21.713171124806561</v>
      </c>
      <c r="AF17" s="129">
        <f t="shared" si="5"/>
        <v>-15.911079992998413</v>
      </c>
      <c r="AG17" s="129">
        <f t="shared" si="5"/>
        <v>15.326580801133771</v>
      </c>
    </row>
  </sheetData>
  <mergeCells count="6">
    <mergeCell ref="A1:A3"/>
    <mergeCell ref="B1:Q1"/>
    <mergeCell ref="B2:M2"/>
    <mergeCell ref="R1:AG1"/>
    <mergeCell ref="N2:Q2"/>
    <mergeCell ref="R2:AG2"/>
  </mergeCells>
  <phoneticPr fontId="2" type="noConversion"/>
  <pageMargins left="0.75" right="0.75" top="1" bottom="1" header="0.5" footer="0.5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>
  <sheetPr codeName="Sheet37"/>
  <dimension ref="A1:AG39"/>
  <sheetViews>
    <sheetView zoomScale="70" zoomScaleNormal="70" workbookViewId="0">
      <pane ySplit="5" topLeftCell="A6" activePane="bottomLeft" state="frozen"/>
      <selection pane="bottomLeft" activeCell="R39" sqref="R39"/>
    </sheetView>
  </sheetViews>
  <sheetFormatPr defaultRowHeight="12"/>
  <cols>
    <col min="1" max="1" width="8.5" style="102" bestFit="1" customWidth="1"/>
    <col min="2" max="3" width="6.75" style="102" bestFit="1" customWidth="1"/>
    <col min="4" max="11" width="7.625" style="102" bestFit="1" customWidth="1"/>
    <col min="12" max="13" width="6.75" style="102" bestFit="1" customWidth="1"/>
    <col min="14" max="14" width="7.625" style="102" bestFit="1" customWidth="1"/>
    <col min="15" max="15" width="8.5" style="102" bestFit="1" customWidth="1"/>
    <col min="16" max="16" width="8.25" style="102" customWidth="1"/>
    <col min="17" max="17" width="8.5" style="102" bestFit="1" customWidth="1"/>
    <col min="18" max="31" width="7.625" style="102" bestFit="1" customWidth="1"/>
    <col min="32" max="32" width="7.125" style="102" customWidth="1"/>
    <col min="33" max="33" width="7.625" style="102" bestFit="1" customWidth="1"/>
    <col min="34" max="16384" width="9" style="102"/>
  </cols>
  <sheetData>
    <row r="1" spans="1:33" s="118" customFormat="1" ht="14.25" customHeight="1">
      <c r="A1" s="176" t="s">
        <v>172</v>
      </c>
      <c r="B1" s="176" t="s">
        <v>180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181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173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174</v>
      </c>
      <c r="O2" s="176"/>
      <c r="P2" s="176"/>
      <c r="Q2" s="176"/>
      <c r="R2" s="176" t="s">
        <v>175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>
      <c r="A3" s="176"/>
      <c r="B3" s="124" t="s">
        <v>182</v>
      </c>
      <c r="C3" s="124" t="s">
        <v>183</v>
      </c>
      <c r="D3" s="124" t="s">
        <v>9</v>
      </c>
      <c r="E3" s="124" t="s">
        <v>10</v>
      </c>
      <c r="F3" s="124" t="s">
        <v>11</v>
      </c>
      <c r="G3" s="124" t="s">
        <v>12</v>
      </c>
      <c r="H3" s="124" t="s">
        <v>13</v>
      </c>
      <c r="I3" s="124" t="s">
        <v>14</v>
      </c>
      <c r="J3" s="124" t="s">
        <v>15</v>
      </c>
      <c r="K3" s="124" t="s">
        <v>16</v>
      </c>
      <c r="L3" s="124" t="s">
        <v>17</v>
      </c>
      <c r="M3" s="124" t="s">
        <v>18</v>
      </c>
      <c r="N3" s="124" t="s">
        <v>184</v>
      </c>
      <c r="O3" s="124" t="s">
        <v>185</v>
      </c>
      <c r="P3" s="124" t="s">
        <v>186</v>
      </c>
      <c r="Q3" s="124" t="s">
        <v>187</v>
      </c>
      <c r="R3" s="124" t="s">
        <v>182</v>
      </c>
      <c r="S3" s="124" t="s">
        <v>183</v>
      </c>
      <c r="T3" s="124" t="s">
        <v>188</v>
      </c>
      <c r="U3" s="124" t="s">
        <v>189</v>
      </c>
      <c r="V3" s="124" t="s">
        <v>190</v>
      </c>
      <c r="W3" s="124" t="s">
        <v>191</v>
      </c>
      <c r="X3" s="124" t="s">
        <v>25</v>
      </c>
      <c r="Y3" s="124" t="s">
        <v>26</v>
      </c>
      <c r="Z3" s="124" t="s">
        <v>27</v>
      </c>
      <c r="AA3" s="124" t="s">
        <v>192</v>
      </c>
      <c r="AB3" s="124" t="s">
        <v>193</v>
      </c>
      <c r="AC3" s="124" t="s">
        <v>194</v>
      </c>
      <c r="AD3" s="124" t="s">
        <v>176</v>
      </c>
      <c r="AE3" s="124" t="s">
        <v>177</v>
      </c>
      <c r="AF3" s="124" t="s">
        <v>178</v>
      </c>
      <c r="AG3" s="124" t="s">
        <v>179</v>
      </c>
    </row>
    <row r="4" spans="1:33" s="118" customFormat="1">
      <c r="A4" s="150" t="s">
        <v>261</v>
      </c>
      <c r="B4" s="150">
        <f t="shared" ref="B4:Q4" si="0">AVERAGE(B5:B38)</f>
        <v>26.376470588235289</v>
      </c>
      <c r="C4" s="150">
        <f t="shared" si="0"/>
        <v>26.708823529411767</v>
      </c>
      <c r="D4" s="150">
        <f t="shared" si="0"/>
        <v>45.176470588235297</v>
      </c>
      <c r="E4" s="150">
        <f t="shared" si="0"/>
        <v>81.114705882352951</v>
      </c>
      <c r="F4" s="150">
        <f t="shared" si="0"/>
        <v>169.1764705882353</v>
      </c>
      <c r="G4" s="150">
        <f t="shared" si="0"/>
        <v>202.75882352941176</v>
      </c>
      <c r="H4" s="150">
        <f t="shared" si="0"/>
        <v>175.36176470588239</v>
      </c>
      <c r="I4" s="150">
        <f t="shared" si="0"/>
        <v>123.75882352941177</v>
      </c>
      <c r="J4" s="150">
        <f t="shared" si="0"/>
        <v>88.655882352941163</v>
      </c>
      <c r="K4" s="150">
        <f t="shared" si="0"/>
        <v>91.647058823529406</v>
      </c>
      <c r="L4" s="150">
        <f t="shared" si="0"/>
        <v>39.473529411764709</v>
      </c>
      <c r="M4" s="150">
        <f t="shared" si="0"/>
        <v>23.650000000000006</v>
      </c>
      <c r="N4" s="150">
        <f t="shared" si="0"/>
        <v>179.37647058823526</v>
      </c>
      <c r="O4" s="150">
        <f t="shared" si="0"/>
        <v>759.71176470588239</v>
      </c>
      <c r="P4" s="150">
        <f t="shared" si="0"/>
        <v>154.7705882352941</v>
      </c>
      <c r="Q4" s="150">
        <f t="shared" si="0"/>
        <v>1093.8588235294119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1982</v>
      </c>
      <c r="B5" s="102">
        <v>30.7</v>
      </c>
      <c r="C5" s="102">
        <v>61</v>
      </c>
      <c r="D5" s="102">
        <v>19.899999999999999</v>
      </c>
      <c r="E5" s="102">
        <v>111.6</v>
      </c>
      <c r="F5" s="102">
        <v>135.69999999999999</v>
      </c>
      <c r="G5" s="102">
        <v>150</v>
      </c>
      <c r="H5" s="102">
        <v>117.9</v>
      </c>
      <c r="I5" s="102">
        <v>125.5</v>
      </c>
      <c r="J5" s="102">
        <v>148.9</v>
      </c>
      <c r="K5" s="102">
        <v>43.7</v>
      </c>
      <c r="L5" s="102">
        <v>96.4</v>
      </c>
      <c r="M5" s="102">
        <v>18.100000000000001</v>
      </c>
      <c r="N5" s="102">
        <f>SUM(B5:E5)</f>
        <v>223.2</v>
      </c>
      <c r="O5" s="102">
        <f>SUM(F5:J5)</f>
        <v>678</v>
      </c>
      <c r="P5" s="102">
        <f>SUM(K5:M5)</f>
        <v>158.20000000000002</v>
      </c>
      <c r="Q5" s="102">
        <f>SUM(B5:M5)</f>
        <v>1059.3999999999999</v>
      </c>
    </row>
    <row r="6" spans="1:33">
      <c r="A6" s="102">
        <v>1983</v>
      </c>
      <c r="B6" s="102">
        <v>46</v>
      </c>
      <c r="C6" s="102">
        <v>41.9</v>
      </c>
      <c r="D6" s="102">
        <v>34.200000000000003</v>
      </c>
      <c r="E6" s="102">
        <v>84.7</v>
      </c>
      <c r="F6" s="102">
        <v>99.1</v>
      </c>
      <c r="G6" s="102">
        <v>209.2</v>
      </c>
      <c r="H6" s="102">
        <v>125.6</v>
      </c>
      <c r="I6" s="102">
        <v>200.8</v>
      </c>
      <c r="J6" s="102">
        <v>57.7</v>
      </c>
      <c r="K6" s="102">
        <v>80.900000000000006</v>
      </c>
      <c r="L6" s="102">
        <v>53.9</v>
      </c>
      <c r="M6" s="102">
        <v>27.3</v>
      </c>
      <c r="N6" s="102">
        <f t="shared" ref="N6:N38" si="1">SUM(B6:E6)</f>
        <v>206.8</v>
      </c>
      <c r="O6" s="102">
        <f t="shared" ref="O6:O38" si="2">SUM(F6:J6)</f>
        <v>692.40000000000009</v>
      </c>
      <c r="P6" s="102">
        <f t="shared" ref="P6:P38" si="3">SUM(K6:M6)</f>
        <v>162.10000000000002</v>
      </c>
      <c r="Q6" s="102">
        <f t="shared" ref="Q6:Q38" si="4">SUM(B6:M6)</f>
        <v>1061.3</v>
      </c>
    </row>
    <row r="7" spans="1:33">
      <c r="A7" s="102">
        <v>1984</v>
      </c>
      <c r="B7" s="102">
        <v>27.3</v>
      </c>
      <c r="C7" s="102">
        <v>20.7</v>
      </c>
      <c r="D7" s="102">
        <v>33.799999999999997</v>
      </c>
      <c r="E7" s="102">
        <v>158.6</v>
      </c>
      <c r="F7" s="102">
        <v>242.8</v>
      </c>
      <c r="G7" s="102">
        <v>148.6</v>
      </c>
      <c r="H7" s="102">
        <v>123.6</v>
      </c>
      <c r="I7" s="102">
        <v>203.1</v>
      </c>
      <c r="J7" s="102">
        <v>73.599999999999994</v>
      </c>
      <c r="K7" s="102">
        <v>65.900000000000006</v>
      </c>
      <c r="L7" s="102">
        <v>23</v>
      </c>
      <c r="M7" s="102">
        <v>38.5</v>
      </c>
      <c r="N7" s="102">
        <f t="shared" si="1"/>
        <v>240.39999999999998</v>
      </c>
      <c r="O7" s="102">
        <f t="shared" si="2"/>
        <v>791.7</v>
      </c>
      <c r="P7" s="102">
        <f t="shared" si="3"/>
        <v>127.4</v>
      </c>
      <c r="Q7" s="102">
        <f t="shared" si="4"/>
        <v>1159.5</v>
      </c>
    </row>
    <row r="8" spans="1:33">
      <c r="A8" s="102">
        <v>1985</v>
      </c>
      <c r="B8" s="102">
        <v>12.6</v>
      </c>
      <c r="C8" s="102">
        <v>39.9</v>
      </c>
      <c r="D8" s="102">
        <v>41.4</v>
      </c>
      <c r="E8" s="102">
        <v>91.6</v>
      </c>
      <c r="F8" s="102">
        <v>213.1</v>
      </c>
      <c r="G8" s="102">
        <v>168.1</v>
      </c>
      <c r="H8" s="102">
        <v>222.1</v>
      </c>
      <c r="I8" s="102">
        <v>157.1</v>
      </c>
      <c r="J8" s="102">
        <v>42.1</v>
      </c>
      <c r="K8" s="102">
        <v>98.5</v>
      </c>
      <c r="L8" s="102">
        <v>47.6</v>
      </c>
      <c r="M8" s="102">
        <v>19.600000000000001</v>
      </c>
      <c r="N8" s="102">
        <f t="shared" si="1"/>
        <v>185.5</v>
      </c>
      <c r="O8" s="102">
        <f t="shared" si="2"/>
        <v>802.5</v>
      </c>
      <c r="P8" s="102">
        <f t="shared" si="3"/>
        <v>165.7</v>
      </c>
      <c r="Q8" s="102">
        <f t="shared" si="4"/>
        <v>1153.6999999999998</v>
      </c>
    </row>
    <row r="9" spans="1:33">
      <c r="A9" s="102">
        <v>1986</v>
      </c>
      <c r="B9" s="102">
        <v>16</v>
      </c>
      <c r="C9" s="102">
        <v>15</v>
      </c>
      <c r="D9" s="102">
        <v>37.6</v>
      </c>
      <c r="E9" s="102">
        <v>50.3</v>
      </c>
      <c r="F9" s="102">
        <v>88.1</v>
      </c>
      <c r="G9" s="102">
        <v>153.9</v>
      </c>
      <c r="H9" s="102">
        <v>175.7</v>
      </c>
      <c r="I9" s="102">
        <v>95.7</v>
      </c>
      <c r="J9" s="102">
        <v>98.4</v>
      </c>
      <c r="K9" s="102">
        <v>69.900000000000006</v>
      </c>
      <c r="L9" s="102">
        <v>24.8</v>
      </c>
      <c r="M9" s="102">
        <v>6</v>
      </c>
      <c r="N9" s="102">
        <f t="shared" si="1"/>
        <v>118.89999999999999</v>
      </c>
      <c r="O9" s="102">
        <f t="shared" si="2"/>
        <v>611.79999999999995</v>
      </c>
      <c r="P9" s="102">
        <f t="shared" si="3"/>
        <v>100.7</v>
      </c>
      <c r="Q9" s="102">
        <f t="shared" si="4"/>
        <v>831.39999999999986</v>
      </c>
    </row>
    <row r="10" spans="1:33">
      <c r="A10" s="102">
        <v>1987</v>
      </c>
      <c r="B10" s="102">
        <v>20.6</v>
      </c>
      <c r="C10" s="102">
        <v>15.9</v>
      </c>
      <c r="D10" s="102">
        <v>35.4</v>
      </c>
      <c r="E10" s="102">
        <v>34.200000000000003</v>
      </c>
      <c r="F10" s="102">
        <v>97.4</v>
      </c>
      <c r="G10" s="102">
        <v>142.80000000000001</v>
      </c>
      <c r="H10" s="102">
        <v>242.4</v>
      </c>
      <c r="I10" s="102">
        <v>95.5</v>
      </c>
      <c r="J10" s="102">
        <v>73.7</v>
      </c>
      <c r="K10" s="102">
        <v>226.7</v>
      </c>
      <c r="L10" s="102">
        <v>54.6</v>
      </c>
      <c r="M10" s="102">
        <v>5.4</v>
      </c>
      <c r="N10" s="102">
        <f t="shared" si="1"/>
        <v>106.10000000000001</v>
      </c>
      <c r="O10" s="102">
        <f t="shared" si="2"/>
        <v>651.80000000000007</v>
      </c>
      <c r="P10" s="102">
        <f t="shared" si="3"/>
        <v>286.7</v>
      </c>
      <c r="Q10" s="102">
        <f t="shared" si="4"/>
        <v>1044.6000000000001</v>
      </c>
    </row>
    <row r="11" spans="1:33">
      <c r="A11" s="102">
        <v>1988</v>
      </c>
      <c r="B11" s="102">
        <v>22.9</v>
      </c>
      <c r="C11" s="102">
        <v>29</v>
      </c>
      <c r="D11" s="102">
        <v>9.6999999999999993</v>
      </c>
      <c r="E11" s="102">
        <v>85.5</v>
      </c>
      <c r="F11" s="102">
        <v>124.5</v>
      </c>
      <c r="G11" s="102">
        <v>283.39999999999998</v>
      </c>
      <c r="H11" s="102">
        <v>93.5</v>
      </c>
      <c r="I11" s="102">
        <v>332.9</v>
      </c>
      <c r="J11" s="102">
        <v>192</v>
      </c>
      <c r="K11" s="102">
        <v>71.2</v>
      </c>
      <c r="L11" s="102">
        <v>0.6</v>
      </c>
      <c r="M11" s="102">
        <v>13.8</v>
      </c>
      <c r="N11" s="102">
        <f t="shared" si="1"/>
        <v>147.1</v>
      </c>
      <c r="O11" s="102">
        <f t="shared" si="2"/>
        <v>1026.3</v>
      </c>
      <c r="P11" s="102">
        <f t="shared" si="3"/>
        <v>85.6</v>
      </c>
      <c r="Q11" s="102">
        <f t="shared" si="4"/>
        <v>1259</v>
      </c>
    </row>
    <row r="12" spans="1:33">
      <c r="A12" s="102">
        <v>1989</v>
      </c>
      <c r="B12" s="102">
        <v>13</v>
      </c>
      <c r="C12" s="102">
        <v>27.8</v>
      </c>
      <c r="D12" s="102">
        <v>42.6</v>
      </c>
      <c r="E12" s="102">
        <v>27.1</v>
      </c>
      <c r="F12" s="102">
        <v>78.7</v>
      </c>
      <c r="G12" s="102">
        <v>176.8</v>
      </c>
      <c r="H12" s="102">
        <v>58.4</v>
      </c>
      <c r="I12" s="102">
        <v>88.7</v>
      </c>
      <c r="J12" s="102">
        <v>117.3</v>
      </c>
      <c r="K12" s="102">
        <v>78</v>
      </c>
      <c r="L12" s="102">
        <v>29.1</v>
      </c>
      <c r="M12" s="102">
        <v>31.5</v>
      </c>
      <c r="N12" s="102">
        <f t="shared" si="1"/>
        <v>110.5</v>
      </c>
      <c r="O12" s="102">
        <f t="shared" si="2"/>
        <v>519.9</v>
      </c>
      <c r="P12" s="102">
        <f t="shared" si="3"/>
        <v>138.6</v>
      </c>
      <c r="Q12" s="102">
        <f t="shared" si="4"/>
        <v>769</v>
      </c>
    </row>
    <row r="13" spans="1:33">
      <c r="A13" s="102">
        <v>1990</v>
      </c>
      <c r="B13" s="102">
        <v>21.7</v>
      </c>
      <c r="C13" s="102">
        <v>20.9</v>
      </c>
      <c r="D13" s="102">
        <v>80.099999999999994</v>
      </c>
      <c r="E13" s="102">
        <v>93.8</v>
      </c>
      <c r="F13" s="102">
        <v>184.9</v>
      </c>
      <c r="G13" s="102">
        <v>303</v>
      </c>
      <c r="H13" s="102">
        <v>127</v>
      </c>
      <c r="I13" s="102">
        <v>30.9</v>
      </c>
      <c r="J13" s="102">
        <v>115.1</v>
      </c>
      <c r="K13" s="102">
        <v>76.099999999999994</v>
      </c>
      <c r="L13" s="102">
        <v>38</v>
      </c>
      <c r="M13" s="102">
        <v>16</v>
      </c>
      <c r="N13" s="102">
        <f t="shared" si="1"/>
        <v>216.5</v>
      </c>
      <c r="O13" s="102">
        <f t="shared" si="2"/>
        <v>760.9</v>
      </c>
      <c r="P13" s="102">
        <f t="shared" si="3"/>
        <v>130.1</v>
      </c>
      <c r="Q13" s="102">
        <f t="shared" si="4"/>
        <v>1107.5</v>
      </c>
    </row>
    <row r="14" spans="1:33">
      <c r="A14" s="102">
        <v>1991</v>
      </c>
      <c r="B14" s="102">
        <v>57.4</v>
      </c>
      <c r="C14" s="102">
        <v>24.2</v>
      </c>
      <c r="D14" s="102">
        <v>113.2</v>
      </c>
      <c r="E14" s="102">
        <v>51.3</v>
      </c>
      <c r="F14" s="102">
        <v>108.7</v>
      </c>
      <c r="G14" s="102">
        <v>220.7</v>
      </c>
      <c r="H14" s="102">
        <v>435.1</v>
      </c>
      <c r="I14" s="102">
        <v>146.9</v>
      </c>
      <c r="J14" s="102">
        <v>55.1</v>
      </c>
      <c r="K14" s="102">
        <v>50.5</v>
      </c>
      <c r="L14" s="102">
        <v>66</v>
      </c>
      <c r="M14" s="102">
        <v>34</v>
      </c>
      <c r="N14" s="102">
        <f t="shared" si="1"/>
        <v>246.10000000000002</v>
      </c>
      <c r="O14" s="102">
        <f t="shared" si="2"/>
        <v>966.5</v>
      </c>
      <c r="P14" s="102">
        <f t="shared" si="3"/>
        <v>150.5</v>
      </c>
      <c r="Q14" s="102">
        <f t="shared" si="4"/>
        <v>1363.1</v>
      </c>
    </row>
    <row r="15" spans="1:33">
      <c r="A15" s="102">
        <v>1992</v>
      </c>
      <c r="B15" s="102">
        <v>45.3</v>
      </c>
      <c r="C15" s="102">
        <v>49.8</v>
      </c>
      <c r="D15" s="102">
        <v>82.5</v>
      </c>
      <c r="E15" s="102">
        <v>135.1</v>
      </c>
      <c r="F15" s="102">
        <v>198.4</v>
      </c>
      <c r="G15" s="102">
        <v>296.8</v>
      </c>
      <c r="H15" s="102">
        <v>197.4</v>
      </c>
      <c r="I15" s="102">
        <v>53.5</v>
      </c>
      <c r="J15" s="102">
        <v>39.9</v>
      </c>
      <c r="K15" s="102">
        <v>77.400000000000006</v>
      </c>
      <c r="L15" s="102">
        <v>7.4</v>
      </c>
      <c r="M15" s="102">
        <v>29.6</v>
      </c>
      <c r="N15" s="102">
        <f t="shared" si="1"/>
        <v>312.7</v>
      </c>
      <c r="O15" s="102">
        <f t="shared" si="2"/>
        <v>786</v>
      </c>
      <c r="P15" s="102">
        <f t="shared" si="3"/>
        <v>114.4</v>
      </c>
      <c r="Q15" s="102">
        <f t="shared" si="4"/>
        <v>1213.1000000000004</v>
      </c>
    </row>
    <row r="16" spans="1:33">
      <c r="A16" s="102">
        <v>1993</v>
      </c>
      <c r="B16" s="102">
        <v>40.5</v>
      </c>
      <c r="C16" s="102">
        <v>64.5</v>
      </c>
      <c r="D16" s="102">
        <v>13.5</v>
      </c>
      <c r="E16" s="102">
        <v>61.8</v>
      </c>
      <c r="F16" s="102">
        <v>163.9</v>
      </c>
      <c r="G16" s="102">
        <v>153.9</v>
      </c>
      <c r="H16" s="102">
        <v>258.89999999999998</v>
      </c>
      <c r="I16" s="102">
        <v>109.2</v>
      </c>
      <c r="J16" s="102">
        <v>94.3</v>
      </c>
      <c r="K16" s="102">
        <v>53.5</v>
      </c>
      <c r="L16" s="102">
        <v>55.8</v>
      </c>
      <c r="M16" s="102">
        <v>10.6</v>
      </c>
      <c r="N16" s="102">
        <f t="shared" si="1"/>
        <v>180.3</v>
      </c>
      <c r="O16" s="102">
        <f t="shared" si="2"/>
        <v>780.2</v>
      </c>
      <c r="P16" s="102">
        <f t="shared" si="3"/>
        <v>119.89999999999999</v>
      </c>
      <c r="Q16" s="102">
        <f t="shared" si="4"/>
        <v>1080.3999999999999</v>
      </c>
    </row>
    <row r="17" spans="1:17">
      <c r="A17" s="102">
        <v>1994</v>
      </c>
      <c r="B17" s="102">
        <v>24</v>
      </c>
      <c r="C17" s="102">
        <v>12.1</v>
      </c>
      <c r="D17" s="102">
        <v>71</v>
      </c>
      <c r="E17" s="102">
        <v>60.4</v>
      </c>
      <c r="F17" s="102">
        <v>154.30000000000001</v>
      </c>
      <c r="G17" s="102">
        <v>124.5</v>
      </c>
      <c r="H17" s="102">
        <v>141.19999999999999</v>
      </c>
      <c r="I17" s="102">
        <v>120.2</v>
      </c>
      <c r="J17" s="102">
        <v>108.7</v>
      </c>
      <c r="K17" s="102">
        <v>167.6</v>
      </c>
      <c r="L17" s="102">
        <v>55.5</v>
      </c>
      <c r="M17" s="102">
        <v>33.5</v>
      </c>
      <c r="N17" s="102">
        <f t="shared" si="1"/>
        <v>167.5</v>
      </c>
      <c r="O17" s="102">
        <f t="shared" si="2"/>
        <v>648.90000000000009</v>
      </c>
      <c r="P17" s="102">
        <f t="shared" si="3"/>
        <v>256.60000000000002</v>
      </c>
      <c r="Q17" s="102">
        <f t="shared" si="4"/>
        <v>1073</v>
      </c>
    </row>
    <row r="18" spans="1:17">
      <c r="A18" s="102">
        <v>1995</v>
      </c>
      <c r="B18" s="102">
        <v>31.9</v>
      </c>
      <c r="C18" s="102">
        <v>55.5</v>
      </c>
      <c r="D18" s="102">
        <v>21</v>
      </c>
      <c r="E18" s="102">
        <v>61.6</v>
      </c>
      <c r="F18" s="102">
        <v>146</v>
      </c>
      <c r="G18" s="102">
        <v>124.1</v>
      </c>
      <c r="H18" s="102">
        <v>125.2</v>
      </c>
      <c r="I18" s="102">
        <v>95</v>
      </c>
      <c r="J18" s="102">
        <v>141.30000000000001</v>
      </c>
      <c r="K18" s="102">
        <v>46.9</v>
      </c>
      <c r="L18" s="102">
        <v>54.2</v>
      </c>
      <c r="M18" s="102">
        <v>5.6</v>
      </c>
      <c r="N18" s="102">
        <f t="shared" si="1"/>
        <v>170</v>
      </c>
      <c r="O18" s="102">
        <f t="shared" si="2"/>
        <v>631.6</v>
      </c>
      <c r="P18" s="102">
        <f t="shared" si="3"/>
        <v>106.69999999999999</v>
      </c>
      <c r="Q18" s="102">
        <f t="shared" si="4"/>
        <v>908.30000000000018</v>
      </c>
    </row>
    <row r="19" spans="1:17">
      <c r="A19" s="102">
        <v>1996</v>
      </c>
      <c r="B19" s="102">
        <v>21.3</v>
      </c>
      <c r="C19" s="102">
        <v>6.4</v>
      </c>
      <c r="D19" s="102">
        <v>106</v>
      </c>
      <c r="E19" s="102">
        <v>43.8</v>
      </c>
      <c r="F19" s="102">
        <v>209.7</v>
      </c>
      <c r="G19" s="102">
        <v>193.2</v>
      </c>
      <c r="H19" s="102">
        <v>326.89999999999998</v>
      </c>
      <c r="I19" s="102">
        <v>61.4</v>
      </c>
      <c r="J19" s="102">
        <v>15.8</v>
      </c>
      <c r="K19" s="102">
        <v>42</v>
      </c>
      <c r="L19" s="102">
        <v>51.7</v>
      </c>
      <c r="M19" s="102">
        <v>24.8</v>
      </c>
      <c r="N19" s="102">
        <f t="shared" si="1"/>
        <v>177.5</v>
      </c>
      <c r="O19" s="102">
        <f t="shared" si="2"/>
        <v>806.99999999999989</v>
      </c>
      <c r="P19" s="102">
        <f t="shared" si="3"/>
        <v>118.5</v>
      </c>
      <c r="Q19" s="102">
        <f t="shared" si="4"/>
        <v>1103</v>
      </c>
    </row>
    <row r="20" spans="1:17">
      <c r="A20" s="102">
        <v>1997</v>
      </c>
      <c r="B20" s="102">
        <v>46.2</v>
      </c>
      <c r="C20" s="102">
        <v>48.1</v>
      </c>
      <c r="D20" s="102">
        <v>40.4</v>
      </c>
      <c r="E20" s="102">
        <v>123.4</v>
      </c>
      <c r="F20" s="102">
        <v>128.19999999999999</v>
      </c>
      <c r="G20" s="102">
        <v>124.1</v>
      </c>
      <c r="H20" s="102">
        <v>151.19999999999999</v>
      </c>
      <c r="I20" s="102">
        <v>84.8</v>
      </c>
      <c r="J20" s="102">
        <v>152.1</v>
      </c>
      <c r="K20" s="102">
        <v>180.8</v>
      </c>
      <c r="L20" s="102">
        <v>24.1</v>
      </c>
      <c r="M20" s="102">
        <v>20.6</v>
      </c>
      <c r="N20" s="102">
        <f t="shared" si="1"/>
        <v>258.10000000000002</v>
      </c>
      <c r="O20" s="102">
        <f t="shared" si="2"/>
        <v>640.4</v>
      </c>
      <c r="P20" s="102">
        <f t="shared" si="3"/>
        <v>225.5</v>
      </c>
      <c r="Q20" s="102">
        <f t="shared" si="4"/>
        <v>1123.9999999999998</v>
      </c>
    </row>
    <row r="21" spans="1:17">
      <c r="A21" s="102">
        <v>1998</v>
      </c>
      <c r="B21" s="102">
        <v>36.200000000000003</v>
      </c>
      <c r="C21" s="102">
        <v>12.2</v>
      </c>
      <c r="D21" s="102">
        <v>12</v>
      </c>
      <c r="E21" s="102">
        <v>51.9</v>
      </c>
      <c r="F21" s="102">
        <v>138.69999999999999</v>
      </c>
      <c r="G21" s="102">
        <v>251.5</v>
      </c>
      <c r="H21" s="102">
        <v>170</v>
      </c>
      <c r="I21" s="102">
        <v>160.4</v>
      </c>
      <c r="J21" s="102">
        <v>17.3</v>
      </c>
      <c r="K21" s="102">
        <v>121.3</v>
      </c>
      <c r="L21" s="102">
        <v>19.8</v>
      </c>
      <c r="M21" s="102">
        <v>25.4</v>
      </c>
      <c r="N21" s="102">
        <f t="shared" si="1"/>
        <v>112.30000000000001</v>
      </c>
      <c r="O21" s="102">
        <f t="shared" si="2"/>
        <v>737.9</v>
      </c>
      <c r="P21" s="102">
        <f t="shared" si="3"/>
        <v>166.5</v>
      </c>
      <c r="Q21" s="102">
        <f t="shared" si="4"/>
        <v>1016.6999999999998</v>
      </c>
    </row>
    <row r="22" spans="1:17">
      <c r="A22" s="102">
        <v>1999</v>
      </c>
      <c r="B22" s="102">
        <v>25.5</v>
      </c>
      <c r="C22" s="102">
        <v>17.2</v>
      </c>
      <c r="D22" s="102">
        <v>28.4</v>
      </c>
      <c r="E22" s="102">
        <v>58.7</v>
      </c>
      <c r="F22" s="102">
        <v>130.1</v>
      </c>
      <c r="G22" s="102">
        <v>283</v>
      </c>
      <c r="H22" s="102">
        <v>326.7</v>
      </c>
      <c r="I22" s="102">
        <v>263.7</v>
      </c>
      <c r="J22" s="102">
        <v>69.400000000000006</v>
      </c>
      <c r="K22" s="102">
        <v>111.8</v>
      </c>
      <c r="L22" s="102">
        <v>67.7</v>
      </c>
      <c r="M22" s="102">
        <v>5.5</v>
      </c>
      <c r="N22" s="102">
        <f t="shared" si="1"/>
        <v>129.80000000000001</v>
      </c>
      <c r="O22" s="102">
        <f t="shared" si="2"/>
        <v>1072.9000000000001</v>
      </c>
      <c r="P22" s="102">
        <f t="shared" si="3"/>
        <v>185</v>
      </c>
      <c r="Q22" s="102">
        <f t="shared" si="4"/>
        <v>1387.7</v>
      </c>
    </row>
    <row r="23" spans="1:17">
      <c r="A23" s="102">
        <v>2000</v>
      </c>
      <c r="B23" s="102">
        <v>28.9</v>
      </c>
      <c r="C23" s="102">
        <v>25.4</v>
      </c>
      <c r="D23" s="102">
        <v>77.400000000000006</v>
      </c>
      <c r="E23" s="102">
        <v>87.9</v>
      </c>
      <c r="F23" s="102">
        <v>163.1</v>
      </c>
      <c r="G23" s="102">
        <v>377.1</v>
      </c>
      <c r="H23" s="102">
        <v>116</v>
      </c>
      <c r="I23" s="102">
        <v>118.7</v>
      </c>
      <c r="J23" s="102">
        <v>98.2</v>
      </c>
      <c r="K23" s="102">
        <v>107.1</v>
      </c>
      <c r="L23" s="102">
        <v>36</v>
      </c>
      <c r="M23" s="102">
        <v>17.100000000000001</v>
      </c>
      <c r="N23" s="102">
        <f t="shared" si="1"/>
        <v>219.6</v>
      </c>
      <c r="O23" s="102">
        <f t="shared" si="2"/>
        <v>873.10000000000014</v>
      </c>
      <c r="P23" s="102">
        <f t="shared" si="3"/>
        <v>160.19999999999999</v>
      </c>
      <c r="Q23" s="102">
        <f t="shared" si="4"/>
        <v>1252.8999999999999</v>
      </c>
    </row>
    <row r="24" spans="1:17">
      <c r="A24" s="102">
        <v>2001</v>
      </c>
      <c r="B24" s="102">
        <v>17.899999999999999</v>
      </c>
      <c r="C24" s="102">
        <v>25.4</v>
      </c>
      <c r="D24" s="102">
        <v>38.9</v>
      </c>
      <c r="E24" s="102">
        <v>97.6</v>
      </c>
      <c r="F24" s="102">
        <v>158</v>
      </c>
      <c r="G24" s="102">
        <v>302.8</v>
      </c>
      <c r="H24" s="102">
        <v>173.6</v>
      </c>
      <c r="I24" s="102">
        <v>72.3</v>
      </c>
      <c r="J24" s="102">
        <v>12.4</v>
      </c>
      <c r="K24" s="102">
        <v>137.9</v>
      </c>
      <c r="L24" s="102">
        <v>16.2</v>
      </c>
      <c r="M24" s="102">
        <v>17</v>
      </c>
      <c r="N24" s="102">
        <f t="shared" si="1"/>
        <v>179.79999999999998</v>
      </c>
      <c r="O24" s="102">
        <f t="shared" si="2"/>
        <v>719.09999999999991</v>
      </c>
      <c r="P24" s="102">
        <f t="shared" si="3"/>
        <v>171.1</v>
      </c>
      <c r="Q24" s="102">
        <f t="shared" si="4"/>
        <v>1070</v>
      </c>
    </row>
    <row r="25" spans="1:17">
      <c r="A25" s="102">
        <v>2002</v>
      </c>
      <c r="B25" s="102">
        <v>12.3</v>
      </c>
      <c r="C25" s="102">
        <v>59.8</v>
      </c>
      <c r="D25" s="102">
        <v>46</v>
      </c>
      <c r="E25" s="102">
        <v>93.9</v>
      </c>
      <c r="F25" s="102">
        <v>248.5</v>
      </c>
      <c r="G25" s="102">
        <v>193.2</v>
      </c>
      <c r="H25" s="102">
        <v>118.9</v>
      </c>
      <c r="I25" s="102">
        <v>294.5</v>
      </c>
      <c r="J25" s="102">
        <v>35.5</v>
      </c>
      <c r="K25" s="102">
        <v>78.3</v>
      </c>
      <c r="L25" s="102">
        <v>10.9</v>
      </c>
      <c r="M25" s="102">
        <v>38.200000000000003</v>
      </c>
      <c r="N25" s="102">
        <f t="shared" si="1"/>
        <v>212</v>
      </c>
      <c r="O25" s="102">
        <f t="shared" si="2"/>
        <v>890.6</v>
      </c>
      <c r="P25" s="102">
        <f t="shared" si="3"/>
        <v>127.4</v>
      </c>
      <c r="Q25" s="102">
        <f t="shared" si="4"/>
        <v>1230</v>
      </c>
    </row>
    <row r="26" spans="1:17">
      <c r="A26" s="102">
        <v>2003</v>
      </c>
      <c r="B26" s="102">
        <v>36.299999999999997</v>
      </c>
      <c r="C26" s="102">
        <v>1.9</v>
      </c>
      <c r="D26" s="102">
        <v>32.299999999999997</v>
      </c>
      <c r="E26" s="102">
        <v>155</v>
      </c>
      <c r="F26" s="102">
        <v>189.1</v>
      </c>
      <c r="G26" s="102">
        <v>123.5</v>
      </c>
      <c r="H26" s="102">
        <v>170.8</v>
      </c>
      <c r="I26" s="102">
        <v>14.7</v>
      </c>
      <c r="J26" s="102">
        <v>73.400000000000006</v>
      </c>
      <c r="K26" s="102">
        <v>64.2</v>
      </c>
      <c r="L26" s="102">
        <v>19.7</v>
      </c>
      <c r="M26" s="102">
        <v>32.299999999999997</v>
      </c>
      <c r="N26" s="102">
        <f t="shared" si="1"/>
        <v>225.5</v>
      </c>
      <c r="O26" s="102">
        <f t="shared" si="2"/>
        <v>571.5</v>
      </c>
      <c r="P26" s="102">
        <f t="shared" si="3"/>
        <v>116.2</v>
      </c>
      <c r="Q26" s="102">
        <f t="shared" si="4"/>
        <v>913.20000000000016</v>
      </c>
    </row>
    <row r="27" spans="1:17">
      <c r="A27" s="102">
        <v>2004</v>
      </c>
      <c r="B27" s="103">
        <v>30.1</v>
      </c>
      <c r="C27" s="103">
        <v>46</v>
      </c>
      <c r="D27" s="103">
        <v>14.7</v>
      </c>
      <c r="E27" s="103">
        <v>148.6</v>
      </c>
      <c r="F27" s="103">
        <v>283.89999999999998</v>
      </c>
      <c r="G27" s="103">
        <v>36.9</v>
      </c>
      <c r="H27" s="103">
        <v>299</v>
      </c>
      <c r="I27" s="103">
        <v>196.9</v>
      </c>
      <c r="J27" s="103">
        <v>80.3</v>
      </c>
      <c r="K27" s="103">
        <v>25.1</v>
      </c>
      <c r="L27" s="103">
        <v>34.4</v>
      </c>
      <c r="M27" s="103">
        <v>52.2</v>
      </c>
      <c r="N27" s="102">
        <f t="shared" si="1"/>
        <v>239.39999999999998</v>
      </c>
      <c r="O27" s="102">
        <f t="shared" si="2"/>
        <v>896.99999999999989</v>
      </c>
      <c r="P27" s="102">
        <f t="shared" si="3"/>
        <v>111.7</v>
      </c>
      <c r="Q27" s="102">
        <f t="shared" si="4"/>
        <v>1248.0999999999999</v>
      </c>
    </row>
    <row r="28" spans="1:17">
      <c r="A28" s="102">
        <v>2005</v>
      </c>
      <c r="B28" s="103">
        <v>24.6</v>
      </c>
      <c r="C28" s="103">
        <v>15.8</v>
      </c>
      <c r="D28" s="103">
        <v>41.1</v>
      </c>
      <c r="E28" s="103">
        <v>44.5</v>
      </c>
      <c r="F28" s="103">
        <v>245.5</v>
      </c>
      <c r="G28" s="103">
        <v>121.8</v>
      </c>
      <c r="H28" s="103">
        <v>141.30000000000001</v>
      </c>
      <c r="I28" s="103">
        <v>112.3</v>
      </c>
      <c r="J28" s="103">
        <v>34.200000000000003</v>
      </c>
      <c r="K28" s="102">
        <v>59.9</v>
      </c>
      <c r="L28" s="102">
        <v>45.9</v>
      </c>
      <c r="M28" s="102">
        <v>26.1</v>
      </c>
      <c r="N28" s="102">
        <f t="shared" si="1"/>
        <v>126</v>
      </c>
      <c r="O28" s="102">
        <f t="shared" si="2"/>
        <v>655.1</v>
      </c>
      <c r="P28" s="102">
        <f t="shared" si="3"/>
        <v>131.9</v>
      </c>
      <c r="Q28" s="102">
        <f t="shared" si="4"/>
        <v>913</v>
      </c>
    </row>
    <row r="29" spans="1:17">
      <c r="A29" s="102">
        <v>2006</v>
      </c>
      <c r="B29" s="102">
        <v>15.6</v>
      </c>
      <c r="C29" s="102">
        <v>35.5</v>
      </c>
      <c r="D29" s="102">
        <v>38.9</v>
      </c>
      <c r="E29" s="102">
        <v>70</v>
      </c>
      <c r="F29" s="102">
        <v>133.80000000000001</v>
      </c>
      <c r="G29" s="102">
        <v>194.2</v>
      </c>
      <c r="H29" s="102">
        <v>107.1</v>
      </c>
      <c r="I29" s="102">
        <v>53.1</v>
      </c>
      <c r="J29" s="102">
        <v>87.1</v>
      </c>
      <c r="K29" s="102">
        <v>139.69999999999999</v>
      </c>
      <c r="L29" s="102">
        <v>23.2</v>
      </c>
      <c r="M29" s="102">
        <v>14.9</v>
      </c>
      <c r="N29" s="102">
        <f t="shared" si="1"/>
        <v>160</v>
      </c>
      <c r="O29" s="102">
        <f t="shared" si="2"/>
        <v>575.30000000000007</v>
      </c>
      <c r="P29" s="102">
        <f t="shared" si="3"/>
        <v>177.79999999999998</v>
      </c>
      <c r="Q29" s="102">
        <f t="shared" si="4"/>
        <v>913.1</v>
      </c>
    </row>
    <row r="30" spans="1:17">
      <c r="A30" s="102">
        <v>2007</v>
      </c>
      <c r="B30" s="102">
        <v>32.9</v>
      </c>
      <c r="C30" s="102">
        <v>4.0999999999999996</v>
      </c>
      <c r="D30" s="102">
        <v>44.2</v>
      </c>
      <c r="E30" s="102">
        <v>84.5</v>
      </c>
      <c r="F30" s="102">
        <v>170.8</v>
      </c>
      <c r="G30" s="102">
        <v>260.2</v>
      </c>
      <c r="H30" s="102">
        <v>223.8</v>
      </c>
      <c r="I30" s="102">
        <v>85.1</v>
      </c>
      <c r="J30" s="102">
        <v>100.2</v>
      </c>
      <c r="K30" s="102">
        <v>12.3</v>
      </c>
      <c r="L30" s="102">
        <v>2.2000000000000002</v>
      </c>
      <c r="M30" s="102">
        <v>19.600000000000001</v>
      </c>
      <c r="N30" s="102">
        <f t="shared" si="1"/>
        <v>165.7</v>
      </c>
      <c r="O30" s="102">
        <f t="shared" si="2"/>
        <v>840.1</v>
      </c>
      <c r="P30" s="102">
        <f t="shared" si="3"/>
        <v>34.1</v>
      </c>
      <c r="Q30" s="102">
        <f t="shared" si="4"/>
        <v>1039.9000000000001</v>
      </c>
    </row>
    <row r="31" spans="1:17">
      <c r="A31" s="102">
        <v>2008</v>
      </c>
      <c r="B31" s="102">
        <v>18.2</v>
      </c>
      <c r="C31" s="102">
        <v>23.4</v>
      </c>
      <c r="D31" s="102">
        <v>98.2</v>
      </c>
      <c r="E31" s="102">
        <v>47.9</v>
      </c>
      <c r="F31" s="102">
        <v>186.2</v>
      </c>
      <c r="G31" s="102">
        <v>69</v>
      </c>
      <c r="H31" s="102">
        <v>236.3</v>
      </c>
      <c r="I31" s="102">
        <v>197.5</v>
      </c>
      <c r="J31" s="102">
        <v>112.5</v>
      </c>
      <c r="K31" s="102">
        <v>85.3</v>
      </c>
      <c r="L31" s="102">
        <v>94.8</v>
      </c>
      <c r="M31" s="102">
        <v>17.2</v>
      </c>
      <c r="N31" s="102">
        <f t="shared" si="1"/>
        <v>187.70000000000002</v>
      </c>
      <c r="O31" s="102">
        <f t="shared" si="2"/>
        <v>801.5</v>
      </c>
      <c r="P31" s="102">
        <f t="shared" si="3"/>
        <v>197.29999999999998</v>
      </c>
      <c r="Q31" s="102">
        <f t="shared" si="4"/>
        <v>1186.5</v>
      </c>
    </row>
    <row r="32" spans="1:17">
      <c r="A32" s="102">
        <v>2009</v>
      </c>
      <c r="B32" s="102">
        <v>20.8</v>
      </c>
      <c r="C32" s="102">
        <v>23.7</v>
      </c>
      <c r="D32" s="102">
        <v>35.5</v>
      </c>
      <c r="E32" s="102">
        <v>173.8</v>
      </c>
      <c r="F32" s="102">
        <v>134.6</v>
      </c>
      <c r="G32" s="102">
        <v>207.4</v>
      </c>
      <c r="H32" s="102">
        <v>170.7</v>
      </c>
      <c r="I32" s="102">
        <v>81.3</v>
      </c>
      <c r="J32" s="102">
        <v>81</v>
      </c>
      <c r="K32" s="102">
        <v>50.5</v>
      </c>
      <c r="L32" s="102">
        <v>14.6</v>
      </c>
      <c r="M32" s="102">
        <v>19</v>
      </c>
      <c r="N32" s="102">
        <f t="shared" si="1"/>
        <v>253.8</v>
      </c>
      <c r="O32" s="102">
        <f t="shared" si="2"/>
        <v>675</v>
      </c>
      <c r="P32" s="102">
        <f t="shared" si="3"/>
        <v>84.1</v>
      </c>
      <c r="Q32" s="102">
        <f t="shared" si="4"/>
        <v>1012.9</v>
      </c>
    </row>
    <row r="33" spans="1:33">
      <c r="A33" s="102">
        <v>2010</v>
      </c>
      <c r="B33" s="102">
        <v>5.8</v>
      </c>
      <c r="C33" s="102">
        <v>5.5</v>
      </c>
      <c r="D33" s="102">
        <v>14.9</v>
      </c>
      <c r="E33" s="102">
        <v>98.1</v>
      </c>
      <c r="F33" s="102">
        <v>129.6</v>
      </c>
      <c r="G33" s="102">
        <v>275.3</v>
      </c>
      <c r="H33" s="102">
        <v>126.5</v>
      </c>
      <c r="I33" s="102">
        <v>49.9</v>
      </c>
      <c r="J33" s="102">
        <v>136.1</v>
      </c>
      <c r="K33" s="102">
        <v>139.6</v>
      </c>
      <c r="L33" s="102">
        <v>37.4</v>
      </c>
      <c r="M33" s="102">
        <v>48.3</v>
      </c>
      <c r="N33" s="102">
        <f t="shared" si="1"/>
        <v>124.3</v>
      </c>
      <c r="O33" s="102">
        <f t="shared" si="2"/>
        <v>717.4</v>
      </c>
      <c r="P33" s="102">
        <f t="shared" si="3"/>
        <v>225.3</v>
      </c>
      <c r="Q33" s="102">
        <f t="shared" si="4"/>
        <v>1067</v>
      </c>
    </row>
    <row r="34" spans="1:33">
      <c r="A34" s="102">
        <v>2011</v>
      </c>
      <c r="B34" s="102">
        <v>26.9</v>
      </c>
      <c r="C34" s="102">
        <v>7.1</v>
      </c>
      <c r="D34" s="102">
        <v>31.7</v>
      </c>
      <c r="E34" s="102">
        <v>33</v>
      </c>
      <c r="F34" s="102">
        <v>83.4</v>
      </c>
      <c r="G34" s="102">
        <v>166.1</v>
      </c>
      <c r="H34" s="102">
        <v>17</v>
      </c>
      <c r="I34" s="102">
        <v>56</v>
      </c>
      <c r="J34" s="102">
        <v>116.6</v>
      </c>
      <c r="K34" s="102">
        <v>168.4</v>
      </c>
      <c r="L34" s="102">
        <v>77.599999999999994</v>
      </c>
      <c r="M34" s="102">
        <v>21</v>
      </c>
      <c r="N34" s="102">
        <f t="shared" si="1"/>
        <v>98.7</v>
      </c>
      <c r="O34" s="102">
        <f t="shared" si="2"/>
        <v>439.1</v>
      </c>
      <c r="P34" s="102">
        <f t="shared" si="3"/>
        <v>267</v>
      </c>
      <c r="Q34" s="102">
        <f t="shared" si="4"/>
        <v>804.80000000000007</v>
      </c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</row>
    <row r="35" spans="1:33">
      <c r="A35" s="102">
        <v>2012</v>
      </c>
      <c r="B35" s="102">
        <v>17.7</v>
      </c>
      <c r="C35" s="102">
        <v>19</v>
      </c>
      <c r="D35" s="102">
        <v>55.7</v>
      </c>
      <c r="E35" s="102">
        <v>48</v>
      </c>
      <c r="F35" s="102">
        <v>282.5</v>
      </c>
      <c r="G35" s="102">
        <v>312.7</v>
      </c>
      <c r="H35" s="102">
        <v>202.4</v>
      </c>
      <c r="I35" s="102">
        <v>56.6</v>
      </c>
      <c r="J35" s="102">
        <v>147.19999999999999</v>
      </c>
      <c r="K35" s="102">
        <v>72.099999999999994</v>
      </c>
      <c r="L35" s="102">
        <v>36.1</v>
      </c>
      <c r="M35" s="102">
        <v>18.399999999999999</v>
      </c>
      <c r="N35" s="102">
        <f t="shared" si="1"/>
        <v>140.4</v>
      </c>
      <c r="O35" s="102">
        <f t="shared" si="2"/>
        <v>1001.4000000000001</v>
      </c>
      <c r="P35" s="102">
        <f t="shared" si="3"/>
        <v>126.6</v>
      </c>
      <c r="Q35" s="102">
        <f t="shared" si="4"/>
        <v>1268.3999999999999</v>
      </c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</row>
    <row r="36" spans="1:33">
      <c r="A36" s="102">
        <v>2013</v>
      </c>
      <c r="B36" s="102">
        <v>11.5</v>
      </c>
      <c r="C36" s="102">
        <v>19.399999999999999</v>
      </c>
      <c r="D36" s="102">
        <v>42.3</v>
      </c>
      <c r="E36" s="102">
        <v>88.7</v>
      </c>
      <c r="F36" s="102">
        <v>309.7</v>
      </c>
      <c r="G36" s="102">
        <v>159.6</v>
      </c>
      <c r="H36" s="102">
        <v>7.1</v>
      </c>
      <c r="I36" s="102">
        <v>117.1</v>
      </c>
      <c r="J36" s="102">
        <v>99.4</v>
      </c>
      <c r="K36" s="102">
        <v>73.3</v>
      </c>
      <c r="L36" s="102">
        <v>42.7</v>
      </c>
      <c r="M36" s="102">
        <v>34.200000000000003</v>
      </c>
      <c r="N36" s="102">
        <f t="shared" si="1"/>
        <v>161.89999999999998</v>
      </c>
      <c r="O36" s="102">
        <f t="shared" si="2"/>
        <v>692.9</v>
      </c>
      <c r="P36" s="102">
        <f t="shared" si="3"/>
        <v>150.19999999999999</v>
      </c>
      <c r="Q36" s="102">
        <f t="shared" si="4"/>
        <v>1005</v>
      </c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</row>
    <row r="37" spans="1:33">
      <c r="A37" s="102">
        <v>2014</v>
      </c>
      <c r="B37" s="131">
        <v>10.3</v>
      </c>
      <c r="C37" s="131">
        <v>26.3</v>
      </c>
      <c r="D37" s="131">
        <v>75.8</v>
      </c>
      <c r="E37" s="131">
        <v>53.6</v>
      </c>
      <c r="F37" s="131">
        <v>117.7</v>
      </c>
      <c r="G37" s="131">
        <v>199.8</v>
      </c>
      <c r="H37" s="131">
        <v>361.9</v>
      </c>
      <c r="I37" s="131">
        <v>119</v>
      </c>
      <c r="J37" s="131">
        <v>119.1</v>
      </c>
      <c r="K37" s="131">
        <v>96.6</v>
      </c>
      <c r="L37" s="131">
        <v>48.7</v>
      </c>
      <c r="M37" s="131">
        <v>9.6</v>
      </c>
      <c r="N37" s="102">
        <f t="shared" si="1"/>
        <v>166</v>
      </c>
      <c r="O37" s="102">
        <f t="shared" si="2"/>
        <v>917.5</v>
      </c>
      <c r="P37" s="102">
        <f t="shared" si="3"/>
        <v>154.9</v>
      </c>
      <c r="Q37" s="102">
        <f t="shared" si="4"/>
        <v>1238.3999999999999</v>
      </c>
    </row>
    <row r="38" spans="1:33">
      <c r="A38" s="102">
        <v>2015</v>
      </c>
      <c r="B38" s="131">
        <v>47.9</v>
      </c>
      <c r="C38" s="131">
        <v>7.7</v>
      </c>
      <c r="D38" s="131">
        <v>25.7</v>
      </c>
      <c r="E38" s="131">
        <v>47.4</v>
      </c>
      <c r="F38" s="131">
        <v>273.3</v>
      </c>
      <c r="G38" s="131">
        <v>386.6</v>
      </c>
      <c r="H38" s="131">
        <v>71.099999999999994</v>
      </c>
      <c r="I38" s="131">
        <v>157.5</v>
      </c>
      <c r="J38" s="131">
        <v>68.400000000000006</v>
      </c>
      <c r="K38" s="131">
        <v>143</v>
      </c>
      <c r="L38" s="131">
        <v>31.5</v>
      </c>
      <c r="M38" s="131">
        <v>53.2</v>
      </c>
      <c r="N38" s="102">
        <f t="shared" si="1"/>
        <v>128.69999999999999</v>
      </c>
      <c r="O38" s="102">
        <f t="shared" si="2"/>
        <v>956.90000000000009</v>
      </c>
      <c r="P38" s="102">
        <f t="shared" si="3"/>
        <v>227.7</v>
      </c>
      <c r="Q38" s="102">
        <f t="shared" si="4"/>
        <v>1313.3000000000002</v>
      </c>
    </row>
    <row r="39" spans="1:33" ht="13.5">
      <c r="A39" s="102">
        <v>2016</v>
      </c>
      <c r="B39" s="135">
        <v>29.3</v>
      </c>
      <c r="C39" s="135">
        <v>7.4</v>
      </c>
      <c r="D39" s="135">
        <v>47.3</v>
      </c>
      <c r="E39" s="135">
        <v>144.19999999999999</v>
      </c>
      <c r="F39" s="135">
        <v>156.30000000000001</v>
      </c>
      <c r="G39" s="135">
        <v>246.1</v>
      </c>
      <c r="H39" s="135">
        <v>63.6</v>
      </c>
      <c r="I39" s="135">
        <v>167.9</v>
      </c>
      <c r="J39" s="135">
        <v>15.7</v>
      </c>
      <c r="K39" s="135">
        <v>90.8</v>
      </c>
      <c r="L39" s="135">
        <v>54.6</v>
      </c>
      <c r="M39" s="135">
        <v>17.7</v>
      </c>
      <c r="N39" s="102">
        <f>SUM(B39:E39)</f>
        <v>228.2</v>
      </c>
      <c r="O39" s="102">
        <f>SUM(F39:J39)</f>
        <v>649.6</v>
      </c>
      <c r="P39" s="102">
        <f>SUM(K39:M39)</f>
        <v>163.1</v>
      </c>
      <c r="Q39" s="102">
        <f>SUM(B39:M39)</f>
        <v>1040.9000000000001</v>
      </c>
      <c r="R39" s="129">
        <f t="shared" ref="R39:AG39" si="5">100*(B39-B4)/B4</f>
        <v>11.083853702051764</v>
      </c>
      <c r="S39" s="129">
        <f t="shared" si="5"/>
        <v>-72.293800242264069</v>
      </c>
      <c r="T39" s="129">
        <f t="shared" si="5"/>
        <v>4.7005208333333206</v>
      </c>
      <c r="U39" s="129">
        <f t="shared" si="5"/>
        <v>77.772943181406106</v>
      </c>
      <c r="V39" s="129">
        <f t="shared" si="5"/>
        <v>-7.61126564673157</v>
      </c>
      <c r="W39" s="129">
        <f t="shared" si="5"/>
        <v>21.375728915837421</v>
      </c>
      <c r="X39" s="129">
        <f t="shared" si="5"/>
        <v>-63.732116800563553</v>
      </c>
      <c r="Y39" s="129">
        <f t="shared" si="5"/>
        <v>35.66709444365226</v>
      </c>
      <c r="Z39" s="129">
        <f t="shared" si="5"/>
        <v>-82.291079189198157</v>
      </c>
      <c r="AA39" s="129">
        <f t="shared" si="5"/>
        <v>-0.92426187419768613</v>
      </c>
      <c r="AB39" s="129">
        <f t="shared" si="5"/>
        <v>38.320542433499732</v>
      </c>
      <c r="AC39" s="129">
        <f t="shared" si="5"/>
        <v>-25.158562367864715</v>
      </c>
      <c r="AD39" s="129">
        <f t="shared" si="5"/>
        <v>27.21846920705714</v>
      </c>
      <c r="AE39" s="129">
        <f t="shared" si="5"/>
        <v>-14.493887000487801</v>
      </c>
      <c r="AF39" s="129">
        <f t="shared" si="5"/>
        <v>5.3817794838660724</v>
      </c>
      <c r="AG39" s="129">
        <f t="shared" si="5"/>
        <v>-4.8414678741207622</v>
      </c>
    </row>
  </sheetData>
  <mergeCells count="6">
    <mergeCell ref="A1:A3"/>
    <mergeCell ref="B1:Q1"/>
    <mergeCell ref="B2:M2"/>
    <mergeCell ref="R1:AG1"/>
    <mergeCell ref="N2:Q2"/>
    <mergeCell ref="R2:AG2"/>
  </mergeCells>
  <phoneticPr fontId="2" type="noConversion"/>
  <pageMargins left="0.75" right="0.75" top="1" bottom="1" header="0.5" footer="0.5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>
  <sheetPr codeName="Sheet38"/>
  <dimension ref="A1:AG41"/>
  <sheetViews>
    <sheetView zoomScale="70" zoomScaleNormal="70" workbookViewId="0">
      <pane ySplit="5" topLeftCell="A6" activePane="bottomLeft" state="frozen"/>
      <selection pane="bottomLeft" activeCell="R41" sqref="R41"/>
    </sheetView>
  </sheetViews>
  <sheetFormatPr defaultRowHeight="12"/>
  <cols>
    <col min="1" max="16384" width="9" style="102"/>
  </cols>
  <sheetData>
    <row r="1" spans="1:33" s="118" customFormat="1" ht="14.25" customHeight="1">
      <c r="A1" s="176" t="s">
        <v>172</v>
      </c>
      <c r="B1" s="176" t="s">
        <v>180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181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173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174</v>
      </c>
      <c r="O2" s="176"/>
      <c r="P2" s="176"/>
      <c r="Q2" s="176"/>
      <c r="R2" s="176" t="s">
        <v>175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>
      <c r="A3" s="176"/>
      <c r="B3" s="124" t="s">
        <v>182</v>
      </c>
      <c r="C3" s="124" t="s">
        <v>183</v>
      </c>
      <c r="D3" s="124" t="s">
        <v>9</v>
      </c>
      <c r="E3" s="124" t="s">
        <v>10</v>
      </c>
      <c r="F3" s="124" t="s">
        <v>11</v>
      </c>
      <c r="G3" s="124" t="s">
        <v>12</v>
      </c>
      <c r="H3" s="124" t="s">
        <v>13</v>
      </c>
      <c r="I3" s="124" t="s">
        <v>14</v>
      </c>
      <c r="J3" s="124" t="s">
        <v>15</v>
      </c>
      <c r="K3" s="124" t="s">
        <v>16</v>
      </c>
      <c r="L3" s="124" t="s">
        <v>17</v>
      </c>
      <c r="M3" s="124" t="s">
        <v>18</v>
      </c>
      <c r="N3" s="124" t="s">
        <v>184</v>
      </c>
      <c r="O3" s="124" t="s">
        <v>185</v>
      </c>
      <c r="P3" s="124" t="s">
        <v>186</v>
      </c>
      <c r="Q3" s="124" t="s">
        <v>187</v>
      </c>
      <c r="R3" s="124" t="s">
        <v>182</v>
      </c>
      <c r="S3" s="124" t="s">
        <v>183</v>
      </c>
      <c r="T3" s="124" t="s">
        <v>188</v>
      </c>
      <c r="U3" s="124" t="s">
        <v>189</v>
      </c>
      <c r="V3" s="124" t="s">
        <v>190</v>
      </c>
      <c r="W3" s="124" t="s">
        <v>191</v>
      </c>
      <c r="X3" s="124" t="s">
        <v>25</v>
      </c>
      <c r="Y3" s="124" t="s">
        <v>26</v>
      </c>
      <c r="Z3" s="124" t="s">
        <v>27</v>
      </c>
      <c r="AA3" s="124" t="s">
        <v>192</v>
      </c>
      <c r="AB3" s="124" t="s">
        <v>193</v>
      </c>
      <c r="AC3" s="124" t="s">
        <v>194</v>
      </c>
      <c r="AD3" s="124" t="s">
        <v>176</v>
      </c>
      <c r="AE3" s="124" t="s">
        <v>177</v>
      </c>
      <c r="AF3" s="124" t="s">
        <v>178</v>
      </c>
      <c r="AG3" s="124" t="s">
        <v>179</v>
      </c>
    </row>
    <row r="4" spans="1:33" s="118" customFormat="1">
      <c r="A4" s="150" t="s">
        <v>261</v>
      </c>
      <c r="B4" s="150">
        <f t="shared" ref="B4:Q4" si="0">AVERAGE(B5:B40)</f>
        <v>31.366666666666674</v>
      </c>
      <c r="C4" s="150">
        <f t="shared" si="0"/>
        <v>32.644444444444446</v>
      </c>
      <c r="D4" s="150">
        <f t="shared" si="0"/>
        <v>55.852777777777774</v>
      </c>
      <c r="E4" s="150">
        <f t="shared" si="0"/>
        <v>95.544444444444437</v>
      </c>
      <c r="F4" s="150">
        <f t="shared" si="0"/>
        <v>177.5888888888889</v>
      </c>
      <c r="G4" s="150">
        <f t="shared" si="0"/>
        <v>198.74722222222223</v>
      </c>
      <c r="H4" s="150">
        <f t="shared" si="0"/>
        <v>167.38888888888889</v>
      </c>
      <c r="I4" s="150">
        <f t="shared" si="0"/>
        <v>128.4638888888889</v>
      </c>
      <c r="J4" s="150">
        <f t="shared" si="0"/>
        <v>96.336111111111123</v>
      </c>
      <c r="K4" s="150">
        <f t="shared" si="0"/>
        <v>86.958333333333329</v>
      </c>
      <c r="L4" s="150">
        <f t="shared" si="0"/>
        <v>45.647222222222219</v>
      </c>
      <c r="M4" s="150">
        <f t="shared" si="0"/>
        <v>25.763888888888889</v>
      </c>
      <c r="N4" s="150">
        <f t="shared" si="0"/>
        <v>215.4083333333333</v>
      </c>
      <c r="O4" s="150">
        <f t="shared" si="0"/>
        <v>768.52499999999998</v>
      </c>
      <c r="P4" s="150">
        <f t="shared" si="0"/>
        <v>158.36944444444441</v>
      </c>
      <c r="Q4" s="150">
        <f t="shared" si="0"/>
        <v>1142.3027777777777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1980</v>
      </c>
      <c r="B5" s="102">
        <v>31.1</v>
      </c>
      <c r="C5" s="102">
        <v>32.799999999999997</v>
      </c>
      <c r="D5" s="102">
        <v>35.6</v>
      </c>
      <c r="E5" s="102">
        <v>74.5</v>
      </c>
      <c r="F5" s="102">
        <v>192.8</v>
      </c>
      <c r="G5" s="102">
        <v>162.6</v>
      </c>
      <c r="H5" s="102">
        <v>212.2</v>
      </c>
      <c r="I5" s="102">
        <v>92.5</v>
      </c>
      <c r="J5" s="102">
        <v>90.2</v>
      </c>
      <c r="K5" s="102">
        <v>125.8</v>
      </c>
      <c r="L5" s="102">
        <v>69.2</v>
      </c>
      <c r="M5" s="102">
        <v>20.8</v>
      </c>
      <c r="N5" s="102">
        <f>SUM(B5:E5)</f>
        <v>174</v>
      </c>
      <c r="O5" s="102">
        <f>SUM(F5:J5)</f>
        <v>750.3</v>
      </c>
      <c r="P5" s="102">
        <f>SUM(K5:M5)</f>
        <v>215.8</v>
      </c>
      <c r="Q5" s="102">
        <f>SUM(B5:M5)</f>
        <v>1140.0999999999999</v>
      </c>
    </row>
    <row r="6" spans="1:33">
      <c r="A6" s="102">
        <v>1981</v>
      </c>
      <c r="B6" s="102">
        <v>43.5</v>
      </c>
      <c r="C6" s="102">
        <v>22.3</v>
      </c>
      <c r="D6" s="102">
        <v>34.200000000000003</v>
      </c>
      <c r="E6" s="102">
        <v>129.5</v>
      </c>
      <c r="F6" s="102">
        <v>168.6</v>
      </c>
      <c r="G6" s="102">
        <v>109</v>
      </c>
      <c r="H6" s="102">
        <v>138.19999999999999</v>
      </c>
      <c r="I6" s="102">
        <v>17.8</v>
      </c>
      <c r="J6" s="102">
        <v>139.80000000000001</v>
      </c>
      <c r="K6" s="102">
        <v>69.599999999999994</v>
      </c>
      <c r="L6" s="102">
        <v>90.9</v>
      </c>
      <c r="M6" s="102">
        <v>1.8</v>
      </c>
      <c r="N6" s="102">
        <f t="shared" ref="N6:N40" si="1">SUM(B6:E6)</f>
        <v>229.5</v>
      </c>
      <c r="O6" s="102">
        <f t="shared" ref="O6:O40" si="2">SUM(F6:J6)</f>
        <v>573.40000000000009</v>
      </c>
      <c r="P6" s="102">
        <f t="shared" ref="P6:P40" si="3">SUM(K6:M6)</f>
        <v>162.30000000000001</v>
      </c>
      <c r="Q6" s="102">
        <f t="shared" ref="Q6:Q40" si="4">SUM(B6:M6)</f>
        <v>965.19999999999982</v>
      </c>
    </row>
    <row r="7" spans="1:33">
      <c r="A7" s="102">
        <v>1982</v>
      </c>
      <c r="B7" s="102">
        <v>68</v>
      </c>
      <c r="C7" s="102">
        <v>46.2</v>
      </c>
      <c r="D7" s="102">
        <v>45.9</v>
      </c>
      <c r="E7" s="102">
        <v>125.1</v>
      </c>
      <c r="F7" s="102">
        <v>95.3</v>
      </c>
      <c r="G7" s="102">
        <v>134.5</v>
      </c>
      <c r="H7" s="102">
        <v>112.5</v>
      </c>
      <c r="I7" s="102">
        <v>123.5</v>
      </c>
      <c r="J7" s="102">
        <v>72.599999999999994</v>
      </c>
      <c r="K7" s="102">
        <v>77.2</v>
      </c>
      <c r="L7" s="102">
        <v>62</v>
      </c>
      <c r="M7" s="102">
        <v>30</v>
      </c>
      <c r="N7" s="102">
        <f t="shared" si="1"/>
        <v>285.2</v>
      </c>
      <c r="O7" s="102">
        <f t="shared" si="2"/>
        <v>538.4</v>
      </c>
      <c r="P7" s="102">
        <f t="shared" si="3"/>
        <v>169.2</v>
      </c>
      <c r="Q7" s="102">
        <f t="shared" si="4"/>
        <v>992.80000000000007</v>
      </c>
    </row>
    <row r="8" spans="1:33">
      <c r="A8" s="102">
        <v>1983</v>
      </c>
      <c r="B8" s="102">
        <v>31</v>
      </c>
      <c r="C8" s="102">
        <v>73.5</v>
      </c>
      <c r="D8" s="102">
        <v>48.8</v>
      </c>
      <c r="E8" s="102">
        <v>90.6</v>
      </c>
      <c r="F8" s="102">
        <v>217.1</v>
      </c>
      <c r="G8" s="102">
        <v>186.9</v>
      </c>
      <c r="H8" s="102">
        <v>65.8</v>
      </c>
      <c r="I8" s="102">
        <v>121</v>
      </c>
      <c r="J8" s="102">
        <v>275.60000000000002</v>
      </c>
      <c r="K8" s="102">
        <v>96.1</v>
      </c>
      <c r="L8" s="102">
        <v>87</v>
      </c>
      <c r="M8" s="102">
        <v>31.9</v>
      </c>
      <c r="N8" s="102">
        <f t="shared" si="1"/>
        <v>243.9</v>
      </c>
      <c r="O8" s="102">
        <f t="shared" si="2"/>
        <v>866.4</v>
      </c>
      <c r="P8" s="102">
        <f t="shared" si="3"/>
        <v>215</v>
      </c>
      <c r="Q8" s="102">
        <f t="shared" si="4"/>
        <v>1325.3</v>
      </c>
    </row>
    <row r="9" spans="1:33">
      <c r="A9" s="102">
        <v>1984</v>
      </c>
      <c r="B9" s="102">
        <v>21.8</v>
      </c>
      <c r="C9" s="102">
        <v>23.8</v>
      </c>
      <c r="D9" s="102">
        <v>49.4</v>
      </c>
      <c r="E9" s="102">
        <v>134.30000000000001</v>
      </c>
      <c r="F9" s="102">
        <v>186.5</v>
      </c>
      <c r="G9" s="102">
        <v>142.1</v>
      </c>
      <c r="H9" s="102">
        <v>98.2</v>
      </c>
      <c r="I9" s="102">
        <v>250.4</v>
      </c>
      <c r="J9" s="102">
        <v>88.2</v>
      </c>
      <c r="K9" s="102">
        <v>83.8</v>
      </c>
      <c r="L9" s="102">
        <v>31.1</v>
      </c>
      <c r="M9" s="102">
        <v>43.4</v>
      </c>
      <c r="N9" s="102">
        <f t="shared" si="1"/>
        <v>229.3</v>
      </c>
      <c r="O9" s="102">
        <f t="shared" si="2"/>
        <v>765.40000000000009</v>
      </c>
      <c r="P9" s="102">
        <f t="shared" si="3"/>
        <v>158.30000000000001</v>
      </c>
      <c r="Q9" s="102">
        <f t="shared" si="4"/>
        <v>1153</v>
      </c>
    </row>
    <row r="10" spans="1:33">
      <c r="A10" s="102">
        <v>1985</v>
      </c>
      <c r="B10" s="102">
        <v>24.2</v>
      </c>
      <c r="C10" s="102">
        <v>19.899999999999999</v>
      </c>
      <c r="D10" s="102">
        <v>48</v>
      </c>
      <c r="E10" s="102">
        <v>92</v>
      </c>
      <c r="F10" s="102">
        <v>239.2</v>
      </c>
      <c r="G10" s="102">
        <v>202.4</v>
      </c>
      <c r="H10" s="102">
        <v>290.39999999999998</v>
      </c>
      <c r="I10" s="102">
        <v>88.7</v>
      </c>
      <c r="J10" s="102">
        <v>67.5</v>
      </c>
      <c r="K10" s="102">
        <v>68.7</v>
      </c>
      <c r="L10" s="102">
        <v>29.7</v>
      </c>
      <c r="M10" s="102">
        <v>8.3000000000000007</v>
      </c>
      <c r="N10" s="102">
        <f t="shared" si="1"/>
        <v>184.1</v>
      </c>
      <c r="O10" s="102">
        <f t="shared" si="2"/>
        <v>888.2</v>
      </c>
      <c r="P10" s="102">
        <f t="shared" si="3"/>
        <v>106.7</v>
      </c>
      <c r="Q10" s="102">
        <f t="shared" si="4"/>
        <v>1179</v>
      </c>
    </row>
    <row r="11" spans="1:33">
      <c r="A11" s="102">
        <v>1986</v>
      </c>
      <c r="B11" s="102">
        <v>15.9</v>
      </c>
      <c r="C11" s="102">
        <v>43.2</v>
      </c>
      <c r="D11" s="102">
        <v>43.7</v>
      </c>
      <c r="E11" s="102">
        <v>66.3</v>
      </c>
      <c r="F11" s="102">
        <v>155.6</v>
      </c>
      <c r="G11" s="102">
        <v>191.6</v>
      </c>
      <c r="H11" s="102">
        <v>85.2</v>
      </c>
      <c r="I11" s="102">
        <v>383.5</v>
      </c>
      <c r="J11" s="102">
        <v>26.5</v>
      </c>
      <c r="K11" s="102">
        <v>44.5</v>
      </c>
      <c r="L11" s="102">
        <v>68</v>
      </c>
      <c r="M11" s="102">
        <v>27.6</v>
      </c>
      <c r="N11" s="102">
        <f t="shared" si="1"/>
        <v>169.10000000000002</v>
      </c>
      <c r="O11" s="102">
        <f t="shared" si="2"/>
        <v>842.4</v>
      </c>
      <c r="P11" s="102">
        <f t="shared" si="3"/>
        <v>140.1</v>
      </c>
      <c r="Q11" s="102">
        <f t="shared" si="4"/>
        <v>1151.5999999999999</v>
      </c>
    </row>
    <row r="12" spans="1:33">
      <c r="A12" s="102">
        <v>1987</v>
      </c>
      <c r="B12" s="102">
        <v>36.700000000000003</v>
      </c>
      <c r="C12" s="102">
        <v>30.7</v>
      </c>
      <c r="D12" s="102">
        <v>58.2</v>
      </c>
      <c r="E12" s="102">
        <v>40</v>
      </c>
      <c r="F12" s="102">
        <v>147.6</v>
      </c>
      <c r="G12" s="102">
        <v>205.7</v>
      </c>
      <c r="H12" s="102">
        <v>178.1</v>
      </c>
      <c r="I12" s="102">
        <v>102.3</v>
      </c>
      <c r="J12" s="102">
        <v>81.099999999999994</v>
      </c>
      <c r="K12" s="102">
        <v>133.69999999999999</v>
      </c>
      <c r="L12" s="102">
        <v>71.3</v>
      </c>
      <c r="M12" s="102">
        <v>4.7</v>
      </c>
      <c r="N12" s="102">
        <f t="shared" si="1"/>
        <v>165.60000000000002</v>
      </c>
      <c r="O12" s="102">
        <f t="shared" si="2"/>
        <v>714.8</v>
      </c>
      <c r="P12" s="102">
        <f t="shared" si="3"/>
        <v>209.7</v>
      </c>
      <c r="Q12" s="102">
        <f t="shared" si="4"/>
        <v>1090.1000000000001</v>
      </c>
    </row>
    <row r="13" spans="1:33">
      <c r="A13" s="102">
        <v>1988</v>
      </c>
      <c r="B13" s="102">
        <v>30.7</v>
      </c>
      <c r="C13" s="102">
        <v>27.7</v>
      </c>
      <c r="D13" s="102">
        <v>15.2</v>
      </c>
      <c r="E13" s="102">
        <v>86.2</v>
      </c>
      <c r="F13" s="102">
        <v>126.7</v>
      </c>
      <c r="G13" s="102">
        <v>265.5</v>
      </c>
      <c r="H13" s="102">
        <v>90.1</v>
      </c>
      <c r="I13" s="102">
        <v>258.8</v>
      </c>
      <c r="J13" s="102">
        <v>156.1</v>
      </c>
      <c r="K13" s="102">
        <v>56.3</v>
      </c>
      <c r="L13" s="102">
        <v>5.0999999999999996</v>
      </c>
      <c r="M13" s="102">
        <v>11.2</v>
      </c>
      <c r="N13" s="102">
        <f t="shared" si="1"/>
        <v>159.80000000000001</v>
      </c>
      <c r="O13" s="102">
        <f t="shared" si="2"/>
        <v>897.19999999999993</v>
      </c>
      <c r="P13" s="102">
        <f t="shared" si="3"/>
        <v>72.599999999999994</v>
      </c>
      <c r="Q13" s="102">
        <f t="shared" si="4"/>
        <v>1129.5999999999999</v>
      </c>
    </row>
    <row r="14" spans="1:33">
      <c r="A14" s="102">
        <v>1989</v>
      </c>
      <c r="B14" s="102">
        <v>16.7</v>
      </c>
      <c r="C14" s="102">
        <v>37.4</v>
      </c>
      <c r="D14" s="102">
        <v>55</v>
      </c>
      <c r="E14" s="102">
        <v>48.8</v>
      </c>
      <c r="F14" s="102">
        <v>86.8</v>
      </c>
      <c r="G14" s="102">
        <v>129.9</v>
      </c>
      <c r="H14" s="102">
        <v>61.8</v>
      </c>
      <c r="I14" s="102">
        <v>79.2</v>
      </c>
      <c r="J14" s="102">
        <v>176.8</v>
      </c>
      <c r="K14" s="102">
        <v>57.8</v>
      </c>
      <c r="L14" s="102">
        <v>31.9</v>
      </c>
      <c r="M14" s="102">
        <v>29.2</v>
      </c>
      <c r="N14" s="102">
        <f t="shared" si="1"/>
        <v>157.89999999999998</v>
      </c>
      <c r="O14" s="102">
        <f t="shared" si="2"/>
        <v>534.5</v>
      </c>
      <c r="P14" s="102">
        <f t="shared" si="3"/>
        <v>118.89999999999999</v>
      </c>
      <c r="Q14" s="102">
        <f t="shared" si="4"/>
        <v>811.30000000000007</v>
      </c>
    </row>
    <row r="15" spans="1:33">
      <c r="A15" s="102">
        <v>1990</v>
      </c>
      <c r="B15" s="102">
        <v>27.7</v>
      </c>
      <c r="C15" s="102">
        <v>31.8</v>
      </c>
      <c r="D15" s="102">
        <v>89.7</v>
      </c>
      <c r="E15" s="102">
        <v>58.8</v>
      </c>
      <c r="F15" s="102">
        <v>156.30000000000001</v>
      </c>
      <c r="G15" s="102">
        <v>172.3</v>
      </c>
      <c r="H15" s="102">
        <v>109</v>
      </c>
      <c r="I15" s="102">
        <v>29.5</v>
      </c>
      <c r="J15" s="102">
        <v>145.9</v>
      </c>
      <c r="K15" s="102">
        <v>93.7</v>
      </c>
      <c r="L15" s="102">
        <v>48.5</v>
      </c>
      <c r="M15" s="102">
        <v>21.8</v>
      </c>
      <c r="N15" s="102">
        <f t="shared" si="1"/>
        <v>208</v>
      </c>
      <c r="O15" s="102">
        <f t="shared" si="2"/>
        <v>613</v>
      </c>
      <c r="P15" s="102">
        <f t="shared" si="3"/>
        <v>164</v>
      </c>
      <c r="Q15" s="102">
        <f t="shared" si="4"/>
        <v>985</v>
      </c>
    </row>
    <row r="16" spans="1:33">
      <c r="A16" s="102">
        <v>1991</v>
      </c>
      <c r="B16" s="102">
        <v>73.5</v>
      </c>
      <c r="C16" s="102">
        <v>67.599999999999994</v>
      </c>
      <c r="D16" s="102">
        <v>93.5</v>
      </c>
      <c r="E16" s="102">
        <v>103.6</v>
      </c>
      <c r="F16" s="102">
        <v>171.7</v>
      </c>
      <c r="G16" s="102">
        <v>152.19999999999999</v>
      </c>
      <c r="H16" s="102">
        <v>373.5</v>
      </c>
      <c r="I16" s="102">
        <v>99.4</v>
      </c>
      <c r="J16" s="102">
        <v>65.099999999999994</v>
      </c>
      <c r="K16" s="102">
        <v>68</v>
      </c>
      <c r="L16" s="102">
        <v>69.8</v>
      </c>
      <c r="M16" s="102">
        <v>20.7</v>
      </c>
      <c r="N16" s="102">
        <f t="shared" si="1"/>
        <v>338.2</v>
      </c>
      <c r="O16" s="102">
        <f t="shared" si="2"/>
        <v>861.9</v>
      </c>
      <c r="P16" s="102">
        <f t="shared" si="3"/>
        <v>158.5</v>
      </c>
      <c r="Q16" s="102">
        <f t="shared" si="4"/>
        <v>1358.6</v>
      </c>
    </row>
    <row r="17" spans="1:17">
      <c r="A17" s="102">
        <v>1992</v>
      </c>
      <c r="B17" s="102">
        <v>43</v>
      </c>
      <c r="C17" s="102">
        <v>46.3</v>
      </c>
      <c r="D17" s="102">
        <v>83.6</v>
      </c>
      <c r="E17" s="102">
        <v>136.6</v>
      </c>
      <c r="F17" s="102">
        <v>173.2</v>
      </c>
      <c r="G17" s="102">
        <v>279.8</v>
      </c>
      <c r="H17" s="102">
        <v>101.2</v>
      </c>
      <c r="I17" s="102">
        <v>21.9</v>
      </c>
      <c r="J17" s="102">
        <v>56.9</v>
      </c>
      <c r="K17" s="102">
        <v>58.1</v>
      </c>
      <c r="L17" s="102">
        <v>6.5</v>
      </c>
      <c r="M17" s="102">
        <v>36.1</v>
      </c>
      <c r="N17" s="102">
        <f t="shared" si="1"/>
        <v>309.5</v>
      </c>
      <c r="O17" s="102">
        <f t="shared" si="2"/>
        <v>633</v>
      </c>
      <c r="P17" s="102">
        <f t="shared" si="3"/>
        <v>100.69999999999999</v>
      </c>
      <c r="Q17" s="102">
        <f t="shared" si="4"/>
        <v>1043.2</v>
      </c>
    </row>
    <row r="18" spans="1:17">
      <c r="A18" s="102">
        <v>1993</v>
      </c>
      <c r="B18" s="102">
        <v>45.7</v>
      </c>
      <c r="C18" s="102">
        <v>64.2</v>
      </c>
      <c r="D18" s="102">
        <v>24.3</v>
      </c>
      <c r="E18" s="102">
        <v>122.7</v>
      </c>
      <c r="F18" s="102">
        <v>216.3</v>
      </c>
      <c r="G18" s="102">
        <v>176.4</v>
      </c>
      <c r="H18" s="102">
        <v>200.8</v>
      </c>
      <c r="I18" s="102">
        <v>186</v>
      </c>
      <c r="J18" s="102">
        <v>110</v>
      </c>
      <c r="K18" s="102">
        <v>63.6</v>
      </c>
      <c r="L18" s="102">
        <v>39</v>
      </c>
      <c r="M18" s="102">
        <v>13.5</v>
      </c>
      <c r="N18" s="102">
        <f t="shared" si="1"/>
        <v>256.90000000000003</v>
      </c>
      <c r="O18" s="102">
        <f t="shared" si="2"/>
        <v>889.5</v>
      </c>
      <c r="P18" s="102">
        <f t="shared" si="3"/>
        <v>116.1</v>
      </c>
      <c r="Q18" s="102">
        <f t="shared" si="4"/>
        <v>1262.5</v>
      </c>
    </row>
    <row r="19" spans="1:17">
      <c r="A19" s="102">
        <v>1994</v>
      </c>
      <c r="B19" s="102">
        <v>29.6</v>
      </c>
      <c r="C19" s="102">
        <v>10.7</v>
      </c>
      <c r="D19" s="102">
        <v>77.400000000000006</v>
      </c>
      <c r="E19" s="102">
        <v>95.6</v>
      </c>
      <c r="F19" s="102">
        <v>218.7</v>
      </c>
      <c r="G19" s="102">
        <v>111.2</v>
      </c>
      <c r="H19" s="102">
        <v>231.9</v>
      </c>
      <c r="I19" s="102">
        <v>100.7</v>
      </c>
      <c r="J19" s="102">
        <v>187.2</v>
      </c>
      <c r="K19" s="102">
        <v>195</v>
      </c>
      <c r="L19" s="102">
        <v>66.2</v>
      </c>
      <c r="M19" s="102">
        <v>43.4</v>
      </c>
      <c r="N19" s="102">
        <f t="shared" si="1"/>
        <v>213.3</v>
      </c>
      <c r="O19" s="102">
        <f t="shared" si="2"/>
        <v>849.7</v>
      </c>
      <c r="P19" s="102">
        <f t="shared" si="3"/>
        <v>304.59999999999997</v>
      </c>
      <c r="Q19" s="102">
        <f t="shared" si="4"/>
        <v>1367.6000000000001</v>
      </c>
    </row>
    <row r="20" spans="1:17">
      <c r="A20" s="102">
        <v>1995</v>
      </c>
      <c r="B20" s="102">
        <v>32.4</v>
      </c>
      <c r="C20" s="102">
        <v>52.8</v>
      </c>
      <c r="D20" s="102">
        <v>33.700000000000003</v>
      </c>
      <c r="E20" s="102">
        <v>62.2</v>
      </c>
      <c r="F20" s="102">
        <v>344.2</v>
      </c>
      <c r="G20" s="102">
        <v>256.8</v>
      </c>
      <c r="H20" s="102">
        <v>74.3</v>
      </c>
      <c r="I20" s="102">
        <v>98.7</v>
      </c>
      <c r="J20" s="102">
        <v>97.5</v>
      </c>
      <c r="K20" s="102">
        <v>50</v>
      </c>
      <c r="L20" s="102">
        <v>53.2</v>
      </c>
      <c r="M20" s="102">
        <v>10</v>
      </c>
      <c r="N20" s="102">
        <f t="shared" si="1"/>
        <v>181.1</v>
      </c>
      <c r="O20" s="102">
        <f t="shared" si="2"/>
        <v>871.5</v>
      </c>
      <c r="P20" s="102">
        <f t="shared" si="3"/>
        <v>113.2</v>
      </c>
      <c r="Q20" s="102">
        <f t="shared" si="4"/>
        <v>1165.8</v>
      </c>
    </row>
    <row r="21" spans="1:17">
      <c r="A21" s="102">
        <v>1996</v>
      </c>
      <c r="B21" s="102">
        <v>31.1</v>
      </c>
      <c r="C21" s="102">
        <v>3.7</v>
      </c>
      <c r="D21" s="102">
        <v>99.4</v>
      </c>
      <c r="E21" s="102">
        <v>61.6</v>
      </c>
      <c r="F21" s="102">
        <v>250.5</v>
      </c>
      <c r="G21" s="102">
        <v>208.4</v>
      </c>
      <c r="H21" s="102">
        <v>418.5</v>
      </c>
      <c r="I21" s="102">
        <v>119.8</v>
      </c>
      <c r="J21" s="102">
        <v>27.3</v>
      </c>
      <c r="K21" s="102">
        <v>65.400000000000006</v>
      </c>
      <c r="L21" s="102">
        <v>50.2</v>
      </c>
      <c r="M21" s="102">
        <v>26</v>
      </c>
      <c r="N21" s="102">
        <f t="shared" si="1"/>
        <v>195.8</v>
      </c>
      <c r="O21" s="102">
        <f t="shared" si="2"/>
        <v>1024.5</v>
      </c>
      <c r="P21" s="102">
        <f t="shared" si="3"/>
        <v>141.60000000000002</v>
      </c>
      <c r="Q21" s="102">
        <f t="shared" si="4"/>
        <v>1361.9</v>
      </c>
    </row>
    <row r="22" spans="1:17">
      <c r="A22" s="102">
        <v>1997</v>
      </c>
      <c r="B22" s="102">
        <v>56.2</v>
      </c>
      <c r="C22" s="102">
        <v>50.4</v>
      </c>
      <c r="D22" s="102">
        <v>85.7</v>
      </c>
      <c r="E22" s="102">
        <v>144.1</v>
      </c>
      <c r="F22" s="102">
        <v>111.5</v>
      </c>
      <c r="G22" s="102">
        <v>187.5</v>
      </c>
      <c r="H22" s="102">
        <v>149.30000000000001</v>
      </c>
      <c r="I22" s="102">
        <v>20.7</v>
      </c>
      <c r="J22" s="102">
        <v>151.80000000000001</v>
      </c>
      <c r="K22" s="102">
        <v>178.6</v>
      </c>
      <c r="L22" s="102">
        <v>29.3</v>
      </c>
      <c r="M22" s="102">
        <v>24</v>
      </c>
      <c r="N22" s="102">
        <f t="shared" si="1"/>
        <v>336.4</v>
      </c>
      <c r="O22" s="102">
        <f t="shared" si="2"/>
        <v>620.79999999999995</v>
      </c>
      <c r="P22" s="102">
        <f t="shared" si="3"/>
        <v>231.9</v>
      </c>
      <c r="Q22" s="102">
        <f t="shared" si="4"/>
        <v>1189.0999999999999</v>
      </c>
    </row>
    <row r="23" spans="1:17">
      <c r="A23" s="102">
        <v>1998</v>
      </c>
      <c r="B23" s="102">
        <v>38</v>
      </c>
      <c r="C23" s="102">
        <v>13.7</v>
      </c>
      <c r="D23" s="102">
        <v>32.1</v>
      </c>
      <c r="E23" s="102">
        <v>59.7</v>
      </c>
      <c r="F23" s="102">
        <v>142.1</v>
      </c>
      <c r="G23" s="102">
        <v>318.5</v>
      </c>
      <c r="H23" s="102">
        <v>142.1</v>
      </c>
      <c r="I23" s="102">
        <v>146.9</v>
      </c>
      <c r="J23" s="102">
        <v>47.1</v>
      </c>
      <c r="K23" s="102">
        <v>111.7</v>
      </c>
      <c r="L23" s="102">
        <v>16.3</v>
      </c>
      <c r="M23" s="102">
        <v>30.3</v>
      </c>
      <c r="N23" s="102">
        <f t="shared" si="1"/>
        <v>143.5</v>
      </c>
      <c r="O23" s="102">
        <f t="shared" si="2"/>
        <v>796.7</v>
      </c>
      <c r="P23" s="102">
        <f t="shared" si="3"/>
        <v>158.30000000000001</v>
      </c>
      <c r="Q23" s="102">
        <f t="shared" si="4"/>
        <v>1098.5</v>
      </c>
    </row>
    <row r="24" spans="1:17">
      <c r="A24" s="102">
        <v>1999</v>
      </c>
      <c r="B24" s="102">
        <v>25.5</v>
      </c>
      <c r="C24" s="102">
        <v>18.8</v>
      </c>
      <c r="D24" s="102">
        <v>53.6</v>
      </c>
      <c r="E24" s="102">
        <v>100.9</v>
      </c>
      <c r="F24" s="102">
        <v>124</v>
      </c>
      <c r="G24" s="102">
        <v>231.6</v>
      </c>
      <c r="H24" s="102">
        <v>375.1</v>
      </c>
      <c r="I24" s="102">
        <v>251.3</v>
      </c>
      <c r="J24" s="102">
        <v>131.6</v>
      </c>
      <c r="K24" s="102">
        <v>84.6</v>
      </c>
      <c r="L24" s="102">
        <v>51.2</v>
      </c>
      <c r="M24" s="102">
        <v>1.9</v>
      </c>
      <c r="N24" s="102">
        <f t="shared" si="1"/>
        <v>198.8</v>
      </c>
      <c r="O24" s="102">
        <f t="shared" si="2"/>
        <v>1113.5999999999999</v>
      </c>
      <c r="P24" s="102">
        <f t="shared" si="3"/>
        <v>137.70000000000002</v>
      </c>
      <c r="Q24" s="102">
        <f t="shared" si="4"/>
        <v>1450.1</v>
      </c>
    </row>
    <row r="25" spans="1:17">
      <c r="A25" s="102">
        <v>2000</v>
      </c>
      <c r="B25" s="102">
        <v>28.2</v>
      </c>
      <c r="C25" s="102">
        <v>29.8</v>
      </c>
      <c r="D25" s="102">
        <v>99.3</v>
      </c>
      <c r="E25" s="102">
        <v>111.4</v>
      </c>
      <c r="F25" s="102">
        <v>168.8</v>
      </c>
      <c r="G25" s="102">
        <v>321.5</v>
      </c>
      <c r="H25" s="102">
        <v>109.8</v>
      </c>
      <c r="I25" s="102">
        <v>175.8</v>
      </c>
      <c r="J25" s="102">
        <v>102</v>
      </c>
      <c r="K25" s="102">
        <v>91.8</v>
      </c>
      <c r="L25" s="102">
        <v>34.799999999999997</v>
      </c>
      <c r="M25" s="102">
        <v>26.8</v>
      </c>
      <c r="N25" s="102">
        <f t="shared" si="1"/>
        <v>268.70000000000005</v>
      </c>
      <c r="O25" s="102">
        <f t="shared" si="2"/>
        <v>877.90000000000009</v>
      </c>
      <c r="P25" s="102">
        <f t="shared" si="3"/>
        <v>153.4</v>
      </c>
      <c r="Q25" s="102">
        <f t="shared" si="4"/>
        <v>1299.9999999999998</v>
      </c>
    </row>
    <row r="26" spans="1:17">
      <c r="A26" s="102">
        <v>2001</v>
      </c>
      <c r="B26" s="102">
        <v>29.6</v>
      </c>
      <c r="C26" s="102">
        <v>27</v>
      </c>
      <c r="D26" s="102">
        <v>67.5</v>
      </c>
      <c r="E26" s="102">
        <v>117.4</v>
      </c>
      <c r="F26" s="102">
        <v>120</v>
      </c>
      <c r="G26" s="102">
        <v>148.6</v>
      </c>
      <c r="H26" s="102">
        <v>158.4</v>
      </c>
      <c r="I26" s="102">
        <v>133.19999999999999</v>
      </c>
      <c r="J26" s="102">
        <v>15.4</v>
      </c>
      <c r="K26" s="102">
        <v>121.1</v>
      </c>
      <c r="L26" s="102">
        <v>0</v>
      </c>
      <c r="M26" s="102">
        <v>17.899999999999999</v>
      </c>
      <c r="N26" s="102">
        <f t="shared" si="1"/>
        <v>241.5</v>
      </c>
      <c r="O26" s="102">
        <f t="shared" si="2"/>
        <v>575.6</v>
      </c>
      <c r="P26" s="102">
        <f t="shared" si="3"/>
        <v>139</v>
      </c>
      <c r="Q26" s="102">
        <f t="shared" si="4"/>
        <v>956.1</v>
      </c>
    </row>
    <row r="27" spans="1:17">
      <c r="A27" s="102">
        <v>2002</v>
      </c>
      <c r="B27" s="102">
        <v>15.5</v>
      </c>
      <c r="C27" s="102">
        <v>51.7</v>
      </c>
      <c r="D27" s="102">
        <v>38.9</v>
      </c>
      <c r="E27" s="102">
        <v>117.9</v>
      </c>
      <c r="F27" s="102">
        <v>321.39999999999998</v>
      </c>
      <c r="G27" s="102">
        <v>353.3</v>
      </c>
      <c r="H27" s="102">
        <v>102.5</v>
      </c>
      <c r="I27" s="102">
        <v>286</v>
      </c>
      <c r="J27" s="102">
        <v>45.6</v>
      </c>
      <c r="K27" s="102">
        <v>98.7</v>
      </c>
      <c r="L27" s="102">
        <v>18</v>
      </c>
      <c r="M27" s="102">
        <v>50.8</v>
      </c>
      <c r="N27" s="102">
        <f t="shared" si="1"/>
        <v>224</v>
      </c>
      <c r="O27" s="102">
        <f t="shared" si="2"/>
        <v>1108.8</v>
      </c>
      <c r="P27" s="102">
        <f t="shared" si="3"/>
        <v>167.5</v>
      </c>
      <c r="Q27" s="102">
        <f t="shared" si="4"/>
        <v>1500.3</v>
      </c>
    </row>
    <row r="28" spans="1:17">
      <c r="A28" s="102">
        <v>2003</v>
      </c>
      <c r="B28" s="102">
        <v>37.1</v>
      </c>
      <c r="C28" s="102">
        <v>8.6999999999999993</v>
      </c>
      <c r="D28" s="102">
        <v>46.6</v>
      </c>
      <c r="E28" s="102">
        <v>165.3</v>
      </c>
      <c r="F28" s="102">
        <v>168.6</v>
      </c>
      <c r="G28" s="102">
        <v>144.6</v>
      </c>
      <c r="H28" s="102">
        <v>129.80000000000001</v>
      </c>
      <c r="I28" s="102">
        <v>9.4</v>
      </c>
      <c r="J28" s="102">
        <v>42.3</v>
      </c>
      <c r="K28" s="102">
        <v>88.8</v>
      </c>
      <c r="L28" s="102">
        <v>17.5</v>
      </c>
      <c r="M28" s="102">
        <v>31.8</v>
      </c>
      <c r="N28" s="102">
        <f t="shared" si="1"/>
        <v>257.70000000000005</v>
      </c>
      <c r="O28" s="102">
        <f t="shared" si="2"/>
        <v>494.7</v>
      </c>
      <c r="P28" s="102">
        <f t="shared" si="3"/>
        <v>138.1</v>
      </c>
      <c r="Q28" s="102">
        <f t="shared" si="4"/>
        <v>890.49999999999989</v>
      </c>
    </row>
    <row r="29" spans="1:17">
      <c r="A29" s="102">
        <v>2004</v>
      </c>
      <c r="B29" s="103">
        <v>38.200000000000003</v>
      </c>
      <c r="C29" s="103">
        <v>57.5</v>
      </c>
      <c r="D29" s="103">
        <v>35.5</v>
      </c>
      <c r="E29" s="103">
        <v>196.5</v>
      </c>
      <c r="F29" s="103">
        <v>324.10000000000002</v>
      </c>
      <c r="G29" s="103">
        <v>71.2</v>
      </c>
      <c r="H29" s="103">
        <v>283.2</v>
      </c>
      <c r="I29" s="103">
        <v>117.9</v>
      </c>
      <c r="J29" s="103">
        <v>85.7</v>
      </c>
      <c r="K29" s="103">
        <v>27.9</v>
      </c>
      <c r="L29" s="103">
        <v>86</v>
      </c>
      <c r="M29" s="103">
        <v>48</v>
      </c>
      <c r="N29" s="102">
        <f t="shared" si="1"/>
        <v>327.7</v>
      </c>
      <c r="O29" s="102">
        <f t="shared" si="2"/>
        <v>882.1</v>
      </c>
      <c r="P29" s="102">
        <f t="shared" si="3"/>
        <v>161.9</v>
      </c>
      <c r="Q29" s="102">
        <f t="shared" si="4"/>
        <v>1371.7000000000003</v>
      </c>
    </row>
    <row r="30" spans="1:17">
      <c r="A30" s="102">
        <v>2005</v>
      </c>
      <c r="B30" s="103">
        <v>42.4</v>
      </c>
      <c r="C30" s="103">
        <v>24.4</v>
      </c>
      <c r="D30" s="103">
        <v>52.3</v>
      </c>
      <c r="E30" s="103">
        <v>59.6</v>
      </c>
      <c r="F30" s="103">
        <v>238.2</v>
      </c>
      <c r="G30" s="103">
        <v>83.9</v>
      </c>
      <c r="H30" s="103">
        <v>155.9</v>
      </c>
      <c r="I30" s="103">
        <v>127.1</v>
      </c>
      <c r="J30" s="103">
        <v>61</v>
      </c>
      <c r="K30" s="102">
        <v>51.1</v>
      </c>
      <c r="L30" s="102">
        <v>57.6</v>
      </c>
      <c r="M30" s="102">
        <v>30.7</v>
      </c>
      <c r="N30" s="102">
        <f t="shared" si="1"/>
        <v>178.7</v>
      </c>
      <c r="O30" s="102">
        <f t="shared" si="2"/>
        <v>666.1</v>
      </c>
      <c r="P30" s="102">
        <f t="shared" si="3"/>
        <v>139.4</v>
      </c>
      <c r="Q30" s="102">
        <f t="shared" si="4"/>
        <v>984.2</v>
      </c>
    </row>
    <row r="31" spans="1:17">
      <c r="A31" s="102">
        <v>2006</v>
      </c>
      <c r="B31" s="103">
        <v>15</v>
      </c>
      <c r="C31" s="103">
        <v>46.8</v>
      </c>
      <c r="D31" s="103">
        <v>64.599999999999994</v>
      </c>
      <c r="E31" s="103">
        <v>76.099999999999994</v>
      </c>
      <c r="F31" s="103">
        <v>172.6</v>
      </c>
      <c r="G31" s="103">
        <v>196.3</v>
      </c>
      <c r="H31" s="103">
        <v>144.9</v>
      </c>
      <c r="I31" s="103">
        <v>126.2</v>
      </c>
      <c r="J31" s="103">
        <v>47</v>
      </c>
      <c r="K31" s="103">
        <v>106.7</v>
      </c>
      <c r="L31" s="103">
        <v>36</v>
      </c>
      <c r="M31" s="103">
        <v>22.1</v>
      </c>
      <c r="N31" s="102">
        <f t="shared" si="1"/>
        <v>202.5</v>
      </c>
      <c r="O31" s="102">
        <f t="shared" si="2"/>
        <v>687</v>
      </c>
      <c r="P31" s="102">
        <f t="shared" si="3"/>
        <v>164.79999999999998</v>
      </c>
      <c r="Q31" s="102">
        <f t="shared" si="4"/>
        <v>1054.3000000000002</v>
      </c>
    </row>
    <row r="32" spans="1:17">
      <c r="A32" s="102">
        <v>2007</v>
      </c>
      <c r="B32" s="103">
        <v>34</v>
      </c>
      <c r="C32" s="103">
        <v>20.399999999999999</v>
      </c>
      <c r="D32" s="103">
        <v>63.6</v>
      </c>
      <c r="E32" s="103">
        <v>116.8</v>
      </c>
      <c r="F32" s="103">
        <v>100.9</v>
      </c>
      <c r="G32" s="103">
        <v>257.39999999999998</v>
      </c>
      <c r="H32" s="103">
        <v>228.6</v>
      </c>
      <c r="I32" s="103">
        <v>135.80000000000001</v>
      </c>
      <c r="J32" s="103">
        <v>101.3</v>
      </c>
      <c r="K32" s="103">
        <v>9.9</v>
      </c>
      <c r="L32" s="103">
        <v>1.6</v>
      </c>
      <c r="M32" s="103">
        <v>19.3</v>
      </c>
      <c r="N32" s="102">
        <f t="shared" si="1"/>
        <v>234.8</v>
      </c>
      <c r="O32" s="102">
        <f t="shared" si="2"/>
        <v>824</v>
      </c>
      <c r="P32" s="102">
        <f t="shared" si="3"/>
        <v>30.8</v>
      </c>
      <c r="Q32" s="102">
        <f t="shared" si="4"/>
        <v>1089.5999999999999</v>
      </c>
    </row>
    <row r="33" spans="1:33">
      <c r="A33" s="102">
        <v>2008</v>
      </c>
      <c r="B33" s="102">
        <v>16.7</v>
      </c>
      <c r="C33" s="102">
        <v>14.5</v>
      </c>
      <c r="D33" s="102">
        <v>80.5</v>
      </c>
      <c r="E33" s="102">
        <v>58</v>
      </c>
      <c r="F33" s="102">
        <v>160.30000000000001</v>
      </c>
      <c r="G33" s="102">
        <v>143.1</v>
      </c>
      <c r="H33" s="102">
        <v>197.1</v>
      </c>
      <c r="I33" s="102">
        <v>221.6</v>
      </c>
      <c r="J33" s="102">
        <v>61.2</v>
      </c>
      <c r="K33" s="102">
        <v>83.8</v>
      </c>
      <c r="L33" s="102">
        <v>124.1</v>
      </c>
      <c r="M33" s="102">
        <v>16.899999999999999</v>
      </c>
      <c r="N33" s="102">
        <f t="shared" si="1"/>
        <v>169.7</v>
      </c>
      <c r="O33" s="102">
        <f t="shared" si="2"/>
        <v>783.30000000000007</v>
      </c>
      <c r="P33" s="102">
        <f t="shared" si="3"/>
        <v>224.79999999999998</v>
      </c>
      <c r="Q33" s="102">
        <f t="shared" si="4"/>
        <v>1177.8000000000002</v>
      </c>
    </row>
    <row r="34" spans="1:33">
      <c r="A34" s="102">
        <v>2009</v>
      </c>
      <c r="B34" s="102">
        <v>21.2</v>
      </c>
      <c r="C34" s="102">
        <v>51.9</v>
      </c>
      <c r="D34" s="102">
        <v>45.7</v>
      </c>
      <c r="E34" s="102">
        <v>215.9</v>
      </c>
      <c r="F34" s="102">
        <v>96.7</v>
      </c>
      <c r="G34" s="102">
        <v>267</v>
      </c>
      <c r="H34" s="102">
        <v>99.3</v>
      </c>
      <c r="I34" s="102">
        <v>60.2</v>
      </c>
      <c r="J34" s="102">
        <v>51.3</v>
      </c>
      <c r="K34" s="102">
        <v>45.8</v>
      </c>
      <c r="L34" s="102">
        <v>15.9</v>
      </c>
      <c r="M34" s="102">
        <v>21.2</v>
      </c>
      <c r="N34" s="102">
        <f t="shared" si="1"/>
        <v>334.7</v>
      </c>
      <c r="O34" s="102">
        <f t="shared" si="2"/>
        <v>574.5</v>
      </c>
      <c r="P34" s="102">
        <f t="shared" si="3"/>
        <v>82.899999999999991</v>
      </c>
      <c r="Q34" s="102">
        <f t="shared" si="4"/>
        <v>992.09999999999991</v>
      </c>
    </row>
    <row r="35" spans="1:33">
      <c r="A35" s="102">
        <v>2010</v>
      </c>
      <c r="B35" s="102">
        <v>9.9</v>
      </c>
      <c r="C35" s="102">
        <v>7.9</v>
      </c>
      <c r="D35" s="102">
        <v>37.4</v>
      </c>
      <c r="E35" s="102">
        <v>92.7</v>
      </c>
      <c r="F35" s="102">
        <v>111.8</v>
      </c>
      <c r="G35" s="102">
        <v>231.4</v>
      </c>
      <c r="H35" s="102">
        <v>156.4</v>
      </c>
      <c r="I35" s="102">
        <v>56.6</v>
      </c>
      <c r="J35" s="102">
        <v>151.30000000000001</v>
      </c>
      <c r="K35" s="102">
        <v>99.3</v>
      </c>
      <c r="L35" s="102">
        <v>29.2</v>
      </c>
      <c r="M35" s="102">
        <v>56.1</v>
      </c>
      <c r="N35" s="102">
        <f t="shared" si="1"/>
        <v>147.9</v>
      </c>
      <c r="O35" s="102">
        <f t="shared" si="2"/>
        <v>707.5</v>
      </c>
      <c r="P35" s="102">
        <f t="shared" si="3"/>
        <v>184.6</v>
      </c>
      <c r="Q35" s="102">
        <f t="shared" si="4"/>
        <v>1040</v>
      </c>
    </row>
    <row r="36" spans="1:33">
      <c r="A36" s="102">
        <v>2011</v>
      </c>
      <c r="B36" s="102">
        <v>22.9</v>
      </c>
      <c r="C36" s="102">
        <v>8</v>
      </c>
      <c r="D36" s="102">
        <v>37.700000000000003</v>
      </c>
      <c r="E36" s="102">
        <v>27.6</v>
      </c>
      <c r="F36" s="102">
        <v>120.6</v>
      </c>
      <c r="G36" s="102">
        <v>231.1</v>
      </c>
      <c r="H36" s="102">
        <v>47.4</v>
      </c>
      <c r="I36" s="102">
        <v>22.1</v>
      </c>
      <c r="J36" s="102">
        <v>83.3</v>
      </c>
      <c r="K36" s="102">
        <v>149</v>
      </c>
      <c r="L36" s="102">
        <v>56</v>
      </c>
      <c r="M36" s="102">
        <v>18.7</v>
      </c>
      <c r="N36" s="102">
        <f t="shared" si="1"/>
        <v>96.199999999999989</v>
      </c>
      <c r="O36" s="102">
        <f t="shared" si="2"/>
        <v>504.5</v>
      </c>
      <c r="P36" s="102">
        <f t="shared" si="3"/>
        <v>223.7</v>
      </c>
      <c r="Q36" s="102">
        <f t="shared" si="4"/>
        <v>824.4</v>
      </c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</row>
    <row r="37" spans="1:33">
      <c r="A37" s="102">
        <v>2012</v>
      </c>
      <c r="B37" s="102">
        <v>26.7</v>
      </c>
      <c r="C37" s="102">
        <v>22.4</v>
      </c>
      <c r="D37" s="102">
        <v>55.4</v>
      </c>
      <c r="E37" s="102">
        <v>54.9</v>
      </c>
      <c r="F37" s="102">
        <v>234.1</v>
      </c>
      <c r="G37" s="102">
        <v>171.6</v>
      </c>
      <c r="H37" s="102">
        <v>277.89999999999998</v>
      </c>
      <c r="I37" s="102">
        <v>121.1</v>
      </c>
      <c r="J37" s="102">
        <v>73.7</v>
      </c>
      <c r="K37" s="102">
        <v>69</v>
      </c>
      <c r="L37" s="102">
        <v>48.8</v>
      </c>
      <c r="M37" s="102">
        <v>20.100000000000001</v>
      </c>
      <c r="N37" s="102">
        <f t="shared" si="1"/>
        <v>159.4</v>
      </c>
      <c r="O37" s="102">
        <f t="shared" si="2"/>
        <v>878.4</v>
      </c>
      <c r="P37" s="102">
        <f t="shared" si="3"/>
        <v>137.9</v>
      </c>
      <c r="Q37" s="102">
        <f t="shared" si="4"/>
        <v>1175.6999999999998</v>
      </c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</row>
    <row r="38" spans="1:33">
      <c r="A38" s="102">
        <v>2013</v>
      </c>
      <c r="B38" s="102">
        <v>8.8000000000000007</v>
      </c>
      <c r="C38" s="102">
        <v>21.1</v>
      </c>
      <c r="D38" s="102">
        <v>57.2</v>
      </c>
      <c r="E38" s="102">
        <v>87.8</v>
      </c>
      <c r="F38" s="102">
        <v>188.2</v>
      </c>
      <c r="G38" s="102">
        <v>178.3</v>
      </c>
      <c r="H38" s="102">
        <v>18.5</v>
      </c>
      <c r="I38" s="102">
        <v>197.6</v>
      </c>
      <c r="J38" s="102">
        <v>152.6</v>
      </c>
      <c r="K38" s="102">
        <v>89.1</v>
      </c>
      <c r="L38" s="102">
        <v>37.200000000000003</v>
      </c>
      <c r="M38" s="102">
        <v>35.1</v>
      </c>
      <c r="N38" s="102">
        <f t="shared" si="1"/>
        <v>174.9</v>
      </c>
      <c r="O38" s="102">
        <f t="shared" si="2"/>
        <v>735.2</v>
      </c>
      <c r="P38" s="102">
        <f t="shared" si="3"/>
        <v>161.4</v>
      </c>
      <c r="Q38" s="102">
        <f t="shared" si="4"/>
        <v>1071.5</v>
      </c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</row>
    <row r="39" spans="1:33">
      <c r="A39" s="102">
        <v>2014</v>
      </c>
      <c r="B39" s="131">
        <v>11</v>
      </c>
      <c r="C39" s="131">
        <v>37.5</v>
      </c>
      <c r="D39" s="131">
        <v>82</v>
      </c>
      <c r="E39" s="131">
        <v>53.1</v>
      </c>
      <c r="F39" s="131">
        <v>124.2</v>
      </c>
      <c r="G39" s="131">
        <v>215.9</v>
      </c>
      <c r="H39" s="131">
        <v>274.3</v>
      </c>
      <c r="I39" s="131">
        <v>103.2</v>
      </c>
      <c r="J39" s="131">
        <v>136.4</v>
      </c>
      <c r="K39" s="131">
        <v>107.5</v>
      </c>
      <c r="L39" s="131">
        <v>59.7</v>
      </c>
      <c r="M39" s="131">
        <v>10.5</v>
      </c>
      <c r="N39" s="102">
        <f t="shared" si="1"/>
        <v>183.6</v>
      </c>
      <c r="O39" s="102">
        <f t="shared" si="2"/>
        <v>854.00000000000011</v>
      </c>
      <c r="P39" s="102">
        <f t="shared" si="3"/>
        <v>177.7</v>
      </c>
      <c r="Q39" s="102">
        <f t="shared" si="4"/>
        <v>1215.3000000000002</v>
      </c>
    </row>
    <row r="40" spans="1:33">
      <c r="A40" s="102">
        <v>2015</v>
      </c>
      <c r="B40" s="131">
        <v>49.7</v>
      </c>
      <c r="C40" s="131">
        <v>28.1</v>
      </c>
      <c r="D40" s="131">
        <v>39.5</v>
      </c>
      <c r="E40" s="131">
        <v>55.5</v>
      </c>
      <c r="F40" s="131">
        <v>218</v>
      </c>
      <c r="G40" s="131">
        <v>314.8</v>
      </c>
      <c r="H40" s="131">
        <v>133.80000000000001</v>
      </c>
      <c r="I40" s="131">
        <v>138.30000000000001</v>
      </c>
      <c r="J40" s="131">
        <v>63.2</v>
      </c>
      <c r="K40" s="131">
        <v>108.8</v>
      </c>
      <c r="L40" s="131">
        <v>44.5</v>
      </c>
      <c r="M40" s="131">
        <v>64.900000000000006</v>
      </c>
      <c r="N40" s="102">
        <f t="shared" si="1"/>
        <v>172.8</v>
      </c>
      <c r="O40" s="102">
        <f t="shared" si="2"/>
        <v>868.09999999999991</v>
      </c>
      <c r="P40" s="102">
        <f t="shared" si="3"/>
        <v>218.20000000000002</v>
      </c>
      <c r="Q40" s="102">
        <f t="shared" si="4"/>
        <v>1259.1000000000001</v>
      </c>
    </row>
    <row r="41" spans="1:33" ht="13.5">
      <c r="A41" s="102">
        <v>2016</v>
      </c>
      <c r="B41" s="128">
        <v>34.9</v>
      </c>
      <c r="C41" s="128">
        <v>10.8</v>
      </c>
      <c r="D41" s="128">
        <v>97.4</v>
      </c>
      <c r="E41" s="128">
        <v>169.7</v>
      </c>
      <c r="F41" s="128">
        <v>147.9</v>
      </c>
      <c r="G41" s="128">
        <v>256.3</v>
      </c>
      <c r="H41" s="128">
        <v>68.3</v>
      </c>
      <c r="I41" s="128">
        <v>130.19999999999999</v>
      </c>
      <c r="J41" s="128">
        <v>17.2</v>
      </c>
      <c r="K41" s="128">
        <v>66.900000000000006</v>
      </c>
      <c r="L41" s="128">
        <v>57.5</v>
      </c>
      <c r="M41" s="128">
        <v>31.7</v>
      </c>
      <c r="N41" s="102">
        <f>SUM(B41:E41)</f>
        <v>312.8</v>
      </c>
      <c r="O41" s="102">
        <f>SUM(F41:J41)</f>
        <v>619.90000000000009</v>
      </c>
      <c r="P41" s="102">
        <f>SUM(K41:M41)</f>
        <v>156.1</v>
      </c>
      <c r="Q41" s="102">
        <f>SUM(B41:M41)</f>
        <v>1088.8</v>
      </c>
      <c r="R41" s="129">
        <f t="shared" ref="R41:AG41" si="5">100*(B41-B4)/B4</f>
        <v>11.26461211477149</v>
      </c>
      <c r="S41" s="129">
        <f t="shared" si="5"/>
        <v>-66.916269571136823</v>
      </c>
      <c r="T41" s="129">
        <f t="shared" si="5"/>
        <v>74.387029392748829</v>
      </c>
      <c r="U41" s="129">
        <f t="shared" si="5"/>
        <v>77.61367600883824</v>
      </c>
      <c r="V41" s="129">
        <f t="shared" si="5"/>
        <v>-16.717762622786715</v>
      </c>
      <c r="W41" s="129">
        <f t="shared" si="5"/>
        <v>28.957777187661598</v>
      </c>
      <c r="X41" s="129">
        <f t="shared" si="5"/>
        <v>-59.196813806837042</v>
      </c>
      <c r="Y41" s="129">
        <f t="shared" si="5"/>
        <v>1.3514390122602349</v>
      </c>
      <c r="Z41" s="129">
        <f t="shared" si="5"/>
        <v>-82.145843545457168</v>
      </c>
      <c r="AA41" s="129">
        <f t="shared" si="5"/>
        <v>-23.066602779108759</v>
      </c>
      <c r="AB41" s="129">
        <f t="shared" si="5"/>
        <v>25.966043935982484</v>
      </c>
      <c r="AC41" s="129">
        <f t="shared" si="5"/>
        <v>23.040431266846355</v>
      </c>
      <c r="AD41" s="129">
        <f t="shared" si="5"/>
        <v>45.21258075747614</v>
      </c>
      <c r="AE41" s="129">
        <f t="shared" si="5"/>
        <v>-19.338993526560607</v>
      </c>
      <c r="AF41" s="129">
        <f t="shared" si="5"/>
        <v>-1.4330065072877947</v>
      </c>
      <c r="AG41" s="129">
        <f t="shared" si="5"/>
        <v>-4.6837650068453316</v>
      </c>
    </row>
  </sheetData>
  <mergeCells count="6">
    <mergeCell ref="A1:A3"/>
    <mergeCell ref="B1:Q1"/>
    <mergeCell ref="B2:M2"/>
    <mergeCell ref="R1:AG1"/>
    <mergeCell ref="N2:Q2"/>
    <mergeCell ref="R2:AG2"/>
  </mergeCells>
  <phoneticPr fontId="2" type="noConversion"/>
  <pageMargins left="0.75" right="0.75" top="1" bottom="1" header="0.5" footer="0.5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>
  <sheetPr codeName="Sheet39"/>
  <dimension ref="A1:AG17"/>
  <sheetViews>
    <sheetView zoomScale="85" zoomScaleNormal="85" workbookViewId="0">
      <pane ySplit="5" topLeftCell="A6" activePane="bottomLeft" state="frozen"/>
      <selection pane="bottomLeft" activeCell="R17" sqref="R17"/>
    </sheetView>
  </sheetViews>
  <sheetFormatPr defaultRowHeight="12"/>
  <cols>
    <col min="1" max="16384" width="9" style="102"/>
  </cols>
  <sheetData>
    <row r="1" spans="1:33" s="118" customFormat="1" ht="14.25" customHeight="1">
      <c r="A1" s="176" t="s">
        <v>53</v>
      </c>
      <c r="B1" s="176" t="s">
        <v>171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2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116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32</v>
      </c>
      <c r="O2" s="176"/>
      <c r="P2" s="176"/>
      <c r="Q2" s="176"/>
      <c r="R2" s="176" t="s">
        <v>38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>
      <c r="A3" s="176"/>
      <c r="B3" s="124" t="s">
        <v>149</v>
      </c>
      <c r="C3" s="124" t="s">
        <v>150</v>
      </c>
      <c r="D3" s="124" t="s">
        <v>9</v>
      </c>
      <c r="E3" s="124" t="s">
        <v>10</v>
      </c>
      <c r="F3" s="124" t="s">
        <v>11</v>
      </c>
      <c r="G3" s="124" t="s">
        <v>12</v>
      </c>
      <c r="H3" s="124" t="s">
        <v>13</v>
      </c>
      <c r="I3" s="124" t="s">
        <v>14</v>
      </c>
      <c r="J3" s="124" t="s">
        <v>15</v>
      </c>
      <c r="K3" s="124" t="s">
        <v>16</v>
      </c>
      <c r="L3" s="124" t="s">
        <v>17</v>
      </c>
      <c r="M3" s="124" t="s">
        <v>18</v>
      </c>
      <c r="N3" s="124" t="s">
        <v>145</v>
      </c>
      <c r="O3" s="124" t="s">
        <v>146</v>
      </c>
      <c r="P3" s="124" t="s">
        <v>147</v>
      </c>
      <c r="Q3" s="124" t="s">
        <v>148</v>
      </c>
      <c r="R3" s="124" t="s">
        <v>149</v>
      </c>
      <c r="S3" s="124" t="s">
        <v>150</v>
      </c>
      <c r="T3" s="124" t="s">
        <v>151</v>
      </c>
      <c r="U3" s="124" t="s">
        <v>152</v>
      </c>
      <c r="V3" s="124" t="s">
        <v>153</v>
      </c>
      <c r="W3" s="124" t="s">
        <v>154</v>
      </c>
      <c r="X3" s="124" t="s">
        <v>25</v>
      </c>
      <c r="Y3" s="124" t="s">
        <v>26</v>
      </c>
      <c r="Z3" s="124" t="s">
        <v>27</v>
      </c>
      <c r="AA3" s="124" t="s">
        <v>155</v>
      </c>
      <c r="AB3" s="124" t="s">
        <v>156</v>
      </c>
      <c r="AC3" s="124" t="s">
        <v>157</v>
      </c>
      <c r="AD3" s="124" t="s">
        <v>90</v>
      </c>
      <c r="AE3" s="124" t="s">
        <v>42</v>
      </c>
      <c r="AF3" s="124" t="s">
        <v>111</v>
      </c>
      <c r="AG3" s="124" t="s">
        <v>66</v>
      </c>
    </row>
    <row r="4" spans="1:33" s="118" customFormat="1">
      <c r="A4" s="150" t="s">
        <v>261</v>
      </c>
      <c r="B4" s="150">
        <f t="shared" ref="B4:Q4" si="0">AVERAGE(B5:B16)</f>
        <v>21.183333333333334</v>
      </c>
      <c r="C4" s="150">
        <f t="shared" si="0"/>
        <v>17.824999999999999</v>
      </c>
      <c r="D4" s="150">
        <f t="shared" si="0"/>
        <v>57.116666666666667</v>
      </c>
      <c r="E4" s="150">
        <f t="shared" si="0"/>
        <v>77.61666666666666</v>
      </c>
      <c r="F4" s="150">
        <f t="shared" si="0"/>
        <v>216.74166666666665</v>
      </c>
      <c r="G4" s="150">
        <f t="shared" si="0"/>
        <v>271.19166666666666</v>
      </c>
      <c r="H4" s="150">
        <f t="shared" si="0"/>
        <v>224.75833333333333</v>
      </c>
      <c r="I4" s="150">
        <f t="shared" si="0"/>
        <v>135.83333333333334</v>
      </c>
      <c r="J4" s="150">
        <f t="shared" si="0"/>
        <v>99</v>
      </c>
      <c r="K4" s="150">
        <f t="shared" si="0"/>
        <v>69.174999999999997</v>
      </c>
      <c r="L4" s="150">
        <f t="shared" si="0"/>
        <v>48.625</v>
      </c>
      <c r="M4" s="150">
        <f t="shared" si="0"/>
        <v>22.483333333333334</v>
      </c>
      <c r="N4" s="150">
        <f t="shared" si="0"/>
        <v>173.74166666666667</v>
      </c>
      <c r="O4" s="150">
        <f t="shared" si="0"/>
        <v>947.52499999999998</v>
      </c>
      <c r="P4" s="150">
        <f t="shared" si="0"/>
        <v>140.28333333333333</v>
      </c>
      <c r="Q4" s="150">
        <f t="shared" si="0"/>
        <v>1261.55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2004</v>
      </c>
      <c r="B5" s="103">
        <v>32.200000000000003</v>
      </c>
      <c r="C5" s="103">
        <v>52.7</v>
      </c>
      <c r="D5" s="103">
        <v>16</v>
      </c>
      <c r="E5" s="103">
        <v>66.900000000000006</v>
      </c>
      <c r="F5" s="103">
        <v>247.1</v>
      </c>
      <c r="G5" s="103">
        <v>145</v>
      </c>
      <c r="H5" s="103">
        <v>297.8</v>
      </c>
      <c r="I5" s="103">
        <v>106.4</v>
      </c>
      <c r="J5" s="103">
        <v>69.400000000000006</v>
      </c>
      <c r="K5" s="103">
        <v>13.1</v>
      </c>
      <c r="L5" s="103">
        <v>34.4</v>
      </c>
      <c r="M5" s="103">
        <v>15.9</v>
      </c>
      <c r="N5" s="102">
        <f>SUM(B5:E5)</f>
        <v>167.8</v>
      </c>
      <c r="O5" s="102">
        <f>SUM(F5:J5)</f>
        <v>865.7</v>
      </c>
      <c r="P5" s="102">
        <f>SUM(K5:M5)</f>
        <v>63.4</v>
      </c>
      <c r="Q5" s="102">
        <f>SUM(B5:M5)</f>
        <v>1096.9000000000001</v>
      </c>
    </row>
    <row r="6" spans="1:33">
      <c r="A6" s="102">
        <v>2005</v>
      </c>
      <c r="B6" s="103">
        <v>29.4</v>
      </c>
      <c r="C6" s="103">
        <v>7</v>
      </c>
      <c r="D6" s="103">
        <v>73.400000000000006</v>
      </c>
      <c r="E6" s="103">
        <v>85.4</v>
      </c>
      <c r="F6" s="103">
        <v>208.7</v>
      </c>
      <c r="G6" s="103">
        <v>233.9</v>
      </c>
      <c r="H6" s="103">
        <v>68.400000000000006</v>
      </c>
      <c r="I6" s="103">
        <v>156.1</v>
      </c>
      <c r="J6" s="103">
        <v>9.6999999999999993</v>
      </c>
      <c r="K6" s="102">
        <v>27.5</v>
      </c>
      <c r="L6" s="102">
        <v>28.6</v>
      </c>
      <c r="M6" s="102">
        <v>24.6</v>
      </c>
      <c r="N6" s="102">
        <f t="shared" ref="N6:N16" si="1">SUM(B6:E6)</f>
        <v>195.20000000000002</v>
      </c>
      <c r="O6" s="102">
        <f t="shared" ref="O6:O16" si="2">SUM(F6:J6)</f>
        <v>676.80000000000007</v>
      </c>
      <c r="P6" s="102">
        <f t="shared" ref="P6:P16" si="3">SUM(K6:M6)</f>
        <v>80.7</v>
      </c>
      <c r="Q6" s="102">
        <f t="shared" ref="Q6:Q16" si="4">SUM(B6:M6)</f>
        <v>952.7</v>
      </c>
    </row>
    <row r="7" spans="1:33">
      <c r="A7" s="102">
        <v>2006</v>
      </c>
      <c r="B7" s="102">
        <v>17</v>
      </c>
      <c r="C7" s="102">
        <v>35.700000000000003</v>
      </c>
      <c r="D7" s="102">
        <v>38.4</v>
      </c>
      <c r="E7" s="102">
        <v>106.2</v>
      </c>
      <c r="F7" s="102">
        <v>122.7</v>
      </c>
      <c r="G7" s="102">
        <v>532</v>
      </c>
      <c r="H7" s="102">
        <v>186.9</v>
      </c>
      <c r="I7" s="102">
        <v>81.099999999999994</v>
      </c>
      <c r="J7" s="102">
        <v>43.7</v>
      </c>
      <c r="K7" s="102">
        <v>114.9</v>
      </c>
      <c r="L7" s="102">
        <v>30.7</v>
      </c>
      <c r="M7" s="102">
        <v>7.9</v>
      </c>
      <c r="N7" s="102">
        <f t="shared" si="1"/>
        <v>197.3</v>
      </c>
      <c r="O7" s="102">
        <f t="shared" si="2"/>
        <v>966.40000000000009</v>
      </c>
      <c r="P7" s="102">
        <f t="shared" si="3"/>
        <v>153.5</v>
      </c>
      <c r="Q7" s="102">
        <f t="shared" si="4"/>
        <v>1317.2000000000003</v>
      </c>
    </row>
    <row r="8" spans="1:33">
      <c r="A8" s="102">
        <v>2007</v>
      </c>
      <c r="B8" s="102">
        <v>32.200000000000003</v>
      </c>
      <c r="C8" s="102">
        <v>6.2</v>
      </c>
      <c r="D8" s="102">
        <v>79.3</v>
      </c>
      <c r="E8" s="102">
        <v>69.3</v>
      </c>
      <c r="F8" s="102">
        <v>55.6</v>
      </c>
      <c r="G8" s="102">
        <v>227</v>
      </c>
      <c r="H8" s="102">
        <v>481.2</v>
      </c>
      <c r="I8" s="102">
        <v>228</v>
      </c>
      <c r="J8" s="102">
        <v>77</v>
      </c>
      <c r="K8" s="102">
        <v>2.7</v>
      </c>
      <c r="L8" s="102">
        <v>0.6</v>
      </c>
      <c r="M8" s="102">
        <v>18.5</v>
      </c>
      <c r="N8" s="102">
        <f t="shared" si="1"/>
        <v>187</v>
      </c>
      <c r="O8" s="102">
        <f t="shared" si="2"/>
        <v>1068.8</v>
      </c>
      <c r="P8" s="102">
        <f t="shared" si="3"/>
        <v>21.8</v>
      </c>
      <c r="Q8" s="102">
        <f t="shared" si="4"/>
        <v>1277.5999999999999</v>
      </c>
    </row>
    <row r="9" spans="1:33">
      <c r="A9" s="102">
        <v>2008</v>
      </c>
      <c r="B9" s="102">
        <v>19.899999999999999</v>
      </c>
      <c r="C9" s="102">
        <v>15.1</v>
      </c>
      <c r="D9" s="102">
        <v>73.7</v>
      </c>
      <c r="E9" s="102">
        <v>104.1</v>
      </c>
      <c r="F9" s="102">
        <v>338.5</v>
      </c>
      <c r="G9" s="102">
        <v>101.4</v>
      </c>
      <c r="H9" s="102">
        <v>175.9</v>
      </c>
      <c r="I9" s="102">
        <v>189.2</v>
      </c>
      <c r="J9" s="102">
        <v>106.8</v>
      </c>
      <c r="K9" s="102">
        <v>78.2</v>
      </c>
      <c r="L9" s="102">
        <v>147</v>
      </c>
      <c r="M9" s="102">
        <v>11.4</v>
      </c>
      <c r="N9" s="102">
        <f t="shared" si="1"/>
        <v>212.8</v>
      </c>
      <c r="O9" s="102">
        <f t="shared" si="2"/>
        <v>911.8</v>
      </c>
      <c r="P9" s="102">
        <f t="shared" si="3"/>
        <v>236.6</v>
      </c>
      <c r="Q9" s="102">
        <f t="shared" si="4"/>
        <v>1361.2</v>
      </c>
    </row>
    <row r="10" spans="1:33">
      <c r="A10" s="102">
        <v>2009</v>
      </c>
      <c r="B10" s="102">
        <v>13.4</v>
      </c>
      <c r="C10" s="102">
        <v>10</v>
      </c>
      <c r="D10" s="102">
        <v>113.2</v>
      </c>
      <c r="E10" s="102">
        <v>120.8</v>
      </c>
      <c r="F10" s="102">
        <v>353.4</v>
      </c>
      <c r="G10" s="102">
        <v>290.7</v>
      </c>
      <c r="H10" s="102">
        <v>156.9</v>
      </c>
      <c r="I10" s="102">
        <v>22.1</v>
      </c>
      <c r="J10" s="102">
        <v>105.1</v>
      </c>
      <c r="K10" s="102">
        <v>36.6</v>
      </c>
      <c r="L10" s="102">
        <v>5.8</v>
      </c>
      <c r="M10" s="102">
        <v>7.5</v>
      </c>
      <c r="N10" s="102">
        <f t="shared" si="1"/>
        <v>257.39999999999998</v>
      </c>
      <c r="O10" s="102">
        <f t="shared" si="2"/>
        <v>928.19999999999993</v>
      </c>
      <c r="P10" s="102">
        <f t="shared" si="3"/>
        <v>49.9</v>
      </c>
      <c r="Q10" s="102">
        <f t="shared" si="4"/>
        <v>1235.4999999999998</v>
      </c>
    </row>
    <row r="11" spans="1:33">
      <c r="A11" s="102">
        <v>2010</v>
      </c>
      <c r="B11" s="102">
        <v>3.4</v>
      </c>
      <c r="C11" s="102">
        <v>4</v>
      </c>
      <c r="D11" s="102">
        <v>5.4</v>
      </c>
      <c r="E11" s="102">
        <v>93.4</v>
      </c>
      <c r="F11" s="102">
        <v>203.5</v>
      </c>
      <c r="G11" s="102">
        <v>307.10000000000002</v>
      </c>
      <c r="H11" s="102">
        <v>368</v>
      </c>
      <c r="I11" s="102">
        <v>107</v>
      </c>
      <c r="J11" s="102">
        <v>244.2</v>
      </c>
      <c r="K11" s="102">
        <v>71.8</v>
      </c>
      <c r="L11" s="102">
        <v>52.9</v>
      </c>
      <c r="M11" s="102">
        <v>51.2</v>
      </c>
      <c r="N11" s="102">
        <f t="shared" si="1"/>
        <v>106.2</v>
      </c>
      <c r="O11" s="102">
        <f t="shared" si="2"/>
        <v>1229.8</v>
      </c>
      <c r="P11" s="102">
        <f t="shared" si="3"/>
        <v>175.89999999999998</v>
      </c>
      <c r="Q11" s="102">
        <f t="shared" si="4"/>
        <v>1511.9</v>
      </c>
    </row>
    <row r="12" spans="1:33">
      <c r="A12" s="102">
        <v>2011</v>
      </c>
      <c r="B12" s="102">
        <v>20.6</v>
      </c>
      <c r="C12" s="102">
        <v>5.9</v>
      </c>
      <c r="D12" s="102">
        <v>25.5</v>
      </c>
      <c r="E12" s="102">
        <v>48.9</v>
      </c>
      <c r="F12" s="102">
        <v>155.1</v>
      </c>
      <c r="G12" s="102">
        <v>348.3</v>
      </c>
      <c r="H12" s="102">
        <v>50.1</v>
      </c>
      <c r="I12" s="102">
        <v>84.6</v>
      </c>
      <c r="J12" s="102">
        <v>61.4</v>
      </c>
      <c r="K12" s="102">
        <v>150.5</v>
      </c>
      <c r="L12" s="102">
        <v>61.8</v>
      </c>
      <c r="M12" s="102">
        <v>6.3</v>
      </c>
      <c r="N12" s="102">
        <f t="shared" si="1"/>
        <v>100.9</v>
      </c>
      <c r="O12" s="102">
        <f t="shared" si="2"/>
        <v>699.5</v>
      </c>
      <c r="P12" s="102">
        <f t="shared" si="3"/>
        <v>218.60000000000002</v>
      </c>
      <c r="Q12" s="102">
        <f t="shared" si="4"/>
        <v>1018.9999999999999</v>
      </c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</row>
    <row r="13" spans="1:33">
      <c r="A13" s="102">
        <v>2012</v>
      </c>
      <c r="B13" s="102">
        <v>33</v>
      </c>
      <c r="C13" s="102">
        <v>17.600000000000001</v>
      </c>
      <c r="D13" s="102">
        <v>36.200000000000003</v>
      </c>
      <c r="E13" s="102">
        <v>114.4</v>
      </c>
      <c r="F13" s="102">
        <v>230.3</v>
      </c>
      <c r="G13" s="102">
        <v>202.2</v>
      </c>
      <c r="H13" s="102">
        <v>280.5</v>
      </c>
      <c r="I13" s="102">
        <v>37.6</v>
      </c>
      <c r="J13" s="102">
        <v>56.3</v>
      </c>
      <c r="K13" s="102">
        <v>51</v>
      </c>
      <c r="L13" s="102">
        <v>46.8</v>
      </c>
      <c r="M13" s="102">
        <v>7.6</v>
      </c>
      <c r="N13" s="102">
        <f t="shared" si="1"/>
        <v>201.20000000000002</v>
      </c>
      <c r="O13" s="102">
        <f t="shared" si="2"/>
        <v>806.9</v>
      </c>
      <c r="P13" s="102">
        <f t="shared" si="3"/>
        <v>105.39999999999999</v>
      </c>
      <c r="Q13" s="102">
        <f t="shared" si="4"/>
        <v>1113.4999999999998</v>
      </c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  <c r="AG13" s="104"/>
    </row>
    <row r="14" spans="1:33">
      <c r="A14" s="102">
        <v>2013</v>
      </c>
      <c r="B14" s="102">
        <v>7.9</v>
      </c>
      <c r="C14" s="102">
        <v>11.5</v>
      </c>
      <c r="D14" s="102">
        <v>107.8</v>
      </c>
      <c r="E14" s="102">
        <v>46.4</v>
      </c>
      <c r="F14" s="102">
        <v>239.8</v>
      </c>
      <c r="G14" s="102">
        <v>198.8</v>
      </c>
      <c r="H14" s="102">
        <v>62.2</v>
      </c>
      <c r="I14" s="102">
        <v>123.3</v>
      </c>
      <c r="J14" s="102">
        <v>113.9</v>
      </c>
      <c r="K14" s="102">
        <v>62.3</v>
      </c>
      <c r="L14" s="102">
        <v>38.700000000000003</v>
      </c>
      <c r="M14" s="102">
        <v>53.1</v>
      </c>
      <c r="N14" s="102">
        <f t="shared" si="1"/>
        <v>173.6</v>
      </c>
      <c r="O14" s="102">
        <f t="shared" si="2"/>
        <v>738</v>
      </c>
      <c r="P14" s="102">
        <f t="shared" si="3"/>
        <v>154.1</v>
      </c>
      <c r="Q14" s="102">
        <f t="shared" si="4"/>
        <v>1065.7</v>
      </c>
      <c r="R14" s="104"/>
      <c r="S14" s="104"/>
      <c r="T14" s="104"/>
      <c r="U14" s="104"/>
      <c r="V14" s="104"/>
      <c r="W14" s="104"/>
      <c r="X14" s="104"/>
      <c r="Y14" s="104"/>
      <c r="Z14" s="104"/>
      <c r="AA14" s="104"/>
      <c r="AB14" s="104"/>
      <c r="AC14" s="104"/>
      <c r="AD14" s="104"/>
      <c r="AE14" s="104"/>
      <c r="AF14" s="104"/>
      <c r="AG14" s="104"/>
    </row>
    <row r="15" spans="1:33">
      <c r="A15" s="102">
        <v>2014</v>
      </c>
      <c r="B15" s="131">
        <v>8.1999999999999993</v>
      </c>
      <c r="C15" s="131">
        <v>32.5</v>
      </c>
      <c r="D15" s="131">
        <v>102.2</v>
      </c>
      <c r="E15" s="131">
        <v>43.6</v>
      </c>
      <c r="F15" s="131">
        <v>144.6</v>
      </c>
      <c r="G15" s="131">
        <v>311.2</v>
      </c>
      <c r="H15" s="131">
        <v>367.3</v>
      </c>
      <c r="I15" s="131">
        <v>255.6</v>
      </c>
      <c r="J15" s="131">
        <v>156</v>
      </c>
      <c r="K15" s="131">
        <v>100.7</v>
      </c>
      <c r="L15" s="131">
        <v>70.2</v>
      </c>
      <c r="M15" s="131">
        <v>2.7</v>
      </c>
      <c r="N15" s="102">
        <f t="shared" si="1"/>
        <v>186.5</v>
      </c>
      <c r="O15" s="102">
        <f t="shared" si="2"/>
        <v>1234.6999999999998</v>
      </c>
      <c r="P15" s="102">
        <f t="shared" si="3"/>
        <v>173.6</v>
      </c>
      <c r="Q15" s="102">
        <f t="shared" si="4"/>
        <v>1594.8</v>
      </c>
    </row>
    <row r="16" spans="1:33">
      <c r="A16" s="102">
        <v>2015</v>
      </c>
      <c r="B16" s="131">
        <v>37</v>
      </c>
      <c r="C16" s="131">
        <v>15.7</v>
      </c>
      <c r="D16" s="131">
        <v>14.3</v>
      </c>
      <c r="E16" s="131">
        <v>32</v>
      </c>
      <c r="F16" s="131">
        <v>301.60000000000002</v>
      </c>
      <c r="G16" s="131">
        <v>356.7</v>
      </c>
      <c r="H16" s="131">
        <v>201.9</v>
      </c>
      <c r="I16" s="131">
        <v>239</v>
      </c>
      <c r="J16" s="131">
        <v>144.5</v>
      </c>
      <c r="K16" s="131">
        <v>120.8</v>
      </c>
      <c r="L16" s="131">
        <v>66</v>
      </c>
      <c r="M16" s="131">
        <v>63.1</v>
      </c>
      <c r="N16" s="102">
        <f t="shared" si="1"/>
        <v>99</v>
      </c>
      <c r="O16" s="102">
        <f t="shared" si="2"/>
        <v>1243.6999999999998</v>
      </c>
      <c r="P16" s="102">
        <f t="shared" si="3"/>
        <v>249.9</v>
      </c>
      <c r="Q16" s="102">
        <f t="shared" si="4"/>
        <v>1592.5999999999997</v>
      </c>
    </row>
    <row r="17" spans="1:33" ht="13.5">
      <c r="A17" s="102">
        <v>2016</v>
      </c>
      <c r="B17" s="134">
        <v>50.5</v>
      </c>
      <c r="C17" s="134">
        <v>4</v>
      </c>
      <c r="D17" s="134">
        <v>23.5</v>
      </c>
      <c r="E17" s="134">
        <v>192.5</v>
      </c>
      <c r="F17" s="134">
        <v>262</v>
      </c>
      <c r="G17" s="134">
        <v>206.2</v>
      </c>
      <c r="H17" s="134">
        <v>115.5</v>
      </c>
      <c r="I17" s="134">
        <v>267.7</v>
      </c>
      <c r="J17" s="134">
        <v>21</v>
      </c>
      <c r="K17" s="134">
        <v>69.5</v>
      </c>
      <c r="L17" s="134">
        <v>53.3</v>
      </c>
      <c r="M17" s="134">
        <v>7.1</v>
      </c>
      <c r="N17" s="102">
        <f>SUM(B17:E17)</f>
        <v>270.5</v>
      </c>
      <c r="O17" s="102">
        <f>SUM(F17:J17)</f>
        <v>872.40000000000009</v>
      </c>
      <c r="P17" s="102">
        <f>SUM(K17:M17)</f>
        <v>129.9</v>
      </c>
      <c r="Q17" s="102">
        <f>SUM(B17:M17)</f>
        <v>1272.8</v>
      </c>
      <c r="R17" s="129">
        <f t="shared" ref="R17:AG17" si="5">100*(B17-B4)/B4</f>
        <v>138.39496459480722</v>
      </c>
      <c r="S17" s="129">
        <f t="shared" si="5"/>
        <v>-77.559607293127627</v>
      </c>
      <c r="T17" s="129">
        <f t="shared" si="5"/>
        <v>-58.856142398599353</v>
      </c>
      <c r="U17" s="129">
        <f t="shared" si="5"/>
        <v>148.01374275284519</v>
      </c>
      <c r="V17" s="129">
        <f t="shared" si="5"/>
        <v>20.88123341920106</v>
      </c>
      <c r="W17" s="129">
        <f t="shared" si="5"/>
        <v>-23.965215253664386</v>
      </c>
      <c r="X17" s="129">
        <f t="shared" si="5"/>
        <v>-48.611471580586553</v>
      </c>
      <c r="Y17" s="129">
        <f t="shared" si="5"/>
        <v>97.079754601226966</v>
      </c>
      <c r="Z17" s="129">
        <f t="shared" si="5"/>
        <v>-78.787878787878782</v>
      </c>
      <c r="AA17" s="129">
        <f t="shared" si="5"/>
        <v>0.46982291290206413</v>
      </c>
      <c r="AB17" s="129">
        <f t="shared" si="5"/>
        <v>9.6143958868894543</v>
      </c>
      <c r="AC17" s="129">
        <f t="shared" si="5"/>
        <v>-68.421052631578945</v>
      </c>
      <c r="AD17" s="129">
        <f t="shared" si="5"/>
        <v>55.690920427838257</v>
      </c>
      <c r="AE17" s="129">
        <f t="shared" si="5"/>
        <v>-7.9285506978707572</v>
      </c>
      <c r="AF17" s="129">
        <f t="shared" si="5"/>
        <v>-7.4016870618985333</v>
      </c>
      <c r="AG17" s="129">
        <f t="shared" si="5"/>
        <v>0.89176013634021645</v>
      </c>
    </row>
  </sheetData>
  <mergeCells count="6">
    <mergeCell ref="A1:A3"/>
    <mergeCell ref="B1:Q1"/>
    <mergeCell ref="B2:M2"/>
    <mergeCell ref="R1:AG1"/>
    <mergeCell ref="N2:Q2"/>
    <mergeCell ref="R2:AG2"/>
  </mergeCells>
  <phoneticPr fontId="2" type="noConversion"/>
  <pageMargins left="0.75" right="0.75" top="1" bottom="1" header="0.5" footer="0.5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>
  <sheetPr codeName="Sheet40"/>
  <dimension ref="A1:AG58"/>
  <sheetViews>
    <sheetView topLeftCell="E1" zoomScale="85" zoomScaleNormal="85" workbookViewId="0">
      <pane ySplit="5" topLeftCell="A6" activePane="bottomLeft" state="frozen"/>
      <selection pane="bottomLeft" activeCell="R58" sqref="R58"/>
    </sheetView>
  </sheetViews>
  <sheetFormatPr defaultRowHeight="12"/>
  <cols>
    <col min="1" max="1" width="9.5" style="102" bestFit="1" customWidth="1"/>
    <col min="2" max="14" width="9.125" style="102" bestFit="1" customWidth="1"/>
    <col min="15" max="15" width="9.5" style="102" bestFit="1" customWidth="1"/>
    <col min="16" max="16" width="9.125" style="102" bestFit="1" customWidth="1"/>
    <col min="17" max="17" width="9.5" style="102" bestFit="1" customWidth="1"/>
    <col min="18" max="33" width="9.125" style="102" bestFit="1" customWidth="1"/>
    <col min="34" max="16384" width="9" style="102"/>
  </cols>
  <sheetData>
    <row r="1" spans="1:33" s="118" customFormat="1" ht="14.25" customHeight="1">
      <c r="A1" s="176" t="s">
        <v>172</v>
      </c>
      <c r="B1" s="176" t="s">
        <v>180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181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173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174</v>
      </c>
      <c r="O2" s="176"/>
      <c r="P2" s="176"/>
      <c r="Q2" s="176"/>
      <c r="R2" s="176" t="s">
        <v>175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>
      <c r="A3" s="176"/>
      <c r="B3" s="124" t="s">
        <v>182</v>
      </c>
      <c r="C3" s="124" t="s">
        <v>183</v>
      </c>
      <c r="D3" s="124" t="s">
        <v>9</v>
      </c>
      <c r="E3" s="124" t="s">
        <v>10</v>
      </c>
      <c r="F3" s="124" t="s">
        <v>11</v>
      </c>
      <c r="G3" s="124" t="s">
        <v>12</v>
      </c>
      <c r="H3" s="124" t="s">
        <v>13</v>
      </c>
      <c r="I3" s="124" t="s">
        <v>14</v>
      </c>
      <c r="J3" s="124" t="s">
        <v>15</v>
      </c>
      <c r="K3" s="124" t="s">
        <v>16</v>
      </c>
      <c r="L3" s="124" t="s">
        <v>17</v>
      </c>
      <c r="M3" s="124" t="s">
        <v>18</v>
      </c>
      <c r="N3" s="124" t="s">
        <v>184</v>
      </c>
      <c r="O3" s="124" t="s">
        <v>185</v>
      </c>
      <c r="P3" s="124" t="s">
        <v>186</v>
      </c>
      <c r="Q3" s="124" t="s">
        <v>187</v>
      </c>
      <c r="R3" s="124" t="s">
        <v>182</v>
      </c>
      <c r="S3" s="124" t="s">
        <v>183</v>
      </c>
      <c r="T3" s="124" t="s">
        <v>188</v>
      </c>
      <c r="U3" s="124" t="s">
        <v>189</v>
      </c>
      <c r="V3" s="124" t="s">
        <v>190</v>
      </c>
      <c r="W3" s="124" t="s">
        <v>191</v>
      </c>
      <c r="X3" s="124" t="s">
        <v>25</v>
      </c>
      <c r="Y3" s="124" t="s">
        <v>26</v>
      </c>
      <c r="Z3" s="124" t="s">
        <v>27</v>
      </c>
      <c r="AA3" s="124" t="s">
        <v>192</v>
      </c>
      <c r="AB3" s="124" t="s">
        <v>193</v>
      </c>
      <c r="AC3" s="124" t="s">
        <v>194</v>
      </c>
      <c r="AD3" s="124" t="s">
        <v>176</v>
      </c>
      <c r="AE3" s="124" t="s">
        <v>177</v>
      </c>
      <c r="AF3" s="124" t="s">
        <v>178</v>
      </c>
      <c r="AG3" s="124" t="s">
        <v>179</v>
      </c>
    </row>
    <row r="4" spans="1:33" s="118" customFormat="1">
      <c r="A4" s="150" t="s">
        <v>261</v>
      </c>
      <c r="B4" s="150">
        <f t="shared" ref="B4:Q4" si="0">AVERAGE(B5:B57)</f>
        <v>22.275471698113204</v>
      </c>
      <c r="C4" s="150">
        <f t="shared" si="0"/>
        <v>26.239622641509435</v>
      </c>
      <c r="D4" s="150">
        <f t="shared" si="0"/>
        <v>46.675471698113228</v>
      </c>
      <c r="E4" s="150">
        <f t="shared" si="0"/>
        <v>107.40188679245283</v>
      </c>
      <c r="F4" s="150">
        <f t="shared" si="0"/>
        <v>194.75660377358494</v>
      </c>
      <c r="G4" s="150">
        <f t="shared" si="0"/>
        <v>215.22830188679251</v>
      </c>
      <c r="H4" s="150">
        <f t="shared" si="0"/>
        <v>188.12641509433965</v>
      </c>
      <c r="I4" s="150">
        <f t="shared" si="0"/>
        <v>130.53584905660378</v>
      </c>
      <c r="J4" s="150">
        <f t="shared" si="0"/>
        <v>86.424528301886781</v>
      </c>
      <c r="K4" s="150">
        <f t="shared" si="0"/>
        <v>86.888679245283015</v>
      </c>
      <c r="L4" s="150">
        <f t="shared" si="0"/>
        <v>46.781132075471703</v>
      </c>
      <c r="M4" s="150">
        <f t="shared" si="0"/>
        <v>22.137735849056604</v>
      </c>
      <c r="N4" s="150">
        <f t="shared" si="0"/>
        <v>202.59245283018871</v>
      </c>
      <c r="O4" s="150">
        <f t="shared" si="0"/>
        <v>815.07169811320762</v>
      </c>
      <c r="P4" s="150">
        <f t="shared" si="0"/>
        <v>155.80754716981133</v>
      </c>
      <c r="Q4" s="150">
        <f t="shared" si="0"/>
        <v>1173.4716981132078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1963</v>
      </c>
      <c r="B5" s="102">
        <v>1.8</v>
      </c>
      <c r="C5" s="102">
        <v>28.4</v>
      </c>
      <c r="D5" s="102">
        <v>28.3</v>
      </c>
      <c r="E5" s="102">
        <v>25.2</v>
      </c>
      <c r="F5" s="102">
        <v>257</v>
      </c>
      <c r="G5" s="102">
        <v>85.6</v>
      </c>
      <c r="H5" s="102">
        <v>192.6</v>
      </c>
      <c r="I5" s="102">
        <v>83.3</v>
      </c>
      <c r="J5" s="102">
        <v>50.5</v>
      </c>
      <c r="K5" s="102">
        <v>67.900000000000006</v>
      </c>
      <c r="L5" s="102">
        <v>181.2</v>
      </c>
      <c r="M5" s="102">
        <v>36.700000000000003</v>
      </c>
      <c r="N5" s="102">
        <f>SUM(B5:E5)</f>
        <v>83.7</v>
      </c>
      <c r="O5" s="102">
        <f>SUM(F5:J5)</f>
        <v>669</v>
      </c>
      <c r="P5" s="102">
        <f>SUM(K5:M5)</f>
        <v>285.8</v>
      </c>
      <c r="Q5" s="102">
        <f>SUM(B5:M5)</f>
        <v>1038.5</v>
      </c>
    </row>
    <row r="6" spans="1:33">
      <c r="A6" s="102">
        <v>1964</v>
      </c>
      <c r="B6" s="102">
        <v>9.6999999999999993</v>
      </c>
      <c r="C6" s="102">
        <v>47.6</v>
      </c>
      <c r="D6" s="102">
        <v>31.6</v>
      </c>
      <c r="E6" s="102">
        <v>264</v>
      </c>
      <c r="F6" s="102">
        <v>181</v>
      </c>
      <c r="G6" s="102">
        <v>162.80000000000001</v>
      </c>
      <c r="H6" s="102">
        <v>130.9</v>
      </c>
      <c r="I6" s="102">
        <v>202.1</v>
      </c>
      <c r="J6" s="102">
        <v>58.2</v>
      </c>
      <c r="K6" s="102">
        <v>143.9</v>
      </c>
      <c r="L6" s="102">
        <v>37.200000000000003</v>
      </c>
      <c r="M6" s="102">
        <v>35.9</v>
      </c>
      <c r="N6" s="102">
        <f t="shared" ref="N6:N57" si="1">SUM(B6:E6)</f>
        <v>352.9</v>
      </c>
      <c r="O6" s="102">
        <f t="shared" ref="O6:O57" si="2">SUM(F6:J6)</f>
        <v>735.00000000000011</v>
      </c>
      <c r="P6" s="102">
        <f t="shared" ref="P6:P57" si="3">SUM(K6:M6)</f>
        <v>217.00000000000003</v>
      </c>
      <c r="Q6" s="102">
        <f t="shared" ref="Q6:Q57" si="4">SUM(B6:M6)</f>
        <v>1304.9000000000003</v>
      </c>
    </row>
    <row r="7" spans="1:33">
      <c r="A7" s="102">
        <v>1965</v>
      </c>
      <c r="B7" s="102">
        <v>18.600000000000001</v>
      </c>
      <c r="C7" s="102">
        <v>21.4</v>
      </c>
      <c r="D7" s="102">
        <v>90.1</v>
      </c>
      <c r="E7" s="102">
        <v>176.7</v>
      </c>
      <c r="F7" s="102">
        <v>110.8</v>
      </c>
      <c r="G7" s="102">
        <v>250</v>
      </c>
      <c r="H7" s="102">
        <v>92.3</v>
      </c>
      <c r="I7" s="102">
        <v>161</v>
      </c>
      <c r="J7" s="102">
        <v>40.4</v>
      </c>
      <c r="K7" s="102">
        <v>276.60000000000002</v>
      </c>
      <c r="L7" s="102">
        <v>37.700000000000003</v>
      </c>
      <c r="M7" s="102">
        <v>35</v>
      </c>
      <c r="N7" s="102">
        <f t="shared" si="1"/>
        <v>306.79999999999995</v>
      </c>
      <c r="O7" s="102">
        <f t="shared" si="2"/>
        <v>654.5</v>
      </c>
      <c r="P7" s="102">
        <f t="shared" si="3"/>
        <v>349.3</v>
      </c>
      <c r="Q7" s="102">
        <f t="shared" si="4"/>
        <v>1310.5999999999999</v>
      </c>
    </row>
    <row r="8" spans="1:33">
      <c r="A8" s="102">
        <v>1966</v>
      </c>
      <c r="B8" s="102">
        <v>30.6</v>
      </c>
      <c r="C8" s="102">
        <v>5.3</v>
      </c>
      <c r="D8" s="102">
        <v>31</v>
      </c>
      <c r="E8" s="102">
        <v>82.8</v>
      </c>
      <c r="F8" s="102">
        <v>226</v>
      </c>
      <c r="G8" s="102">
        <v>262.2</v>
      </c>
      <c r="H8" s="102">
        <v>179.8</v>
      </c>
      <c r="I8" s="102">
        <v>44.8</v>
      </c>
      <c r="J8" s="102">
        <v>33.9</v>
      </c>
      <c r="K8" s="102">
        <v>231.7</v>
      </c>
      <c r="L8" s="102">
        <v>7</v>
      </c>
      <c r="M8" s="102">
        <v>20.399999999999999</v>
      </c>
      <c r="N8" s="102">
        <f t="shared" si="1"/>
        <v>149.69999999999999</v>
      </c>
      <c r="O8" s="102">
        <f t="shared" si="2"/>
        <v>746.69999999999993</v>
      </c>
      <c r="P8" s="102">
        <f t="shared" si="3"/>
        <v>259.09999999999997</v>
      </c>
      <c r="Q8" s="102">
        <f t="shared" si="4"/>
        <v>1155.5</v>
      </c>
    </row>
    <row r="9" spans="1:33">
      <c r="A9" s="102">
        <v>1967</v>
      </c>
      <c r="B9" s="102">
        <v>0.9</v>
      </c>
      <c r="C9" s="102">
        <v>37</v>
      </c>
      <c r="D9" s="102">
        <v>52.9</v>
      </c>
      <c r="E9" s="102">
        <v>81.2</v>
      </c>
      <c r="F9" s="102">
        <v>153.6</v>
      </c>
      <c r="G9" s="102">
        <v>164.2</v>
      </c>
      <c r="H9" s="102">
        <v>174.9</v>
      </c>
      <c r="I9" s="102">
        <v>147.5</v>
      </c>
      <c r="J9" s="102">
        <v>125.9</v>
      </c>
      <c r="K9" s="102">
        <v>41.1</v>
      </c>
      <c r="L9" s="102">
        <v>79.400000000000006</v>
      </c>
      <c r="M9" s="102">
        <v>32.299999999999997</v>
      </c>
      <c r="N9" s="102">
        <f t="shared" si="1"/>
        <v>172</v>
      </c>
      <c r="O9" s="102">
        <f t="shared" si="2"/>
        <v>766.09999999999991</v>
      </c>
      <c r="P9" s="102">
        <f t="shared" si="3"/>
        <v>152.80000000000001</v>
      </c>
      <c r="Q9" s="102">
        <f t="shared" si="4"/>
        <v>1090.9000000000001</v>
      </c>
    </row>
    <row r="10" spans="1:33">
      <c r="A10" s="102">
        <v>1968</v>
      </c>
      <c r="B10" s="102">
        <v>16.7</v>
      </c>
      <c r="C10" s="102">
        <v>15.6</v>
      </c>
      <c r="D10" s="102">
        <v>26</v>
      </c>
      <c r="E10" s="102">
        <v>132.4</v>
      </c>
      <c r="F10" s="102">
        <v>209.7</v>
      </c>
      <c r="G10" s="102">
        <v>214.8</v>
      </c>
      <c r="H10" s="102">
        <v>279.8</v>
      </c>
      <c r="I10" s="102">
        <v>180.5</v>
      </c>
      <c r="J10" s="102">
        <v>33.5</v>
      </c>
      <c r="K10" s="102">
        <v>35.299999999999997</v>
      </c>
      <c r="L10" s="102">
        <v>55.9</v>
      </c>
      <c r="M10" s="102">
        <v>8.6</v>
      </c>
      <c r="N10" s="102">
        <f t="shared" si="1"/>
        <v>190.7</v>
      </c>
      <c r="O10" s="102">
        <f t="shared" si="2"/>
        <v>918.3</v>
      </c>
      <c r="P10" s="102">
        <f t="shared" si="3"/>
        <v>99.799999999999983</v>
      </c>
      <c r="Q10" s="102">
        <f t="shared" si="4"/>
        <v>1208.8</v>
      </c>
    </row>
    <row r="11" spans="1:33">
      <c r="A11" s="102">
        <v>1969</v>
      </c>
      <c r="B11" s="102">
        <v>14.2</v>
      </c>
      <c r="C11" s="102">
        <v>5.2</v>
      </c>
      <c r="D11" s="102">
        <v>9.9</v>
      </c>
      <c r="E11" s="102">
        <v>223.7</v>
      </c>
      <c r="F11" s="102">
        <v>234.4</v>
      </c>
      <c r="G11" s="102">
        <v>272.39999999999998</v>
      </c>
      <c r="H11" s="102">
        <v>247.4</v>
      </c>
      <c r="I11" s="102">
        <v>356.5</v>
      </c>
      <c r="J11" s="102">
        <v>27.7</v>
      </c>
      <c r="K11" s="102">
        <v>117.9</v>
      </c>
      <c r="L11" s="102">
        <v>34.4</v>
      </c>
      <c r="M11" s="102">
        <v>1.4</v>
      </c>
      <c r="N11" s="102">
        <f t="shared" si="1"/>
        <v>253</v>
      </c>
      <c r="O11" s="102">
        <f t="shared" si="2"/>
        <v>1138.3999999999999</v>
      </c>
      <c r="P11" s="102">
        <f t="shared" si="3"/>
        <v>153.70000000000002</v>
      </c>
      <c r="Q11" s="102">
        <f t="shared" si="4"/>
        <v>1545.1000000000001</v>
      </c>
    </row>
    <row r="12" spans="1:33">
      <c r="A12" s="102">
        <v>1970</v>
      </c>
      <c r="B12" s="102">
        <v>24.7</v>
      </c>
      <c r="C12" s="102">
        <v>24.8</v>
      </c>
      <c r="D12" s="102">
        <v>91.4</v>
      </c>
      <c r="E12" s="102">
        <v>144.4</v>
      </c>
      <c r="F12" s="102">
        <v>143.69999999999999</v>
      </c>
      <c r="G12" s="102">
        <v>86</v>
      </c>
      <c r="H12" s="102">
        <v>481.3</v>
      </c>
      <c r="I12" s="102">
        <v>118.5</v>
      </c>
      <c r="J12" s="102">
        <v>57.8</v>
      </c>
      <c r="K12" s="102">
        <v>7.3</v>
      </c>
      <c r="L12" s="102">
        <v>20.3</v>
      </c>
      <c r="M12" s="102">
        <v>68.3</v>
      </c>
      <c r="N12" s="102">
        <f t="shared" si="1"/>
        <v>285.3</v>
      </c>
      <c r="O12" s="102">
        <f t="shared" si="2"/>
        <v>887.3</v>
      </c>
      <c r="P12" s="102">
        <f t="shared" si="3"/>
        <v>95.9</v>
      </c>
      <c r="Q12" s="102">
        <f t="shared" si="4"/>
        <v>1268.4999999999998</v>
      </c>
    </row>
    <row r="13" spans="1:33">
      <c r="A13" s="102">
        <v>1971</v>
      </c>
      <c r="B13" s="102">
        <v>15.6</v>
      </c>
      <c r="C13" s="102">
        <v>14.1</v>
      </c>
      <c r="D13" s="102">
        <v>10.3</v>
      </c>
      <c r="E13" s="102">
        <v>156.19999999999999</v>
      </c>
      <c r="F13" s="102">
        <v>135.6</v>
      </c>
      <c r="G13" s="102">
        <v>327.10000000000002</v>
      </c>
      <c r="H13" s="102">
        <v>144.5</v>
      </c>
      <c r="I13" s="102">
        <v>220.4</v>
      </c>
      <c r="J13" s="102">
        <v>22.4</v>
      </c>
      <c r="K13" s="102">
        <v>89.5</v>
      </c>
      <c r="L13" s="102">
        <v>20.6</v>
      </c>
      <c r="M13" s="102">
        <v>40</v>
      </c>
      <c r="N13" s="102">
        <f t="shared" si="1"/>
        <v>196.2</v>
      </c>
      <c r="O13" s="102">
        <f t="shared" si="2"/>
        <v>850</v>
      </c>
      <c r="P13" s="102">
        <f t="shared" si="3"/>
        <v>150.1</v>
      </c>
      <c r="Q13" s="102">
        <f t="shared" si="4"/>
        <v>1196.3</v>
      </c>
    </row>
    <row r="14" spans="1:33">
      <c r="A14" s="102">
        <v>1972</v>
      </c>
      <c r="B14" s="102">
        <v>14.4</v>
      </c>
      <c r="C14" s="102">
        <v>16.100000000000001</v>
      </c>
      <c r="D14" s="102">
        <v>118.3</v>
      </c>
      <c r="E14" s="102">
        <v>161.69999999999999</v>
      </c>
      <c r="F14" s="102">
        <v>210.9</v>
      </c>
      <c r="G14" s="102">
        <v>242.3</v>
      </c>
      <c r="H14" s="102">
        <v>3.7</v>
      </c>
      <c r="I14" s="102">
        <v>79.5</v>
      </c>
      <c r="J14" s="102">
        <v>180.8</v>
      </c>
      <c r="K14" s="102">
        <v>138</v>
      </c>
      <c r="L14" s="102">
        <v>89.3</v>
      </c>
      <c r="M14" s="102">
        <v>40.799999999999997</v>
      </c>
      <c r="N14" s="102">
        <f t="shared" si="1"/>
        <v>310.5</v>
      </c>
      <c r="O14" s="102">
        <f t="shared" si="2"/>
        <v>717.2</v>
      </c>
      <c r="P14" s="102">
        <f t="shared" si="3"/>
        <v>268.10000000000002</v>
      </c>
      <c r="Q14" s="102">
        <f t="shared" si="4"/>
        <v>1295.8</v>
      </c>
    </row>
    <row r="15" spans="1:33">
      <c r="A15" s="102">
        <v>1973</v>
      </c>
      <c r="B15" s="102">
        <v>29.1</v>
      </c>
      <c r="C15" s="102">
        <v>25.2</v>
      </c>
      <c r="D15" s="102">
        <v>67.3</v>
      </c>
      <c r="E15" s="102">
        <v>140.19999999999999</v>
      </c>
      <c r="F15" s="102">
        <v>191.6</v>
      </c>
      <c r="G15" s="102">
        <v>181</v>
      </c>
      <c r="H15" s="102">
        <v>189.7</v>
      </c>
      <c r="I15" s="102">
        <v>177.1</v>
      </c>
      <c r="J15" s="102">
        <v>110.4</v>
      </c>
      <c r="K15" s="102">
        <v>89.9</v>
      </c>
      <c r="L15" s="102">
        <v>28.9</v>
      </c>
      <c r="M15" s="102">
        <v>1.5</v>
      </c>
      <c r="N15" s="102">
        <f t="shared" si="1"/>
        <v>261.79999999999995</v>
      </c>
      <c r="O15" s="102">
        <f t="shared" si="2"/>
        <v>849.8</v>
      </c>
      <c r="P15" s="102">
        <f t="shared" si="3"/>
        <v>120.30000000000001</v>
      </c>
      <c r="Q15" s="102">
        <f t="shared" si="4"/>
        <v>1231.9000000000001</v>
      </c>
    </row>
    <row r="16" spans="1:33">
      <c r="A16" s="102">
        <v>1974</v>
      </c>
      <c r="B16" s="102">
        <v>36</v>
      </c>
      <c r="C16" s="102">
        <v>15.3</v>
      </c>
      <c r="D16" s="102">
        <v>34.6</v>
      </c>
      <c r="E16" s="102">
        <v>152.6</v>
      </c>
      <c r="F16" s="102">
        <v>65.599999999999994</v>
      </c>
      <c r="G16" s="102">
        <v>274.5</v>
      </c>
      <c r="H16" s="102">
        <v>232.3</v>
      </c>
      <c r="I16" s="102">
        <v>101.1</v>
      </c>
      <c r="J16" s="102">
        <v>47.8</v>
      </c>
      <c r="K16" s="102">
        <v>28</v>
      </c>
      <c r="L16" s="102">
        <v>12.7</v>
      </c>
      <c r="M16" s="102">
        <v>4.5999999999999996</v>
      </c>
      <c r="N16" s="102">
        <f t="shared" si="1"/>
        <v>238.5</v>
      </c>
      <c r="O16" s="102">
        <f t="shared" si="2"/>
        <v>721.30000000000007</v>
      </c>
      <c r="P16" s="102">
        <f t="shared" si="3"/>
        <v>45.300000000000004</v>
      </c>
      <c r="Q16" s="102">
        <f t="shared" si="4"/>
        <v>1005.1000000000001</v>
      </c>
    </row>
    <row r="17" spans="1:17">
      <c r="A17" s="102">
        <v>1975</v>
      </c>
      <c r="B17" s="102">
        <v>19.2</v>
      </c>
      <c r="C17" s="102">
        <v>36.200000000000003</v>
      </c>
      <c r="D17" s="102">
        <v>36.700000000000003</v>
      </c>
      <c r="E17" s="102">
        <v>80.900000000000006</v>
      </c>
      <c r="F17" s="102">
        <v>311.39999999999998</v>
      </c>
      <c r="G17" s="102">
        <v>246.6</v>
      </c>
      <c r="H17" s="102">
        <v>128.1</v>
      </c>
      <c r="I17" s="102">
        <v>103.5</v>
      </c>
      <c r="J17" s="102">
        <v>82.9</v>
      </c>
      <c r="K17" s="102">
        <v>23.5</v>
      </c>
      <c r="L17" s="102">
        <v>50.3</v>
      </c>
      <c r="M17" s="102">
        <v>1</v>
      </c>
      <c r="N17" s="102">
        <f t="shared" si="1"/>
        <v>173</v>
      </c>
      <c r="O17" s="102">
        <f t="shared" si="2"/>
        <v>872.5</v>
      </c>
      <c r="P17" s="102">
        <f t="shared" si="3"/>
        <v>74.8</v>
      </c>
      <c r="Q17" s="102">
        <f t="shared" si="4"/>
        <v>1120.3</v>
      </c>
    </row>
    <row r="18" spans="1:17">
      <c r="A18" s="102">
        <v>1976</v>
      </c>
      <c r="B18" s="102">
        <v>21.2</v>
      </c>
      <c r="C18" s="102">
        <v>15.1</v>
      </c>
      <c r="D18" s="102">
        <v>36.799999999999997</v>
      </c>
      <c r="E18" s="102">
        <v>78.3</v>
      </c>
      <c r="F18" s="102">
        <v>270.3</v>
      </c>
      <c r="G18" s="102">
        <v>352.8</v>
      </c>
      <c r="H18" s="102">
        <v>153.69999999999999</v>
      </c>
      <c r="I18" s="102">
        <v>93</v>
      </c>
      <c r="J18" s="102">
        <v>92.3</v>
      </c>
      <c r="K18" s="102">
        <v>163</v>
      </c>
      <c r="L18" s="102">
        <v>74.900000000000006</v>
      </c>
      <c r="M18" s="102">
        <v>7.9</v>
      </c>
      <c r="N18" s="102">
        <f t="shared" si="1"/>
        <v>151.39999999999998</v>
      </c>
      <c r="O18" s="102">
        <f t="shared" si="2"/>
        <v>962.09999999999991</v>
      </c>
      <c r="P18" s="102">
        <f t="shared" si="3"/>
        <v>245.8</v>
      </c>
      <c r="Q18" s="102">
        <f t="shared" si="4"/>
        <v>1359.3000000000002</v>
      </c>
    </row>
    <row r="19" spans="1:17">
      <c r="A19" s="102">
        <v>1977</v>
      </c>
      <c r="B19" s="102">
        <v>14.7</v>
      </c>
      <c r="C19" s="102">
        <v>10.8</v>
      </c>
      <c r="D19" s="102">
        <v>22.1</v>
      </c>
      <c r="E19" s="102">
        <v>77.900000000000006</v>
      </c>
      <c r="F19" s="102">
        <v>171.4</v>
      </c>
      <c r="G19" s="102">
        <v>370.2</v>
      </c>
      <c r="H19" s="102">
        <v>150.4</v>
      </c>
      <c r="I19" s="102">
        <v>133.5</v>
      </c>
      <c r="J19" s="102">
        <v>99.7</v>
      </c>
      <c r="K19" s="102">
        <v>224.5</v>
      </c>
      <c r="L19" s="102">
        <v>28</v>
      </c>
      <c r="M19" s="102">
        <v>3</v>
      </c>
      <c r="N19" s="102">
        <f t="shared" si="1"/>
        <v>125.5</v>
      </c>
      <c r="O19" s="102">
        <f t="shared" si="2"/>
        <v>925.2</v>
      </c>
      <c r="P19" s="102">
        <f t="shared" si="3"/>
        <v>255.5</v>
      </c>
      <c r="Q19" s="102">
        <f t="shared" si="4"/>
        <v>1306.1999999999998</v>
      </c>
    </row>
    <row r="20" spans="1:17">
      <c r="A20" s="102">
        <v>1978</v>
      </c>
      <c r="B20" s="102">
        <v>40.4</v>
      </c>
      <c r="C20" s="102">
        <v>2.2999999999999998</v>
      </c>
      <c r="D20" s="102">
        <v>42</v>
      </c>
      <c r="E20" s="102">
        <v>104.3</v>
      </c>
      <c r="F20" s="102">
        <v>299.10000000000002</v>
      </c>
      <c r="G20" s="102">
        <v>109.3</v>
      </c>
      <c r="H20" s="102">
        <v>95.7</v>
      </c>
      <c r="I20" s="102">
        <v>133.9</v>
      </c>
      <c r="J20" s="102">
        <v>85.1</v>
      </c>
      <c r="K20" s="102">
        <v>219.5</v>
      </c>
      <c r="L20" s="102">
        <v>164.4</v>
      </c>
      <c r="M20" s="102">
        <v>9.5</v>
      </c>
      <c r="N20" s="102">
        <f t="shared" si="1"/>
        <v>189</v>
      </c>
      <c r="O20" s="102">
        <f t="shared" si="2"/>
        <v>723.1</v>
      </c>
      <c r="P20" s="102">
        <f t="shared" si="3"/>
        <v>393.4</v>
      </c>
      <c r="Q20" s="102">
        <f t="shared" si="4"/>
        <v>1305.5</v>
      </c>
    </row>
    <row r="21" spans="1:17">
      <c r="A21" s="102">
        <v>1979</v>
      </c>
      <c r="B21" s="102">
        <v>15.6</v>
      </c>
      <c r="C21" s="102">
        <v>22.6</v>
      </c>
      <c r="D21" s="102">
        <v>14.9</v>
      </c>
      <c r="E21" s="102">
        <v>215.3</v>
      </c>
      <c r="F21" s="102">
        <v>144.19999999999999</v>
      </c>
      <c r="G21" s="102">
        <v>372</v>
      </c>
      <c r="H21" s="102">
        <v>345.5</v>
      </c>
      <c r="I21" s="102">
        <v>279.2</v>
      </c>
      <c r="J21" s="102">
        <v>97.8</v>
      </c>
      <c r="K21" s="102">
        <v>13.7</v>
      </c>
      <c r="L21" s="102">
        <v>1.4</v>
      </c>
      <c r="M21" s="102">
        <v>44.9</v>
      </c>
      <c r="N21" s="102">
        <f t="shared" si="1"/>
        <v>268.40000000000003</v>
      </c>
      <c r="O21" s="102">
        <f t="shared" si="2"/>
        <v>1238.7</v>
      </c>
      <c r="P21" s="102">
        <f t="shared" si="3"/>
        <v>60</v>
      </c>
      <c r="Q21" s="102">
        <f t="shared" si="4"/>
        <v>1567.1000000000001</v>
      </c>
    </row>
    <row r="22" spans="1:17">
      <c r="A22" s="102">
        <v>1980</v>
      </c>
      <c r="B22" s="102">
        <v>20.8</v>
      </c>
      <c r="C22" s="102">
        <v>29.6</v>
      </c>
      <c r="D22" s="102">
        <v>28.2</v>
      </c>
      <c r="E22" s="102">
        <v>142.6</v>
      </c>
      <c r="F22" s="102">
        <v>226.8</v>
      </c>
      <c r="G22" s="102">
        <v>81.5</v>
      </c>
      <c r="H22" s="102">
        <v>294.3</v>
      </c>
      <c r="I22" s="102">
        <v>175.6</v>
      </c>
      <c r="J22" s="102">
        <v>96.3</v>
      </c>
      <c r="K22" s="102">
        <v>147.19999999999999</v>
      </c>
      <c r="L22" s="102">
        <v>46.1</v>
      </c>
      <c r="M22" s="102">
        <v>45.3</v>
      </c>
      <c r="N22" s="102">
        <f t="shared" si="1"/>
        <v>221.2</v>
      </c>
      <c r="O22" s="102">
        <f t="shared" si="2"/>
        <v>874.5</v>
      </c>
      <c r="P22" s="102">
        <f t="shared" si="3"/>
        <v>238.59999999999997</v>
      </c>
      <c r="Q22" s="102">
        <f t="shared" si="4"/>
        <v>1334.3</v>
      </c>
    </row>
    <row r="23" spans="1:17">
      <c r="A23" s="102">
        <v>1981</v>
      </c>
      <c r="B23" s="102">
        <v>18.600000000000001</v>
      </c>
      <c r="C23" s="102">
        <v>14.8</v>
      </c>
      <c r="D23" s="102">
        <v>40.299999999999997</v>
      </c>
      <c r="E23" s="102">
        <v>102.5</v>
      </c>
      <c r="F23" s="102">
        <v>176.1</v>
      </c>
      <c r="G23" s="102">
        <v>135.6</v>
      </c>
      <c r="H23" s="102">
        <v>86.1</v>
      </c>
      <c r="I23" s="102">
        <v>64.099999999999994</v>
      </c>
      <c r="J23" s="102">
        <v>76.099999999999994</v>
      </c>
      <c r="K23" s="102">
        <v>68.8</v>
      </c>
      <c r="L23" s="102">
        <v>117.4</v>
      </c>
      <c r="M23" s="102">
        <v>0.2</v>
      </c>
      <c r="N23" s="102">
        <f t="shared" si="1"/>
        <v>176.2</v>
      </c>
      <c r="O23" s="102">
        <f t="shared" si="2"/>
        <v>538</v>
      </c>
      <c r="P23" s="102">
        <f t="shared" si="3"/>
        <v>186.39999999999998</v>
      </c>
      <c r="Q23" s="102">
        <f t="shared" si="4"/>
        <v>900.6</v>
      </c>
    </row>
    <row r="24" spans="1:17">
      <c r="A24" s="102">
        <v>1982</v>
      </c>
      <c r="B24" s="102">
        <v>21.5</v>
      </c>
      <c r="C24" s="102">
        <v>72.3</v>
      </c>
      <c r="D24" s="102">
        <v>23.6</v>
      </c>
      <c r="E24" s="102">
        <v>130.4</v>
      </c>
      <c r="F24" s="102">
        <v>107.3</v>
      </c>
      <c r="G24" s="102">
        <v>190.8</v>
      </c>
      <c r="H24" s="102">
        <v>115.5</v>
      </c>
      <c r="I24" s="102">
        <v>153.19999999999999</v>
      </c>
      <c r="J24" s="102">
        <v>190.3</v>
      </c>
      <c r="K24" s="102">
        <v>41.1</v>
      </c>
      <c r="L24" s="102">
        <v>94.9</v>
      </c>
      <c r="M24" s="102">
        <v>10.8</v>
      </c>
      <c r="N24" s="102">
        <f t="shared" si="1"/>
        <v>247.8</v>
      </c>
      <c r="O24" s="102">
        <f t="shared" si="2"/>
        <v>757.09999999999991</v>
      </c>
      <c r="P24" s="102">
        <f t="shared" si="3"/>
        <v>146.80000000000001</v>
      </c>
      <c r="Q24" s="102">
        <f t="shared" si="4"/>
        <v>1151.7</v>
      </c>
    </row>
    <row r="25" spans="1:17">
      <c r="A25" s="102">
        <v>1983</v>
      </c>
      <c r="B25" s="102">
        <v>59.2</v>
      </c>
      <c r="C25" s="102">
        <v>52.7</v>
      </c>
      <c r="D25" s="102">
        <v>35.200000000000003</v>
      </c>
      <c r="E25" s="102">
        <v>170.1</v>
      </c>
      <c r="F25" s="102">
        <v>179.7</v>
      </c>
      <c r="G25" s="102">
        <v>254.4</v>
      </c>
      <c r="H25" s="102">
        <v>115</v>
      </c>
      <c r="I25" s="102">
        <v>125.1</v>
      </c>
      <c r="J25" s="102">
        <v>36.9</v>
      </c>
      <c r="K25" s="102">
        <v>97.7</v>
      </c>
      <c r="L25" s="102">
        <v>64.400000000000006</v>
      </c>
      <c r="M25" s="102">
        <v>40.799999999999997</v>
      </c>
      <c r="N25" s="102">
        <f t="shared" si="1"/>
        <v>317.20000000000005</v>
      </c>
      <c r="O25" s="102">
        <f t="shared" si="2"/>
        <v>711.1</v>
      </c>
      <c r="P25" s="102">
        <f t="shared" si="3"/>
        <v>202.90000000000003</v>
      </c>
      <c r="Q25" s="102">
        <f t="shared" si="4"/>
        <v>1231.2000000000003</v>
      </c>
    </row>
    <row r="26" spans="1:17">
      <c r="A26" s="102">
        <v>1984</v>
      </c>
      <c r="B26" s="102">
        <v>18.399999999999999</v>
      </c>
      <c r="C26" s="102">
        <v>12.3</v>
      </c>
      <c r="D26" s="102">
        <v>24.7</v>
      </c>
      <c r="E26" s="102">
        <v>146.80000000000001</v>
      </c>
      <c r="F26" s="102">
        <v>284.60000000000002</v>
      </c>
      <c r="G26" s="102">
        <v>112.3</v>
      </c>
      <c r="H26" s="102">
        <v>153.1</v>
      </c>
      <c r="I26" s="102">
        <v>248.6</v>
      </c>
      <c r="J26" s="102">
        <v>74.5</v>
      </c>
      <c r="K26" s="102">
        <v>117.4</v>
      </c>
      <c r="L26" s="102">
        <v>19.7</v>
      </c>
      <c r="M26" s="102">
        <v>24.4</v>
      </c>
      <c r="N26" s="102">
        <f t="shared" si="1"/>
        <v>202.20000000000002</v>
      </c>
      <c r="O26" s="102">
        <f t="shared" si="2"/>
        <v>873.1</v>
      </c>
      <c r="P26" s="102">
        <f t="shared" si="3"/>
        <v>161.5</v>
      </c>
      <c r="Q26" s="102">
        <f t="shared" si="4"/>
        <v>1236.8000000000004</v>
      </c>
    </row>
    <row r="27" spans="1:17">
      <c r="A27" s="102">
        <v>1985</v>
      </c>
      <c r="B27" s="102">
        <v>10.4</v>
      </c>
      <c r="C27" s="102">
        <v>37.9</v>
      </c>
      <c r="D27" s="102">
        <v>46.9</v>
      </c>
      <c r="E27" s="102">
        <v>95.5</v>
      </c>
      <c r="F27" s="102">
        <v>271.7</v>
      </c>
      <c r="G27" s="102">
        <v>131.6</v>
      </c>
      <c r="H27" s="102">
        <v>151.4</v>
      </c>
      <c r="I27" s="102">
        <v>129.19999999999999</v>
      </c>
      <c r="J27" s="102">
        <v>65.3</v>
      </c>
      <c r="K27" s="102">
        <v>62.3</v>
      </c>
      <c r="L27" s="102">
        <v>47.8</v>
      </c>
      <c r="M27" s="102">
        <v>12.3</v>
      </c>
      <c r="N27" s="102">
        <f t="shared" si="1"/>
        <v>190.7</v>
      </c>
      <c r="O27" s="102">
        <f t="shared" si="2"/>
        <v>749.19999999999982</v>
      </c>
      <c r="P27" s="102">
        <f t="shared" si="3"/>
        <v>122.39999999999999</v>
      </c>
      <c r="Q27" s="102">
        <f t="shared" si="4"/>
        <v>1062.2999999999997</v>
      </c>
    </row>
    <row r="28" spans="1:17">
      <c r="A28" s="102">
        <v>1986</v>
      </c>
      <c r="B28" s="102">
        <v>7.3</v>
      </c>
      <c r="C28" s="102">
        <v>10.8</v>
      </c>
      <c r="D28" s="102">
        <v>51.4</v>
      </c>
      <c r="E28" s="102">
        <v>85.3</v>
      </c>
      <c r="F28" s="102">
        <v>91.3</v>
      </c>
      <c r="G28" s="102">
        <v>136.5</v>
      </c>
      <c r="H28" s="102">
        <v>245.3</v>
      </c>
      <c r="I28" s="102">
        <v>150.9</v>
      </c>
      <c r="J28" s="102">
        <v>69.099999999999994</v>
      </c>
      <c r="K28" s="102">
        <v>114.4</v>
      </c>
      <c r="L28" s="102">
        <v>17.3</v>
      </c>
      <c r="M28" s="102">
        <v>7.5</v>
      </c>
      <c r="N28" s="102">
        <f t="shared" si="1"/>
        <v>154.80000000000001</v>
      </c>
      <c r="O28" s="102">
        <f t="shared" si="2"/>
        <v>693.1</v>
      </c>
      <c r="P28" s="102">
        <f t="shared" si="3"/>
        <v>139.20000000000002</v>
      </c>
      <c r="Q28" s="102">
        <f t="shared" si="4"/>
        <v>987.1</v>
      </c>
    </row>
    <row r="29" spans="1:17">
      <c r="A29" s="102">
        <v>1987</v>
      </c>
      <c r="B29" s="102">
        <v>32.799999999999997</v>
      </c>
      <c r="C29" s="102">
        <v>13.5</v>
      </c>
      <c r="D29" s="102">
        <v>16.2</v>
      </c>
      <c r="E29" s="102">
        <v>34.9</v>
      </c>
      <c r="F29" s="102">
        <v>117.8</v>
      </c>
      <c r="G29" s="102">
        <v>305.60000000000002</v>
      </c>
      <c r="H29" s="102">
        <v>222.7</v>
      </c>
      <c r="I29" s="102">
        <v>131.1</v>
      </c>
      <c r="J29" s="102">
        <v>120.9</v>
      </c>
      <c r="K29" s="102">
        <v>60.7</v>
      </c>
      <c r="L29" s="102">
        <v>46.6</v>
      </c>
      <c r="M29" s="102">
        <v>1.7</v>
      </c>
      <c r="N29" s="102">
        <f t="shared" si="1"/>
        <v>97.4</v>
      </c>
      <c r="O29" s="102">
        <f t="shared" si="2"/>
        <v>898.1</v>
      </c>
      <c r="P29" s="102">
        <f t="shared" si="3"/>
        <v>109.00000000000001</v>
      </c>
      <c r="Q29" s="102">
        <f t="shared" si="4"/>
        <v>1104.5</v>
      </c>
    </row>
    <row r="30" spans="1:17">
      <c r="A30" s="102">
        <v>1988</v>
      </c>
      <c r="B30" s="102">
        <v>24.5</v>
      </c>
      <c r="C30" s="102">
        <v>53.4</v>
      </c>
      <c r="D30" s="102">
        <v>27.9</v>
      </c>
      <c r="E30" s="102">
        <v>83.4</v>
      </c>
      <c r="F30" s="102">
        <v>115.6</v>
      </c>
      <c r="G30" s="102">
        <v>246.1</v>
      </c>
      <c r="H30" s="102">
        <v>122.9</v>
      </c>
      <c r="I30" s="102">
        <v>341.3</v>
      </c>
      <c r="J30" s="102">
        <v>148</v>
      </c>
      <c r="K30" s="102">
        <v>74.3</v>
      </c>
      <c r="L30" s="102">
        <v>1.1000000000000001</v>
      </c>
      <c r="M30" s="102">
        <v>10.3</v>
      </c>
      <c r="N30" s="102">
        <f t="shared" si="1"/>
        <v>189.20000000000002</v>
      </c>
      <c r="O30" s="102">
        <f t="shared" si="2"/>
        <v>973.90000000000009</v>
      </c>
      <c r="P30" s="102">
        <f t="shared" si="3"/>
        <v>85.699999999999989</v>
      </c>
      <c r="Q30" s="102">
        <f t="shared" si="4"/>
        <v>1248.7999999999997</v>
      </c>
    </row>
    <row r="31" spans="1:17">
      <c r="A31" s="102">
        <v>1989</v>
      </c>
      <c r="B31" s="102">
        <v>25.7</v>
      </c>
      <c r="C31" s="102">
        <v>30.9</v>
      </c>
      <c r="D31" s="102">
        <v>58.1</v>
      </c>
      <c r="E31" s="102">
        <v>86.5</v>
      </c>
      <c r="F31" s="102">
        <v>103.1</v>
      </c>
      <c r="G31" s="102">
        <v>200.7</v>
      </c>
      <c r="H31" s="102">
        <v>85.5</v>
      </c>
      <c r="I31" s="102">
        <v>97.5</v>
      </c>
      <c r="J31" s="102">
        <v>45.1</v>
      </c>
      <c r="K31" s="102">
        <v>74.099999999999994</v>
      </c>
      <c r="L31" s="102">
        <v>16.100000000000001</v>
      </c>
      <c r="M31" s="102">
        <v>30.3</v>
      </c>
      <c r="N31" s="102">
        <f t="shared" si="1"/>
        <v>201.2</v>
      </c>
      <c r="O31" s="102">
        <f t="shared" si="2"/>
        <v>531.9</v>
      </c>
      <c r="P31" s="102">
        <f t="shared" si="3"/>
        <v>120.49999999999999</v>
      </c>
      <c r="Q31" s="102">
        <f t="shared" si="4"/>
        <v>853.6</v>
      </c>
    </row>
    <row r="32" spans="1:17">
      <c r="A32" s="102">
        <v>1990</v>
      </c>
      <c r="B32" s="102">
        <v>36.700000000000003</v>
      </c>
      <c r="C32" s="102">
        <v>28.2</v>
      </c>
      <c r="D32" s="102">
        <v>92.5</v>
      </c>
      <c r="E32" s="102">
        <v>68.099999999999994</v>
      </c>
      <c r="F32" s="102">
        <v>266</v>
      </c>
      <c r="G32" s="102">
        <v>316.3</v>
      </c>
      <c r="H32" s="102">
        <v>224.6</v>
      </c>
      <c r="I32" s="102">
        <v>65.400000000000006</v>
      </c>
      <c r="J32" s="102">
        <v>253</v>
      </c>
      <c r="K32" s="102">
        <v>40.6</v>
      </c>
      <c r="L32" s="102">
        <v>51.9</v>
      </c>
      <c r="M32" s="102">
        <v>12.1</v>
      </c>
      <c r="N32" s="102">
        <f t="shared" si="1"/>
        <v>225.5</v>
      </c>
      <c r="O32" s="102">
        <f t="shared" si="2"/>
        <v>1125.3</v>
      </c>
      <c r="P32" s="102">
        <f t="shared" si="3"/>
        <v>104.6</v>
      </c>
      <c r="Q32" s="102">
        <f t="shared" si="4"/>
        <v>1455.3999999999999</v>
      </c>
    </row>
    <row r="33" spans="1:17">
      <c r="A33" s="102">
        <v>1991</v>
      </c>
      <c r="B33" s="102">
        <v>66.5</v>
      </c>
      <c r="C33" s="102">
        <v>11.9</v>
      </c>
      <c r="D33" s="102">
        <v>55.4</v>
      </c>
      <c r="E33" s="102">
        <v>52.8</v>
      </c>
      <c r="F33" s="102">
        <v>178.2</v>
      </c>
      <c r="G33" s="102">
        <v>176.8</v>
      </c>
      <c r="H33" s="102">
        <v>134.19999999999999</v>
      </c>
      <c r="I33" s="102">
        <v>92.9</v>
      </c>
      <c r="J33" s="102">
        <v>76</v>
      </c>
      <c r="K33" s="102">
        <v>60.7</v>
      </c>
      <c r="L33" s="102">
        <v>62.2</v>
      </c>
      <c r="M33" s="102">
        <v>29.2</v>
      </c>
      <c r="N33" s="102">
        <f t="shared" si="1"/>
        <v>186.60000000000002</v>
      </c>
      <c r="O33" s="102">
        <f t="shared" si="2"/>
        <v>658.1</v>
      </c>
      <c r="P33" s="102">
        <f t="shared" si="3"/>
        <v>152.1</v>
      </c>
      <c r="Q33" s="102">
        <f t="shared" si="4"/>
        <v>996.80000000000007</v>
      </c>
    </row>
    <row r="34" spans="1:17">
      <c r="A34" s="102">
        <v>1992</v>
      </c>
      <c r="B34" s="102">
        <v>52.6</v>
      </c>
      <c r="C34" s="102">
        <v>55.7</v>
      </c>
      <c r="D34" s="102">
        <v>48.9</v>
      </c>
      <c r="E34" s="102">
        <v>119.6</v>
      </c>
      <c r="F34" s="102">
        <v>265.2</v>
      </c>
      <c r="G34" s="102">
        <v>147.30000000000001</v>
      </c>
      <c r="H34" s="102">
        <v>185.7</v>
      </c>
      <c r="I34" s="102">
        <v>5.3</v>
      </c>
      <c r="J34" s="102">
        <v>56.8</v>
      </c>
      <c r="K34" s="102">
        <v>37.9</v>
      </c>
      <c r="L34" s="102">
        <v>4.2</v>
      </c>
      <c r="M34" s="102">
        <v>45.6</v>
      </c>
      <c r="N34" s="102">
        <f t="shared" si="1"/>
        <v>276.8</v>
      </c>
      <c r="O34" s="102">
        <f t="shared" si="2"/>
        <v>660.3</v>
      </c>
      <c r="P34" s="102">
        <f t="shared" si="3"/>
        <v>87.7</v>
      </c>
      <c r="Q34" s="102">
        <f t="shared" si="4"/>
        <v>1024.8</v>
      </c>
    </row>
    <row r="35" spans="1:17">
      <c r="A35" s="102">
        <v>1993</v>
      </c>
      <c r="B35" s="102">
        <v>27.8</v>
      </c>
      <c r="C35" s="102">
        <v>65.099999999999994</v>
      </c>
      <c r="D35" s="102">
        <v>5.8</v>
      </c>
      <c r="E35" s="102">
        <v>171.9</v>
      </c>
      <c r="F35" s="102">
        <v>199.7</v>
      </c>
      <c r="G35" s="102">
        <v>211.8</v>
      </c>
      <c r="H35" s="102">
        <v>362.3</v>
      </c>
      <c r="I35" s="102">
        <v>105.1</v>
      </c>
      <c r="J35" s="102">
        <v>129.4</v>
      </c>
      <c r="K35" s="102">
        <v>15.3</v>
      </c>
      <c r="L35" s="102">
        <v>26.4</v>
      </c>
      <c r="M35" s="102">
        <v>16.2</v>
      </c>
      <c r="N35" s="102">
        <f t="shared" si="1"/>
        <v>270.60000000000002</v>
      </c>
      <c r="O35" s="102">
        <f t="shared" si="2"/>
        <v>1008.3</v>
      </c>
      <c r="P35" s="102">
        <f t="shared" si="3"/>
        <v>57.900000000000006</v>
      </c>
      <c r="Q35" s="102">
        <f t="shared" si="4"/>
        <v>1336.8000000000002</v>
      </c>
    </row>
    <row r="36" spans="1:17">
      <c r="A36" s="102">
        <v>1994</v>
      </c>
      <c r="B36" s="102">
        <v>12</v>
      </c>
      <c r="C36" s="102">
        <v>37.1</v>
      </c>
      <c r="D36" s="102">
        <v>51.7</v>
      </c>
      <c r="E36" s="102">
        <v>84</v>
      </c>
      <c r="F36" s="102">
        <v>245.6</v>
      </c>
      <c r="G36" s="102">
        <v>134.19999999999999</v>
      </c>
      <c r="H36" s="102">
        <v>177.8</v>
      </c>
      <c r="I36" s="102">
        <v>108.5</v>
      </c>
      <c r="J36" s="102">
        <v>133.69999999999999</v>
      </c>
      <c r="K36" s="102">
        <v>146.9</v>
      </c>
      <c r="L36" s="102">
        <v>61</v>
      </c>
      <c r="M36" s="102">
        <v>38.299999999999997</v>
      </c>
      <c r="N36" s="102">
        <f t="shared" si="1"/>
        <v>184.8</v>
      </c>
      <c r="O36" s="102">
        <f t="shared" si="2"/>
        <v>799.8</v>
      </c>
      <c r="P36" s="102">
        <f t="shared" si="3"/>
        <v>246.2</v>
      </c>
      <c r="Q36" s="102">
        <f t="shared" si="4"/>
        <v>1230.8</v>
      </c>
    </row>
    <row r="37" spans="1:17">
      <c r="A37" s="102">
        <v>1995</v>
      </c>
      <c r="B37" s="102">
        <v>21.7</v>
      </c>
      <c r="C37" s="102">
        <v>77.8</v>
      </c>
      <c r="D37" s="102">
        <v>17.899999999999999</v>
      </c>
      <c r="E37" s="102">
        <v>102.5</v>
      </c>
      <c r="F37" s="102">
        <v>205.5</v>
      </c>
      <c r="G37" s="102">
        <v>204.4</v>
      </c>
      <c r="H37" s="102">
        <v>82.7</v>
      </c>
      <c r="I37" s="102">
        <v>118.5</v>
      </c>
      <c r="J37" s="102">
        <v>131.69999999999999</v>
      </c>
      <c r="K37" s="102">
        <v>18.899999999999999</v>
      </c>
      <c r="L37" s="102">
        <v>52.1</v>
      </c>
      <c r="M37" s="102">
        <v>0.4</v>
      </c>
      <c r="N37" s="102">
        <f t="shared" si="1"/>
        <v>219.9</v>
      </c>
      <c r="O37" s="102">
        <f t="shared" si="2"/>
        <v>742.8</v>
      </c>
      <c r="P37" s="102">
        <f t="shared" si="3"/>
        <v>71.400000000000006</v>
      </c>
      <c r="Q37" s="102">
        <f t="shared" si="4"/>
        <v>1034.1000000000001</v>
      </c>
    </row>
    <row r="38" spans="1:17">
      <c r="A38" s="102">
        <v>1996</v>
      </c>
      <c r="B38" s="102">
        <v>13.6</v>
      </c>
      <c r="C38" s="102">
        <v>1.6</v>
      </c>
      <c r="D38" s="102">
        <v>109.3</v>
      </c>
      <c r="E38" s="102">
        <v>61</v>
      </c>
      <c r="F38" s="102">
        <v>169.3</v>
      </c>
      <c r="G38" s="102">
        <v>229.6</v>
      </c>
      <c r="H38" s="102">
        <v>234.3</v>
      </c>
      <c r="I38" s="102">
        <v>109</v>
      </c>
      <c r="J38" s="102">
        <v>4.3</v>
      </c>
      <c r="K38" s="102">
        <v>23.1</v>
      </c>
      <c r="L38" s="102">
        <v>76.599999999999994</v>
      </c>
      <c r="M38" s="102">
        <v>12.1</v>
      </c>
      <c r="N38" s="102">
        <f t="shared" si="1"/>
        <v>185.5</v>
      </c>
      <c r="O38" s="102">
        <f t="shared" si="2"/>
        <v>746.5</v>
      </c>
      <c r="P38" s="102">
        <f t="shared" si="3"/>
        <v>111.79999999999998</v>
      </c>
      <c r="Q38" s="102">
        <f t="shared" si="4"/>
        <v>1043.8</v>
      </c>
    </row>
    <row r="39" spans="1:17">
      <c r="A39" s="102">
        <v>1997</v>
      </c>
      <c r="B39" s="102">
        <v>37</v>
      </c>
      <c r="C39" s="102">
        <v>47.6</v>
      </c>
      <c r="D39" s="102">
        <v>56.5</v>
      </c>
      <c r="E39" s="102">
        <v>101</v>
      </c>
      <c r="F39" s="102">
        <v>132.4</v>
      </c>
      <c r="G39" s="102">
        <v>240.8</v>
      </c>
      <c r="H39" s="102">
        <v>293.10000000000002</v>
      </c>
      <c r="I39" s="102">
        <v>50.7</v>
      </c>
      <c r="J39" s="102">
        <v>134</v>
      </c>
      <c r="K39" s="102">
        <v>209.5</v>
      </c>
      <c r="L39" s="102">
        <v>19.3</v>
      </c>
      <c r="M39" s="102">
        <v>63.3</v>
      </c>
      <c r="N39" s="102">
        <f t="shared" si="1"/>
        <v>242.1</v>
      </c>
      <c r="O39" s="102">
        <f t="shared" si="2"/>
        <v>851.00000000000011</v>
      </c>
      <c r="P39" s="102">
        <f t="shared" si="3"/>
        <v>292.10000000000002</v>
      </c>
      <c r="Q39" s="102">
        <f t="shared" si="4"/>
        <v>1385.1999999999998</v>
      </c>
    </row>
    <row r="40" spans="1:17">
      <c r="A40" s="102">
        <v>1998</v>
      </c>
      <c r="B40" s="102">
        <v>48.1</v>
      </c>
      <c r="C40" s="102">
        <v>52.2</v>
      </c>
      <c r="D40" s="102">
        <v>32.700000000000003</v>
      </c>
      <c r="E40" s="102">
        <v>74.400000000000006</v>
      </c>
      <c r="F40" s="102">
        <v>156.6</v>
      </c>
      <c r="G40" s="102">
        <v>197.4</v>
      </c>
      <c r="H40" s="102">
        <v>240.9</v>
      </c>
      <c r="I40" s="102">
        <v>52.6</v>
      </c>
      <c r="J40" s="102">
        <v>57.7</v>
      </c>
      <c r="K40" s="102">
        <v>66.400000000000006</v>
      </c>
      <c r="L40" s="102">
        <v>8</v>
      </c>
      <c r="M40" s="102">
        <v>17.2</v>
      </c>
      <c r="N40" s="102">
        <f t="shared" si="1"/>
        <v>207.4</v>
      </c>
      <c r="O40" s="102">
        <f t="shared" si="2"/>
        <v>705.2</v>
      </c>
      <c r="P40" s="102">
        <f t="shared" si="3"/>
        <v>91.600000000000009</v>
      </c>
      <c r="Q40" s="102">
        <f t="shared" si="4"/>
        <v>1004.2</v>
      </c>
    </row>
    <row r="41" spans="1:17">
      <c r="A41" s="102">
        <v>1999</v>
      </c>
      <c r="B41" s="102">
        <v>15.7</v>
      </c>
      <c r="C41" s="102">
        <v>4.3</v>
      </c>
      <c r="D41" s="102">
        <v>25</v>
      </c>
      <c r="E41" s="102">
        <v>65.3</v>
      </c>
      <c r="F41" s="102">
        <v>145.9</v>
      </c>
      <c r="G41" s="102">
        <v>153.5</v>
      </c>
      <c r="H41" s="102">
        <v>369.4</v>
      </c>
      <c r="I41" s="102">
        <v>189.7</v>
      </c>
      <c r="J41" s="102">
        <v>54</v>
      </c>
      <c r="K41" s="102">
        <v>65.7</v>
      </c>
      <c r="L41" s="102">
        <v>34.4</v>
      </c>
      <c r="M41" s="102">
        <v>2.4</v>
      </c>
      <c r="N41" s="102">
        <f t="shared" si="1"/>
        <v>110.3</v>
      </c>
      <c r="O41" s="102">
        <f t="shared" si="2"/>
        <v>912.5</v>
      </c>
      <c r="P41" s="102">
        <f t="shared" si="3"/>
        <v>102.5</v>
      </c>
      <c r="Q41" s="102">
        <f t="shared" si="4"/>
        <v>1125.3000000000002</v>
      </c>
    </row>
    <row r="42" spans="1:17">
      <c r="A42" s="102">
        <v>2000</v>
      </c>
      <c r="B42" s="102">
        <v>10.5</v>
      </c>
      <c r="C42" s="102">
        <v>18.600000000000001</v>
      </c>
      <c r="D42" s="102">
        <v>82.4</v>
      </c>
      <c r="E42" s="102">
        <v>127.3</v>
      </c>
      <c r="F42" s="102">
        <v>154.5</v>
      </c>
      <c r="G42" s="102">
        <v>421.6</v>
      </c>
      <c r="H42" s="102">
        <v>88.2</v>
      </c>
      <c r="I42" s="102">
        <v>106</v>
      </c>
      <c r="J42" s="102">
        <v>162.6</v>
      </c>
      <c r="K42" s="102">
        <v>98.1</v>
      </c>
      <c r="L42" s="102">
        <v>32.9</v>
      </c>
      <c r="M42" s="102">
        <v>20.6</v>
      </c>
      <c r="N42" s="102">
        <f t="shared" si="1"/>
        <v>238.8</v>
      </c>
      <c r="O42" s="102">
        <f t="shared" si="2"/>
        <v>932.90000000000009</v>
      </c>
      <c r="P42" s="102">
        <f t="shared" si="3"/>
        <v>151.6</v>
      </c>
      <c r="Q42" s="102">
        <f t="shared" si="4"/>
        <v>1323.3</v>
      </c>
    </row>
    <row r="43" spans="1:17">
      <c r="A43" s="102">
        <v>2001</v>
      </c>
      <c r="B43" s="102">
        <v>9.9</v>
      </c>
      <c r="C43" s="102">
        <v>28.5</v>
      </c>
      <c r="D43" s="102">
        <v>44</v>
      </c>
      <c r="E43" s="102">
        <v>95.1</v>
      </c>
      <c r="F43" s="102">
        <v>131.4</v>
      </c>
      <c r="G43" s="102">
        <v>201.6</v>
      </c>
      <c r="H43" s="102">
        <v>178</v>
      </c>
      <c r="I43" s="102">
        <v>27.2</v>
      </c>
      <c r="J43" s="102">
        <v>59.8</v>
      </c>
      <c r="K43" s="102">
        <v>124.6</v>
      </c>
      <c r="L43" s="102">
        <v>54.6</v>
      </c>
      <c r="M43" s="102">
        <v>11.7</v>
      </c>
      <c r="N43" s="102">
        <f t="shared" si="1"/>
        <v>177.5</v>
      </c>
      <c r="O43" s="102">
        <f t="shared" si="2"/>
        <v>598</v>
      </c>
      <c r="P43" s="102">
        <f t="shared" si="3"/>
        <v>190.89999999999998</v>
      </c>
      <c r="Q43" s="102">
        <f t="shared" si="4"/>
        <v>966.40000000000009</v>
      </c>
    </row>
    <row r="44" spans="1:17">
      <c r="A44" s="102">
        <v>2002</v>
      </c>
      <c r="B44" s="102">
        <v>11.8</v>
      </c>
      <c r="C44" s="102">
        <v>51.4</v>
      </c>
      <c r="D44" s="102">
        <v>57.4</v>
      </c>
      <c r="E44" s="102">
        <v>91.3</v>
      </c>
      <c r="F44" s="102">
        <v>284.2</v>
      </c>
      <c r="G44" s="102">
        <v>135.30000000000001</v>
      </c>
      <c r="H44" s="102">
        <v>198.8</v>
      </c>
      <c r="I44" s="102">
        <v>200.3</v>
      </c>
      <c r="J44" s="102">
        <v>20.7</v>
      </c>
      <c r="K44" s="102">
        <v>90.3</v>
      </c>
      <c r="L44" s="102">
        <v>4.2</v>
      </c>
      <c r="M44" s="102">
        <v>30.6</v>
      </c>
      <c r="N44" s="102">
        <f t="shared" si="1"/>
        <v>211.89999999999998</v>
      </c>
      <c r="O44" s="102">
        <f t="shared" si="2"/>
        <v>839.3</v>
      </c>
      <c r="P44" s="102">
        <f t="shared" si="3"/>
        <v>125.1</v>
      </c>
      <c r="Q44" s="102">
        <f t="shared" si="4"/>
        <v>1176.3</v>
      </c>
    </row>
    <row r="45" spans="1:17">
      <c r="A45" s="102">
        <v>2003</v>
      </c>
      <c r="B45" s="102">
        <v>31.4</v>
      </c>
      <c r="C45" s="102">
        <v>4.2</v>
      </c>
      <c r="D45" s="102">
        <v>32.9</v>
      </c>
      <c r="E45" s="102">
        <v>135.30000000000001</v>
      </c>
      <c r="F45" s="102">
        <v>192.5</v>
      </c>
      <c r="G45" s="102">
        <v>207.2</v>
      </c>
      <c r="H45" s="102">
        <v>92.7</v>
      </c>
      <c r="I45" s="102">
        <v>71.099999999999994</v>
      </c>
      <c r="J45" s="102">
        <v>34.9</v>
      </c>
      <c r="K45" s="102">
        <v>80.099999999999994</v>
      </c>
      <c r="L45" s="102">
        <v>25.5</v>
      </c>
      <c r="M45" s="102">
        <v>23.6</v>
      </c>
      <c r="N45" s="102">
        <f t="shared" si="1"/>
        <v>203.8</v>
      </c>
      <c r="O45" s="102">
        <f t="shared" si="2"/>
        <v>598.4</v>
      </c>
      <c r="P45" s="102">
        <f t="shared" si="3"/>
        <v>129.19999999999999</v>
      </c>
      <c r="Q45" s="102">
        <f t="shared" si="4"/>
        <v>931.40000000000009</v>
      </c>
    </row>
    <row r="46" spans="1:17">
      <c r="A46" s="102">
        <v>2004</v>
      </c>
      <c r="B46" s="103">
        <v>33.799999999999997</v>
      </c>
      <c r="C46" s="103">
        <v>42.3</v>
      </c>
      <c r="D46" s="103">
        <v>25.5</v>
      </c>
      <c r="E46" s="103">
        <v>149</v>
      </c>
      <c r="F46" s="103">
        <v>178.5</v>
      </c>
      <c r="G46" s="103">
        <v>170.5</v>
      </c>
      <c r="H46" s="103">
        <v>291.2</v>
      </c>
      <c r="I46" s="103">
        <v>138.80000000000001</v>
      </c>
      <c r="J46" s="103">
        <v>24.5</v>
      </c>
      <c r="K46" s="103">
        <v>11.1</v>
      </c>
      <c r="L46" s="103">
        <v>56.5</v>
      </c>
      <c r="M46" s="103">
        <v>12.8</v>
      </c>
      <c r="N46" s="102">
        <f t="shared" si="1"/>
        <v>250.6</v>
      </c>
      <c r="O46" s="102">
        <f t="shared" si="2"/>
        <v>803.5</v>
      </c>
      <c r="P46" s="102">
        <f t="shared" si="3"/>
        <v>80.399999999999991</v>
      </c>
      <c r="Q46" s="102">
        <f t="shared" si="4"/>
        <v>1134.4999999999998</v>
      </c>
    </row>
    <row r="47" spans="1:17">
      <c r="A47" s="102">
        <v>2005</v>
      </c>
      <c r="B47" s="103">
        <v>31.4</v>
      </c>
      <c r="C47" s="103">
        <v>11</v>
      </c>
      <c r="D47" s="103">
        <v>52.8</v>
      </c>
      <c r="E47" s="103">
        <v>75.900000000000006</v>
      </c>
      <c r="F47" s="103">
        <v>213.1</v>
      </c>
      <c r="G47" s="103">
        <v>181.1</v>
      </c>
      <c r="H47" s="103">
        <v>56.9</v>
      </c>
      <c r="I47" s="103">
        <v>105.1</v>
      </c>
      <c r="J47" s="103">
        <v>16.8</v>
      </c>
      <c r="K47" s="102">
        <v>25.1</v>
      </c>
      <c r="L47" s="102">
        <v>24.6</v>
      </c>
      <c r="M47" s="102">
        <v>27</v>
      </c>
      <c r="N47" s="102">
        <f t="shared" si="1"/>
        <v>171.1</v>
      </c>
      <c r="O47" s="102">
        <f t="shared" si="2"/>
        <v>572.99999999999989</v>
      </c>
      <c r="P47" s="102">
        <f t="shared" si="3"/>
        <v>76.7</v>
      </c>
      <c r="Q47" s="102">
        <f t="shared" si="4"/>
        <v>820.8</v>
      </c>
    </row>
    <row r="48" spans="1:17">
      <c r="A48" s="102">
        <v>2006</v>
      </c>
      <c r="B48" s="102">
        <v>11.9</v>
      </c>
      <c r="C48" s="102">
        <v>39.6</v>
      </c>
      <c r="D48" s="102">
        <v>47.2</v>
      </c>
      <c r="E48" s="102">
        <v>95.3</v>
      </c>
      <c r="F48" s="102">
        <v>131.5</v>
      </c>
      <c r="G48" s="102">
        <v>388.6</v>
      </c>
      <c r="H48" s="102">
        <v>165.3</v>
      </c>
      <c r="I48" s="102">
        <v>112.8</v>
      </c>
      <c r="J48" s="102">
        <v>86.7</v>
      </c>
      <c r="K48" s="102">
        <v>106.9</v>
      </c>
      <c r="L48" s="102">
        <v>36</v>
      </c>
      <c r="M48" s="102">
        <v>9.3000000000000007</v>
      </c>
      <c r="N48" s="102">
        <f t="shared" si="1"/>
        <v>194</v>
      </c>
      <c r="O48" s="102">
        <f t="shared" si="2"/>
        <v>884.90000000000009</v>
      </c>
      <c r="P48" s="102">
        <f t="shared" si="3"/>
        <v>152.20000000000002</v>
      </c>
      <c r="Q48" s="102">
        <f t="shared" si="4"/>
        <v>1231.1000000000001</v>
      </c>
    </row>
    <row r="49" spans="1:33">
      <c r="A49" s="102">
        <v>2007</v>
      </c>
      <c r="B49" s="102">
        <v>26.5</v>
      </c>
      <c r="C49" s="102">
        <v>22.5</v>
      </c>
      <c r="D49" s="102">
        <v>70.2</v>
      </c>
      <c r="E49" s="102">
        <v>92.5</v>
      </c>
      <c r="F49" s="102">
        <v>65.400000000000006</v>
      </c>
      <c r="G49" s="102">
        <v>223.5</v>
      </c>
      <c r="H49" s="102">
        <v>349.1</v>
      </c>
      <c r="I49" s="102">
        <v>73</v>
      </c>
      <c r="J49" s="102">
        <v>61.3</v>
      </c>
      <c r="K49" s="102">
        <v>3.4</v>
      </c>
      <c r="L49" s="102">
        <v>2.5</v>
      </c>
      <c r="M49" s="102">
        <v>19.2</v>
      </c>
      <c r="N49" s="102">
        <f t="shared" si="1"/>
        <v>211.7</v>
      </c>
      <c r="O49" s="102">
        <f t="shared" si="2"/>
        <v>772.3</v>
      </c>
      <c r="P49" s="102">
        <f t="shared" si="3"/>
        <v>25.1</v>
      </c>
      <c r="Q49" s="102">
        <f t="shared" si="4"/>
        <v>1009.1</v>
      </c>
    </row>
    <row r="50" spans="1:33">
      <c r="A50" s="102">
        <v>2008</v>
      </c>
      <c r="B50" s="102">
        <v>15.8</v>
      </c>
      <c r="C50" s="102">
        <v>20.6</v>
      </c>
      <c r="D50" s="102">
        <v>88.3</v>
      </c>
      <c r="E50" s="102">
        <v>84.2</v>
      </c>
      <c r="F50" s="102">
        <v>356.1</v>
      </c>
      <c r="G50" s="102">
        <v>108.3</v>
      </c>
      <c r="H50" s="102">
        <v>238.4</v>
      </c>
      <c r="I50" s="102">
        <v>224.1</v>
      </c>
      <c r="J50" s="102">
        <v>123.2</v>
      </c>
      <c r="K50" s="102">
        <v>102.5</v>
      </c>
      <c r="L50" s="102">
        <v>115.2</v>
      </c>
      <c r="M50" s="102">
        <v>9.9</v>
      </c>
      <c r="N50" s="102">
        <f t="shared" si="1"/>
        <v>208.9</v>
      </c>
      <c r="O50" s="102">
        <f t="shared" si="2"/>
        <v>1050.1000000000001</v>
      </c>
      <c r="P50" s="102">
        <f t="shared" si="3"/>
        <v>227.6</v>
      </c>
      <c r="Q50" s="102">
        <f t="shared" si="4"/>
        <v>1486.6000000000001</v>
      </c>
    </row>
    <row r="51" spans="1:33">
      <c r="A51" s="102">
        <v>2009</v>
      </c>
      <c r="B51" s="102">
        <v>5.2</v>
      </c>
      <c r="C51" s="102">
        <v>5.9</v>
      </c>
      <c r="D51" s="102">
        <v>114.6</v>
      </c>
      <c r="E51" s="102">
        <v>91.7</v>
      </c>
      <c r="F51" s="102">
        <v>279.39999999999998</v>
      </c>
      <c r="G51" s="102">
        <v>160</v>
      </c>
      <c r="H51" s="102">
        <v>121.2</v>
      </c>
      <c r="I51" s="102">
        <v>54.4</v>
      </c>
      <c r="J51" s="102">
        <v>30.2</v>
      </c>
      <c r="K51" s="102">
        <v>34.200000000000003</v>
      </c>
      <c r="L51" s="102">
        <v>5.6</v>
      </c>
      <c r="M51" s="102">
        <v>6.9</v>
      </c>
      <c r="N51" s="102">
        <f t="shared" si="1"/>
        <v>217.39999999999998</v>
      </c>
      <c r="O51" s="102">
        <f t="shared" si="2"/>
        <v>645.20000000000005</v>
      </c>
      <c r="P51" s="102">
        <f t="shared" si="3"/>
        <v>46.7</v>
      </c>
      <c r="Q51" s="102">
        <f t="shared" si="4"/>
        <v>909.30000000000007</v>
      </c>
    </row>
    <row r="52" spans="1:33">
      <c r="A52" s="102">
        <v>2010</v>
      </c>
      <c r="B52" s="102">
        <v>6.2</v>
      </c>
      <c r="C52" s="102">
        <v>3.8</v>
      </c>
      <c r="D52" s="102">
        <v>3.9</v>
      </c>
      <c r="E52" s="102">
        <v>57.5</v>
      </c>
      <c r="F52" s="102">
        <v>224.8</v>
      </c>
      <c r="G52" s="102">
        <v>310.60000000000002</v>
      </c>
      <c r="H52" s="102">
        <v>249.7</v>
      </c>
      <c r="I52" s="102">
        <v>103.7</v>
      </c>
      <c r="J52" s="102">
        <v>222.5</v>
      </c>
      <c r="K52" s="102">
        <v>94.2</v>
      </c>
      <c r="L52" s="102">
        <v>49.8</v>
      </c>
      <c r="M52" s="102">
        <v>49.8</v>
      </c>
      <c r="N52" s="102">
        <f t="shared" si="1"/>
        <v>71.400000000000006</v>
      </c>
      <c r="O52" s="102">
        <f t="shared" si="2"/>
        <v>1111.3000000000002</v>
      </c>
      <c r="P52" s="102">
        <f t="shared" si="3"/>
        <v>193.8</v>
      </c>
      <c r="Q52" s="102">
        <f t="shared" si="4"/>
        <v>1376.5</v>
      </c>
    </row>
    <row r="53" spans="1:33">
      <c r="A53" s="102">
        <v>2011</v>
      </c>
      <c r="B53" s="102">
        <v>12.6</v>
      </c>
      <c r="C53" s="102">
        <v>5.8</v>
      </c>
      <c r="D53" s="102">
        <v>17.8</v>
      </c>
      <c r="E53" s="102">
        <v>58.5</v>
      </c>
      <c r="F53" s="102">
        <v>197.7</v>
      </c>
      <c r="G53" s="102">
        <v>237.5</v>
      </c>
      <c r="H53" s="102">
        <v>30.7</v>
      </c>
      <c r="I53" s="102">
        <v>34.700000000000003</v>
      </c>
      <c r="J53" s="102">
        <v>118.3</v>
      </c>
      <c r="K53" s="102">
        <v>134.30000000000001</v>
      </c>
      <c r="L53" s="102">
        <v>30.6</v>
      </c>
      <c r="M53" s="102">
        <v>5.3</v>
      </c>
      <c r="N53" s="102">
        <f t="shared" si="1"/>
        <v>94.7</v>
      </c>
      <c r="O53" s="102">
        <f t="shared" si="2"/>
        <v>618.9</v>
      </c>
      <c r="P53" s="102">
        <f t="shared" si="3"/>
        <v>170.20000000000002</v>
      </c>
      <c r="Q53" s="102">
        <f t="shared" si="4"/>
        <v>883.80000000000007</v>
      </c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  <c r="AD53" s="104"/>
      <c r="AE53" s="104"/>
      <c r="AF53" s="104"/>
      <c r="AG53" s="104"/>
    </row>
    <row r="54" spans="1:33">
      <c r="A54" s="102">
        <v>2012</v>
      </c>
      <c r="B54" s="102">
        <v>37.9</v>
      </c>
      <c r="C54" s="102">
        <v>25.9</v>
      </c>
      <c r="D54" s="102">
        <v>42.1</v>
      </c>
      <c r="E54" s="102">
        <v>78.3</v>
      </c>
      <c r="F54" s="102">
        <v>272.60000000000002</v>
      </c>
      <c r="G54" s="102">
        <v>122</v>
      </c>
      <c r="H54" s="102">
        <v>224.2</v>
      </c>
      <c r="I54" s="102">
        <v>47.1</v>
      </c>
      <c r="J54" s="102">
        <v>35</v>
      </c>
      <c r="K54" s="102">
        <v>67.400000000000006</v>
      </c>
      <c r="L54" s="102">
        <v>55.4</v>
      </c>
      <c r="M54" s="102">
        <v>12</v>
      </c>
      <c r="N54" s="102">
        <f t="shared" si="1"/>
        <v>184.2</v>
      </c>
      <c r="O54" s="102">
        <f t="shared" si="2"/>
        <v>700.9</v>
      </c>
      <c r="P54" s="102">
        <f t="shared" si="3"/>
        <v>134.80000000000001</v>
      </c>
      <c r="Q54" s="102">
        <f t="shared" si="4"/>
        <v>1019.9</v>
      </c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</row>
    <row r="55" spans="1:33">
      <c r="A55" s="102">
        <v>2013</v>
      </c>
      <c r="B55" s="102">
        <v>2.8</v>
      </c>
      <c r="C55" s="102">
        <v>9.5</v>
      </c>
      <c r="D55" s="102">
        <v>92.6</v>
      </c>
      <c r="E55" s="102">
        <v>81.900000000000006</v>
      </c>
      <c r="F55" s="102">
        <v>184.7</v>
      </c>
      <c r="G55" s="102">
        <v>196</v>
      </c>
      <c r="H55" s="102">
        <v>92.1</v>
      </c>
      <c r="I55" s="102">
        <v>101.4</v>
      </c>
      <c r="J55" s="102">
        <v>97.2</v>
      </c>
      <c r="K55" s="102">
        <v>41</v>
      </c>
      <c r="L55" s="102">
        <v>42</v>
      </c>
      <c r="M55" s="102">
        <v>50</v>
      </c>
      <c r="N55" s="102">
        <f t="shared" si="1"/>
        <v>186.8</v>
      </c>
      <c r="O55" s="102">
        <f t="shared" si="2"/>
        <v>671.4</v>
      </c>
      <c r="P55" s="102">
        <f t="shared" si="3"/>
        <v>133</v>
      </c>
      <c r="Q55" s="102">
        <f t="shared" si="4"/>
        <v>991.2</v>
      </c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  <c r="AD55" s="104"/>
      <c r="AE55" s="104"/>
      <c r="AF55" s="104"/>
      <c r="AG55" s="104"/>
    </row>
    <row r="56" spans="1:33">
      <c r="A56" s="102">
        <v>2014</v>
      </c>
      <c r="B56" s="131">
        <v>6.1</v>
      </c>
      <c r="C56" s="131">
        <v>37</v>
      </c>
      <c r="D56" s="131">
        <v>95.9</v>
      </c>
      <c r="E56" s="131">
        <v>66.7</v>
      </c>
      <c r="F56" s="131">
        <v>272.8</v>
      </c>
      <c r="G56" s="131">
        <v>297.8</v>
      </c>
      <c r="H56" s="131">
        <v>283.89999999999998</v>
      </c>
      <c r="I56" s="131">
        <v>137.19999999999999</v>
      </c>
      <c r="J56" s="131">
        <v>116.6</v>
      </c>
      <c r="K56" s="131">
        <v>84.8</v>
      </c>
      <c r="L56" s="131">
        <v>80.400000000000006</v>
      </c>
      <c r="M56" s="131">
        <v>5.8</v>
      </c>
      <c r="N56" s="102">
        <f t="shared" si="1"/>
        <v>205.7</v>
      </c>
      <c r="O56" s="102">
        <f t="shared" si="2"/>
        <v>1108.3</v>
      </c>
      <c r="P56" s="102">
        <f t="shared" si="3"/>
        <v>171</v>
      </c>
      <c r="Q56" s="102">
        <f t="shared" si="4"/>
        <v>1484.9999999999998</v>
      </c>
    </row>
    <row r="57" spans="1:33">
      <c r="A57" s="102">
        <v>2015</v>
      </c>
      <c r="B57" s="134">
        <v>32.5</v>
      </c>
      <c r="C57" s="134">
        <v>11.4</v>
      </c>
      <c r="D57" s="134">
        <v>13.8</v>
      </c>
      <c r="E57" s="134">
        <v>35.4</v>
      </c>
      <c r="F57" s="134">
        <v>228.2</v>
      </c>
      <c r="G57" s="134">
        <v>264.5</v>
      </c>
      <c r="H57" s="134">
        <v>190.9</v>
      </c>
      <c r="I57" s="134">
        <v>251.8</v>
      </c>
      <c r="J57" s="134">
        <v>170</v>
      </c>
      <c r="K57" s="134">
        <v>52.8</v>
      </c>
      <c r="L57" s="134">
        <v>72.5</v>
      </c>
      <c r="M57" s="134">
        <v>66.599999999999994</v>
      </c>
      <c r="N57" s="102">
        <f t="shared" si="1"/>
        <v>93.1</v>
      </c>
      <c r="O57" s="102">
        <f t="shared" si="2"/>
        <v>1105.4000000000001</v>
      </c>
      <c r="P57" s="102">
        <f t="shared" si="3"/>
        <v>191.89999999999998</v>
      </c>
      <c r="Q57" s="102">
        <f t="shared" si="4"/>
        <v>1390.3999999999999</v>
      </c>
    </row>
    <row r="58" spans="1:33" ht="13.5">
      <c r="A58" s="102">
        <v>2016</v>
      </c>
      <c r="B58" s="128">
        <v>56.3</v>
      </c>
      <c r="C58" s="128">
        <v>3.9</v>
      </c>
      <c r="D58" s="128">
        <v>46.2</v>
      </c>
      <c r="E58" s="128">
        <v>230.1</v>
      </c>
      <c r="F58" s="128">
        <v>208.4</v>
      </c>
      <c r="G58" s="128">
        <v>200.8</v>
      </c>
      <c r="H58" s="128">
        <v>175.6</v>
      </c>
      <c r="I58" s="128">
        <v>201.3</v>
      </c>
      <c r="J58" s="128">
        <v>44.6</v>
      </c>
      <c r="K58" s="128">
        <v>87.8</v>
      </c>
      <c r="L58" s="128">
        <v>50.7</v>
      </c>
      <c r="M58" s="128">
        <v>8.6</v>
      </c>
      <c r="N58" s="102">
        <f>SUM(B58:E58)</f>
        <v>336.5</v>
      </c>
      <c r="O58" s="102">
        <f>SUM(F58:J58)</f>
        <v>830.70000000000016</v>
      </c>
      <c r="P58" s="102">
        <f>SUM(K58:M58)</f>
        <v>147.1</v>
      </c>
      <c r="Q58" s="102">
        <f>SUM(B58:M58)</f>
        <v>1314.3</v>
      </c>
      <c r="R58" s="129">
        <f t="shared" ref="R58:AG58" si="5">100*(B58-B4)/B4</f>
        <v>152.74436727087922</v>
      </c>
      <c r="S58" s="129">
        <f t="shared" si="5"/>
        <v>-85.136981376285334</v>
      </c>
      <c r="T58" s="129">
        <f t="shared" si="5"/>
        <v>-1.0186757215620059</v>
      </c>
      <c r="U58" s="129">
        <f t="shared" si="5"/>
        <v>114.2420462730355</v>
      </c>
      <c r="V58" s="129">
        <f t="shared" si="5"/>
        <v>7.0053574369556415</v>
      </c>
      <c r="W58" s="129">
        <f t="shared" si="5"/>
        <v>-6.7037196132233623</v>
      </c>
      <c r="X58" s="129">
        <f t="shared" si="5"/>
        <v>-6.6585094326376444</v>
      </c>
      <c r="Y58" s="129">
        <f t="shared" si="5"/>
        <v>54.210511100832569</v>
      </c>
      <c r="Z58" s="129">
        <f t="shared" si="5"/>
        <v>-48.394280100425703</v>
      </c>
      <c r="AA58" s="129">
        <f t="shared" si="5"/>
        <v>1.0488371588021987</v>
      </c>
      <c r="AB58" s="129">
        <f t="shared" si="5"/>
        <v>8.3770267000080612</v>
      </c>
      <c r="AC58" s="129">
        <f t="shared" si="5"/>
        <v>-61.152305463223392</v>
      </c>
      <c r="AD58" s="129">
        <f t="shared" si="5"/>
        <v>66.097006724160394</v>
      </c>
      <c r="AE58" s="129">
        <f t="shared" si="5"/>
        <v>1.9174143726214725</v>
      </c>
      <c r="AF58" s="129">
        <f t="shared" si="5"/>
        <v>-5.5886555741238677</v>
      </c>
      <c r="AG58" s="129">
        <f t="shared" si="5"/>
        <v>12.000996880728016</v>
      </c>
    </row>
  </sheetData>
  <mergeCells count="6">
    <mergeCell ref="A1:A3"/>
    <mergeCell ref="B1:Q1"/>
    <mergeCell ref="B2:M2"/>
    <mergeCell ref="R1:AG1"/>
    <mergeCell ref="N2:Q2"/>
    <mergeCell ref="R2:AG2"/>
  </mergeCells>
  <phoneticPr fontId="2" type="noConversion"/>
  <pageMargins left="0.75" right="0.75" top="1" bottom="1" header="0.5" footer="0.5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>
  <sheetPr codeName="Sheet41"/>
  <dimension ref="A1:AG61"/>
  <sheetViews>
    <sheetView zoomScale="70" zoomScaleNormal="70" workbookViewId="0">
      <pane ySplit="5" topLeftCell="A6" activePane="bottomLeft" state="frozen"/>
      <selection pane="bottomLeft" activeCell="R61" sqref="R61"/>
    </sheetView>
  </sheetViews>
  <sheetFormatPr defaultRowHeight="12"/>
  <cols>
    <col min="1" max="47" width="7.125" style="102" customWidth="1"/>
    <col min="48" max="16384" width="9" style="102"/>
  </cols>
  <sheetData>
    <row r="1" spans="1:33" s="118" customFormat="1" ht="14.25" customHeight="1">
      <c r="A1" s="176" t="s">
        <v>53</v>
      </c>
      <c r="B1" s="176" t="s">
        <v>171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2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116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32</v>
      </c>
      <c r="O2" s="176"/>
      <c r="P2" s="176"/>
      <c r="Q2" s="176"/>
      <c r="R2" s="176" t="s">
        <v>38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 ht="24">
      <c r="A3" s="176"/>
      <c r="B3" s="124" t="s">
        <v>149</v>
      </c>
      <c r="C3" s="124" t="s">
        <v>150</v>
      </c>
      <c r="D3" s="124" t="s">
        <v>9</v>
      </c>
      <c r="E3" s="124" t="s">
        <v>10</v>
      </c>
      <c r="F3" s="124" t="s">
        <v>11</v>
      </c>
      <c r="G3" s="124" t="s">
        <v>12</v>
      </c>
      <c r="H3" s="124" t="s">
        <v>13</v>
      </c>
      <c r="I3" s="124" t="s">
        <v>14</v>
      </c>
      <c r="J3" s="124" t="s">
        <v>15</v>
      </c>
      <c r="K3" s="124" t="s">
        <v>16</v>
      </c>
      <c r="L3" s="124" t="s">
        <v>17</v>
      </c>
      <c r="M3" s="124" t="s">
        <v>18</v>
      </c>
      <c r="N3" s="124" t="s">
        <v>145</v>
      </c>
      <c r="O3" s="124" t="s">
        <v>146</v>
      </c>
      <c r="P3" s="124" t="s">
        <v>147</v>
      </c>
      <c r="Q3" s="124" t="s">
        <v>148</v>
      </c>
      <c r="R3" s="124" t="s">
        <v>149</v>
      </c>
      <c r="S3" s="124" t="s">
        <v>150</v>
      </c>
      <c r="T3" s="124" t="s">
        <v>151</v>
      </c>
      <c r="U3" s="124" t="s">
        <v>152</v>
      </c>
      <c r="V3" s="124" t="s">
        <v>153</v>
      </c>
      <c r="W3" s="124" t="s">
        <v>154</v>
      </c>
      <c r="X3" s="124" t="s">
        <v>25</v>
      </c>
      <c r="Y3" s="124" t="s">
        <v>26</v>
      </c>
      <c r="Z3" s="124" t="s">
        <v>27</v>
      </c>
      <c r="AA3" s="124" t="s">
        <v>155</v>
      </c>
      <c r="AB3" s="124" t="s">
        <v>156</v>
      </c>
      <c r="AC3" s="124" t="s">
        <v>157</v>
      </c>
      <c r="AD3" s="124" t="s">
        <v>90</v>
      </c>
      <c r="AE3" s="124" t="s">
        <v>42</v>
      </c>
      <c r="AF3" s="124" t="s">
        <v>111</v>
      </c>
      <c r="AG3" s="124" t="s">
        <v>66</v>
      </c>
    </row>
    <row r="4" spans="1:33" s="118" customFormat="1">
      <c r="A4" s="150" t="s">
        <v>261</v>
      </c>
      <c r="B4" s="150">
        <f t="shared" ref="B4:Q4" si="0">AVERAGE(B5:B60)</f>
        <v>28.849999999999998</v>
      </c>
      <c r="C4" s="150">
        <f t="shared" si="0"/>
        <v>34.446428571428569</v>
      </c>
      <c r="D4" s="150">
        <f t="shared" si="0"/>
        <v>55.462499999999991</v>
      </c>
      <c r="E4" s="150">
        <f t="shared" si="0"/>
        <v>124.92678571428573</v>
      </c>
      <c r="F4" s="150">
        <f t="shared" si="0"/>
        <v>218.48571428571427</v>
      </c>
      <c r="G4" s="150">
        <f t="shared" si="0"/>
        <v>249.53035714285713</v>
      </c>
      <c r="H4" s="150">
        <f t="shared" si="0"/>
        <v>198.35892857142855</v>
      </c>
      <c r="I4" s="150">
        <f t="shared" si="0"/>
        <v>158.78392857142859</v>
      </c>
      <c r="J4" s="150">
        <f t="shared" si="0"/>
        <v>92.189285714285703</v>
      </c>
      <c r="K4" s="150">
        <f t="shared" si="0"/>
        <v>93.078571428571408</v>
      </c>
      <c r="L4" s="150">
        <f t="shared" si="0"/>
        <v>55.157142857142858</v>
      </c>
      <c r="M4" s="150">
        <f t="shared" si="0"/>
        <v>26.99642857142857</v>
      </c>
      <c r="N4" s="150">
        <f t="shared" si="0"/>
        <v>243.68571428571423</v>
      </c>
      <c r="O4" s="150">
        <f t="shared" si="0"/>
        <v>917.34821428571411</v>
      </c>
      <c r="P4" s="150">
        <f t="shared" si="0"/>
        <v>175.23214285714289</v>
      </c>
      <c r="Q4" s="150">
        <f t="shared" si="0"/>
        <v>1336.2660714285716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1960</v>
      </c>
      <c r="B5" s="102">
        <v>15.8</v>
      </c>
      <c r="C5" s="102">
        <v>60.3</v>
      </c>
      <c r="D5" s="102">
        <v>41</v>
      </c>
      <c r="E5" s="102">
        <v>75.7</v>
      </c>
      <c r="F5" s="102">
        <v>340.1</v>
      </c>
      <c r="G5" s="102">
        <v>139.1</v>
      </c>
      <c r="H5" s="102">
        <v>278.10000000000002</v>
      </c>
      <c r="I5" s="102">
        <v>46.7</v>
      </c>
      <c r="J5" s="102">
        <v>35.6</v>
      </c>
      <c r="K5" s="102">
        <v>51.9</v>
      </c>
      <c r="L5" s="102">
        <v>71.099999999999994</v>
      </c>
      <c r="M5" s="102">
        <v>8.1</v>
      </c>
      <c r="N5" s="102">
        <f>SUM(B5:E5)</f>
        <v>192.8</v>
      </c>
      <c r="O5" s="102">
        <f>SUM(F5:J5)</f>
        <v>839.60000000000014</v>
      </c>
      <c r="P5" s="102">
        <f>SUM(K5:M5)</f>
        <v>131.1</v>
      </c>
      <c r="Q5" s="102">
        <f>SUM(B5:M5)</f>
        <v>1163.5</v>
      </c>
    </row>
    <row r="6" spans="1:33">
      <c r="A6" s="102">
        <v>1961</v>
      </c>
      <c r="B6" s="102">
        <v>13.7</v>
      </c>
      <c r="C6" s="102">
        <v>55.6</v>
      </c>
      <c r="D6" s="102">
        <v>40.299999999999997</v>
      </c>
      <c r="E6" s="102">
        <v>378.3</v>
      </c>
      <c r="F6" s="102">
        <v>197.1</v>
      </c>
      <c r="G6" s="102">
        <v>46.5</v>
      </c>
      <c r="H6" s="102">
        <v>191.8</v>
      </c>
      <c r="I6" s="102">
        <v>297.5</v>
      </c>
      <c r="J6" s="102">
        <v>102.1</v>
      </c>
      <c r="K6" s="102">
        <v>129.69999999999999</v>
      </c>
      <c r="L6" s="102">
        <v>125.9</v>
      </c>
      <c r="M6" s="102">
        <v>44.5</v>
      </c>
      <c r="N6" s="102">
        <f t="shared" ref="N6:N60" si="1">SUM(B6:E6)</f>
        <v>487.9</v>
      </c>
      <c r="O6" s="102">
        <f t="shared" ref="O6:O60" si="2">SUM(F6:J6)</f>
        <v>835</v>
      </c>
      <c r="P6" s="102">
        <f t="shared" ref="P6:P60" si="3">SUM(K6:M6)</f>
        <v>300.10000000000002</v>
      </c>
      <c r="Q6" s="102">
        <f t="shared" ref="Q6:Q60" si="4">SUM(B6:M6)</f>
        <v>1623</v>
      </c>
    </row>
    <row r="7" spans="1:33">
      <c r="A7" s="102">
        <v>1962</v>
      </c>
      <c r="B7" s="102">
        <v>21.7</v>
      </c>
      <c r="C7" s="102">
        <v>10.8</v>
      </c>
      <c r="D7" s="102">
        <v>30</v>
      </c>
      <c r="E7" s="102">
        <v>77.3</v>
      </c>
      <c r="F7" s="102">
        <v>149.69999999999999</v>
      </c>
      <c r="G7" s="102">
        <v>261.3</v>
      </c>
      <c r="H7" s="102">
        <v>70.900000000000006</v>
      </c>
      <c r="I7" s="102">
        <v>126.5</v>
      </c>
      <c r="J7" s="102">
        <v>70.5</v>
      </c>
      <c r="K7" s="102">
        <v>101.9</v>
      </c>
      <c r="L7" s="102">
        <v>15.5</v>
      </c>
      <c r="M7" s="102">
        <v>11.5</v>
      </c>
      <c r="N7" s="102">
        <f t="shared" si="1"/>
        <v>139.80000000000001</v>
      </c>
      <c r="O7" s="102">
        <f t="shared" si="2"/>
        <v>678.9</v>
      </c>
      <c r="P7" s="102">
        <f t="shared" si="3"/>
        <v>128.9</v>
      </c>
      <c r="Q7" s="102">
        <f t="shared" si="4"/>
        <v>947.59999999999991</v>
      </c>
    </row>
    <row r="8" spans="1:33">
      <c r="A8" s="102">
        <v>1963</v>
      </c>
      <c r="B8" s="102">
        <v>2.9</v>
      </c>
      <c r="C8" s="102">
        <v>43</v>
      </c>
      <c r="D8" s="102">
        <v>42.2</v>
      </c>
      <c r="E8" s="102">
        <v>34</v>
      </c>
      <c r="F8" s="102">
        <v>323</v>
      </c>
      <c r="G8" s="102">
        <v>147.19999999999999</v>
      </c>
      <c r="H8" s="102">
        <v>172.8</v>
      </c>
      <c r="I8" s="102">
        <v>44.3</v>
      </c>
      <c r="J8" s="102">
        <v>70.599999999999994</v>
      </c>
      <c r="K8" s="102">
        <v>105.5</v>
      </c>
      <c r="L8" s="102">
        <v>223.6</v>
      </c>
      <c r="M8" s="102">
        <v>63.6</v>
      </c>
      <c r="N8" s="102">
        <f t="shared" si="1"/>
        <v>122.1</v>
      </c>
      <c r="O8" s="102">
        <f t="shared" si="2"/>
        <v>757.9</v>
      </c>
      <c r="P8" s="102">
        <f t="shared" si="3"/>
        <v>392.70000000000005</v>
      </c>
      <c r="Q8" s="102">
        <f t="shared" si="4"/>
        <v>1272.6999999999998</v>
      </c>
    </row>
    <row r="9" spans="1:33">
      <c r="A9" s="102">
        <v>1964</v>
      </c>
      <c r="B9" s="102">
        <v>31.4</v>
      </c>
      <c r="C9" s="102">
        <v>58.7</v>
      </c>
      <c r="D9" s="102">
        <v>50.8</v>
      </c>
      <c r="E9" s="102">
        <v>241.9</v>
      </c>
      <c r="F9" s="102">
        <v>103.8</v>
      </c>
      <c r="G9" s="102">
        <v>155.1</v>
      </c>
      <c r="H9" s="102">
        <v>182.2</v>
      </c>
      <c r="I9" s="102">
        <v>211.6</v>
      </c>
      <c r="J9" s="102">
        <v>134</v>
      </c>
      <c r="K9" s="102">
        <v>77.599999999999994</v>
      </c>
      <c r="L9" s="102">
        <v>29.9</v>
      </c>
      <c r="M9" s="102">
        <v>39.6</v>
      </c>
      <c r="N9" s="102">
        <f t="shared" si="1"/>
        <v>382.79999999999995</v>
      </c>
      <c r="O9" s="102">
        <f t="shared" si="2"/>
        <v>786.69999999999993</v>
      </c>
      <c r="P9" s="102">
        <f t="shared" si="3"/>
        <v>147.1</v>
      </c>
      <c r="Q9" s="102">
        <f t="shared" si="4"/>
        <v>1316.5999999999997</v>
      </c>
    </row>
    <row r="10" spans="1:33">
      <c r="A10" s="102">
        <v>1965</v>
      </c>
      <c r="B10" s="102">
        <v>29.1</v>
      </c>
      <c r="C10" s="102">
        <v>34.6</v>
      </c>
      <c r="D10" s="102">
        <v>108.5</v>
      </c>
      <c r="E10" s="102">
        <v>163.69999999999999</v>
      </c>
      <c r="F10" s="102">
        <v>126.3</v>
      </c>
      <c r="G10" s="102">
        <v>137.80000000000001</v>
      </c>
      <c r="H10" s="102">
        <v>108.4</v>
      </c>
      <c r="I10" s="102">
        <v>178.7</v>
      </c>
      <c r="J10" s="102">
        <v>31.1</v>
      </c>
      <c r="K10" s="102">
        <v>196.4</v>
      </c>
      <c r="L10" s="102">
        <v>55.2</v>
      </c>
      <c r="M10" s="102">
        <v>40</v>
      </c>
      <c r="N10" s="102">
        <f t="shared" si="1"/>
        <v>335.9</v>
      </c>
      <c r="O10" s="102">
        <f t="shared" si="2"/>
        <v>582.30000000000007</v>
      </c>
      <c r="P10" s="102">
        <f t="shared" si="3"/>
        <v>291.60000000000002</v>
      </c>
      <c r="Q10" s="102">
        <f t="shared" si="4"/>
        <v>1209.8</v>
      </c>
    </row>
    <row r="11" spans="1:33">
      <c r="A11" s="102">
        <v>1966</v>
      </c>
      <c r="B11" s="102">
        <v>42.8</v>
      </c>
      <c r="C11" s="102">
        <v>14.6</v>
      </c>
      <c r="D11" s="102">
        <v>26.2</v>
      </c>
      <c r="E11" s="102">
        <v>232.3</v>
      </c>
      <c r="F11" s="102">
        <v>260.7</v>
      </c>
      <c r="G11" s="102">
        <v>226.9</v>
      </c>
      <c r="H11" s="102">
        <v>296.2</v>
      </c>
      <c r="I11" s="102">
        <v>49.4</v>
      </c>
      <c r="J11" s="102">
        <v>22</v>
      </c>
      <c r="K11" s="102">
        <v>247.4</v>
      </c>
      <c r="L11" s="102">
        <v>2.2999999999999998</v>
      </c>
      <c r="M11" s="102">
        <v>28.2</v>
      </c>
      <c r="N11" s="102">
        <f t="shared" si="1"/>
        <v>315.89999999999998</v>
      </c>
      <c r="O11" s="102">
        <f t="shared" si="2"/>
        <v>855.19999999999993</v>
      </c>
      <c r="P11" s="102">
        <f t="shared" si="3"/>
        <v>277.90000000000003</v>
      </c>
      <c r="Q11" s="102">
        <f t="shared" si="4"/>
        <v>1449</v>
      </c>
    </row>
    <row r="12" spans="1:33">
      <c r="A12" s="102">
        <v>1967</v>
      </c>
      <c r="B12" s="102">
        <v>1.4</v>
      </c>
      <c r="C12" s="102">
        <v>55.5</v>
      </c>
      <c r="D12" s="102">
        <v>59.2</v>
      </c>
      <c r="E12" s="102">
        <v>77</v>
      </c>
      <c r="F12" s="102">
        <v>262.8</v>
      </c>
      <c r="G12" s="102">
        <v>175.9</v>
      </c>
      <c r="H12" s="102">
        <v>211.7</v>
      </c>
      <c r="I12" s="102">
        <v>325.2</v>
      </c>
      <c r="J12" s="102">
        <v>116.7</v>
      </c>
      <c r="K12" s="102">
        <v>36.9</v>
      </c>
      <c r="L12" s="102">
        <v>81.099999999999994</v>
      </c>
      <c r="M12" s="102">
        <v>38.5</v>
      </c>
      <c r="N12" s="102">
        <f t="shared" si="1"/>
        <v>193.1</v>
      </c>
      <c r="O12" s="102">
        <f t="shared" si="2"/>
        <v>1092.3000000000002</v>
      </c>
      <c r="P12" s="102">
        <f t="shared" si="3"/>
        <v>156.5</v>
      </c>
      <c r="Q12" s="102">
        <f t="shared" si="4"/>
        <v>1441.9</v>
      </c>
    </row>
    <row r="13" spans="1:33">
      <c r="A13" s="102">
        <v>1968</v>
      </c>
      <c r="B13" s="102">
        <v>34.200000000000003</v>
      </c>
      <c r="C13" s="102">
        <v>17</v>
      </c>
      <c r="D13" s="102">
        <v>43.4</v>
      </c>
      <c r="E13" s="102">
        <v>177.6</v>
      </c>
      <c r="F13" s="102">
        <v>256.10000000000002</v>
      </c>
      <c r="G13" s="102">
        <v>295.2</v>
      </c>
      <c r="H13" s="102">
        <v>312</v>
      </c>
      <c r="I13" s="102">
        <v>373.1</v>
      </c>
      <c r="J13" s="102">
        <v>128.1</v>
      </c>
      <c r="K13" s="102">
        <v>49.1</v>
      </c>
      <c r="L13" s="102">
        <v>55.9</v>
      </c>
      <c r="M13" s="102">
        <v>18.7</v>
      </c>
      <c r="N13" s="102">
        <f t="shared" si="1"/>
        <v>272.2</v>
      </c>
      <c r="O13" s="102">
        <f t="shared" si="2"/>
        <v>1364.5</v>
      </c>
      <c r="P13" s="102">
        <f t="shared" si="3"/>
        <v>123.7</v>
      </c>
      <c r="Q13" s="102">
        <f t="shared" si="4"/>
        <v>1760.3999999999999</v>
      </c>
    </row>
    <row r="14" spans="1:33">
      <c r="A14" s="102">
        <v>1969</v>
      </c>
      <c r="B14" s="102">
        <v>16.7</v>
      </c>
      <c r="C14" s="102">
        <v>4.7</v>
      </c>
      <c r="D14" s="102">
        <v>19.899999999999999</v>
      </c>
      <c r="E14" s="102">
        <v>87.7</v>
      </c>
      <c r="F14" s="102">
        <v>129.80000000000001</v>
      </c>
      <c r="G14" s="102">
        <v>410.6</v>
      </c>
      <c r="H14" s="102">
        <v>253.7</v>
      </c>
      <c r="I14" s="102">
        <v>172</v>
      </c>
      <c r="J14" s="102">
        <v>27.8</v>
      </c>
      <c r="K14" s="102">
        <v>116.6</v>
      </c>
      <c r="L14" s="102">
        <v>87.7</v>
      </c>
      <c r="M14" s="102">
        <v>4.5999999999999996</v>
      </c>
      <c r="N14" s="102">
        <f t="shared" si="1"/>
        <v>129</v>
      </c>
      <c r="O14" s="102">
        <f t="shared" si="2"/>
        <v>993.90000000000009</v>
      </c>
      <c r="P14" s="102">
        <f t="shared" si="3"/>
        <v>208.9</v>
      </c>
      <c r="Q14" s="102">
        <f t="shared" si="4"/>
        <v>1331.8</v>
      </c>
    </row>
    <row r="15" spans="1:33">
      <c r="A15" s="102">
        <v>1970</v>
      </c>
      <c r="B15" s="102">
        <v>34.200000000000003</v>
      </c>
      <c r="C15" s="102">
        <v>38.5</v>
      </c>
      <c r="D15" s="102">
        <v>161.1</v>
      </c>
      <c r="E15" s="102">
        <v>144.80000000000001</v>
      </c>
      <c r="F15" s="102">
        <v>172</v>
      </c>
      <c r="G15" s="102">
        <v>188.7</v>
      </c>
      <c r="H15" s="102">
        <v>369.5</v>
      </c>
      <c r="I15" s="102">
        <v>120.3</v>
      </c>
      <c r="J15" s="102">
        <v>81</v>
      </c>
      <c r="K15" s="102">
        <v>12.8</v>
      </c>
      <c r="L15" s="102">
        <v>20.6</v>
      </c>
      <c r="M15" s="102">
        <v>68.5</v>
      </c>
      <c r="N15" s="102">
        <f t="shared" si="1"/>
        <v>378.6</v>
      </c>
      <c r="O15" s="102">
        <f t="shared" si="2"/>
        <v>931.5</v>
      </c>
      <c r="P15" s="102">
        <f t="shared" si="3"/>
        <v>101.9</v>
      </c>
      <c r="Q15" s="102">
        <f t="shared" si="4"/>
        <v>1411.9999999999998</v>
      </c>
    </row>
    <row r="16" spans="1:33">
      <c r="A16" s="102">
        <v>1971</v>
      </c>
      <c r="B16" s="102">
        <v>35.799999999999997</v>
      </c>
      <c r="C16" s="102">
        <v>17.7</v>
      </c>
      <c r="D16" s="102">
        <v>16.7</v>
      </c>
      <c r="E16" s="102">
        <v>135.30000000000001</v>
      </c>
      <c r="F16" s="102">
        <v>199.7</v>
      </c>
      <c r="G16" s="102">
        <v>391.8</v>
      </c>
      <c r="H16" s="102">
        <v>127.2</v>
      </c>
      <c r="I16" s="102">
        <v>201</v>
      </c>
      <c r="J16" s="102">
        <v>48.1</v>
      </c>
      <c r="K16" s="102">
        <v>104.2</v>
      </c>
      <c r="L16" s="102">
        <v>18.899999999999999</v>
      </c>
      <c r="M16" s="102">
        <v>54</v>
      </c>
      <c r="N16" s="102">
        <f t="shared" si="1"/>
        <v>205.5</v>
      </c>
      <c r="O16" s="102">
        <f t="shared" si="2"/>
        <v>967.80000000000007</v>
      </c>
      <c r="P16" s="102">
        <f t="shared" si="3"/>
        <v>177.1</v>
      </c>
      <c r="Q16" s="102">
        <f t="shared" si="4"/>
        <v>1350.4</v>
      </c>
    </row>
    <row r="17" spans="1:17">
      <c r="A17" s="102">
        <v>1972</v>
      </c>
      <c r="B17" s="102">
        <v>15.9</v>
      </c>
      <c r="C17" s="102">
        <v>24.5</v>
      </c>
      <c r="D17" s="102">
        <v>157.1</v>
      </c>
      <c r="E17" s="102">
        <v>142.30000000000001</v>
      </c>
      <c r="F17" s="102">
        <v>185.4</v>
      </c>
      <c r="G17" s="102">
        <v>181.3</v>
      </c>
      <c r="H17" s="102">
        <v>11.8</v>
      </c>
      <c r="I17" s="102">
        <v>48.2</v>
      </c>
      <c r="J17" s="102">
        <v>304.2</v>
      </c>
      <c r="K17" s="102">
        <v>227</v>
      </c>
      <c r="L17" s="102">
        <v>78.7</v>
      </c>
      <c r="M17" s="102">
        <v>42.3</v>
      </c>
      <c r="N17" s="102">
        <f t="shared" si="1"/>
        <v>339.8</v>
      </c>
      <c r="O17" s="102">
        <f t="shared" si="2"/>
        <v>730.90000000000009</v>
      </c>
      <c r="P17" s="102">
        <f t="shared" si="3"/>
        <v>348</v>
      </c>
      <c r="Q17" s="102">
        <f t="shared" si="4"/>
        <v>1418.7</v>
      </c>
    </row>
    <row r="18" spans="1:17">
      <c r="A18" s="102">
        <v>1973</v>
      </c>
      <c r="B18" s="102">
        <v>33.200000000000003</v>
      </c>
      <c r="C18" s="102">
        <v>21.7</v>
      </c>
      <c r="D18" s="102">
        <v>41.1</v>
      </c>
      <c r="E18" s="102">
        <v>155.19999999999999</v>
      </c>
      <c r="F18" s="102">
        <v>242.9</v>
      </c>
      <c r="G18" s="102">
        <v>140.6</v>
      </c>
      <c r="H18" s="102">
        <v>144.80000000000001</v>
      </c>
      <c r="I18" s="102">
        <v>202.4</v>
      </c>
      <c r="J18" s="102">
        <v>104.8</v>
      </c>
      <c r="K18" s="102">
        <v>82.1</v>
      </c>
      <c r="L18" s="102">
        <v>28.9</v>
      </c>
      <c r="M18" s="102">
        <v>0.7</v>
      </c>
      <c r="N18" s="102">
        <f t="shared" si="1"/>
        <v>251.2</v>
      </c>
      <c r="O18" s="102">
        <f t="shared" si="2"/>
        <v>835.49999999999989</v>
      </c>
      <c r="P18" s="102">
        <f t="shared" si="3"/>
        <v>111.7</v>
      </c>
      <c r="Q18" s="102">
        <f t="shared" si="4"/>
        <v>1198.4000000000001</v>
      </c>
    </row>
    <row r="19" spans="1:17">
      <c r="A19" s="102">
        <v>1974</v>
      </c>
      <c r="B19" s="102">
        <v>47</v>
      </c>
      <c r="C19" s="102">
        <v>17.600000000000001</v>
      </c>
      <c r="D19" s="102">
        <v>70.5</v>
      </c>
      <c r="E19" s="102">
        <v>139.1</v>
      </c>
      <c r="F19" s="102">
        <v>96.1</v>
      </c>
      <c r="G19" s="102">
        <v>309.10000000000002</v>
      </c>
      <c r="H19" s="102">
        <v>215.3</v>
      </c>
      <c r="I19" s="102">
        <v>174.1</v>
      </c>
      <c r="J19" s="102">
        <v>56.3</v>
      </c>
      <c r="K19" s="102">
        <v>75.2</v>
      </c>
      <c r="L19" s="102">
        <v>14.7</v>
      </c>
      <c r="M19" s="102">
        <v>14.8</v>
      </c>
      <c r="N19" s="102">
        <f t="shared" si="1"/>
        <v>274.2</v>
      </c>
      <c r="O19" s="102">
        <f t="shared" si="2"/>
        <v>850.9</v>
      </c>
      <c r="P19" s="102">
        <f t="shared" si="3"/>
        <v>104.7</v>
      </c>
      <c r="Q19" s="102">
        <f t="shared" si="4"/>
        <v>1229.8</v>
      </c>
    </row>
    <row r="20" spans="1:17">
      <c r="A20" s="102">
        <v>1975</v>
      </c>
      <c r="B20" s="102">
        <v>24.2</v>
      </c>
      <c r="C20" s="102">
        <v>49.6</v>
      </c>
      <c r="D20" s="102">
        <v>54.5</v>
      </c>
      <c r="E20" s="102">
        <v>169</v>
      </c>
      <c r="F20" s="102">
        <v>279.89999999999998</v>
      </c>
      <c r="G20" s="102">
        <v>186</v>
      </c>
      <c r="H20" s="102">
        <v>170.6</v>
      </c>
      <c r="I20" s="102">
        <v>149.9</v>
      </c>
      <c r="J20" s="102">
        <v>66.099999999999994</v>
      </c>
      <c r="K20" s="102">
        <v>17.3</v>
      </c>
      <c r="L20" s="102">
        <v>52.5</v>
      </c>
      <c r="M20" s="102">
        <v>0.1</v>
      </c>
      <c r="N20" s="102">
        <f t="shared" si="1"/>
        <v>297.3</v>
      </c>
      <c r="O20" s="102">
        <f t="shared" si="2"/>
        <v>852.5</v>
      </c>
      <c r="P20" s="102">
        <f t="shared" si="3"/>
        <v>69.899999999999991</v>
      </c>
      <c r="Q20" s="102">
        <f t="shared" si="4"/>
        <v>1219.6999999999998</v>
      </c>
    </row>
    <row r="21" spans="1:17">
      <c r="A21" s="102">
        <v>1976</v>
      </c>
      <c r="B21" s="102">
        <v>28.1</v>
      </c>
      <c r="C21" s="102">
        <v>25.2</v>
      </c>
      <c r="D21" s="102">
        <v>58.7</v>
      </c>
      <c r="E21" s="102">
        <v>206.1</v>
      </c>
      <c r="F21" s="102">
        <v>247.6</v>
      </c>
      <c r="G21" s="102">
        <v>274</v>
      </c>
      <c r="H21" s="102">
        <v>104.5</v>
      </c>
      <c r="I21" s="102">
        <v>201.9</v>
      </c>
      <c r="J21" s="102">
        <v>73.599999999999994</v>
      </c>
      <c r="K21" s="102">
        <v>135.80000000000001</v>
      </c>
      <c r="L21" s="102">
        <v>84.1</v>
      </c>
      <c r="M21" s="102">
        <v>12</v>
      </c>
      <c r="N21" s="102">
        <f t="shared" si="1"/>
        <v>318.10000000000002</v>
      </c>
      <c r="O21" s="102">
        <f t="shared" si="2"/>
        <v>901.6</v>
      </c>
      <c r="P21" s="102">
        <f t="shared" si="3"/>
        <v>231.9</v>
      </c>
      <c r="Q21" s="102">
        <f t="shared" si="4"/>
        <v>1451.6</v>
      </c>
    </row>
    <row r="22" spans="1:17">
      <c r="A22" s="102">
        <v>1977</v>
      </c>
      <c r="B22" s="102">
        <v>13.9</v>
      </c>
      <c r="C22" s="102">
        <v>12.4</v>
      </c>
      <c r="D22" s="102">
        <v>27</v>
      </c>
      <c r="E22" s="102">
        <v>107.8</v>
      </c>
      <c r="F22" s="102">
        <v>311.39999999999998</v>
      </c>
      <c r="G22" s="102">
        <v>326.5</v>
      </c>
      <c r="H22" s="102">
        <v>199.3</v>
      </c>
      <c r="I22" s="102">
        <v>150.6</v>
      </c>
      <c r="J22" s="102">
        <v>79.599999999999994</v>
      </c>
      <c r="K22" s="102">
        <v>183.1</v>
      </c>
      <c r="L22" s="102">
        <v>36.1</v>
      </c>
      <c r="M22" s="102">
        <v>5.5</v>
      </c>
      <c r="N22" s="102">
        <f t="shared" si="1"/>
        <v>161.1</v>
      </c>
      <c r="O22" s="102">
        <f t="shared" si="2"/>
        <v>1067.4000000000001</v>
      </c>
      <c r="P22" s="102">
        <f t="shared" si="3"/>
        <v>224.7</v>
      </c>
      <c r="Q22" s="102">
        <f t="shared" si="4"/>
        <v>1453.1999999999996</v>
      </c>
    </row>
    <row r="23" spans="1:17">
      <c r="A23" s="102">
        <v>1978</v>
      </c>
      <c r="B23" s="102">
        <v>32.200000000000003</v>
      </c>
      <c r="C23" s="102">
        <v>1.9</v>
      </c>
      <c r="D23" s="102">
        <v>35.200000000000003</v>
      </c>
      <c r="E23" s="102">
        <v>67.099999999999994</v>
      </c>
      <c r="F23" s="102">
        <v>354.6</v>
      </c>
      <c r="G23" s="102">
        <v>173.6</v>
      </c>
      <c r="H23" s="102">
        <v>73.2</v>
      </c>
      <c r="I23" s="102">
        <v>107</v>
      </c>
      <c r="J23" s="102">
        <v>101.7</v>
      </c>
      <c r="K23" s="102">
        <v>176.2</v>
      </c>
      <c r="L23" s="102">
        <v>172.5</v>
      </c>
      <c r="M23" s="102">
        <v>14.7</v>
      </c>
      <c r="N23" s="102">
        <f t="shared" si="1"/>
        <v>136.4</v>
      </c>
      <c r="O23" s="102">
        <f t="shared" si="2"/>
        <v>810.10000000000014</v>
      </c>
      <c r="P23" s="102">
        <f t="shared" si="3"/>
        <v>363.4</v>
      </c>
      <c r="Q23" s="102">
        <f t="shared" si="4"/>
        <v>1309.9000000000001</v>
      </c>
    </row>
    <row r="24" spans="1:17">
      <c r="A24" s="102">
        <v>1979</v>
      </c>
      <c r="B24" s="102">
        <v>17.399999999999999</v>
      </c>
      <c r="C24" s="102">
        <v>35.799999999999997</v>
      </c>
      <c r="D24" s="102">
        <v>21.1</v>
      </c>
      <c r="E24" s="102">
        <v>173</v>
      </c>
      <c r="F24" s="102">
        <v>243.7</v>
      </c>
      <c r="G24" s="102">
        <v>364.8</v>
      </c>
      <c r="H24" s="102">
        <v>347.1</v>
      </c>
      <c r="I24" s="102">
        <v>350.9</v>
      </c>
      <c r="J24" s="102">
        <v>132.1</v>
      </c>
      <c r="K24" s="102">
        <v>20.5</v>
      </c>
      <c r="L24" s="102">
        <v>1.5</v>
      </c>
      <c r="M24" s="102">
        <v>25.6</v>
      </c>
      <c r="N24" s="102">
        <f t="shared" si="1"/>
        <v>247.3</v>
      </c>
      <c r="O24" s="102">
        <f t="shared" si="2"/>
        <v>1438.6</v>
      </c>
      <c r="P24" s="102">
        <f t="shared" si="3"/>
        <v>47.6</v>
      </c>
      <c r="Q24" s="102">
        <f t="shared" si="4"/>
        <v>1733.5</v>
      </c>
    </row>
    <row r="25" spans="1:17">
      <c r="A25" s="102">
        <v>1980</v>
      </c>
      <c r="B25" s="102">
        <v>27</v>
      </c>
      <c r="C25" s="102">
        <v>40.1</v>
      </c>
      <c r="D25" s="102">
        <v>36.799999999999997</v>
      </c>
      <c r="E25" s="102">
        <v>191.4</v>
      </c>
      <c r="F25" s="102">
        <v>287.8</v>
      </c>
      <c r="G25" s="102">
        <v>92</v>
      </c>
      <c r="H25" s="102">
        <v>320.2</v>
      </c>
      <c r="I25" s="102">
        <v>179.2</v>
      </c>
      <c r="J25" s="102">
        <v>114.8</v>
      </c>
      <c r="K25" s="102">
        <v>165.5</v>
      </c>
      <c r="L25" s="102">
        <v>63.9</v>
      </c>
      <c r="M25" s="102">
        <v>64.8</v>
      </c>
      <c r="N25" s="102">
        <f t="shared" si="1"/>
        <v>295.3</v>
      </c>
      <c r="O25" s="102">
        <f t="shared" si="2"/>
        <v>994</v>
      </c>
      <c r="P25" s="102">
        <f t="shared" si="3"/>
        <v>294.2</v>
      </c>
      <c r="Q25" s="102">
        <f t="shared" si="4"/>
        <v>1583.5</v>
      </c>
    </row>
    <row r="26" spans="1:17">
      <c r="A26" s="102">
        <v>1981</v>
      </c>
      <c r="B26" s="102">
        <v>29</v>
      </c>
      <c r="C26" s="102">
        <v>19.8</v>
      </c>
      <c r="D26" s="102">
        <v>47.9</v>
      </c>
      <c r="E26" s="102">
        <v>117.2</v>
      </c>
      <c r="F26" s="102">
        <v>195</v>
      </c>
      <c r="G26" s="102">
        <v>194.2</v>
      </c>
      <c r="H26" s="102">
        <v>153.1</v>
      </c>
      <c r="I26" s="102">
        <v>58.7</v>
      </c>
      <c r="J26" s="102">
        <v>69</v>
      </c>
      <c r="K26" s="102">
        <v>86.7</v>
      </c>
      <c r="L26" s="102">
        <v>115.8</v>
      </c>
      <c r="M26" s="102">
        <v>0.2</v>
      </c>
      <c r="N26" s="102">
        <f t="shared" si="1"/>
        <v>213.89999999999998</v>
      </c>
      <c r="O26" s="102">
        <f t="shared" si="2"/>
        <v>670</v>
      </c>
      <c r="P26" s="102">
        <f t="shared" si="3"/>
        <v>202.7</v>
      </c>
      <c r="Q26" s="102">
        <f t="shared" si="4"/>
        <v>1086.6000000000001</v>
      </c>
    </row>
    <row r="27" spans="1:17">
      <c r="A27" s="102">
        <v>1982</v>
      </c>
      <c r="B27" s="102">
        <v>38.799999999999997</v>
      </c>
      <c r="C27" s="102">
        <v>64.099999999999994</v>
      </c>
      <c r="D27" s="102">
        <v>27.5</v>
      </c>
      <c r="E27" s="102">
        <v>197.8</v>
      </c>
      <c r="F27" s="102">
        <v>189.3</v>
      </c>
      <c r="G27" s="102">
        <v>309.3</v>
      </c>
      <c r="H27" s="102">
        <v>35.299999999999997</v>
      </c>
      <c r="I27" s="102">
        <v>283.7</v>
      </c>
      <c r="J27" s="102">
        <v>246</v>
      </c>
      <c r="K27" s="102">
        <v>59.8</v>
      </c>
      <c r="L27" s="102">
        <v>127.1</v>
      </c>
      <c r="M27" s="102">
        <v>18.8</v>
      </c>
      <c r="N27" s="102">
        <f t="shared" si="1"/>
        <v>328.2</v>
      </c>
      <c r="O27" s="102">
        <f t="shared" si="2"/>
        <v>1063.5999999999999</v>
      </c>
      <c r="P27" s="102">
        <f t="shared" si="3"/>
        <v>205.7</v>
      </c>
      <c r="Q27" s="102">
        <f t="shared" si="4"/>
        <v>1597.4999999999998</v>
      </c>
    </row>
    <row r="28" spans="1:17">
      <c r="A28" s="102">
        <v>1983</v>
      </c>
      <c r="B28" s="102">
        <v>59.8</v>
      </c>
      <c r="C28" s="102">
        <v>63.3</v>
      </c>
      <c r="D28" s="102">
        <v>27.7</v>
      </c>
      <c r="E28" s="102">
        <v>164.8</v>
      </c>
      <c r="F28" s="102">
        <v>294.39999999999998</v>
      </c>
      <c r="G28" s="102">
        <v>435.7</v>
      </c>
      <c r="H28" s="102">
        <v>169.9</v>
      </c>
      <c r="I28" s="102">
        <v>51.1</v>
      </c>
      <c r="J28" s="102">
        <v>57.4</v>
      </c>
      <c r="K28" s="102">
        <v>68.900000000000006</v>
      </c>
      <c r="L28" s="102">
        <v>57.3</v>
      </c>
      <c r="M28" s="102">
        <v>37</v>
      </c>
      <c r="N28" s="102">
        <f t="shared" si="1"/>
        <v>315.60000000000002</v>
      </c>
      <c r="O28" s="102">
        <f t="shared" si="2"/>
        <v>1008.4999999999999</v>
      </c>
      <c r="P28" s="102">
        <f t="shared" si="3"/>
        <v>163.19999999999999</v>
      </c>
      <c r="Q28" s="102">
        <f t="shared" si="4"/>
        <v>1487.3000000000002</v>
      </c>
    </row>
    <row r="29" spans="1:17">
      <c r="A29" s="102">
        <v>1984</v>
      </c>
      <c r="B29" s="102">
        <v>21.4</v>
      </c>
      <c r="C29" s="102">
        <v>16.399999999999999</v>
      </c>
      <c r="D29" s="102">
        <v>27.8</v>
      </c>
      <c r="E29" s="102">
        <v>97.4</v>
      </c>
      <c r="F29" s="102">
        <v>385</v>
      </c>
      <c r="G29" s="102">
        <v>147.19999999999999</v>
      </c>
      <c r="H29" s="102">
        <v>115.7</v>
      </c>
      <c r="I29" s="102">
        <v>143.5</v>
      </c>
      <c r="J29" s="102">
        <v>96</v>
      </c>
      <c r="K29" s="102">
        <v>90.6</v>
      </c>
      <c r="L29" s="102">
        <v>27.1</v>
      </c>
      <c r="M29" s="102">
        <v>36.700000000000003</v>
      </c>
      <c r="N29" s="102">
        <f t="shared" si="1"/>
        <v>163</v>
      </c>
      <c r="O29" s="102">
        <f t="shared" si="2"/>
        <v>887.40000000000009</v>
      </c>
      <c r="P29" s="102">
        <f t="shared" si="3"/>
        <v>154.39999999999998</v>
      </c>
      <c r="Q29" s="102">
        <f t="shared" si="4"/>
        <v>1204.8</v>
      </c>
    </row>
    <row r="30" spans="1:17">
      <c r="A30" s="102">
        <v>1985</v>
      </c>
      <c r="B30" s="102">
        <v>12.3</v>
      </c>
      <c r="C30" s="102">
        <v>52.6</v>
      </c>
      <c r="D30" s="102">
        <v>48.1</v>
      </c>
      <c r="E30" s="102">
        <v>100.6</v>
      </c>
      <c r="F30" s="102">
        <v>299.3</v>
      </c>
      <c r="G30" s="102">
        <v>165.4</v>
      </c>
      <c r="H30" s="102">
        <v>132.19999999999999</v>
      </c>
      <c r="I30" s="102">
        <v>129.5</v>
      </c>
      <c r="J30" s="102">
        <v>79.8</v>
      </c>
      <c r="K30" s="102">
        <v>104.7</v>
      </c>
      <c r="L30" s="102">
        <v>63.9</v>
      </c>
      <c r="M30" s="102">
        <v>18.100000000000001</v>
      </c>
      <c r="N30" s="102">
        <f t="shared" si="1"/>
        <v>213.6</v>
      </c>
      <c r="O30" s="102">
        <f t="shared" si="2"/>
        <v>806.2</v>
      </c>
      <c r="P30" s="102">
        <f t="shared" si="3"/>
        <v>186.7</v>
      </c>
      <c r="Q30" s="102">
        <f t="shared" si="4"/>
        <v>1206.5</v>
      </c>
    </row>
    <row r="31" spans="1:17">
      <c r="A31" s="102">
        <v>1986</v>
      </c>
      <c r="B31" s="102">
        <v>16.600000000000001</v>
      </c>
      <c r="C31" s="102">
        <v>24.1</v>
      </c>
      <c r="D31" s="102">
        <v>70.8</v>
      </c>
      <c r="E31" s="102">
        <v>60.4</v>
      </c>
      <c r="F31" s="102">
        <v>91.5</v>
      </c>
      <c r="G31" s="102">
        <v>163.30000000000001</v>
      </c>
      <c r="H31" s="102">
        <v>252.2</v>
      </c>
      <c r="I31" s="102">
        <v>231.3</v>
      </c>
      <c r="J31" s="102">
        <v>37.6</v>
      </c>
      <c r="K31" s="102">
        <v>104.8</v>
      </c>
      <c r="L31" s="102">
        <v>25.1</v>
      </c>
      <c r="M31" s="102">
        <v>6.5</v>
      </c>
      <c r="N31" s="102">
        <f t="shared" si="1"/>
        <v>171.9</v>
      </c>
      <c r="O31" s="102">
        <f t="shared" si="2"/>
        <v>775.9</v>
      </c>
      <c r="P31" s="102">
        <f t="shared" si="3"/>
        <v>136.4</v>
      </c>
      <c r="Q31" s="102">
        <f t="shared" si="4"/>
        <v>1084.2</v>
      </c>
    </row>
    <row r="32" spans="1:17">
      <c r="A32" s="102">
        <v>1987</v>
      </c>
      <c r="B32" s="102">
        <v>40.1</v>
      </c>
      <c r="C32" s="102">
        <v>19.7</v>
      </c>
      <c r="D32" s="102">
        <v>22.3</v>
      </c>
      <c r="E32" s="102">
        <v>69.7</v>
      </c>
      <c r="F32" s="102">
        <v>165.7</v>
      </c>
      <c r="G32" s="102">
        <v>355.3</v>
      </c>
      <c r="H32" s="102">
        <v>193.7</v>
      </c>
      <c r="I32" s="102">
        <v>142.69999999999999</v>
      </c>
      <c r="J32" s="102">
        <v>62.9</v>
      </c>
      <c r="K32" s="102">
        <v>137.69999999999999</v>
      </c>
      <c r="L32" s="102">
        <v>73.3</v>
      </c>
      <c r="M32" s="102">
        <v>7.8</v>
      </c>
      <c r="N32" s="102">
        <f t="shared" si="1"/>
        <v>151.80000000000001</v>
      </c>
      <c r="O32" s="102">
        <f t="shared" si="2"/>
        <v>920.30000000000007</v>
      </c>
      <c r="P32" s="102">
        <f t="shared" si="3"/>
        <v>218.8</v>
      </c>
      <c r="Q32" s="102">
        <f t="shared" si="4"/>
        <v>1290.9000000000001</v>
      </c>
    </row>
    <row r="33" spans="1:17">
      <c r="A33" s="102">
        <v>1988</v>
      </c>
      <c r="B33" s="102">
        <v>23.3</v>
      </c>
      <c r="C33" s="102">
        <v>61</v>
      </c>
      <c r="D33" s="102">
        <v>38.9</v>
      </c>
      <c r="E33" s="102">
        <v>75.400000000000006</v>
      </c>
      <c r="F33" s="102">
        <v>150.6</v>
      </c>
      <c r="G33" s="102">
        <v>293.7</v>
      </c>
      <c r="H33" s="102">
        <v>87.4</v>
      </c>
      <c r="I33" s="102">
        <v>412.1</v>
      </c>
      <c r="J33" s="102">
        <v>116.6</v>
      </c>
      <c r="K33" s="102">
        <v>70.900000000000006</v>
      </c>
      <c r="L33" s="102">
        <v>2</v>
      </c>
      <c r="M33" s="102">
        <v>10.4</v>
      </c>
      <c r="N33" s="102">
        <f t="shared" si="1"/>
        <v>198.6</v>
      </c>
      <c r="O33" s="102">
        <f t="shared" si="2"/>
        <v>1060.3999999999999</v>
      </c>
      <c r="P33" s="102">
        <f t="shared" si="3"/>
        <v>83.300000000000011</v>
      </c>
      <c r="Q33" s="102">
        <f t="shared" si="4"/>
        <v>1342.3000000000002</v>
      </c>
    </row>
    <row r="34" spans="1:17">
      <c r="A34" s="102">
        <v>1989</v>
      </c>
      <c r="B34" s="102">
        <v>32.4</v>
      </c>
      <c r="C34" s="102">
        <v>52.6</v>
      </c>
      <c r="D34" s="102">
        <v>69.099999999999994</v>
      </c>
      <c r="E34" s="102">
        <v>83.8</v>
      </c>
      <c r="F34" s="102">
        <v>138.6</v>
      </c>
      <c r="G34" s="102">
        <v>227.4</v>
      </c>
      <c r="H34" s="102">
        <v>73.7</v>
      </c>
      <c r="I34" s="102">
        <v>67.3</v>
      </c>
      <c r="J34" s="102">
        <v>183</v>
      </c>
      <c r="K34" s="102">
        <v>171.6</v>
      </c>
      <c r="L34" s="102">
        <v>26.7</v>
      </c>
      <c r="M34" s="102">
        <v>65.7</v>
      </c>
      <c r="N34" s="102">
        <f t="shared" si="1"/>
        <v>237.89999999999998</v>
      </c>
      <c r="O34" s="102">
        <f t="shared" si="2"/>
        <v>690</v>
      </c>
      <c r="P34" s="102">
        <f t="shared" si="3"/>
        <v>264</v>
      </c>
      <c r="Q34" s="102">
        <f t="shared" si="4"/>
        <v>1191.9000000000001</v>
      </c>
    </row>
    <row r="35" spans="1:17">
      <c r="A35" s="102">
        <v>1990</v>
      </c>
      <c r="B35" s="102">
        <v>53</v>
      </c>
      <c r="C35" s="102">
        <v>46.6</v>
      </c>
      <c r="D35" s="102">
        <v>79.7</v>
      </c>
      <c r="E35" s="102">
        <v>120.1</v>
      </c>
      <c r="F35" s="102">
        <v>250.7</v>
      </c>
      <c r="G35" s="102">
        <v>278.60000000000002</v>
      </c>
      <c r="H35" s="102">
        <v>184.7</v>
      </c>
      <c r="I35" s="102">
        <v>62.7</v>
      </c>
      <c r="J35" s="102">
        <v>217.9</v>
      </c>
      <c r="K35" s="102">
        <v>92.9</v>
      </c>
      <c r="L35" s="102">
        <v>70.400000000000006</v>
      </c>
      <c r="M35" s="102">
        <v>15.8</v>
      </c>
      <c r="N35" s="102">
        <f t="shared" si="1"/>
        <v>299.39999999999998</v>
      </c>
      <c r="O35" s="102">
        <f t="shared" si="2"/>
        <v>994.6</v>
      </c>
      <c r="P35" s="102">
        <f t="shared" si="3"/>
        <v>179.10000000000002</v>
      </c>
      <c r="Q35" s="102">
        <f t="shared" si="4"/>
        <v>1473.1000000000001</v>
      </c>
    </row>
    <row r="36" spans="1:17">
      <c r="A36" s="102">
        <v>1991</v>
      </c>
      <c r="B36" s="102">
        <v>89.6</v>
      </c>
      <c r="C36" s="102">
        <v>17.8</v>
      </c>
      <c r="D36" s="102">
        <v>68.099999999999994</v>
      </c>
      <c r="E36" s="102">
        <v>75.7</v>
      </c>
      <c r="F36" s="102">
        <v>112.7</v>
      </c>
      <c r="G36" s="102">
        <v>311.7</v>
      </c>
      <c r="H36" s="102">
        <v>158.5</v>
      </c>
      <c r="I36" s="102">
        <v>113</v>
      </c>
      <c r="J36" s="102">
        <v>116.3</v>
      </c>
      <c r="K36" s="102">
        <v>78.5</v>
      </c>
      <c r="L36" s="102">
        <v>69.599999999999994</v>
      </c>
      <c r="M36" s="102">
        <v>24.8</v>
      </c>
      <c r="N36" s="102">
        <f t="shared" si="1"/>
        <v>251.2</v>
      </c>
      <c r="O36" s="102">
        <f t="shared" si="2"/>
        <v>812.19999999999993</v>
      </c>
      <c r="P36" s="102">
        <f t="shared" si="3"/>
        <v>172.9</v>
      </c>
      <c r="Q36" s="102">
        <f t="shared" si="4"/>
        <v>1236.2999999999997</v>
      </c>
    </row>
    <row r="37" spans="1:17">
      <c r="A37" s="102">
        <v>1992</v>
      </c>
      <c r="B37" s="102">
        <v>52.8</v>
      </c>
      <c r="C37" s="102">
        <v>56.9</v>
      </c>
      <c r="D37" s="102">
        <v>58.3</v>
      </c>
      <c r="E37" s="102">
        <v>92.6</v>
      </c>
      <c r="F37" s="102">
        <v>282.8</v>
      </c>
      <c r="G37" s="102">
        <v>197.1</v>
      </c>
      <c r="H37" s="102">
        <v>266.39999999999998</v>
      </c>
      <c r="I37" s="102">
        <v>25.2</v>
      </c>
      <c r="J37" s="102">
        <v>38.6</v>
      </c>
      <c r="K37" s="102">
        <v>35.9</v>
      </c>
      <c r="L37" s="102">
        <v>10.5</v>
      </c>
      <c r="M37" s="102">
        <v>56</v>
      </c>
      <c r="N37" s="102">
        <f t="shared" si="1"/>
        <v>260.60000000000002</v>
      </c>
      <c r="O37" s="102">
        <f t="shared" si="2"/>
        <v>810.1</v>
      </c>
      <c r="P37" s="102">
        <f t="shared" si="3"/>
        <v>102.4</v>
      </c>
      <c r="Q37" s="102">
        <f t="shared" si="4"/>
        <v>1173.1000000000001</v>
      </c>
    </row>
    <row r="38" spans="1:17">
      <c r="A38" s="102">
        <v>1993</v>
      </c>
      <c r="B38" s="102">
        <v>29.7</v>
      </c>
      <c r="C38" s="102">
        <v>57</v>
      </c>
      <c r="D38" s="102">
        <v>29.6</v>
      </c>
      <c r="E38" s="102">
        <v>94.5</v>
      </c>
      <c r="F38" s="102">
        <v>180.5</v>
      </c>
      <c r="G38" s="102">
        <v>192.9</v>
      </c>
      <c r="H38" s="102">
        <v>557.5</v>
      </c>
      <c r="I38" s="102">
        <v>114.7</v>
      </c>
      <c r="J38" s="102">
        <v>149.69999999999999</v>
      </c>
      <c r="K38" s="102">
        <v>30.7</v>
      </c>
      <c r="L38" s="102">
        <v>24.7</v>
      </c>
      <c r="M38" s="102">
        <v>18.100000000000001</v>
      </c>
      <c r="N38" s="102">
        <f t="shared" si="1"/>
        <v>210.8</v>
      </c>
      <c r="O38" s="102">
        <f t="shared" si="2"/>
        <v>1195.3</v>
      </c>
      <c r="P38" s="102">
        <f t="shared" si="3"/>
        <v>73.5</v>
      </c>
      <c r="Q38" s="102">
        <f t="shared" si="4"/>
        <v>1479.6000000000001</v>
      </c>
    </row>
    <row r="39" spans="1:17">
      <c r="A39" s="102">
        <v>1994</v>
      </c>
      <c r="B39" s="102">
        <v>12.8</v>
      </c>
      <c r="C39" s="102">
        <v>35.799999999999997</v>
      </c>
      <c r="D39" s="102">
        <v>58</v>
      </c>
      <c r="E39" s="102">
        <v>97.8</v>
      </c>
      <c r="F39" s="102">
        <v>311.60000000000002</v>
      </c>
      <c r="G39" s="102">
        <v>124.9</v>
      </c>
      <c r="H39" s="102">
        <v>317.60000000000002</v>
      </c>
      <c r="I39" s="102">
        <v>105.9</v>
      </c>
      <c r="J39" s="102">
        <v>186.3</v>
      </c>
      <c r="K39" s="102">
        <v>165.1</v>
      </c>
      <c r="L39" s="102">
        <v>72.599999999999994</v>
      </c>
      <c r="M39" s="102">
        <v>56.7</v>
      </c>
      <c r="N39" s="102">
        <f t="shared" si="1"/>
        <v>204.39999999999998</v>
      </c>
      <c r="O39" s="102">
        <f t="shared" si="2"/>
        <v>1046.3</v>
      </c>
      <c r="P39" s="102">
        <f t="shared" si="3"/>
        <v>294.39999999999998</v>
      </c>
      <c r="Q39" s="102">
        <f t="shared" si="4"/>
        <v>1545.1</v>
      </c>
    </row>
    <row r="40" spans="1:17">
      <c r="A40" s="102">
        <v>1995</v>
      </c>
      <c r="B40" s="102">
        <v>26.1</v>
      </c>
      <c r="C40" s="102">
        <v>99.6</v>
      </c>
      <c r="D40" s="102">
        <v>50</v>
      </c>
      <c r="E40" s="102">
        <v>75.900000000000006</v>
      </c>
      <c r="F40" s="102">
        <v>299.10000000000002</v>
      </c>
      <c r="G40" s="102">
        <v>406.6</v>
      </c>
      <c r="H40" s="102">
        <v>115.8</v>
      </c>
      <c r="I40" s="102">
        <v>173.7</v>
      </c>
      <c r="J40" s="102">
        <v>137.9</v>
      </c>
      <c r="K40" s="102">
        <v>25.5</v>
      </c>
      <c r="L40" s="102">
        <v>56.3</v>
      </c>
      <c r="M40" s="102">
        <v>5.8</v>
      </c>
      <c r="N40" s="102">
        <f t="shared" si="1"/>
        <v>251.6</v>
      </c>
      <c r="O40" s="102">
        <f t="shared" si="2"/>
        <v>1133.1000000000001</v>
      </c>
      <c r="P40" s="102">
        <f t="shared" si="3"/>
        <v>87.6</v>
      </c>
      <c r="Q40" s="102">
        <f t="shared" si="4"/>
        <v>1472.3000000000002</v>
      </c>
    </row>
    <row r="41" spans="1:17">
      <c r="A41" s="102">
        <v>1996</v>
      </c>
      <c r="B41" s="102">
        <v>22.1</v>
      </c>
      <c r="C41" s="102">
        <v>1.2</v>
      </c>
      <c r="D41" s="102">
        <v>86.4</v>
      </c>
      <c r="E41" s="102">
        <v>65.599999999999994</v>
      </c>
      <c r="F41" s="102">
        <v>308.2</v>
      </c>
      <c r="G41" s="102">
        <v>244.7</v>
      </c>
      <c r="H41" s="102">
        <v>247.2</v>
      </c>
      <c r="I41" s="102">
        <v>154.80000000000001</v>
      </c>
      <c r="J41" s="102">
        <v>4.3</v>
      </c>
      <c r="K41" s="102">
        <v>37.9</v>
      </c>
      <c r="L41" s="102">
        <v>60.5</v>
      </c>
      <c r="M41" s="102">
        <v>15.7</v>
      </c>
      <c r="N41" s="102">
        <f t="shared" si="1"/>
        <v>175.3</v>
      </c>
      <c r="O41" s="102">
        <f t="shared" si="2"/>
        <v>959.19999999999982</v>
      </c>
      <c r="P41" s="102">
        <f t="shared" si="3"/>
        <v>114.10000000000001</v>
      </c>
      <c r="Q41" s="102">
        <f t="shared" si="4"/>
        <v>1248.6000000000001</v>
      </c>
    </row>
    <row r="42" spans="1:17">
      <c r="A42" s="102">
        <v>1997</v>
      </c>
      <c r="B42" s="102">
        <v>47.2</v>
      </c>
      <c r="C42" s="102">
        <v>51.8</v>
      </c>
      <c r="D42" s="102">
        <v>61.4</v>
      </c>
      <c r="E42" s="102">
        <v>125.4</v>
      </c>
      <c r="F42" s="102">
        <v>117.8</v>
      </c>
      <c r="G42" s="102">
        <v>318.60000000000002</v>
      </c>
      <c r="H42" s="102">
        <v>327.3</v>
      </c>
      <c r="I42" s="102">
        <v>61.7</v>
      </c>
      <c r="J42" s="102">
        <v>211.9</v>
      </c>
      <c r="K42" s="102">
        <v>234.8</v>
      </c>
      <c r="L42" s="102">
        <v>48.3</v>
      </c>
      <c r="M42" s="102">
        <v>53.5</v>
      </c>
      <c r="N42" s="102">
        <f t="shared" si="1"/>
        <v>285.8</v>
      </c>
      <c r="O42" s="102">
        <f t="shared" si="2"/>
        <v>1037.3000000000002</v>
      </c>
      <c r="P42" s="102">
        <f t="shared" si="3"/>
        <v>336.6</v>
      </c>
      <c r="Q42" s="102">
        <f t="shared" si="4"/>
        <v>1659.7</v>
      </c>
    </row>
    <row r="43" spans="1:17">
      <c r="A43" s="102">
        <v>1998</v>
      </c>
      <c r="B43" s="102">
        <v>56.5</v>
      </c>
      <c r="C43" s="102">
        <v>44.5</v>
      </c>
      <c r="D43" s="102">
        <v>60.3</v>
      </c>
      <c r="E43" s="102">
        <v>98.6</v>
      </c>
      <c r="F43" s="102">
        <v>171.9</v>
      </c>
      <c r="G43" s="102">
        <v>223.4</v>
      </c>
      <c r="H43" s="102">
        <v>274.10000000000002</v>
      </c>
      <c r="I43" s="102">
        <v>80.099999999999994</v>
      </c>
      <c r="J43" s="102">
        <v>32.6</v>
      </c>
      <c r="K43" s="102">
        <v>56.9</v>
      </c>
      <c r="L43" s="102">
        <v>12.2</v>
      </c>
      <c r="M43" s="102">
        <v>8.6999999999999993</v>
      </c>
      <c r="N43" s="102">
        <f t="shared" si="1"/>
        <v>259.89999999999998</v>
      </c>
      <c r="O43" s="102">
        <f t="shared" si="2"/>
        <v>782.10000000000014</v>
      </c>
      <c r="P43" s="102">
        <f t="shared" si="3"/>
        <v>77.8</v>
      </c>
      <c r="Q43" s="102">
        <f t="shared" si="4"/>
        <v>1119.8000000000002</v>
      </c>
    </row>
    <row r="44" spans="1:17">
      <c r="A44" s="102">
        <v>1999</v>
      </c>
      <c r="B44" s="102">
        <v>20.9</v>
      </c>
      <c r="C44" s="102">
        <v>8.1</v>
      </c>
      <c r="D44" s="102">
        <v>34.9</v>
      </c>
      <c r="E44" s="102">
        <v>66.8</v>
      </c>
      <c r="F44" s="102">
        <v>135.9</v>
      </c>
      <c r="G44" s="102">
        <v>145.19999999999999</v>
      </c>
      <c r="H44" s="102">
        <v>356.6</v>
      </c>
      <c r="I44" s="102">
        <v>238.8</v>
      </c>
      <c r="J44" s="102">
        <v>109.7</v>
      </c>
      <c r="K44" s="102">
        <v>66.2</v>
      </c>
      <c r="L44" s="102">
        <v>34.9</v>
      </c>
      <c r="M44" s="102">
        <v>2.2999999999999998</v>
      </c>
      <c r="N44" s="102">
        <f t="shared" si="1"/>
        <v>130.69999999999999</v>
      </c>
      <c r="O44" s="102">
        <f t="shared" si="2"/>
        <v>986.2</v>
      </c>
      <c r="P44" s="102">
        <f t="shared" si="3"/>
        <v>103.39999999999999</v>
      </c>
      <c r="Q44" s="102">
        <f t="shared" si="4"/>
        <v>1220.3000000000002</v>
      </c>
    </row>
    <row r="45" spans="1:17">
      <c r="A45" s="102">
        <v>2000</v>
      </c>
      <c r="B45" s="102">
        <v>18.899999999999999</v>
      </c>
      <c r="C45" s="102">
        <v>18.3</v>
      </c>
      <c r="D45" s="102">
        <v>97.8</v>
      </c>
      <c r="E45" s="102">
        <v>163.30000000000001</v>
      </c>
      <c r="F45" s="102">
        <v>239.3</v>
      </c>
      <c r="G45" s="102">
        <v>533.79999999999995</v>
      </c>
      <c r="H45" s="102">
        <v>108.7</v>
      </c>
      <c r="I45" s="102">
        <v>210.8</v>
      </c>
      <c r="J45" s="102">
        <v>85.4</v>
      </c>
      <c r="K45" s="102">
        <v>80.8</v>
      </c>
      <c r="L45" s="102">
        <v>30.9</v>
      </c>
      <c r="M45" s="102">
        <v>17.2</v>
      </c>
      <c r="N45" s="102">
        <f t="shared" si="1"/>
        <v>298.3</v>
      </c>
      <c r="O45" s="102">
        <f t="shared" si="2"/>
        <v>1178</v>
      </c>
      <c r="P45" s="102">
        <f t="shared" si="3"/>
        <v>128.89999999999998</v>
      </c>
      <c r="Q45" s="102">
        <f t="shared" si="4"/>
        <v>1605.2000000000003</v>
      </c>
    </row>
    <row r="46" spans="1:17">
      <c r="A46" s="102">
        <v>2001</v>
      </c>
      <c r="B46" s="102">
        <v>16.2</v>
      </c>
      <c r="C46" s="102">
        <v>37.799999999999997</v>
      </c>
      <c r="D46" s="102">
        <v>68.7</v>
      </c>
      <c r="E46" s="102">
        <v>190.8</v>
      </c>
      <c r="F46" s="102">
        <v>65.400000000000006</v>
      </c>
      <c r="G46" s="102">
        <v>287</v>
      </c>
      <c r="H46" s="102">
        <v>174.1</v>
      </c>
      <c r="I46" s="102">
        <v>72.5</v>
      </c>
      <c r="J46" s="102">
        <v>8.1999999999999993</v>
      </c>
      <c r="K46" s="102">
        <v>145.9</v>
      </c>
      <c r="L46" s="102">
        <v>61.2</v>
      </c>
      <c r="M46" s="102">
        <v>14</v>
      </c>
      <c r="N46" s="102">
        <f t="shared" si="1"/>
        <v>313.5</v>
      </c>
      <c r="O46" s="102">
        <f t="shared" si="2"/>
        <v>607.20000000000005</v>
      </c>
      <c r="P46" s="102">
        <f t="shared" si="3"/>
        <v>221.10000000000002</v>
      </c>
      <c r="Q46" s="102">
        <f t="shared" si="4"/>
        <v>1141.8000000000002</v>
      </c>
    </row>
    <row r="47" spans="1:17">
      <c r="A47" s="102">
        <v>2002</v>
      </c>
      <c r="B47" s="102">
        <v>17.8</v>
      </c>
      <c r="C47" s="102">
        <v>84.6</v>
      </c>
      <c r="D47" s="102">
        <v>69.599999999999994</v>
      </c>
      <c r="E47" s="102">
        <v>159.5</v>
      </c>
      <c r="F47" s="102">
        <v>304.7</v>
      </c>
      <c r="G47" s="102">
        <v>138.1</v>
      </c>
      <c r="H47" s="102">
        <v>259.3</v>
      </c>
      <c r="I47" s="102">
        <v>320.2</v>
      </c>
      <c r="J47" s="102">
        <v>13.8</v>
      </c>
      <c r="K47" s="102">
        <v>129.1</v>
      </c>
      <c r="L47" s="102">
        <v>6.6</v>
      </c>
      <c r="M47" s="102">
        <v>57.9</v>
      </c>
      <c r="N47" s="102">
        <f t="shared" si="1"/>
        <v>331.5</v>
      </c>
      <c r="O47" s="102">
        <f t="shared" si="2"/>
        <v>1036.0999999999999</v>
      </c>
      <c r="P47" s="102">
        <f t="shared" si="3"/>
        <v>193.6</v>
      </c>
      <c r="Q47" s="102">
        <f t="shared" si="4"/>
        <v>1561.2</v>
      </c>
    </row>
    <row r="48" spans="1:17">
      <c r="A48" s="102">
        <v>2003</v>
      </c>
      <c r="B48" s="102">
        <v>49.5</v>
      </c>
      <c r="C48" s="102">
        <v>23.8</v>
      </c>
      <c r="D48" s="102">
        <v>49.4</v>
      </c>
      <c r="E48" s="102">
        <v>127.9</v>
      </c>
      <c r="F48" s="102">
        <v>189.1</v>
      </c>
      <c r="G48" s="102">
        <v>207.6</v>
      </c>
      <c r="H48" s="102">
        <v>139.30000000000001</v>
      </c>
      <c r="I48" s="102">
        <v>99.6</v>
      </c>
      <c r="J48" s="102">
        <v>66.7</v>
      </c>
      <c r="K48" s="102">
        <v>79.7</v>
      </c>
      <c r="L48" s="102">
        <v>13.5</v>
      </c>
      <c r="M48" s="102">
        <v>27.1</v>
      </c>
      <c r="N48" s="102">
        <f t="shared" si="1"/>
        <v>250.6</v>
      </c>
      <c r="O48" s="102">
        <f t="shared" si="2"/>
        <v>702.30000000000007</v>
      </c>
      <c r="P48" s="102">
        <f t="shared" si="3"/>
        <v>120.30000000000001</v>
      </c>
      <c r="Q48" s="102">
        <f t="shared" si="4"/>
        <v>1073.1999999999998</v>
      </c>
    </row>
    <row r="49" spans="1:33">
      <c r="A49" s="102">
        <v>2004</v>
      </c>
      <c r="B49" s="103">
        <v>41.7</v>
      </c>
      <c r="C49" s="103">
        <v>59.8</v>
      </c>
      <c r="D49" s="103">
        <v>45.7</v>
      </c>
      <c r="E49" s="103">
        <v>194.5</v>
      </c>
      <c r="F49" s="103">
        <v>216.8</v>
      </c>
      <c r="G49" s="103">
        <v>215.8</v>
      </c>
      <c r="H49" s="103">
        <v>264.39999999999998</v>
      </c>
      <c r="I49" s="103">
        <v>138.6</v>
      </c>
      <c r="J49" s="103">
        <v>40.4</v>
      </c>
      <c r="K49" s="103">
        <v>4.8</v>
      </c>
      <c r="L49" s="103">
        <v>93</v>
      </c>
      <c r="M49" s="103">
        <v>15</v>
      </c>
      <c r="N49" s="102">
        <f t="shared" si="1"/>
        <v>341.7</v>
      </c>
      <c r="O49" s="102">
        <f t="shared" si="2"/>
        <v>876</v>
      </c>
      <c r="P49" s="102">
        <f t="shared" si="3"/>
        <v>112.8</v>
      </c>
      <c r="Q49" s="102">
        <f t="shared" si="4"/>
        <v>1330.4999999999998</v>
      </c>
    </row>
    <row r="50" spans="1:33">
      <c r="A50" s="102">
        <v>2005</v>
      </c>
      <c r="B50" s="103">
        <v>39.700000000000003</v>
      </c>
      <c r="C50" s="103">
        <v>8.9</v>
      </c>
      <c r="D50" s="103">
        <v>65.2</v>
      </c>
      <c r="E50" s="103">
        <v>40.200000000000003</v>
      </c>
      <c r="F50" s="103">
        <v>259.60000000000002</v>
      </c>
      <c r="G50" s="103">
        <v>434</v>
      </c>
      <c r="H50" s="103">
        <v>105.6</v>
      </c>
      <c r="I50" s="103">
        <v>135.4</v>
      </c>
      <c r="J50" s="103">
        <v>38.700000000000003</v>
      </c>
      <c r="K50" s="102">
        <v>21.1</v>
      </c>
      <c r="L50" s="102">
        <v>19.899999999999999</v>
      </c>
      <c r="M50" s="102">
        <v>30.4</v>
      </c>
      <c r="N50" s="102">
        <f t="shared" si="1"/>
        <v>154</v>
      </c>
      <c r="O50" s="102">
        <f t="shared" si="2"/>
        <v>973.30000000000007</v>
      </c>
      <c r="P50" s="102">
        <f t="shared" si="3"/>
        <v>71.400000000000006</v>
      </c>
      <c r="Q50" s="102">
        <f t="shared" si="4"/>
        <v>1198.7000000000003</v>
      </c>
    </row>
    <row r="51" spans="1:33">
      <c r="A51" s="102">
        <v>2006</v>
      </c>
      <c r="B51" s="102">
        <v>8</v>
      </c>
      <c r="C51" s="102">
        <v>41.7</v>
      </c>
      <c r="D51" s="102">
        <v>61.1</v>
      </c>
      <c r="E51" s="102">
        <v>113</v>
      </c>
      <c r="F51" s="102">
        <v>149.5</v>
      </c>
      <c r="G51" s="102">
        <v>535.79999999999995</v>
      </c>
      <c r="H51" s="102">
        <v>126.2</v>
      </c>
      <c r="I51" s="102">
        <v>126.3</v>
      </c>
      <c r="J51" s="102">
        <v>45.3</v>
      </c>
      <c r="K51" s="102">
        <v>124.7</v>
      </c>
      <c r="L51" s="102">
        <v>39.1</v>
      </c>
      <c r="M51" s="102">
        <v>11.7</v>
      </c>
      <c r="N51" s="102">
        <f t="shared" si="1"/>
        <v>223.8</v>
      </c>
      <c r="O51" s="102">
        <f t="shared" si="2"/>
        <v>983.09999999999991</v>
      </c>
      <c r="P51" s="102">
        <f t="shared" si="3"/>
        <v>175.5</v>
      </c>
      <c r="Q51" s="102">
        <f t="shared" si="4"/>
        <v>1382.3999999999999</v>
      </c>
    </row>
    <row r="52" spans="1:33">
      <c r="A52" s="102">
        <v>2007</v>
      </c>
      <c r="B52" s="102">
        <v>31.2</v>
      </c>
      <c r="C52" s="102">
        <v>40</v>
      </c>
      <c r="D52" s="102">
        <v>62.3</v>
      </c>
      <c r="E52" s="102">
        <v>90.4</v>
      </c>
      <c r="F52" s="102">
        <v>131.9</v>
      </c>
      <c r="G52" s="102">
        <v>329.3</v>
      </c>
      <c r="H52" s="102">
        <v>346.6</v>
      </c>
      <c r="I52" s="102">
        <v>135.1</v>
      </c>
      <c r="J52" s="102">
        <v>63</v>
      </c>
      <c r="K52" s="102">
        <v>2.4</v>
      </c>
      <c r="L52" s="102">
        <v>1.2</v>
      </c>
      <c r="M52" s="102">
        <v>17.7</v>
      </c>
      <c r="N52" s="102">
        <f t="shared" si="1"/>
        <v>223.9</v>
      </c>
      <c r="O52" s="102">
        <f t="shared" si="2"/>
        <v>1005.9000000000001</v>
      </c>
      <c r="P52" s="102">
        <f t="shared" si="3"/>
        <v>21.299999999999997</v>
      </c>
      <c r="Q52" s="102">
        <f t="shared" si="4"/>
        <v>1251.1000000000001</v>
      </c>
    </row>
    <row r="53" spans="1:33">
      <c r="A53" s="102">
        <v>2008</v>
      </c>
      <c r="B53" s="102">
        <v>26.2</v>
      </c>
      <c r="C53" s="102">
        <v>32.700000000000003</v>
      </c>
      <c r="D53" s="102">
        <v>36.700000000000003</v>
      </c>
      <c r="E53" s="102">
        <v>130.19999999999999</v>
      </c>
      <c r="F53" s="102">
        <v>383.8</v>
      </c>
      <c r="G53" s="102">
        <v>117.3</v>
      </c>
      <c r="H53" s="102">
        <v>269.3</v>
      </c>
      <c r="I53" s="102">
        <v>404.6</v>
      </c>
      <c r="J53" s="102">
        <v>102.5</v>
      </c>
      <c r="K53" s="102">
        <v>69</v>
      </c>
      <c r="L53" s="102">
        <v>130.69999999999999</v>
      </c>
      <c r="M53" s="102">
        <v>20.3</v>
      </c>
      <c r="N53" s="102">
        <f t="shared" si="1"/>
        <v>225.8</v>
      </c>
      <c r="O53" s="102">
        <f t="shared" si="2"/>
        <v>1277.5</v>
      </c>
      <c r="P53" s="102">
        <f t="shared" si="3"/>
        <v>220</v>
      </c>
      <c r="Q53" s="102">
        <f t="shared" si="4"/>
        <v>1723.3000000000002</v>
      </c>
    </row>
    <row r="54" spans="1:33">
      <c r="A54" s="102">
        <v>2009</v>
      </c>
      <c r="B54" s="102">
        <v>14.8</v>
      </c>
      <c r="C54" s="102">
        <v>14.7</v>
      </c>
      <c r="D54" s="102">
        <v>104.5</v>
      </c>
      <c r="E54" s="102">
        <v>135.5</v>
      </c>
      <c r="F54" s="102">
        <v>181.2</v>
      </c>
      <c r="G54" s="102">
        <v>302.2</v>
      </c>
      <c r="H54" s="102">
        <v>195.5</v>
      </c>
      <c r="I54" s="102">
        <v>53.6</v>
      </c>
      <c r="J54" s="102">
        <v>42.6</v>
      </c>
      <c r="K54" s="102">
        <v>40.9</v>
      </c>
      <c r="L54" s="102">
        <v>19.5</v>
      </c>
      <c r="M54" s="102">
        <v>19.3</v>
      </c>
      <c r="N54" s="102">
        <f t="shared" si="1"/>
        <v>269.5</v>
      </c>
      <c r="O54" s="102">
        <f t="shared" si="2"/>
        <v>775.1</v>
      </c>
      <c r="P54" s="102">
        <f t="shared" si="3"/>
        <v>79.7</v>
      </c>
      <c r="Q54" s="102">
        <f t="shared" si="4"/>
        <v>1124.3</v>
      </c>
    </row>
    <row r="55" spans="1:33">
      <c r="A55" s="102">
        <v>2010</v>
      </c>
      <c r="B55" s="102">
        <v>8.1</v>
      </c>
      <c r="C55" s="102">
        <v>4.2</v>
      </c>
      <c r="D55" s="102">
        <v>9.8000000000000007</v>
      </c>
      <c r="E55" s="102">
        <v>53.6</v>
      </c>
      <c r="F55" s="102">
        <v>176.3</v>
      </c>
      <c r="G55" s="102">
        <v>336.6</v>
      </c>
      <c r="H55" s="102">
        <v>313.89999999999998</v>
      </c>
      <c r="I55" s="102">
        <v>103</v>
      </c>
      <c r="J55" s="102">
        <v>128.19999999999999</v>
      </c>
      <c r="K55" s="102">
        <v>49.1</v>
      </c>
      <c r="L55" s="102">
        <v>49.3</v>
      </c>
      <c r="M55" s="102">
        <v>55.3</v>
      </c>
      <c r="N55" s="102">
        <f t="shared" si="1"/>
        <v>75.7</v>
      </c>
      <c r="O55" s="102">
        <f t="shared" si="2"/>
        <v>1058</v>
      </c>
      <c r="P55" s="102">
        <f t="shared" si="3"/>
        <v>153.69999999999999</v>
      </c>
      <c r="Q55" s="102">
        <f t="shared" si="4"/>
        <v>1287.3999999999999</v>
      </c>
    </row>
    <row r="56" spans="1:33">
      <c r="A56" s="102">
        <v>2011</v>
      </c>
      <c r="B56" s="102">
        <v>33.9</v>
      </c>
      <c r="C56" s="102">
        <v>11.2</v>
      </c>
      <c r="D56" s="102">
        <v>39</v>
      </c>
      <c r="E56" s="102">
        <v>63.5</v>
      </c>
      <c r="F56" s="102">
        <v>187.5</v>
      </c>
      <c r="G56" s="102">
        <v>271.39999999999998</v>
      </c>
      <c r="H56" s="102">
        <v>20.7</v>
      </c>
      <c r="I56" s="102">
        <v>34.700000000000003</v>
      </c>
      <c r="J56" s="102">
        <v>79.8</v>
      </c>
      <c r="K56" s="102">
        <v>159.19999999999999</v>
      </c>
      <c r="L56" s="102">
        <v>50.4</v>
      </c>
      <c r="M56" s="102">
        <v>5.6</v>
      </c>
      <c r="N56" s="102">
        <f t="shared" si="1"/>
        <v>147.6</v>
      </c>
      <c r="O56" s="102">
        <f t="shared" si="2"/>
        <v>594.09999999999991</v>
      </c>
      <c r="P56" s="102">
        <f t="shared" si="3"/>
        <v>215.2</v>
      </c>
      <c r="Q56" s="102">
        <f t="shared" si="4"/>
        <v>956.90000000000009</v>
      </c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</row>
    <row r="57" spans="1:33">
      <c r="A57" s="102">
        <v>2012</v>
      </c>
      <c r="B57" s="102">
        <v>51.9</v>
      </c>
      <c r="C57" s="102">
        <v>29.6</v>
      </c>
      <c r="D57" s="102">
        <v>55</v>
      </c>
      <c r="E57" s="102">
        <v>126.8</v>
      </c>
      <c r="F57" s="102">
        <v>256.5</v>
      </c>
      <c r="G57" s="102">
        <v>93.6</v>
      </c>
      <c r="H57" s="102">
        <v>264.3</v>
      </c>
      <c r="I57" s="102">
        <v>75.900000000000006</v>
      </c>
      <c r="J57" s="102">
        <v>55</v>
      </c>
      <c r="K57" s="102">
        <v>45.9</v>
      </c>
      <c r="L57" s="102">
        <v>66.900000000000006</v>
      </c>
      <c r="M57" s="102">
        <v>21.1</v>
      </c>
      <c r="N57" s="102">
        <f t="shared" si="1"/>
        <v>263.3</v>
      </c>
      <c r="O57" s="102">
        <f t="shared" si="2"/>
        <v>745.30000000000007</v>
      </c>
      <c r="P57" s="102">
        <f t="shared" si="3"/>
        <v>133.9</v>
      </c>
      <c r="Q57" s="102">
        <f t="shared" si="4"/>
        <v>1142.5</v>
      </c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</row>
    <row r="58" spans="1:33">
      <c r="A58" s="102">
        <v>2013</v>
      </c>
      <c r="B58" s="102">
        <v>9.1</v>
      </c>
      <c r="C58" s="102">
        <v>17.399999999999999</v>
      </c>
      <c r="D58" s="102">
        <v>116.7</v>
      </c>
      <c r="E58" s="102">
        <v>128.19999999999999</v>
      </c>
      <c r="F58" s="102">
        <v>162.30000000000001</v>
      </c>
      <c r="G58" s="102">
        <v>158.6</v>
      </c>
      <c r="H58" s="102">
        <v>38.1</v>
      </c>
      <c r="I58" s="102">
        <v>130.9</v>
      </c>
      <c r="J58" s="102">
        <v>93.1</v>
      </c>
      <c r="K58" s="102">
        <v>49</v>
      </c>
      <c r="L58" s="102">
        <v>39.4</v>
      </c>
      <c r="M58" s="102">
        <v>54.3</v>
      </c>
      <c r="N58" s="102">
        <f t="shared" si="1"/>
        <v>271.39999999999998</v>
      </c>
      <c r="O58" s="102">
        <f t="shared" si="2"/>
        <v>583</v>
      </c>
      <c r="P58" s="102">
        <f t="shared" si="3"/>
        <v>142.69999999999999</v>
      </c>
      <c r="Q58" s="102">
        <f t="shared" si="4"/>
        <v>997.09999999999991</v>
      </c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</row>
    <row r="59" spans="1:33">
      <c r="A59" s="102">
        <v>2014</v>
      </c>
      <c r="B59" s="128">
        <v>11</v>
      </c>
      <c r="C59" s="128">
        <v>50.1</v>
      </c>
      <c r="D59" s="128">
        <v>91.8</v>
      </c>
      <c r="E59" s="128">
        <v>97.6</v>
      </c>
      <c r="F59" s="128">
        <v>254.5</v>
      </c>
      <c r="G59" s="128">
        <v>302.89999999999998</v>
      </c>
      <c r="H59" s="128">
        <v>147.6</v>
      </c>
      <c r="I59" s="128">
        <v>198.2</v>
      </c>
      <c r="J59" s="128">
        <v>123.2</v>
      </c>
      <c r="K59" s="128">
        <v>80.8</v>
      </c>
      <c r="L59" s="128">
        <v>86.8</v>
      </c>
      <c r="M59" s="128">
        <v>4.0999999999999996</v>
      </c>
      <c r="N59" s="102">
        <f t="shared" si="1"/>
        <v>250.5</v>
      </c>
      <c r="O59" s="102">
        <f t="shared" si="2"/>
        <v>1026.4000000000001</v>
      </c>
      <c r="P59" s="102">
        <f t="shared" si="3"/>
        <v>171.7</v>
      </c>
      <c r="Q59" s="102">
        <f t="shared" si="4"/>
        <v>1448.6</v>
      </c>
    </row>
    <row r="60" spans="1:33">
      <c r="A60" s="102">
        <v>2015</v>
      </c>
      <c r="B60" s="134">
        <v>34.6</v>
      </c>
      <c r="C60" s="134">
        <v>21.5</v>
      </c>
      <c r="D60" s="134">
        <v>24.5</v>
      </c>
      <c r="E60" s="134">
        <v>124.2</v>
      </c>
      <c r="F60" s="134">
        <v>225.7</v>
      </c>
      <c r="G60" s="134">
        <v>350.5</v>
      </c>
      <c r="H60" s="134">
        <v>154.30000000000001</v>
      </c>
      <c r="I60" s="134">
        <v>291.5</v>
      </c>
      <c r="J60" s="134">
        <v>122.4</v>
      </c>
      <c r="K60" s="134">
        <v>97.2</v>
      </c>
      <c r="L60" s="134">
        <v>81.5</v>
      </c>
      <c r="M60" s="134">
        <v>81.900000000000006</v>
      </c>
      <c r="N60" s="102">
        <f t="shared" si="1"/>
        <v>204.8</v>
      </c>
      <c r="O60" s="102">
        <f t="shared" si="2"/>
        <v>1144.4000000000001</v>
      </c>
      <c r="P60" s="102">
        <f t="shared" si="3"/>
        <v>260.60000000000002</v>
      </c>
      <c r="Q60" s="102">
        <f t="shared" si="4"/>
        <v>1609.8000000000002</v>
      </c>
    </row>
    <row r="61" spans="1:33" ht="13.5">
      <c r="A61" s="102">
        <v>2016</v>
      </c>
      <c r="B61" s="128">
        <v>46.9</v>
      </c>
      <c r="C61" s="128">
        <v>9.1999999999999993</v>
      </c>
      <c r="D61" s="128">
        <v>83.1</v>
      </c>
      <c r="E61" s="128">
        <v>282.60000000000002</v>
      </c>
      <c r="F61" s="128">
        <v>224.1</v>
      </c>
      <c r="G61" s="128">
        <v>221.2</v>
      </c>
      <c r="H61" s="128">
        <v>327.7</v>
      </c>
      <c r="I61" s="128">
        <v>305.10000000000002</v>
      </c>
      <c r="J61" s="128">
        <v>37</v>
      </c>
      <c r="K61" s="128">
        <v>84.5</v>
      </c>
      <c r="L61" s="128">
        <v>57.3</v>
      </c>
      <c r="M61" s="128">
        <v>20.6</v>
      </c>
      <c r="N61" s="102">
        <f>SUM(B61:E61)</f>
        <v>421.8</v>
      </c>
      <c r="O61" s="102">
        <f>SUM(F61:J61)</f>
        <v>1115.0999999999999</v>
      </c>
      <c r="P61" s="102">
        <f>SUM(K61:M61)</f>
        <v>162.4</v>
      </c>
      <c r="Q61" s="102">
        <f>SUM(B61:M61)</f>
        <v>1699.3</v>
      </c>
      <c r="R61" s="129">
        <f t="shared" ref="R61:AG61" si="5">100*(B61-B4)/B4</f>
        <v>62.564991334488738</v>
      </c>
      <c r="S61" s="129">
        <f t="shared" si="5"/>
        <v>-73.29186106791083</v>
      </c>
      <c r="T61" s="129">
        <f t="shared" si="5"/>
        <v>49.83096686950644</v>
      </c>
      <c r="U61" s="129">
        <f t="shared" si="5"/>
        <v>126.21249589045011</v>
      </c>
      <c r="V61" s="129">
        <f t="shared" si="5"/>
        <v>2.56963515103963</v>
      </c>
      <c r="W61" s="129">
        <f t="shared" si="5"/>
        <v>-11.353471163686066</v>
      </c>
      <c r="X61" s="129">
        <f t="shared" si="5"/>
        <v>65.205570709662325</v>
      </c>
      <c r="Y61" s="129">
        <f t="shared" si="5"/>
        <v>92.147909895522886</v>
      </c>
      <c r="Z61" s="129">
        <f t="shared" si="5"/>
        <v>-59.865184209506836</v>
      </c>
      <c r="AA61" s="129">
        <f t="shared" si="5"/>
        <v>-9.2164837694727755</v>
      </c>
      <c r="AB61" s="129">
        <f t="shared" si="5"/>
        <v>3.8850038850038775</v>
      </c>
      <c r="AC61" s="129">
        <f t="shared" si="5"/>
        <v>-23.69361026590818</v>
      </c>
      <c r="AD61" s="129">
        <f t="shared" si="5"/>
        <v>73.091804431938144</v>
      </c>
      <c r="AE61" s="129">
        <f t="shared" si="5"/>
        <v>21.556894386965549</v>
      </c>
      <c r="AF61" s="129">
        <f t="shared" si="5"/>
        <v>-7.3229389585244213</v>
      </c>
      <c r="AG61" s="129">
        <f t="shared" si="5"/>
        <v>27.167787638528981</v>
      </c>
    </row>
  </sheetData>
  <mergeCells count="6">
    <mergeCell ref="A1:A3"/>
    <mergeCell ref="B1:Q1"/>
    <mergeCell ref="B2:M2"/>
    <mergeCell ref="R1:AG1"/>
    <mergeCell ref="N2:Q2"/>
    <mergeCell ref="R2:AG2"/>
  </mergeCells>
  <phoneticPr fontId="2" type="noConversion"/>
  <pageMargins left="0.75" right="0.75" top="1" bottom="1" header="0.5" footer="0.5"/>
  <headerFooter alignWithMargins="0"/>
</worksheet>
</file>

<file path=xl/worksheets/sheet42.xml><?xml version="1.0" encoding="utf-8"?>
<worksheet xmlns="http://schemas.openxmlformats.org/spreadsheetml/2006/main" xmlns:r="http://schemas.openxmlformats.org/officeDocument/2006/relationships">
  <sheetPr codeName="Sheet42"/>
  <dimension ref="A1:AH60"/>
  <sheetViews>
    <sheetView zoomScale="85" zoomScaleNormal="85" workbookViewId="0">
      <pane ySplit="5" topLeftCell="A6" activePane="bottomLeft" state="frozen"/>
      <selection pane="bottomLeft" activeCell="R60" sqref="R60"/>
    </sheetView>
  </sheetViews>
  <sheetFormatPr defaultRowHeight="12"/>
  <cols>
    <col min="1" max="34" width="7.125" style="102" customWidth="1"/>
    <col min="35" max="16384" width="9" style="102"/>
  </cols>
  <sheetData>
    <row r="1" spans="1:33" s="118" customFormat="1" ht="14.25" customHeight="1">
      <c r="A1" s="176" t="s">
        <v>172</v>
      </c>
      <c r="B1" s="176" t="s">
        <v>180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181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173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174</v>
      </c>
      <c r="O2" s="176"/>
      <c r="P2" s="176"/>
      <c r="Q2" s="176"/>
      <c r="R2" s="176" t="s">
        <v>175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 ht="24">
      <c r="A3" s="176"/>
      <c r="B3" s="124" t="s">
        <v>182</v>
      </c>
      <c r="C3" s="124" t="s">
        <v>183</v>
      </c>
      <c r="D3" s="124" t="s">
        <v>9</v>
      </c>
      <c r="E3" s="124" t="s">
        <v>10</v>
      </c>
      <c r="F3" s="124" t="s">
        <v>11</v>
      </c>
      <c r="G3" s="124" t="s">
        <v>12</v>
      </c>
      <c r="H3" s="124" t="s">
        <v>13</v>
      </c>
      <c r="I3" s="124" t="s">
        <v>14</v>
      </c>
      <c r="J3" s="124" t="s">
        <v>15</v>
      </c>
      <c r="K3" s="124" t="s">
        <v>16</v>
      </c>
      <c r="L3" s="124" t="s">
        <v>17</v>
      </c>
      <c r="M3" s="124" t="s">
        <v>18</v>
      </c>
      <c r="N3" s="124" t="s">
        <v>184</v>
      </c>
      <c r="O3" s="124" t="s">
        <v>185</v>
      </c>
      <c r="P3" s="124" t="s">
        <v>186</v>
      </c>
      <c r="Q3" s="124" t="s">
        <v>187</v>
      </c>
      <c r="R3" s="124" t="s">
        <v>182</v>
      </c>
      <c r="S3" s="124" t="s">
        <v>183</v>
      </c>
      <c r="T3" s="124" t="s">
        <v>188</v>
      </c>
      <c r="U3" s="124" t="s">
        <v>189</v>
      </c>
      <c r="V3" s="124" t="s">
        <v>190</v>
      </c>
      <c r="W3" s="124" t="s">
        <v>191</v>
      </c>
      <c r="X3" s="124" t="s">
        <v>25</v>
      </c>
      <c r="Y3" s="124" t="s">
        <v>26</v>
      </c>
      <c r="Z3" s="124" t="s">
        <v>27</v>
      </c>
      <c r="AA3" s="124" t="s">
        <v>192</v>
      </c>
      <c r="AB3" s="124" t="s">
        <v>193</v>
      </c>
      <c r="AC3" s="124" t="s">
        <v>194</v>
      </c>
      <c r="AD3" s="124" t="s">
        <v>176</v>
      </c>
      <c r="AE3" s="124" t="s">
        <v>177</v>
      </c>
      <c r="AF3" s="124" t="s">
        <v>178</v>
      </c>
      <c r="AG3" s="124" t="s">
        <v>179</v>
      </c>
    </row>
    <row r="4" spans="1:33" s="118" customFormat="1">
      <c r="A4" s="150" t="s">
        <v>261</v>
      </c>
      <c r="B4" s="150">
        <f t="shared" ref="B4:Q4" si="0">AVERAGE(B5:B59)</f>
        <v>26.29999999999999</v>
      </c>
      <c r="C4" s="150">
        <f t="shared" si="0"/>
        <v>30.950909090909089</v>
      </c>
      <c r="D4" s="150">
        <f t="shared" si="0"/>
        <v>45.225454545454554</v>
      </c>
      <c r="E4" s="150">
        <f t="shared" si="0"/>
        <v>102.59272727272726</v>
      </c>
      <c r="F4" s="150">
        <f t="shared" si="0"/>
        <v>174.05090909090919</v>
      </c>
      <c r="G4" s="150">
        <f t="shared" si="0"/>
        <v>242.31454545454545</v>
      </c>
      <c r="H4" s="150">
        <f t="shared" si="0"/>
        <v>217.74727272727273</v>
      </c>
      <c r="I4" s="150">
        <f t="shared" si="0"/>
        <v>184.91272727272727</v>
      </c>
      <c r="J4" s="150">
        <f t="shared" si="0"/>
        <v>88.067272727272723</v>
      </c>
      <c r="K4" s="150">
        <f t="shared" si="0"/>
        <v>78.038181818181798</v>
      </c>
      <c r="L4" s="150">
        <f t="shared" si="0"/>
        <v>45.212727272727278</v>
      </c>
      <c r="M4" s="150">
        <f t="shared" si="0"/>
        <v>23.290909090909086</v>
      </c>
      <c r="N4" s="150">
        <f t="shared" si="0"/>
        <v>205.06909090909082</v>
      </c>
      <c r="O4" s="150">
        <f t="shared" si="0"/>
        <v>907.09272727272742</v>
      </c>
      <c r="P4" s="150">
        <f t="shared" si="0"/>
        <v>146.54181818181814</v>
      </c>
      <c r="Q4" s="150">
        <f t="shared" si="0"/>
        <v>1258.7036363636369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1961</v>
      </c>
      <c r="B5" s="102">
        <v>9.6999999999999993</v>
      </c>
      <c r="C5" s="102">
        <v>42</v>
      </c>
      <c r="D5" s="102">
        <v>17.3</v>
      </c>
      <c r="E5" s="102">
        <v>347.6</v>
      </c>
      <c r="F5" s="102">
        <v>214.9</v>
      </c>
      <c r="G5" s="102">
        <v>152.4</v>
      </c>
      <c r="H5" s="102">
        <v>271.89999999999998</v>
      </c>
      <c r="I5" s="102">
        <v>351.1</v>
      </c>
      <c r="J5" s="102">
        <v>71.8</v>
      </c>
      <c r="K5" s="102">
        <v>129.1</v>
      </c>
      <c r="L5" s="102">
        <v>54.9</v>
      </c>
      <c r="M5" s="102">
        <v>65</v>
      </c>
      <c r="N5" s="102">
        <f>SUM(B5:E5)</f>
        <v>416.6</v>
      </c>
      <c r="O5" s="102">
        <f>SUM(F5:J5)</f>
        <v>1062.1000000000001</v>
      </c>
      <c r="P5" s="102">
        <f>SUM(K5:M5)</f>
        <v>249</v>
      </c>
      <c r="Q5" s="102">
        <f>SUM(B5:M5)</f>
        <v>1727.7</v>
      </c>
    </row>
    <row r="6" spans="1:33">
      <c r="A6" s="102">
        <v>1962</v>
      </c>
      <c r="B6" s="102">
        <v>18.7</v>
      </c>
      <c r="C6" s="102">
        <v>26.2</v>
      </c>
      <c r="D6" s="102">
        <v>31.5</v>
      </c>
      <c r="E6" s="102">
        <v>62.5</v>
      </c>
      <c r="F6" s="102">
        <v>139.30000000000001</v>
      </c>
      <c r="G6" s="102">
        <v>312</v>
      </c>
      <c r="H6" s="102">
        <v>75</v>
      </c>
      <c r="I6" s="102">
        <v>146.6</v>
      </c>
      <c r="J6" s="102">
        <v>77.3</v>
      </c>
      <c r="K6" s="102">
        <v>78.2</v>
      </c>
      <c r="L6" s="102">
        <v>16.899999999999999</v>
      </c>
      <c r="M6" s="102">
        <v>6</v>
      </c>
      <c r="N6" s="102">
        <f t="shared" ref="N6:N59" si="1">SUM(B6:E6)</f>
        <v>138.9</v>
      </c>
      <c r="O6" s="102">
        <f t="shared" ref="O6:O59" si="2">SUM(F6:J6)</f>
        <v>750.19999999999993</v>
      </c>
      <c r="P6" s="102">
        <f t="shared" ref="P6:P59" si="3">SUM(K6:M6)</f>
        <v>101.1</v>
      </c>
      <c r="Q6" s="102">
        <f t="shared" ref="Q6:Q59" si="4">SUM(B6:M6)</f>
        <v>990.2</v>
      </c>
    </row>
    <row r="7" spans="1:33">
      <c r="A7" s="102">
        <v>1963</v>
      </c>
      <c r="B7" s="102">
        <v>0.6</v>
      </c>
      <c r="C7" s="102">
        <v>54.3</v>
      </c>
      <c r="D7" s="102">
        <v>78.099999999999994</v>
      </c>
      <c r="E7" s="102">
        <v>33.200000000000003</v>
      </c>
      <c r="F7" s="102">
        <v>137.19999999999999</v>
      </c>
      <c r="G7" s="102">
        <v>60</v>
      </c>
      <c r="H7" s="102">
        <v>300.39999999999998</v>
      </c>
      <c r="I7" s="102">
        <v>65.099999999999994</v>
      </c>
      <c r="J7" s="102">
        <v>64.400000000000006</v>
      </c>
      <c r="K7" s="102">
        <v>72.599999999999994</v>
      </c>
      <c r="L7" s="102">
        <v>181.4</v>
      </c>
      <c r="M7" s="102">
        <v>51.5</v>
      </c>
      <c r="N7" s="102">
        <f t="shared" si="1"/>
        <v>166.2</v>
      </c>
      <c r="O7" s="102">
        <f t="shared" si="2"/>
        <v>627.09999999999991</v>
      </c>
      <c r="P7" s="102">
        <f t="shared" si="3"/>
        <v>305.5</v>
      </c>
      <c r="Q7" s="102">
        <f t="shared" si="4"/>
        <v>1098.8</v>
      </c>
    </row>
    <row r="8" spans="1:33">
      <c r="A8" s="102">
        <v>1964</v>
      </c>
      <c r="B8" s="102">
        <v>20.399999999999999</v>
      </c>
      <c r="C8" s="102">
        <v>34.1</v>
      </c>
      <c r="D8" s="102">
        <v>49.5</v>
      </c>
      <c r="E8" s="102">
        <v>149.80000000000001</v>
      </c>
      <c r="F8" s="102">
        <v>58.3</v>
      </c>
      <c r="G8" s="102">
        <v>164</v>
      </c>
      <c r="H8" s="102">
        <v>126.1</v>
      </c>
      <c r="I8" s="102">
        <v>258.5</v>
      </c>
      <c r="J8" s="102">
        <v>138.9</v>
      </c>
      <c r="K8" s="102">
        <v>43.3</v>
      </c>
      <c r="L8" s="102">
        <v>7</v>
      </c>
      <c r="M8" s="102">
        <v>21.8</v>
      </c>
      <c r="N8" s="102">
        <f t="shared" si="1"/>
        <v>253.8</v>
      </c>
      <c r="O8" s="102">
        <f t="shared" si="2"/>
        <v>745.8</v>
      </c>
      <c r="P8" s="102">
        <f t="shared" si="3"/>
        <v>72.099999999999994</v>
      </c>
      <c r="Q8" s="102">
        <f t="shared" si="4"/>
        <v>1071.7</v>
      </c>
    </row>
    <row r="9" spans="1:33">
      <c r="A9" s="102">
        <v>1965</v>
      </c>
      <c r="B9" s="102">
        <v>19.5</v>
      </c>
      <c r="C9" s="102">
        <v>23.5</v>
      </c>
      <c r="D9" s="102">
        <v>59.7</v>
      </c>
      <c r="E9" s="102">
        <v>194.1</v>
      </c>
      <c r="F9" s="102">
        <v>184.6</v>
      </c>
      <c r="G9" s="102">
        <v>85.6</v>
      </c>
      <c r="H9" s="102">
        <v>192</v>
      </c>
      <c r="I9" s="102">
        <v>208.8</v>
      </c>
      <c r="J9" s="102">
        <v>50.1</v>
      </c>
      <c r="K9" s="102">
        <v>264.7</v>
      </c>
      <c r="L9" s="102">
        <v>58.7</v>
      </c>
      <c r="M9" s="102">
        <v>48.2</v>
      </c>
      <c r="N9" s="102">
        <f t="shared" si="1"/>
        <v>296.8</v>
      </c>
      <c r="O9" s="102">
        <f t="shared" si="2"/>
        <v>721.1</v>
      </c>
      <c r="P9" s="102">
        <f t="shared" si="3"/>
        <v>371.59999999999997</v>
      </c>
      <c r="Q9" s="102">
        <f t="shared" si="4"/>
        <v>1389.5</v>
      </c>
    </row>
    <row r="10" spans="1:33">
      <c r="A10" s="102">
        <v>1966</v>
      </c>
      <c r="B10" s="102">
        <v>25.6</v>
      </c>
      <c r="C10" s="102">
        <v>20.5</v>
      </c>
      <c r="D10" s="102">
        <v>24.6</v>
      </c>
      <c r="E10" s="102">
        <v>61.3</v>
      </c>
      <c r="F10" s="102">
        <v>193.6</v>
      </c>
      <c r="G10" s="102">
        <v>392.6</v>
      </c>
      <c r="H10" s="102">
        <v>246.1</v>
      </c>
      <c r="I10" s="102">
        <v>46.5</v>
      </c>
      <c r="J10" s="102">
        <v>0.2</v>
      </c>
      <c r="K10" s="102">
        <v>143</v>
      </c>
      <c r="L10" s="102">
        <v>0.6</v>
      </c>
      <c r="M10" s="102">
        <v>14</v>
      </c>
      <c r="N10" s="102">
        <f t="shared" si="1"/>
        <v>132</v>
      </c>
      <c r="O10" s="102">
        <f t="shared" si="2"/>
        <v>879.00000000000011</v>
      </c>
      <c r="P10" s="102">
        <f t="shared" si="3"/>
        <v>157.6</v>
      </c>
      <c r="Q10" s="102">
        <f t="shared" si="4"/>
        <v>1168.5999999999999</v>
      </c>
    </row>
    <row r="11" spans="1:33">
      <c r="A11" s="102">
        <v>1967</v>
      </c>
      <c r="B11" s="102">
        <v>5</v>
      </c>
      <c r="C11" s="102">
        <v>14.1</v>
      </c>
      <c r="D11" s="102">
        <v>80.2</v>
      </c>
      <c r="E11" s="102">
        <v>78.5</v>
      </c>
      <c r="F11" s="102">
        <v>237.8</v>
      </c>
      <c r="G11" s="102">
        <v>155.69999999999999</v>
      </c>
      <c r="H11" s="102">
        <v>156.69999999999999</v>
      </c>
      <c r="I11" s="102">
        <v>512</v>
      </c>
      <c r="J11" s="102">
        <v>102.8</v>
      </c>
      <c r="K11" s="102">
        <v>67.400000000000006</v>
      </c>
      <c r="L11" s="102">
        <v>93.2</v>
      </c>
      <c r="M11" s="102">
        <v>40.9</v>
      </c>
      <c r="N11" s="102">
        <f t="shared" si="1"/>
        <v>177.8</v>
      </c>
      <c r="O11" s="102">
        <f t="shared" si="2"/>
        <v>1165</v>
      </c>
      <c r="P11" s="102">
        <f t="shared" si="3"/>
        <v>201.50000000000003</v>
      </c>
      <c r="Q11" s="102">
        <f t="shared" si="4"/>
        <v>1544.3000000000002</v>
      </c>
    </row>
    <row r="12" spans="1:33">
      <c r="A12" s="102">
        <v>1968</v>
      </c>
      <c r="B12" s="102">
        <v>24.3</v>
      </c>
      <c r="C12" s="102">
        <v>17.2</v>
      </c>
      <c r="D12" s="102">
        <v>36.9</v>
      </c>
      <c r="E12" s="102">
        <v>88.5</v>
      </c>
      <c r="F12" s="102">
        <v>165.9</v>
      </c>
      <c r="G12" s="102">
        <v>389.2</v>
      </c>
      <c r="H12" s="102">
        <v>348.6</v>
      </c>
      <c r="I12" s="102">
        <v>288.7</v>
      </c>
      <c r="J12" s="102">
        <v>47.3</v>
      </c>
      <c r="K12" s="102">
        <v>111</v>
      </c>
      <c r="L12" s="102">
        <v>67.900000000000006</v>
      </c>
      <c r="M12" s="102">
        <v>4.4000000000000004</v>
      </c>
      <c r="N12" s="102">
        <f t="shared" si="1"/>
        <v>166.9</v>
      </c>
      <c r="O12" s="102">
        <f t="shared" si="2"/>
        <v>1239.7</v>
      </c>
      <c r="P12" s="102">
        <f t="shared" si="3"/>
        <v>183.3</v>
      </c>
      <c r="Q12" s="102">
        <f t="shared" si="4"/>
        <v>1589.9</v>
      </c>
    </row>
    <row r="13" spans="1:33">
      <c r="A13" s="102">
        <v>1969</v>
      </c>
      <c r="B13" s="102">
        <v>42.4</v>
      </c>
      <c r="C13" s="102">
        <v>1</v>
      </c>
      <c r="D13" s="102">
        <v>20.5</v>
      </c>
      <c r="E13" s="102">
        <v>137.4</v>
      </c>
      <c r="F13" s="102">
        <v>164.2</v>
      </c>
      <c r="G13" s="102">
        <v>211.6</v>
      </c>
      <c r="H13" s="102">
        <v>381.4</v>
      </c>
      <c r="I13" s="102">
        <v>240.5</v>
      </c>
      <c r="J13" s="102">
        <v>17.3</v>
      </c>
      <c r="K13" s="102">
        <v>112.2</v>
      </c>
      <c r="L13" s="102">
        <v>22.8</v>
      </c>
      <c r="M13" s="102">
        <v>0</v>
      </c>
      <c r="N13" s="102">
        <f t="shared" si="1"/>
        <v>201.3</v>
      </c>
      <c r="O13" s="102">
        <f t="shared" si="2"/>
        <v>1014.9999999999999</v>
      </c>
      <c r="P13" s="102">
        <f t="shared" si="3"/>
        <v>135</v>
      </c>
      <c r="Q13" s="102">
        <f t="shared" si="4"/>
        <v>1351.3</v>
      </c>
    </row>
    <row r="14" spans="1:33">
      <c r="A14" s="102">
        <v>1970</v>
      </c>
      <c r="B14" s="102">
        <v>21.1</v>
      </c>
      <c r="C14" s="102">
        <v>22.9</v>
      </c>
      <c r="D14" s="102">
        <v>37.299999999999997</v>
      </c>
      <c r="E14" s="102">
        <v>88.5</v>
      </c>
      <c r="F14" s="102">
        <v>257.5</v>
      </c>
      <c r="G14" s="102">
        <v>211.2</v>
      </c>
      <c r="H14" s="102">
        <v>486.6</v>
      </c>
      <c r="I14" s="102">
        <v>160.19999999999999</v>
      </c>
      <c r="J14" s="102">
        <v>146.6</v>
      </c>
      <c r="K14" s="102">
        <v>5</v>
      </c>
      <c r="L14" s="102">
        <v>17.2</v>
      </c>
      <c r="M14" s="102">
        <v>59.4</v>
      </c>
      <c r="N14" s="102">
        <f t="shared" si="1"/>
        <v>169.8</v>
      </c>
      <c r="O14" s="102">
        <f t="shared" si="2"/>
        <v>1262.0999999999999</v>
      </c>
      <c r="P14" s="102">
        <f t="shared" si="3"/>
        <v>81.599999999999994</v>
      </c>
      <c r="Q14" s="102">
        <f t="shared" si="4"/>
        <v>1513.5</v>
      </c>
    </row>
    <row r="15" spans="1:33">
      <c r="A15" s="102">
        <v>1971</v>
      </c>
      <c r="B15" s="102">
        <v>21.6</v>
      </c>
      <c r="C15" s="102">
        <v>18.5</v>
      </c>
      <c r="D15" s="102">
        <v>20.5</v>
      </c>
      <c r="E15" s="102">
        <v>149.69999999999999</v>
      </c>
      <c r="F15" s="102">
        <v>160.4</v>
      </c>
      <c r="G15" s="102">
        <v>301.2</v>
      </c>
      <c r="H15" s="102">
        <v>110.6</v>
      </c>
      <c r="I15" s="102">
        <v>264.39999999999998</v>
      </c>
      <c r="J15" s="102">
        <v>100.1</v>
      </c>
      <c r="K15" s="102">
        <v>101.1</v>
      </c>
      <c r="L15" s="102">
        <v>16.5</v>
      </c>
      <c r="M15" s="102">
        <v>36.299999999999997</v>
      </c>
      <c r="N15" s="102">
        <f t="shared" si="1"/>
        <v>210.29999999999998</v>
      </c>
      <c r="O15" s="102">
        <f t="shared" si="2"/>
        <v>936.7</v>
      </c>
      <c r="P15" s="102">
        <f t="shared" si="3"/>
        <v>153.89999999999998</v>
      </c>
      <c r="Q15" s="102">
        <f t="shared" si="4"/>
        <v>1300.8999999999999</v>
      </c>
    </row>
    <row r="16" spans="1:33">
      <c r="A16" s="102">
        <v>1972</v>
      </c>
      <c r="B16" s="102">
        <v>13.7</v>
      </c>
      <c r="C16" s="102">
        <v>14.7</v>
      </c>
      <c r="D16" s="102">
        <v>60.1</v>
      </c>
      <c r="E16" s="102">
        <v>51.5</v>
      </c>
      <c r="F16" s="102">
        <v>153.9</v>
      </c>
      <c r="G16" s="102">
        <v>216.3</v>
      </c>
      <c r="H16" s="102">
        <v>4.3</v>
      </c>
      <c r="I16" s="102">
        <v>89.9</v>
      </c>
      <c r="J16" s="102">
        <v>213.6</v>
      </c>
      <c r="K16" s="102">
        <v>90</v>
      </c>
      <c r="L16" s="102">
        <v>81.599999999999994</v>
      </c>
      <c r="M16" s="102">
        <v>33.299999999999997</v>
      </c>
      <c r="N16" s="102">
        <f t="shared" si="1"/>
        <v>140</v>
      </c>
      <c r="O16" s="102">
        <f t="shared" si="2"/>
        <v>678.00000000000011</v>
      </c>
      <c r="P16" s="102">
        <f t="shared" si="3"/>
        <v>204.89999999999998</v>
      </c>
      <c r="Q16" s="102">
        <f t="shared" si="4"/>
        <v>1022.9</v>
      </c>
    </row>
    <row r="17" spans="1:17">
      <c r="A17" s="102">
        <v>1973</v>
      </c>
      <c r="B17" s="102">
        <v>27.1</v>
      </c>
      <c r="C17" s="102">
        <v>32</v>
      </c>
      <c r="D17" s="102">
        <v>67.8</v>
      </c>
      <c r="E17" s="102">
        <v>99.1</v>
      </c>
      <c r="F17" s="102">
        <v>274.3</v>
      </c>
      <c r="G17" s="102">
        <v>333</v>
      </c>
      <c r="H17" s="102">
        <v>223.5</v>
      </c>
      <c r="I17" s="102">
        <v>224.5</v>
      </c>
      <c r="J17" s="102">
        <v>177</v>
      </c>
      <c r="K17" s="102">
        <v>69.3</v>
      </c>
      <c r="L17" s="102">
        <v>26.9</v>
      </c>
      <c r="M17" s="102">
        <v>2.9</v>
      </c>
      <c r="N17" s="102">
        <f t="shared" si="1"/>
        <v>226</v>
      </c>
      <c r="O17" s="102">
        <f t="shared" si="2"/>
        <v>1232.3</v>
      </c>
      <c r="P17" s="102">
        <f t="shared" si="3"/>
        <v>99.1</v>
      </c>
      <c r="Q17" s="102">
        <f t="shared" si="4"/>
        <v>1557.4</v>
      </c>
    </row>
    <row r="18" spans="1:17">
      <c r="A18" s="102">
        <v>1974</v>
      </c>
      <c r="B18" s="102">
        <v>37.4</v>
      </c>
      <c r="C18" s="102">
        <v>55.6</v>
      </c>
      <c r="D18" s="102">
        <v>40.5</v>
      </c>
      <c r="E18" s="102">
        <v>107.8</v>
      </c>
      <c r="F18" s="102">
        <v>77.599999999999994</v>
      </c>
      <c r="G18" s="102">
        <v>227.8</v>
      </c>
      <c r="H18" s="102">
        <v>449.4</v>
      </c>
      <c r="I18" s="102">
        <v>140.30000000000001</v>
      </c>
      <c r="J18" s="102">
        <v>68.8</v>
      </c>
      <c r="K18" s="102">
        <v>52.4</v>
      </c>
      <c r="L18" s="102">
        <v>6.7</v>
      </c>
      <c r="M18" s="102">
        <v>10.5</v>
      </c>
      <c r="N18" s="102">
        <f t="shared" si="1"/>
        <v>241.3</v>
      </c>
      <c r="O18" s="102">
        <f t="shared" si="2"/>
        <v>963.89999999999986</v>
      </c>
      <c r="P18" s="102">
        <f t="shared" si="3"/>
        <v>69.599999999999994</v>
      </c>
      <c r="Q18" s="102">
        <f t="shared" si="4"/>
        <v>1274.8000000000002</v>
      </c>
    </row>
    <row r="19" spans="1:17">
      <c r="A19" s="102">
        <v>1975</v>
      </c>
      <c r="B19" s="102">
        <v>22.4</v>
      </c>
      <c r="C19" s="102">
        <v>33.5</v>
      </c>
      <c r="D19" s="102">
        <v>34</v>
      </c>
      <c r="E19" s="102">
        <v>56.5</v>
      </c>
      <c r="F19" s="102">
        <v>247.7</v>
      </c>
      <c r="G19" s="102">
        <v>160.1</v>
      </c>
      <c r="H19" s="102">
        <v>145.6</v>
      </c>
      <c r="I19" s="102">
        <v>173.5</v>
      </c>
      <c r="J19" s="102">
        <v>115.2</v>
      </c>
      <c r="K19" s="102">
        <v>47.3</v>
      </c>
      <c r="L19" s="102">
        <v>54.2</v>
      </c>
      <c r="M19" s="102">
        <v>0.2</v>
      </c>
      <c r="N19" s="102">
        <f t="shared" si="1"/>
        <v>146.4</v>
      </c>
      <c r="O19" s="102">
        <f t="shared" si="2"/>
        <v>842.1</v>
      </c>
      <c r="P19" s="102">
        <f t="shared" si="3"/>
        <v>101.7</v>
      </c>
      <c r="Q19" s="102">
        <f t="shared" si="4"/>
        <v>1090.2000000000003</v>
      </c>
    </row>
    <row r="20" spans="1:17">
      <c r="A20" s="102">
        <v>1976</v>
      </c>
      <c r="B20" s="102">
        <v>22</v>
      </c>
      <c r="C20" s="102">
        <v>15.1</v>
      </c>
      <c r="D20" s="102">
        <v>39.5</v>
      </c>
      <c r="E20" s="102">
        <v>55.7</v>
      </c>
      <c r="F20" s="102">
        <v>224.5</v>
      </c>
      <c r="G20" s="102">
        <v>220.6</v>
      </c>
      <c r="H20" s="102">
        <v>345.6</v>
      </c>
      <c r="I20" s="102">
        <v>200.9</v>
      </c>
      <c r="J20" s="102">
        <v>69.099999999999994</v>
      </c>
      <c r="K20" s="102">
        <v>154.1</v>
      </c>
      <c r="L20" s="102">
        <v>86.1</v>
      </c>
      <c r="M20" s="102">
        <v>8.5</v>
      </c>
      <c r="N20" s="102">
        <f t="shared" si="1"/>
        <v>132.30000000000001</v>
      </c>
      <c r="O20" s="102">
        <f t="shared" si="2"/>
        <v>1060.7</v>
      </c>
      <c r="P20" s="102">
        <f t="shared" si="3"/>
        <v>248.7</v>
      </c>
      <c r="Q20" s="102">
        <f t="shared" si="4"/>
        <v>1441.6999999999998</v>
      </c>
    </row>
    <row r="21" spans="1:17">
      <c r="A21" s="102">
        <v>1977</v>
      </c>
      <c r="B21" s="102">
        <v>21.4</v>
      </c>
      <c r="C21" s="102">
        <v>14.3</v>
      </c>
      <c r="D21" s="102">
        <v>23.9</v>
      </c>
      <c r="E21" s="102">
        <v>48.9</v>
      </c>
      <c r="F21" s="102">
        <v>154.4</v>
      </c>
      <c r="G21" s="102">
        <v>279.60000000000002</v>
      </c>
      <c r="H21" s="102">
        <v>201.3</v>
      </c>
      <c r="I21" s="102">
        <v>160.19999999999999</v>
      </c>
      <c r="J21" s="102">
        <v>91.3</v>
      </c>
      <c r="K21" s="102">
        <v>192.8</v>
      </c>
      <c r="L21" s="102">
        <v>23.1</v>
      </c>
      <c r="M21" s="102">
        <v>7.6</v>
      </c>
      <c r="N21" s="102">
        <f t="shared" si="1"/>
        <v>108.5</v>
      </c>
      <c r="O21" s="102">
        <f t="shared" si="2"/>
        <v>886.8</v>
      </c>
      <c r="P21" s="102">
        <f t="shared" si="3"/>
        <v>223.5</v>
      </c>
      <c r="Q21" s="102">
        <f t="shared" si="4"/>
        <v>1218.7999999999997</v>
      </c>
    </row>
    <row r="22" spans="1:17">
      <c r="A22" s="102">
        <v>1978</v>
      </c>
      <c r="B22" s="102">
        <v>37.5</v>
      </c>
      <c r="C22" s="102">
        <v>4.2</v>
      </c>
      <c r="D22" s="102">
        <v>21.1</v>
      </c>
      <c r="E22" s="102">
        <v>67.8</v>
      </c>
      <c r="F22" s="102">
        <v>372.8</v>
      </c>
      <c r="G22" s="102">
        <v>186.2</v>
      </c>
      <c r="H22" s="102">
        <v>55</v>
      </c>
      <c r="I22" s="102">
        <v>115.5</v>
      </c>
      <c r="J22" s="102">
        <v>95.1</v>
      </c>
      <c r="K22" s="102">
        <v>134.1</v>
      </c>
      <c r="L22" s="102">
        <v>126.1</v>
      </c>
      <c r="M22" s="102">
        <v>19.5</v>
      </c>
      <c r="N22" s="102">
        <f t="shared" si="1"/>
        <v>130.6</v>
      </c>
      <c r="O22" s="102">
        <f t="shared" si="2"/>
        <v>824.6</v>
      </c>
      <c r="P22" s="102">
        <f t="shared" si="3"/>
        <v>279.7</v>
      </c>
      <c r="Q22" s="102">
        <f t="shared" si="4"/>
        <v>1234.8999999999999</v>
      </c>
    </row>
    <row r="23" spans="1:17">
      <c r="A23" s="102">
        <v>1979</v>
      </c>
      <c r="B23" s="102">
        <v>18.100000000000001</v>
      </c>
      <c r="C23" s="102">
        <v>43</v>
      </c>
      <c r="D23" s="102">
        <v>9.8000000000000007</v>
      </c>
      <c r="E23" s="102">
        <v>180.3</v>
      </c>
      <c r="F23" s="102">
        <v>89.7</v>
      </c>
      <c r="G23" s="102">
        <v>349.9</v>
      </c>
      <c r="H23" s="102">
        <v>253</v>
      </c>
      <c r="I23" s="102">
        <v>438.5</v>
      </c>
      <c r="J23" s="102">
        <v>73.400000000000006</v>
      </c>
      <c r="K23" s="102">
        <v>17.399999999999999</v>
      </c>
      <c r="L23" s="102">
        <v>2.1</v>
      </c>
      <c r="M23" s="102">
        <v>18.5</v>
      </c>
      <c r="N23" s="102">
        <f t="shared" si="1"/>
        <v>251.20000000000002</v>
      </c>
      <c r="O23" s="102">
        <f t="shared" si="2"/>
        <v>1204.5</v>
      </c>
      <c r="P23" s="102">
        <f t="shared" si="3"/>
        <v>38</v>
      </c>
      <c r="Q23" s="102">
        <f t="shared" si="4"/>
        <v>1493.7</v>
      </c>
    </row>
    <row r="24" spans="1:17">
      <c r="A24" s="102">
        <v>1980</v>
      </c>
      <c r="B24" s="102">
        <v>30.5</v>
      </c>
      <c r="C24" s="102">
        <v>22</v>
      </c>
      <c r="D24" s="102">
        <v>47.7</v>
      </c>
      <c r="E24" s="102">
        <v>166.3</v>
      </c>
      <c r="F24" s="102">
        <v>166.8</v>
      </c>
      <c r="G24" s="102">
        <v>117.9</v>
      </c>
      <c r="H24" s="102">
        <v>232.2</v>
      </c>
      <c r="I24" s="102">
        <v>278.7</v>
      </c>
      <c r="J24" s="102">
        <v>127.6</v>
      </c>
      <c r="K24" s="102">
        <v>118.1</v>
      </c>
      <c r="L24" s="102">
        <v>11</v>
      </c>
      <c r="M24" s="102">
        <v>26.4</v>
      </c>
      <c r="N24" s="102">
        <f t="shared" si="1"/>
        <v>266.5</v>
      </c>
      <c r="O24" s="102">
        <f t="shared" si="2"/>
        <v>923.20000000000016</v>
      </c>
      <c r="P24" s="102">
        <f t="shared" si="3"/>
        <v>155.5</v>
      </c>
      <c r="Q24" s="102">
        <f t="shared" si="4"/>
        <v>1345.2</v>
      </c>
    </row>
    <row r="25" spans="1:17">
      <c r="A25" s="102">
        <v>1981</v>
      </c>
      <c r="B25" s="102">
        <v>20.9</v>
      </c>
      <c r="C25" s="102">
        <v>7</v>
      </c>
      <c r="D25" s="102">
        <v>55.5</v>
      </c>
      <c r="E25" s="102">
        <v>120.8</v>
      </c>
      <c r="F25" s="102">
        <v>108.5</v>
      </c>
      <c r="G25" s="102">
        <v>117.4</v>
      </c>
      <c r="H25" s="102">
        <v>85.9</v>
      </c>
      <c r="I25" s="102">
        <v>103</v>
      </c>
      <c r="J25" s="102">
        <v>95.6</v>
      </c>
      <c r="K25" s="102">
        <v>81.2</v>
      </c>
      <c r="L25" s="102">
        <v>82.9</v>
      </c>
      <c r="M25" s="102">
        <v>5.5</v>
      </c>
      <c r="N25" s="102">
        <f t="shared" si="1"/>
        <v>204.2</v>
      </c>
      <c r="O25" s="102">
        <f t="shared" si="2"/>
        <v>510.4</v>
      </c>
      <c r="P25" s="102">
        <f t="shared" si="3"/>
        <v>169.60000000000002</v>
      </c>
      <c r="Q25" s="102">
        <f t="shared" si="4"/>
        <v>884.2</v>
      </c>
    </row>
    <row r="26" spans="1:17">
      <c r="A26" s="102">
        <v>1982</v>
      </c>
      <c r="B26" s="102">
        <v>14.9</v>
      </c>
      <c r="C26" s="102">
        <v>56</v>
      </c>
      <c r="D26" s="102">
        <v>31</v>
      </c>
      <c r="E26" s="102">
        <v>146.4</v>
      </c>
      <c r="F26" s="102">
        <v>102.9</v>
      </c>
      <c r="G26" s="102">
        <v>249.4</v>
      </c>
      <c r="H26" s="102">
        <v>87.2</v>
      </c>
      <c r="I26" s="102">
        <v>226.5</v>
      </c>
      <c r="J26" s="102">
        <v>189.8</v>
      </c>
      <c r="K26" s="102">
        <v>37.4</v>
      </c>
      <c r="L26" s="102">
        <v>77.8</v>
      </c>
      <c r="M26" s="102">
        <v>19.2</v>
      </c>
      <c r="N26" s="102">
        <f t="shared" si="1"/>
        <v>248.3</v>
      </c>
      <c r="O26" s="102">
        <f t="shared" si="2"/>
        <v>855.8</v>
      </c>
      <c r="P26" s="102">
        <f t="shared" si="3"/>
        <v>134.39999999999998</v>
      </c>
      <c r="Q26" s="102">
        <f t="shared" si="4"/>
        <v>1238.5000000000002</v>
      </c>
    </row>
    <row r="27" spans="1:17">
      <c r="A27" s="102">
        <v>1983</v>
      </c>
      <c r="B27" s="102">
        <v>74.7</v>
      </c>
      <c r="C27" s="102">
        <v>49.6</v>
      </c>
      <c r="D27" s="102">
        <v>38</v>
      </c>
      <c r="E27" s="102">
        <v>193.6</v>
      </c>
      <c r="F27" s="102">
        <v>208.2</v>
      </c>
      <c r="G27" s="102">
        <v>282.10000000000002</v>
      </c>
      <c r="H27" s="102">
        <v>93</v>
      </c>
      <c r="I27" s="102">
        <v>108.3</v>
      </c>
      <c r="J27" s="102">
        <v>89.8</v>
      </c>
      <c r="K27" s="102">
        <v>79.7</v>
      </c>
      <c r="L27" s="102">
        <v>51.9</v>
      </c>
      <c r="M27" s="102">
        <v>35.1</v>
      </c>
      <c r="N27" s="102">
        <f t="shared" si="1"/>
        <v>355.9</v>
      </c>
      <c r="O27" s="102">
        <f t="shared" si="2"/>
        <v>781.39999999999986</v>
      </c>
      <c r="P27" s="102">
        <f t="shared" si="3"/>
        <v>166.7</v>
      </c>
      <c r="Q27" s="102">
        <f t="shared" si="4"/>
        <v>1304</v>
      </c>
    </row>
    <row r="28" spans="1:17">
      <c r="A28" s="102">
        <v>1984</v>
      </c>
      <c r="B28" s="102">
        <v>12.4</v>
      </c>
      <c r="C28" s="102">
        <v>9.1</v>
      </c>
      <c r="D28" s="102">
        <v>19.8</v>
      </c>
      <c r="E28" s="102">
        <v>84</v>
      </c>
      <c r="F28" s="102">
        <v>246.7</v>
      </c>
      <c r="G28" s="102">
        <v>91.9</v>
      </c>
      <c r="H28" s="102">
        <v>136.69999999999999</v>
      </c>
      <c r="I28" s="102">
        <v>148.5</v>
      </c>
      <c r="J28" s="102">
        <v>116.7</v>
      </c>
      <c r="K28" s="102">
        <v>72.7</v>
      </c>
      <c r="L28" s="102">
        <v>28</v>
      </c>
      <c r="M28" s="102">
        <v>43.9</v>
      </c>
      <c r="N28" s="102">
        <f t="shared" si="1"/>
        <v>125.3</v>
      </c>
      <c r="O28" s="102">
        <f t="shared" si="2"/>
        <v>740.5</v>
      </c>
      <c r="P28" s="102">
        <f t="shared" si="3"/>
        <v>144.6</v>
      </c>
      <c r="Q28" s="102">
        <f t="shared" si="4"/>
        <v>1010.4</v>
      </c>
    </row>
    <row r="29" spans="1:17">
      <c r="A29" s="102">
        <v>1985</v>
      </c>
      <c r="B29" s="102">
        <v>16.899999999999999</v>
      </c>
      <c r="C29" s="102">
        <v>45.4</v>
      </c>
      <c r="D29" s="102">
        <v>24.4</v>
      </c>
      <c r="E29" s="102">
        <v>102.4</v>
      </c>
      <c r="F29" s="102">
        <v>231.6</v>
      </c>
      <c r="G29" s="102">
        <v>264.3</v>
      </c>
      <c r="H29" s="102">
        <v>157.5</v>
      </c>
      <c r="I29" s="102">
        <v>200.7</v>
      </c>
      <c r="J29" s="102">
        <v>58.1</v>
      </c>
      <c r="K29" s="102">
        <v>42.1</v>
      </c>
      <c r="L29" s="102">
        <v>78.400000000000006</v>
      </c>
      <c r="M29" s="102">
        <v>20.399999999999999</v>
      </c>
      <c r="N29" s="102">
        <f t="shared" si="1"/>
        <v>189.1</v>
      </c>
      <c r="O29" s="102">
        <f t="shared" si="2"/>
        <v>912.19999999999993</v>
      </c>
      <c r="P29" s="102">
        <f t="shared" si="3"/>
        <v>140.9</v>
      </c>
      <c r="Q29" s="102">
        <f t="shared" si="4"/>
        <v>1242.2</v>
      </c>
    </row>
    <row r="30" spans="1:17">
      <c r="A30" s="102">
        <v>1986</v>
      </c>
      <c r="B30" s="102">
        <v>20.3</v>
      </c>
      <c r="C30" s="102">
        <v>18.2</v>
      </c>
      <c r="D30" s="102">
        <v>17</v>
      </c>
      <c r="E30" s="102">
        <v>58.2</v>
      </c>
      <c r="F30" s="102">
        <v>118.7</v>
      </c>
      <c r="G30" s="102">
        <v>184.5</v>
      </c>
      <c r="H30" s="102">
        <v>328.8</v>
      </c>
      <c r="I30" s="102">
        <v>131.80000000000001</v>
      </c>
      <c r="J30" s="102">
        <v>30.9</v>
      </c>
      <c r="K30" s="102">
        <v>72.2</v>
      </c>
      <c r="L30" s="102">
        <v>33.799999999999997</v>
      </c>
      <c r="M30" s="102">
        <v>8.9</v>
      </c>
      <c r="N30" s="102">
        <f t="shared" si="1"/>
        <v>113.7</v>
      </c>
      <c r="O30" s="102">
        <f t="shared" si="2"/>
        <v>794.69999999999993</v>
      </c>
      <c r="P30" s="102">
        <f t="shared" si="3"/>
        <v>114.9</v>
      </c>
      <c r="Q30" s="102">
        <f t="shared" si="4"/>
        <v>1023.3</v>
      </c>
    </row>
    <row r="31" spans="1:17">
      <c r="A31" s="102">
        <v>1987</v>
      </c>
      <c r="B31" s="102">
        <v>38.1</v>
      </c>
      <c r="C31" s="102">
        <v>25.7</v>
      </c>
      <c r="D31" s="102">
        <v>22.2</v>
      </c>
      <c r="E31" s="102">
        <v>65.7</v>
      </c>
      <c r="F31" s="102">
        <v>136.69999999999999</v>
      </c>
      <c r="G31" s="102">
        <v>317.39999999999998</v>
      </c>
      <c r="H31" s="102">
        <v>155.9</v>
      </c>
      <c r="I31" s="102">
        <v>239.4</v>
      </c>
      <c r="J31" s="102">
        <v>37.200000000000003</v>
      </c>
      <c r="K31" s="102">
        <v>53.3</v>
      </c>
      <c r="L31" s="102">
        <v>61.7</v>
      </c>
      <c r="M31" s="102">
        <v>2.2000000000000002</v>
      </c>
      <c r="N31" s="102">
        <f t="shared" si="1"/>
        <v>151.69999999999999</v>
      </c>
      <c r="O31" s="102">
        <f t="shared" si="2"/>
        <v>886.6</v>
      </c>
      <c r="P31" s="102">
        <f t="shared" si="3"/>
        <v>117.2</v>
      </c>
      <c r="Q31" s="102">
        <f t="shared" si="4"/>
        <v>1155.5</v>
      </c>
    </row>
    <row r="32" spans="1:17">
      <c r="A32" s="102">
        <v>1988</v>
      </c>
      <c r="B32" s="102">
        <v>23.2</v>
      </c>
      <c r="C32" s="102">
        <v>41.5</v>
      </c>
      <c r="D32" s="102">
        <v>3.6</v>
      </c>
      <c r="E32" s="102">
        <v>67.7</v>
      </c>
      <c r="F32" s="102">
        <v>134.19999999999999</v>
      </c>
      <c r="G32" s="102">
        <v>230.5</v>
      </c>
      <c r="H32" s="102">
        <v>153.5</v>
      </c>
      <c r="I32" s="102">
        <v>397</v>
      </c>
      <c r="J32" s="102">
        <v>53.9</v>
      </c>
      <c r="K32" s="102">
        <v>61.9</v>
      </c>
      <c r="L32" s="102">
        <v>0.4</v>
      </c>
      <c r="M32" s="102">
        <v>9.4</v>
      </c>
      <c r="N32" s="102">
        <f t="shared" si="1"/>
        <v>136</v>
      </c>
      <c r="O32" s="102">
        <f t="shared" si="2"/>
        <v>969.1</v>
      </c>
      <c r="P32" s="102">
        <f t="shared" si="3"/>
        <v>71.7</v>
      </c>
      <c r="Q32" s="102">
        <f t="shared" si="4"/>
        <v>1176.8000000000004</v>
      </c>
    </row>
    <row r="33" spans="1:17">
      <c r="A33" s="102">
        <v>1989</v>
      </c>
      <c r="B33" s="102">
        <v>17.100000000000001</v>
      </c>
      <c r="C33" s="102">
        <v>32</v>
      </c>
      <c r="D33" s="102">
        <v>59.7</v>
      </c>
      <c r="E33" s="102">
        <v>107.7</v>
      </c>
      <c r="F33" s="102">
        <v>122.2</v>
      </c>
      <c r="G33" s="102">
        <v>293.10000000000002</v>
      </c>
      <c r="H33" s="102">
        <v>169.8</v>
      </c>
      <c r="I33" s="102">
        <v>92.8</v>
      </c>
      <c r="J33" s="102">
        <v>78.5</v>
      </c>
      <c r="K33" s="102">
        <v>80.7</v>
      </c>
      <c r="L33" s="102">
        <v>11</v>
      </c>
      <c r="M33" s="102">
        <v>23.5</v>
      </c>
      <c r="N33" s="102">
        <f t="shared" si="1"/>
        <v>216.5</v>
      </c>
      <c r="O33" s="102">
        <f t="shared" si="2"/>
        <v>756.4</v>
      </c>
      <c r="P33" s="102">
        <f t="shared" si="3"/>
        <v>115.2</v>
      </c>
      <c r="Q33" s="102">
        <f t="shared" si="4"/>
        <v>1088.0999999999999</v>
      </c>
    </row>
    <row r="34" spans="1:17">
      <c r="A34" s="102">
        <v>1990</v>
      </c>
      <c r="B34" s="102">
        <v>38.1</v>
      </c>
      <c r="C34" s="102">
        <v>33.9</v>
      </c>
      <c r="D34" s="102">
        <v>127.2</v>
      </c>
      <c r="E34" s="102">
        <v>35.6</v>
      </c>
      <c r="F34" s="102">
        <v>205.1</v>
      </c>
      <c r="G34" s="102">
        <v>293</v>
      </c>
      <c r="H34" s="102">
        <v>287.7</v>
      </c>
      <c r="I34" s="102">
        <v>113.5</v>
      </c>
      <c r="J34" s="102">
        <v>139.9</v>
      </c>
      <c r="K34" s="102">
        <v>98.4</v>
      </c>
      <c r="L34" s="102">
        <v>63.8</v>
      </c>
      <c r="M34" s="102">
        <v>10.1</v>
      </c>
      <c r="N34" s="102">
        <f t="shared" si="1"/>
        <v>234.79999999999998</v>
      </c>
      <c r="O34" s="102">
        <f t="shared" si="2"/>
        <v>1039.2</v>
      </c>
      <c r="P34" s="102">
        <f t="shared" si="3"/>
        <v>172.29999999999998</v>
      </c>
      <c r="Q34" s="102">
        <f t="shared" si="4"/>
        <v>1446.3</v>
      </c>
    </row>
    <row r="35" spans="1:17">
      <c r="A35" s="102">
        <v>1991</v>
      </c>
      <c r="B35" s="102">
        <v>57.8</v>
      </c>
      <c r="C35" s="102">
        <v>51.5</v>
      </c>
      <c r="D35" s="102">
        <v>102.9</v>
      </c>
      <c r="E35" s="102">
        <v>105.3</v>
      </c>
      <c r="F35" s="102">
        <v>155.5</v>
      </c>
      <c r="G35" s="102">
        <v>327.7</v>
      </c>
      <c r="H35" s="102">
        <v>133.9</v>
      </c>
      <c r="I35" s="102">
        <v>324.7</v>
      </c>
      <c r="J35" s="102">
        <v>4.3</v>
      </c>
      <c r="K35" s="102">
        <v>54</v>
      </c>
      <c r="L35" s="102">
        <v>64.599999999999994</v>
      </c>
      <c r="M35" s="102">
        <v>27.4</v>
      </c>
      <c r="N35" s="102">
        <f t="shared" si="1"/>
        <v>317.5</v>
      </c>
      <c r="O35" s="102">
        <f t="shared" si="2"/>
        <v>946.09999999999991</v>
      </c>
      <c r="P35" s="102">
        <f t="shared" si="3"/>
        <v>146</v>
      </c>
      <c r="Q35" s="102">
        <f t="shared" si="4"/>
        <v>1409.6</v>
      </c>
    </row>
    <row r="36" spans="1:17">
      <c r="A36" s="102">
        <v>1992</v>
      </c>
      <c r="B36" s="102">
        <v>47.9</v>
      </c>
      <c r="C36" s="102">
        <v>64.900000000000006</v>
      </c>
      <c r="D36" s="102">
        <v>48.4</v>
      </c>
      <c r="E36" s="102">
        <v>104.2</v>
      </c>
      <c r="F36" s="102">
        <v>234.6</v>
      </c>
      <c r="G36" s="102">
        <v>154.4</v>
      </c>
      <c r="H36" s="102">
        <v>178.5</v>
      </c>
      <c r="I36" s="102">
        <v>40.9</v>
      </c>
      <c r="J36" s="102">
        <v>49.5</v>
      </c>
      <c r="K36" s="102">
        <v>27.1</v>
      </c>
      <c r="L36" s="102">
        <v>9.8000000000000007</v>
      </c>
      <c r="M36" s="102">
        <v>50.3</v>
      </c>
      <c r="N36" s="102">
        <f t="shared" si="1"/>
        <v>265.40000000000003</v>
      </c>
      <c r="O36" s="102">
        <f t="shared" si="2"/>
        <v>657.9</v>
      </c>
      <c r="P36" s="102">
        <f t="shared" si="3"/>
        <v>87.2</v>
      </c>
      <c r="Q36" s="102">
        <f t="shared" si="4"/>
        <v>1010.4999999999999</v>
      </c>
    </row>
    <row r="37" spans="1:17">
      <c r="A37" s="102">
        <v>1993</v>
      </c>
      <c r="B37" s="102">
        <v>44.3</v>
      </c>
      <c r="C37" s="102">
        <v>74.099999999999994</v>
      </c>
      <c r="D37" s="102">
        <v>20.8</v>
      </c>
      <c r="E37" s="102">
        <v>135</v>
      </c>
      <c r="F37" s="102">
        <v>210.3</v>
      </c>
      <c r="G37" s="102">
        <v>196.4</v>
      </c>
      <c r="H37" s="102">
        <v>346.6</v>
      </c>
      <c r="I37" s="102">
        <v>232.9</v>
      </c>
      <c r="J37" s="102">
        <v>168.7</v>
      </c>
      <c r="K37" s="102">
        <v>27.3</v>
      </c>
      <c r="L37" s="102">
        <v>24.7</v>
      </c>
      <c r="M37" s="102">
        <v>10.8</v>
      </c>
      <c r="N37" s="102">
        <f t="shared" si="1"/>
        <v>274.2</v>
      </c>
      <c r="O37" s="102">
        <f t="shared" si="2"/>
        <v>1154.9000000000001</v>
      </c>
      <c r="P37" s="102">
        <f t="shared" si="3"/>
        <v>62.8</v>
      </c>
      <c r="Q37" s="102">
        <f t="shared" si="4"/>
        <v>1491.9</v>
      </c>
    </row>
    <row r="38" spans="1:17">
      <c r="A38" s="102">
        <v>1994</v>
      </c>
      <c r="B38" s="102">
        <v>10.1</v>
      </c>
      <c r="C38" s="102">
        <v>30</v>
      </c>
      <c r="D38" s="102">
        <v>49.4</v>
      </c>
      <c r="E38" s="102">
        <v>94</v>
      </c>
      <c r="F38" s="102">
        <v>208.2</v>
      </c>
      <c r="G38" s="102">
        <v>196.3</v>
      </c>
      <c r="H38" s="102">
        <v>375.7</v>
      </c>
      <c r="I38" s="102">
        <v>123.7</v>
      </c>
      <c r="J38" s="102">
        <v>130.30000000000001</v>
      </c>
      <c r="K38" s="102">
        <v>149.6</v>
      </c>
      <c r="L38" s="102">
        <v>29.2</v>
      </c>
      <c r="M38" s="102">
        <v>31.6</v>
      </c>
      <c r="N38" s="102">
        <f t="shared" si="1"/>
        <v>183.5</v>
      </c>
      <c r="O38" s="102">
        <f t="shared" si="2"/>
        <v>1034.2</v>
      </c>
      <c r="P38" s="102">
        <f t="shared" si="3"/>
        <v>210.39999999999998</v>
      </c>
      <c r="Q38" s="102">
        <f t="shared" si="4"/>
        <v>1428.1</v>
      </c>
    </row>
    <row r="39" spans="1:17">
      <c r="A39" s="102">
        <v>1995</v>
      </c>
      <c r="B39" s="102">
        <v>35</v>
      </c>
      <c r="C39" s="102">
        <v>79</v>
      </c>
      <c r="D39" s="102">
        <v>23.4</v>
      </c>
      <c r="E39" s="102">
        <v>57.2</v>
      </c>
      <c r="F39" s="102">
        <v>116.8</v>
      </c>
      <c r="G39" s="102">
        <v>309.3</v>
      </c>
      <c r="H39" s="102">
        <v>201.6</v>
      </c>
      <c r="I39" s="102">
        <v>242.8</v>
      </c>
      <c r="J39" s="102">
        <v>275.7</v>
      </c>
      <c r="K39" s="102">
        <v>20.6</v>
      </c>
      <c r="L39" s="102">
        <v>39.200000000000003</v>
      </c>
      <c r="M39" s="102">
        <v>2.2000000000000002</v>
      </c>
      <c r="N39" s="102">
        <f t="shared" si="1"/>
        <v>194.60000000000002</v>
      </c>
      <c r="O39" s="102">
        <f t="shared" si="2"/>
        <v>1146.2</v>
      </c>
      <c r="P39" s="102">
        <f t="shared" si="3"/>
        <v>62.000000000000007</v>
      </c>
      <c r="Q39" s="102">
        <f t="shared" si="4"/>
        <v>1402.8000000000002</v>
      </c>
    </row>
    <row r="40" spans="1:17">
      <c r="A40" s="102">
        <v>1996</v>
      </c>
      <c r="B40" s="102">
        <v>15.3</v>
      </c>
      <c r="C40" s="102">
        <v>6</v>
      </c>
      <c r="D40" s="102">
        <v>83.5</v>
      </c>
      <c r="E40" s="102">
        <v>39.700000000000003</v>
      </c>
      <c r="F40" s="102">
        <v>208.8</v>
      </c>
      <c r="G40" s="102">
        <v>221.5</v>
      </c>
      <c r="H40" s="102">
        <v>332.3</v>
      </c>
      <c r="I40" s="102">
        <v>209.7</v>
      </c>
      <c r="J40" s="102">
        <v>44.8</v>
      </c>
      <c r="K40" s="102">
        <v>28</v>
      </c>
      <c r="L40" s="102">
        <v>61.7</v>
      </c>
      <c r="M40" s="102">
        <v>15.5</v>
      </c>
      <c r="N40" s="102">
        <f t="shared" si="1"/>
        <v>144.5</v>
      </c>
      <c r="O40" s="102">
        <f t="shared" si="2"/>
        <v>1017.0999999999999</v>
      </c>
      <c r="P40" s="102">
        <f t="shared" si="3"/>
        <v>105.2</v>
      </c>
      <c r="Q40" s="102">
        <f t="shared" si="4"/>
        <v>1266.8</v>
      </c>
    </row>
    <row r="41" spans="1:17">
      <c r="A41" s="102">
        <v>1997</v>
      </c>
      <c r="B41" s="102">
        <v>49.2</v>
      </c>
      <c r="C41" s="102">
        <v>45.8</v>
      </c>
      <c r="D41" s="102">
        <v>68.3</v>
      </c>
      <c r="E41" s="102">
        <v>146.6</v>
      </c>
      <c r="F41" s="102">
        <v>126.6</v>
      </c>
      <c r="G41" s="102">
        <v>320.3</v>
      </c>
      <c r="H41" s="102">
        <v>320.7</v>
      </c>
      <c r="I41" s="102">
        <v>121.3</v>
      </c>
      <c r="J41" s="102">
        <v>129.19999999999999</v>
      </c>
      <c r="K41" s="102">
        <v>126.9</v>
      </c>
      <c r="L41" s="102">
        <v>8</v>
      </c>
      <c r="M41" s="102">
        <v>21.1</v>
      </c>
      <c r="N41" s="102">
        <f t="shared" si="1"/>
        <v>309.89999999999998</v>
      </c>
      <c r="O41" s="102">
        <f t="shared" si="2"/>
        <v>1018.0999999999999</v>
      </c>
      <c r="P41" s="102">
        <f t="shared" si="3"/>
        <v>156</v>
      </c>
      <c r="Q41" s="102">
        <f t="shared" si="4"/>
        <v>1484</v>
      </c>
    </row>
    <row r="42" spans="1:17">
      <c r="A42" s="102">
        <v>1998</v>
      </c>
      <c r="B42" s="102">
        <v>40.9</v>
      </c>
      <c r="C42" s="102">
        <v>45.7</v>
      </c>
      <c r="D42" s="102">
        <v>69.599999999999994</v>
      </c>
      <c r="E42" s="102">
        <v>130.19999999999999</v>
      </c>
      <c r="F42" s="102">
        <v>174.9</v>
      </c>
      <c r="G42" s="102">
        <v>234.4</v>
      </c>
      <c r="H42" s="102">
        <v>288.89999999999998</v>
      </c>
      <c r="I42" s="102">
        <v>190.5</v>
      </c>
      <c r="J42" s="102">
        <v>16.100000000000001</v>
      </c>
      <c r="K42" s="102">
        <v>38.700000000000003</v>
      </c>
      <c r="L42" s="102">
        <v>5.9</v>
      </c>
      <c r="M42" s="102">
        <v>11</v>
      </c>
      <c r="N42" s="102">
        <f t="shared" si="1"/>
        <v>286.39999999999998</v>
      </c>
      <c r="O42" s="102">
        <f t="shared" si="2"/>
        <v>904.80000000000007</v>
      </c>
      <c r="P42" s="102">
        <f t="shared" si="3"/>
        <v>55.6</v>
      </c>
      <c r="Q42" s="102">
        <f t="shared" si="4"/>
        <v>1246.8</v>
      </c>
    </row>
    <row r="43" spans="1:17">
      <c r="A43" s="102">
        <v>1999</v>
      </c>
      <c r="B43" s="102">
        <v>10.4</v>
      </c>
      <c r="C43" s="102">
        <v>4.3</v>
      </c>
      <c r="D43" s="102">
        <v>23.4</v>
      </c>
      <c r="E43" s="102">
        <v>89.6</v>
      </c>
      <c r="F43" s="102">
        <v>168.3</v>
      </c>
      <c r="G43" s="102">
        <v>311.7</v>
      </c>
      <c r="H43" s="102">
        <v>417.4</v>
      </c>
      <c r="I43" s="102">
        <v>177.4</v>
      </c>
      <c r="J43" s="102">
        <v>93.8</v>
      </c>
      <c r="K43" s="102">
        <v>79.599999999999994</v>
      </c>
      <c r="L43" s="102">
        <v>38.9</v>
      </c>
      <c r="M43" s="102">
        <v>3</v>
      </c>
      <c r="N43" s="102">
        <f t="shared" si="1"/>
        <v>127.69999999999999</v>
      </c>
      <c r="O43" s="102">
        <f t="shared" si="2"/>
        <v>1168.5999999999999</v>
      </c>
      <c r="P43" s="102">
        <f t="shared" si="3"/>
        <v>121.5</v>
      </c>
      <c r="Q43" s="102">
        <f t="shared" si="4"/>
        <v>1417.8</v>
      </c>
    </row>
    <row r="44" spans="1:17">
      <c r="A44" s="102">
        <v>2000</v>
      </c>
      <c r="B44" s="102">
        <v>20.2</v>
      </c>
      <c r="C44" s="102">
        <v>25</v>
      </c>
      <c r="D44" s="102">
        <v>101.7</v>
      </c>
      <c r="E44" s="102">
        <v>112.4</v>
      </c>
      <c r="F44" s="102">
        <v>185.3</v>
      </c>
      <c r="G44" s="102">
        <v>451.5</v>
      </c>
      <c r="H44" s="102">
        <v>115.6</v>
      </c>
      <c r="I44" s="102">
        <v>266.39999999999998</v>
      </c>
      <c r="J44" s="102">
        <v>50.3</v>
      </c>
      <c r="K44" s="102">
        <v>109.7</v>
      </c>
      <c r="L44" s="102">
        <v>13.5</v>
      </c>
      <c r="M44" s="102">
        <v>20.7</v>
      </c>
      <c r="N44" s="102">
        <f t="shared" si="1"/>
        <v>259.3</v>
      </c>
      <c r="O44" s="102">
        <f t="shared" si="2"/>
        <v>1069.0999999999999</v>
      </c>
      <c r="P44" s="102">
        <f t="shared" si="3"/>
        <v>143.9</v>
      </c>
      <c r="Q44" s="102">
        <f t="shared" si="4"/>
        <v>1472.3</v>
      </c>
    </row>
    <row r="45" spans="1:17">
      <c r="A45" s="102">
        <v>2001</v>
      </c>
      <c r="B45" s="102">
        <v>11.2</v>
      </c>
      <c r="C45" s="102">
        <v>29.8</v>
      </c>
      <c r="D45" s="102">
        <v>38.5</v>
      </c>
      <c r="E45" s="102">
        <v>44.3</v>
      </c>
      <c r="F45" s="102">
        <v>99.1</v>
      </c>
      <c r="G45" s="102">
        <v>263.7</v>
      </c>
      <c r="H45" s="102">
        <v>258.7</v>
      </c>
      <c r="I45" s="102">
        <v>132.4</v>
      </c>
      <c r="J45" s="102">
        <v>24.7</v>
      </c>
      <c r="K45" s="102">
        <v>85.1</v>
      </c>
      <c r="L45" s="102">
        <v>16.7</v>
      </c>
      <c r="M45" s="102">
        <v>14.8</v>
      </c>
      <c r="N45" s="102">
        <f t="shared" si="1"/>
        <v>123.8</v>
      </c>
      <c r="O45" s="102">
        <f t="shared" si="2"/>
        <v>778.6</v>
      </c>
      <c r="P45" s="102">
        <f t="shared" si="3"/>
        <v>116.6</v>
      </c>
      <c r="Q45" s="102">
        <f t="shared" si="4"/>
        <v>1019</v>
      </c>
    </row>
    <row r="46" spans="1:17">
      <c r="A46" s="102">
        <v>2002</v>
      </c>
      <c r="B46" s="102">
        <v>29.9</v>
      </c>
      <c r="C46" s="102">
        <v>80.7</v>
      </c>
      <c r="D46" s="102">
        <v>60.2</v>
      </c>
      <c r="E46" s="102">
        <v>92.8</v>
      </c>
      <c r="F46" s="102">
        <v>257.3</v>
      </c>
      <c r="G46" s="102">
        <v>324.10000000000002</v>
      </c>
      <c r="H46" s="102">
        <v>167.2</v>
      </c>
      <c r="I46" s="102">
        <v>214</v>
      </c>
      <c r="J46" s="102">
        <v>49.4</v>
      </c>
      <c r="K46" s="102">
        <v>59.6</v>
      </c>
      <c r="L46" s="102">
        <v>3.7</v>
      </c>
      <c r="M46" s="102">
        <v>73.099999999999994</v>
      </c>
      <c r="N46" s="102">
        <f t="shared" si="1"/>
        <v>263.60000000000002</v>
      </c>
      <c r="O46" s="102">
        <f t="shared" si="2"/>
        <v>1012.0000000000001</v>
      </c>
      <c r="P46" s="102">
        <f t="shared" si="3"/>
        <v>136.4</v>
      </c>
      <c r="Q46" s="102">
        <f t="shared" si="4"/>
        <v>1412</v>
      </c>
    </row>
    <row r="47" spans="1:17">
      <c r="A47" s="102">
        <v>2003</v>
      </c>
      <c r="B47" s="102">
        <v>46.4</v>
      </c>
      <c r="C47" s="102">
        <v>12</v>
      </c>
      <c r="D47" s="102">
        <v>55.6</v>
      </c>
      <c r="E47" s="102">
        <v>92.3</v>
      </c>
      <c r="F47" s="102">
        <v>169.5</v>
      </c>
      <c r="G47" s="102">
        <v>229</v>
      </c>
      <c r="H47" s="102">
        <v>230.8</v>
      </c>
      <c r="I47" s="102">
        <v>138.4</v>
      </c>
      <c r="J47" s="102">
        <v>73</v>
      </c>
      <c r="K47" s="102">
        <v>76.7</v>
      </c>
      <c r="L47" s="102">
        <v>9.6999999999999993</v>
      </c>
      <c r="M47" s="102">
        <v>30.2</v>
      </c>
      <c r="N47" s="102">
        <f t="shared" si="1"/>
        <v>206.3</v>
      </c>
      <c r="O47" s="102">
        <f t="shared" si="2"/>
        <v>840.69999999999993</v>
      </c>
      <c r="P47" s="102">
        <f t="shared" si="3"/>
        <v>116.60000000000001</v>
      </c>
      <c r="Q47" s="102">
        <f t="shared" si="4"/>
        <v>1163.6000000000001</v>
      </c>
    </row>
    <row r="48" spans="1:17">
      <c r="A48" s="102">
        <v>2004</v>
      </c>
      <c r="B48" s="103">
        <v>32.299999999999997</v>
      </c>
      <c r="C48" s="103">
        <v>26.3</v>
      </c>
      <c r="D48" s="103">
        <v>34.1</v>
      </c>
      <c r="E48" s="103">
        <v>124.1</v>
      </c>
      <c r="F48" s="103">
        <v>152.9</v>
      </c>
      <c r="G48" s="103">
        <v>169.3</v>
      </c>
      <c r="H48" s="103">
        <v>243.5</v>
      </c>
      <c r="I48" s="103">
        <v>206</v>
      </c>
      <c r="J48" s="103">
        <v>84.9</v>
      </c>
      <c r="K48" s="103">
        <v>2</v>
      </c>
      <c r="L48" s="103">
        <v>50.8</v>
      </c>
      <c r="M48" s="103">
        <v>14.9</v>
      </c>
      <c r="N48" s="102">
        <f t="shared" si="1"/>
        <v>216.79999999999998</v>
      </c>
      <c r="O48" s="102">
        <f t="shared" si="2"/>
        <v>856.6</v>
      </c>
      <c r="P48" s="102">
        <f t="shared" si="3"/>
        <v>67.7</v>
      </c>
      <c r="Q48" s="102">
        <f t="shared" si="4"/>
        <v>1141.1000000000001</v>
      </c>
    </row>
    <row r="49" spans="1:34">
      <c r="A49" s="102">
        <v>2005</v>
      </c>
      <c r="B49" s="103">
        <v>29.3</v>
      </c>
      <c r="C49" s="103">
        <v>6.1</v>
      </c>
      <c r="D49" s="103">
        <v>59.9</v>
      </c>
      <c r="E49" s="103">
        <v>73.400000000000006</v>
      </c>
      <c r="F49" s="103">
        <v>162.30000000000001</v>
      </c>
      <c r="G49" s="103">
        <v>445.3</v>
      </c>
      <c r="H49" s="103">
        <v>154.6</v>
      </c>
      <c r="I49" s="103">
        <v>63.6</v>
      </c>
      <c r="J49" s="103">
        <v>23.6</v>
      </c>
      <c r="K49" s="102">
        <v>33</v>
      </c>
      <c r="L49" s="102">
        <v>21.1</v>
      </c>
      <c r="M49" s="102">
        <v>32.700000000000003</v>
      </c>
      <c r="N49" s="102">
        <f t="shared" si="1"/>
        <v>168.7</v>
      </c>
      <c r="O49" s="102">
        <f t="shared" si="2"/>
        <v>849.40000000000009</v>
      </c>
      <c r="P49" s="102">
        <f t="shared" si="3"/>
        <v>86.800000000000011</v>
      </c>
      <c r="Q49" s="102">
        <f t="shared" si="4"/>
        <v>1104.8999999999999</v>
      </c>
    </row>
    <row r="50" spans="1:34">
      <c r="A50" s="102">
        <v>2006</v>
      </c>
      <c r="B50" s="102">
        <v>10.199999999999999</v>
      </c>
      <c r="C50" s="102">
        <v>65.5</v>
      </c>
      <c r="D50" s="102">
        <v>32.5</v>
      </c>
      <c r="E50" s="102">
        <v>179.6</v>
      </c>
      <c r="F50" s="102">
        <v>185.3</v>
      </c>
      <c r="G50" s="102">
        <v>238.1</v>
      </c>
      <c r="H50" s="102">
        <v>202.7</v>
      </c>
      <c r="I50" s="102">
        <v>169</v>
      </c>
      <c r="J50" s="102">
        <v>41.8</v>
      </c>
      <c r="K50" s="102">
        <v>97.5</v>
      </c>
      <c r="L50" s="102">
        <v>33.799999999999997</v>
      </c>
      <c r="M50" s="102">
        <v>5.0999999999999996</v>
      </c>
      <c r="N50" s="102">
        <f t="shared" si="1"/>
        <v>287.8</v>
      </c>
      <c r="O50" s="102">
        <f t="shared" si="2"/>
        <v>836.89999999999986</v>
      </c>
      <c r="P50" s="102">
        <f t="shared" si="3"/>
        <v>136.4</v>
      </c>
      <c r="Q50" s="102">
        <f t="shared" si="4"/>
        <v>1261.0999999999999</v>
      </c>
    </row>
    <row r="51" spans="1:34">
      <c r="A51" s="102">
        <v>2007</v>
      </c>
      <c r="B51" s="102">
        <v>44</v>
      </c>
      <c r="C51" s="102">
        <v>82.2</v>
      </c>
      <c r="D51" s="102">
        <v>28</v>
      </c>
      <c r="E51" s="102">
        <v>81.2</v>
      </c>
      <c r="F51" s="102">
        <v>118.8</v>
      </c>
      <c r="G51" s="102">
        <v>155.80000000000001</v>
      </c>
      <c r="H51" s="102">
        <v>210.8</v>
      </c>
      <c r="I51" s="102">
        <v>197.9</v>
      </c>
      <c r="J51" s="102">
        <v>46.5</v>
      </c>
      <c r="K51" s="102">
        <v>9.6</v>
      </c>
      <c r="L51" s="102">
        <v>1.8</v>
      </c>
      <c r="M51" s="102">
        <v>42.8</v>
      </c>
      <c r="N51" s="102">
        <f t="shared" si="1"/>
        <v>235.39999999999998</v>
      </c>
      <c r="O51" s="102">
        <f t="shared" si="2"/>
        <v>729.80000000000007</v>
      </c>
      <c r="P51" s="102">
        <f t="shared" si="3"/>
        <v>54.199999999999996</v>
      </c>
      <c r="Q51" s="102">
        <f t="shared" si="4"/>
        <v>1019.3999999999999</v>
      </c>
    </row>
    <row r="52" spans="1:34">
      <c r="A52" s="102">
        <v>2008</v>
      </c>
      <c r="B52" s="102">
        <v>17.100000000000001</v>
      </c>
      <c r="C52" s="102">
        <v>30.3</v>
      </c>
      <c r="D52" s="102">
        <v>51.1</v>
      </c>
      <c r="E52" s="102">
        <v>60.3</v>
      </c>
      <c r="F52" s="102">
        <v>200.7</v>
      </c>
      <c r="G52" s="102">
        <v>144.80000000000001</v>
      </c>
      <c r="H52" s="102">
        <v>309.8</v>
      </c>
      <c r="I52" s="102">
        <v>230.6</v>
      </c>
      <c r="J52" s="102">
        <v>126.3</v>
      </c>
      <c r="K52" s="102">
        <v>113.8</v>
      </c>
      <c r="L52" s="102">
        <v>139.30000000000001</v>
      </c>
      <c r="M52" s="102">
        <v>3.8</v>
      </c>
      <c r="N52" s="102">
        <f t="shared" si="1"/>
        <v>158.80000000000001</v>
      </c>
      <c r="O52" s="102">
        <f t="shared" si="2"/>
        <v>1012.1999999999999</v>
      </c>
      <c r="P52" s="102">
        <f t="shared" si="3"/>
        <v>256.90000000000003</v>
      </c>
      <c r="Q52" s="102">
        <f t="shared" si="4"/>
        <v>1427.8999999999999</v>
      </c>
    </row>
    <row r="53" spans="1:34">
      <c r="A53" s="102">
        <v>2009</v>
      </c>
      <c r="B53" s="102">
        <v>12.1</v>
      </c>
      <c r="C53" s="102">
        <v>15</v>
      </c>
      <c r="D53" s="102">
        <v>81.7</v>
      </c>
      <c r="E53" s="102">
        <v>85</v>
      </c>
      <c r="F53" s="102">
        <v>93.7</v>
      </c>
      <c r="G53" s="102">
        <v>323.7</v>
      </c>
      <c r="H53" s="102">
        <v>293.60000000000002</v>
      </c>
      <c r="I53" s="102">
        <v>73.2</v>
      </c>
      <c r="J53" s="102">
        <v>70.7</v>
      </c>
      <c r="K53" s="102">
        <v>44.8</v>
      </c>
      <c r="L53" s="102">
        <v>9.8000000000000007</v>
      </c>
      <c r="M53" s="102">
        <v>10.199999999999999</v>
      </c>
      <c r="N53" s="102">
        <f t="shared" si="1"/>
        <v>193.8</v>
      </c>
      <c r="O53" s="102">
        <f t="shared" si="2"/>
        <v>854.90000000000009</v>
      </c>
      <c r="P53" s="102">
        <f t="shared" si="3"/>
        <v>64.8</v>
      </c>
      <c r="Q53" s="102">
        <f t="shared" si="4"/>
        <v>1113.5</v>
      </c>
    </row>
    <row r="54" spans="1:34">
      <c r="A54" s="102">
        <v>2010</v>
      </c>
      <c r="B54" s="102">
        <v>30.6</v>
      </c>
      <c r="C54" s="102">
        <v>2.5</v>
      </c>
      <c r="D54" s="102">
        <v>4.4000000000000004</v>
      </c>
      <c r="E54" s="102">
        <v>68.400000000000006</v>
      </c>
      <c r="F54" s="102">
        <v>153.9</v>
      </c>
      <c r="G54" s="102">
        <v>266.5</v>
      </c>
      <c r="H54" s="102">
        <v>261.3</v>
      </c>
      <c r="I54" s="102">
        <v>66.099999999999994</v>
      </c>
      <c r="J54" s="102">
        <v>104.7</v>
      </c>
      <c r="K54" s="102">
        <v>38.299999999999997</v>
      </c>
      <c r="L54" s="102">
        <v>23.5</v>
      </c>
      <c r="M54" s="102">
        <v>60.3</v>
      </c>
      <c r="N54" s="102">
        <f t="shared" si="1"/>
        <v>105.9</v>
      </c>
      <c r="O54" s="102">
        <f t="shared" si="2"/>
        <v>852.50000000000011</v>
      </c>
      <c r="P54" s="102">
        <f t="shared" si="3"/>
        <v>122.1</v>
      </c>
      <c r="Q54" s="102">
        <f t="shared" si="4"/>
        <v>1080.5</v>
      </c>
    </row>
    <row r="55" spans="1:34">
      <c r="A55" s="102">
        <v>2011</v>
      </c>
      <c r="B55" s="102">
        <v>23.4</v>
      </c>
      <c r="C55" s="102">
        <v>22.4</v>
      </c>
      <c r="D55" s="102">
        <v>43.9</v>
      </c>
      <c r="E55" s="102">
        <v>83.5</v>
      </c>
      <c r="F55" s="102">
        <v>206.9</v>
      </c>
      <c r="G55" s="102">
        <v>206.7</v>
      </c>
      <c r="H55" s="102">
        <v>52.3</v>
      </c>
      <c r="I55" s="102">
        <v>39.299999999999997</v>
      </c>
      <c r="J55" s="102">
        <v>123.2</v>
      </c>
      <c r="K55" s="102">
        <v>139.9</v>
      </c>
      <c r="L55" s="102">
        <v>28.6</v>
      </c>
      <c r="M55" s="102">
        <v>9</v>
      </c>
      <c r="N55" s="102">
        <f t="shared" si="1"/>
        <v>173.2</v>
      </c>
      <c r="O55" s="102">
        <f t="shared" si="2"/>
        <v>628.40000000000009</v>
      </c>
      <c r="P55" s="102">
        <f t="shared" si="3"/>
        <v>177.5</v>
      </c>
      <c r="Q55" s="102">
        <f t="shared" si="4"/>
        <v>979.09999999999991</v>
      </c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  <c r="AD55" s="104"/>
      <c r="AE55" s="104"/>
      <c r="AF55" s="104"/>
      <c r="AG55" s="104"/>
    </row>
    <row r="56" spans="1:34">
      <c r="A56" s="102">
        <v>2012</v>
      </c>
      <c r="B56" s="102">
        <v>56.1</v>
      </c>
      <c r="C56" s="102">
        <v>17.600000000000001</v>
      </c>
      <c r="D56" s="102">
        <v>43.3</v>
      </c>
      <c r="E56" s="102">
        <v>158</v>
      </c>
      <c r="F56" s="102">
        <v>236.7</v>
      </c>
      <c r="G56" s="102">
        <v>207.6</v>
      </c>
      <c r="H56" s="102">
        <v>211.1</v>
      </c>
      <c r="I56" s="102">
        <v>56</v>
      </c>
      <c r="J56" s="102">
        <v>37.6</v>
      </c>
      <c r="K56" s="102">
        <v>40</v>
      </c>
      <c r="L56" s="102">
        <v>72.5</v>
      </c>
      <c r="M56" s="102">
        <v>12.5</v>
      </c>
      <c r="N56" s="102">
        <f t="shared" si="1"/>
        <v>275</v>
      </c>
      <c r="O56" s="102">
        <f t="shared" si="2"/>
        <v>749</v>
      </c>
      <c r="P56" s="102">
        <f t="shared" si="3"/>
        <v>125</v>
      </c>
      <c r="Q56" s="102">
        <f t="shared" si="4"/>
        <v>1149</v>
      </c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</row>
    <row r="57" spans="1:34">
      <c r="A57" s="102">
        <v>2013</v>
      </c>
      <c r="B57" s="102">
        <v>17.3</v>
      </c>
      <c r="C57" s="102">
        <v>12.5</v>
      </c>
      <c r="D57" s="102">
        <v>54.6</v>
      </c>
      <c r="E57" s="102">
        <v>150.4</v>
      </c>
      <c r="F57" s="102">
        <v>140.4</v>
      </c>
      <c r="G57" s="102">
        <v>252</v>
      </c>
      <c r="H57" s="102">
        <v>106.6</v>
      </c>
      <c r="I57" s="102">
        <v>164.6</v>
      </c>
      <c r="J57" s="102">
        <v>67.2</v>
      </c>
      <c r="K57" s="102">
        <v>39.4</v>
      </c>
      <c r="L57" s="102">
        <v>63.4</v>
      </c>
      <c r="M57" s="102">
        <v>56.3</v>
      </c>
      <c r="N57" s="102">
        <f t="shared" si="1"/>
        <v>234.8</v>
      </c>
      <c r="O57" s="102">
        <f t="shared" si="2"/>
        <v>730.80000000000007</v>
      </c>
      <c r="P57" s="102">
        <f t="shared" si="3"/>
        <v>159.1</v>
      </c>
      <c r="Q57" s="102">
        <f t="shared" si="4"/>
        <v>1124.7</v>
      </c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</row>
    <row r="58" spans="1:34">
      <c r="A58" s="102">
        <v>2014</v>
      </c>
      <c r="B58" s="131">
        <v>9.3000000000000007</v>
      </c>
      <c r="C58" s="131">
        <v>27.6</v>
      </c>
      <c r="D58" s="131">
        <v>93.3</v>
      </c>
      <c r="E58" s="131">
        <v>83.3</v>
      </c>
      <c r="F58" s="131">
        <v>128.19999999999999</v>
      </c>
      <c r="G58" s="131">
        <v>275.10000000000002</v>
      </c>
      <c r="H58" s="131">
        <v>191.1</v>
      </c>
      <c r="I58" s="131">
        <v>193.3</v>
      </c>
      <c r="J58" s="131">
        <v>155.80000000000001</v>
      </c>
      <c r="K58" s="131">
        <v>96.8</v>
      </c>
      <c r="L58" s="131">
        <v>94</v>
      </c>
      <c r="M58" s="131">
        <v>4.5</v>
      </c>
      <c r="N58" s="102">
        <f t="shared" si="1"/>
        <v>213.5</v>
      </c>
      <c r="O58" s="102">
        <f t="shared" si="2"/>
        <v>943.5</v>
      </c>
      <c r="P58" s="102">
        <f t="shared" si="3"/>
        <v>195.3</v>
      </c>
      <c r="Q58" s="102">
        <f t="shared" si="4"/>
        <v>1352.3</v>
      </c>
    </row>
    <row r="59" spans="1:34">
      <c r="A59" s="102">
        <v>2015</v>
      </c>
      <c r="B59" s="131">
        <v>30.6</v>
      </c>
      <c r="C59" s="131">
        <v>18.399999999999999</v>
      </c>
      <c r="D59" s="131">
        <v>16</v>
      </c>
      <c r="E59" s="131">
        <v>44.7</v>
      </c>
      <c r="F59" s="131">
        <v>187.6</v>
      </c>
      <c r="G59" s="131">
        <v>251.6</v>
      </c>
      <c r="H59" s="131">
        <v>109.5</v>
      </c>
      <c r="I59" s="131">
        <v>169.6</v>
      </c>
      <c r="J59" s="131">
        <v>113.3</v>
      </c>
      <c r="K59" s="131">
        <v>71.400000000000006</v>
      </c>
      <c r="L59" s="131">
        <v>177.9</v>
      </c>
      <c r="M59" s="131">
        <v>64.099999999999994</v>
      </c>
      <c r="N59" s="102">
        <f t="shared" si="1"/>
        <v>109.7</v>
      </c>
      <c r="O59" s="102">
        <f t="shared" si="2"/>
        <v>831.6</v>
      </c>
      <c r="P59" s="102">
        <f t="shared" si="3"/>
        <v>313.39999999999998</v>
      </c>
      <c r="Q59" s="102">
        <f t="shared" si="4"/>
        <v>1254.6999999999998</v>
      </c>
    </row>
    <row r="60" spans="1:34" ht="13.5">
      <c r="A60" s="102">
        <v>2016</v>
      </c>
      <c r="B60" s="128">
        <v>25.9</v>
      </c>
      <c r="C60" s="128">
        <v>5.6</v>
      </c>
      <c r="D60" s="128">
        <v>33.5</v>
      </c>
      <c r="E60" s="128">
        <v>230.8</v>
      </c>
      <c r="F60" s="128">
        <v>218.7</v>
      </c>
      <c r="G60" s="128">
        <v>275.39999999999998</v>
      </c>
      <c r="H60" s="128">
        <v>186.4</v>
      </c>
      <c r="I60" s="128">
        <v>417.2</v>
      </c>
      <c r="J60" s="128">
        <v>39.1</v>
      </c>
      <c r="K60" s="128">
        <v>108.3</v>
      </c>
      <c r="L60" s="128">
        <v>42.6</v>
      </c>
      <c r="M60" s="128">
        <v>18.8</v>
      </c>
      <c r="N60" s="102">
        <f>SUM(B60:E60)</f>
        <v>295.8</v>
      </c>
      <c r="O60" s="102">
        <f>SUM(F60:J60)</f>
        <v>1136.8</v>
      </c>
      <c r="P60" s="102">
        <f>SUM(K60:M60)</f>
        <v>169.70000000000002</v>
      </c>
      <c r="Q60" s="102">
        <f>SUM(B60:M60)</f>
        <v>1602.2999999999997</v>
      </c>
      <c r="R60" s="129">
        <f t="shared" ref="R60:AG60" si="5">100*(B60-B4)/B4</f>
        <v>-1.5209125475284853</v>
      </c>
      <c r="S60" s="129">
        <f t="shared" si="5"/>
        <v>-81.906831933266758</v>
      </c>
      <c r="T60" s="129">
        <f t="shared" si="5"/>
        <v>-25.926670418911328</v>
      </c>
      <c r="U60" s="129">
        <f t="shared" si="5"/>
        <v>124.96721369581404</v>
      </c>
      <c r="V60" s="129">
        <f t="shared" si="5"/>
        <v>25.652891525990231</v>
      </c>
      <c r="W60" s="129">
        <f t="shared" si="5"/>
        <v>13.653928402602167</v>
      </c>
      <c r="X60" s="129">
        <f t="shared" si="5"/>
        <v>-14.39617237665016</v>
      </c>
      <c r="Y60" s="129">
        <f t="shared" si="5"/>
        <v>125.61994847692277</v>
      </c>
      <c r="Z60" s="129">
        <f t="shared" si="5"/>
        <v>-55.602122344488713</v>
      </c>
      <c r="AA60" s="129">
        <f t="shared" si="5"/>
        <v>38.778220451527254</v>
      </c>
      <c r="AB60" s="129">
        <f t="shared" si="5"/>
        <v>-5.77874291229341</v>
      </c>
      <c r="AC60" s="129">
        <f t="shared" si="5"/>
        <v>-19.281811085089753</v>
      </c>
      <c r="AD60" s="129">
        <f t="shared" si="5"/>
        <v>44.244068517927509</v>
      </c>
      <c r="AE60" s="129">
        <f t="shared" si="5"/>
        <v>25.323460967205893</v>
      </c>
      <c r="AF60" s="129">
        <f t="shared" si="5"/>
        <v>15.803121665550057</v>
      </c>
      <c r="AG60" s="129">
        <f t="shared" si="5"/>
        <v>27.297638118294799</v>
      </c>
      <c r="AH60" s="129"/>
    </row>
  </sheetData>
  <mergeCells count="6">
    <mergeCell ref="A1:A3"/>
    <mergeCell ref="B1:Q1"/>
    <mergeCell ref="B2:M2"/>
    <mergeCell ref="R1:AG1"/>
    <mergeCell ref="N2:Q2"/>
    <mergeCell ref="R2:AG2"/>
  </mergeCells>
  <phoneticPr fontId="2" type="noConversion"/>
  <pageMargins left="0.75" right="0.75" top="1" bottom="1" header="0.5" footer="0.5"/>
  <headerFooter alignWithMargins="0"/>
</worksheet>
</file>

<file path=xl/worksheets/sheet43.xml><?xml version="1.0" encoding="utf-8"?>
<worksheet xmlns="http://schemas.openxmlformats.org/spreadsheetml/2006/main" xmlns:r="http://schemas.openxmlformats.org/officeDocument/2006/relationships">
  <sheetPr codeName="Sheet43"/>
  <dimension ref="A1:AG61"/>
  <sheetViews>
    <sheetView topLeftCell="C1" zoomScaleNormal="100" workbookViewId="0">
      <pane ySplit="5" topLeftCell="A6" activePane="bottomLeft" state="frozen"/>
      <selection pane="bottomLeft" activeCell="R61" sqref="R61"/>
    </sheetView>
  </sheetViews>
  <sheetFormatPr defaultRowHeight="12"/>
  <cols>
    <col min="1" max="70" width="7.125" style="102" customWidth="1"/>
    <col min="71" max="16384" width="9" style="102"/>
  </cols>
  <sheetData>
    <row r="1" spans="1:33" s="118" customFormat="1" ht="14.25" customHeight="1">
      <c r="A1" s="176" t="s">
        <v>172</v>
      </c>
      <c r="B1" s="176" t="s">
        <v>180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181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173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174</v>
      </c>
      <c r="O2" s="176"/>
      <c r="P2" s="176"/>
      <c r="Q2" s="176"/>
      <c r="R2" s="176" t="s">
        <v>175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 ht="24">
      <c r="A3" s="176"/>
      <c r="B3" s="124" t="s">
        <v>182</v>
      </c>
      <c r="C3" s="124" t="s">
        <v>183</v>
      </c>
      <c r="D3" s="124" t="s">
        <v>9</v>
      </c>
      <c r="E3" s="124" t="s">
        <v>10</v>
      </c>
      <c r="F3" s="124" t="s">
        <v>11</v>
      </c>
      <c r="G3" s="124" t="s">
        <v>12</v>
      </c>
      <c r="H3" s="124" t="s">
        <v>13</v>
      </c>
      <c r="I3" s="124" t="s">
        <v>14</v>
      </c>
      <c r="J3" s="124" t="s">
        <v>15</v>
      </c>
      <c r="K3" s="124" t="s">
        <v>16</v>
      </c>
      <c r="L3" s="124" t="s">
        <v>17</v>
      </c>
      <c r="M3" s="124" t="s">
        <v>18</v>
      </c>
      <c r="N3" s="124" t="s">
        <v>184</v>
      </c>
      <c r="O3" s="124" t="s">
        <v>185</v>
      </c>
      <c r="P3" s="124" t="s">
        <v>186</v>
      </c>
      <c r="Q3" s="124" t="s">
        <v>187</v>
      </c>
      <c r="R3" s="124" t="s">
        <v>182</v>
      </c>
      <c r="S3" s="124" t="s">
        <v>183</v>
      </c>
      <c r="T3" s="124" t="s">
        <v>188</v>
      </c>
      <c r="U3" s="124" t="s">
        <v>189</v>
      </c>
      <c r="V3" s="124" t="s">
        <v>190</v>
      </c>
      <c r="W3" s="124" t="s">
        <v>191</v>
      </c>
      <c r="X3" s="124" t="s">
        <v>25</v>
      </c>
      <c r="Y3" s="124" t="s">
        <v>26</v>
      </c>
      <c r="Z3" s="124" t="s">
        <v>27</v>
      </c>
      <c r="AA3" s="124" t="s">
        <v>192</v>
      </c>
      <c r="AB3" s="124" t="s">
        <v>193</v>
      </c>
      <c r="AC3" s="124" t="s">
        <v>194</v>
      </c>
      <c r="AD3" s="124" t="s">
        <v>176</v>
      </c>
      <c r="AE3" s="124" t="s">
        <v>177</v>
      </c>
      <c r="AF3" s="124" t="s">
        <v>178</v>
      </c>
      <c r="AG3" s="124" t="s">
        <v>179</v>
      </c>
    </row>
    <row r="4" spans="1:33" s="118" customFormat="1">
      <c r="A4" s="150" t="s">
        <v>261</v>
      </c>
      <c r="B4" s="150">
        <f t="shared" ref="B4:Q4" si="0">AVERAGE(B5:B60)</f>
        <v>27.275000000000002</v>
      </c>
      <c r="C4" s="150">
        <f t="shared" si="0"/>
        <v>27.462499999999999</v>
      </c>
      <c r="D4" s="150">
        <f t="shared" si="0"/>
        <v>54.941071428571441</v>
      </c>
      <c r="E4" s="150">
        <f t="shared" si="0"/>
        <v>110.21964285714284</v>
      </c>
      <c r="F4" s="150">
        <f t="shared" si="0"/>
        <v>166.53214285714287</v>
      </c>
      <c r="G4" s="150">
        <f t="shared" si="0"/>
        <v>159.21428571428575</v>
      </c>
      <c r="H4" s="150">
        <f t="shared" si="0"/>
        <v>123.26607142857144</v>
      </c>
      <c r="I4" s="150">
        <f t="shared" si="0"/>
        <v>112.56071428571424</v>
      </c>
      <c r="J4" s="150">
        <f t="shared" si="0"/>
        <v>72.208928571428572</v>
      </c>
      <c r="K4" s="150">
        <f t="shared" si="0"/>
        <v>81.310714285714283</v>
      </c>
      <c r="L4" s="150">
        <f t="shared" si="0"/>
        <v>51.403571428571418</v>
      </c>
      <c r="M4" s="150">
        <f t="shared" si="0"/>
        <v>22.785714285714278</v>
      </c>
      <c r="N4" s="150">
        <f t="shared" si="0"/>
        <v>219.89821428571426</v>
      </c>
      <c r="O4" s="150">
        <f t="shared" si="0"/>
        <v>633.78214285714262</v>
      </c>
      <c r="P4" s="150">
        <f t="shared" si="0"/>
        <v>155.5</v>
      </c>
      <c r="Q4" s="150">
        <f t="shared" si="0"/>
        <v>1009.180357142857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1960</v>
      </c>
      <c r="B5" s="102">
        <v>14.7</v>
      </c>
      <c r="C5" s="102">
        <v>36.1</v>
      </c>
      <c r="D5" s="102">
        <v>27.6</v>
      </c>
      <c r="E5" s="102">
        <v>96.5</v>
      </c>
      <c r="F5" s="102">
        <v>150.69999999999999</v>
      </c>
      <c r="G5" s="102">
        <v>118.5</v>
      </c>
      <c r="H5" s="102">
        <v>139.80000000000001</v>
      </c>
      <c r="I5" s="102">
        <v>52.4</v>
      </c>
      <c r="J5" s="102">
        <v>55.3</v>
      </c>
      <c r="K5" s="102">
        <v>56.2</v>
      </c>
      <c r="L5" s="102">
        <v>29.2</v>
      </c>
      <c r="M5" s="102">
        <v>4</v>
      </c>
      <c r="N5" s="102">
        <f>SUM(B5:E5)</f>
        <v>174.9</v>
      </c>
      <c r="O5" s="102">
        <f>SUM(F5:J5)</f>
        <v>516.69999999999993</v>
      </c>
      <c r="P5" s="102">
        <f>SUM(K5:M5)</f>
        <v>89.4</v>
      </c>
      <c r="Q5" s="102">
        <f>SUM(B5:M5)</f>
        <v>781.00000000000011</v>
      </c>
    </row>
    <row r="6" spans="1:33">
      <c r="A6" s="102">
        <v>1961</v>
      </c>
      <c r="B6" s="102">
        <v>8.1</v>
      </c>
      <c r="C6" s="102">
        <v>23.2</v>
      </c>
      <c r="D6" s="102">
        <v>73.3</v>
      </c>
      <c r="E6" s="102">
        <v>163.9</v>
      </c>
      <c r="F6" s="102">
        <v>130.30000000000001</v>
      </c>
      <c r="G6" s="102">
        <v>35.9</v>
      </c>
      <c r="H6" s="102">
        <v>95.4</v>
      </c>
      <c r="I6" s="102">
        <v>153.69999999999999</v>
      </c>
      <c r="J6" s="102">
        <v>51.6</v>
      </c>
      <c r="K6" s="102">
        <v>169.2</v>
      </c>
      <c r="L6" s="102">
        <v>110.7</v>
      </c>
      <c r="M6" s="102">
        <v>37.9</v>
      </c>
      <c r="N6" s="102">
        <f t="shared" ref="N6:N60" si="1">SUM(B6:E6)</f>
        <v>268.5</v>
      </c>
      <c r="O6" s="102">
        <f t="shared" ref="O6:O60" si="2">SUM(F6:J6)</f>
        <v>466.90000000000003</v>
      </c>
      <c r="P6" s="102">
        <f t="shared" ref="P6:P60" si="3">SUM(K6:M6)</f>
        <v>317.79999999999995</v>
      </c>
      <c r="Q6" s="102">
        <f t="shared" ref="Q6:Q60" si="4">SUM(B6:M6)</f>
        <v>1053.2</v>
      </c>
    </row>
    <row r="7" spans="1:33">
      <c r="A7" s="102">
        <v>1962</v>
      </c>
      <c r="B7" s="102">
        <v>19.899999999999999</v>
      </c>
      <c r="C7" s="102">
        <v>13.5</v>
      </c>
      <c r="D7" s="102">
        <v>43.6</v>
      </c>
      <c r="E7" s="102">
        <v>96.5</v>
      </c>
      <c r="F7" s="102">
        <v>251.3</v>
      </c>
      <c r="G7" s="102">
        <v>119.4</v>
      </c>
      <c r="H7" s="102">
        <v>41.7</v>
      </c>
      <c r="I7" s="102">
        <v>113.9</v>
      </c>
      <c r="J7" s="102">
        <v>27.8</v>
      </c>
      <c r="K7" s="102">
        <v>137.1</v>
      </c>
      <c r="L7" s="102">
        <v>26.5</v>
      </c>
      <c r="M7" s="102">
        <v>36</v>
      </c>
      <c r="N7" s="102">
        <f t="shared" si="1"/>
        <v>173.5</v>
      </c>
      <c r="O7" s="102">
        <f t="shared" si="2"/>
        <v>554.1</v>
      </c>
      <c r="P7" s="102">
        <f t="shared" si="3"/>
        <v>199.6</v>
      </c>
      <c r="Q7" s="102">
        <f t="shared" si="4"/>
        <v>927.2</v>
      </c>
    </row>
    <row r="8" spans="1:33">
      <c r="A8" s="102">
        <v>1963</v>
      </c>
      <c r="B8" s="102">
        <v>5.3</v>
      </c>
      <c r="C8" s="102">
        <v>34.6</v>
      </c>
      <c r="D8" s="102">
        <v>21.7</v>
      </c>
      <c r="E8" s="102">
        <v>64.400000000000006</v>
      </c>
      <c r="F8" s="102">
        <v>177.3</v>
      </c>
      <c r="G8" s="102">
        <v>56.7</v>
      </c>
      <c r="H8" s="102">
        <v>179.7</v>
      </c>
      <c r="I8" s="102">
        <v>52.6</v>
      </c>
      <c r="J8" s="102">
        <v>108.8</v>
      </c>
      <c r="K8" s="102">
        <v>104.5</v>
      </c>
      <c r="L8" s="102">
        <v>213.4</v>
      </c>
      <c r="M8" s="102">
        <v>36.799999999999997</v>
      </c>
      <c r="N8" s="102">
        <f t="shared" si="1"/>
        <v>126</v>
      </c>
      <c r="O8" s="102">
        <f t="shared" si="2"/>
        <v>575.1</v>
      </c>
      <c r="P8" s="102">
        <f t="shared" si="3"/>
        <v>354.7</v>
      </c>
      <c r="Q8" s="102">
        <f t="shared" si="4"/>
        <v>1055.8</v>
      </c>
    </row>
    <row r="9" spans="1:33">
      <c r="A9" s="102">
        <v>1964</v>
      </c>
      <c r="B9" s="102">
        <v>17.899999999999999</v>
      </c>
      <c r="C9" s="102">
        <v>42.5</v>
      </c>
      <c r="D9" s="102">
        <v>44.4</v>
      </c>
      <c r="E9" s="102">
        <v>209.8</v>
      </c>
      <c r="F9" s="102">
        <v>110.3</v>
      </c>
      <c r="G9" s="102">
        <v>173.2</v>
      </c>
      <c r="H9" s="102">
        <v>78.599999999999994</v>
      </c>
      <c r="I9" s="102">
        <v>145.6</v>
      </c>
      <c r="J9" s="102">
        <v>89.9</v>
      </c>
      <c r="K9" s="102">
        <v>64.599999999999994</v>
      </c>
      <c r="L9" s="102">
        <v>20.7</v>
      </c>
      <c r="M9" s="102">
        <v>19.899999999999999</v>
      </c>
      <c r="N9" s="102">
        <f t="shared" si="1"/>
        <v>314.60000000000002</v>
      </c>
      <c r="O9" s="102">
        <f t="shared" si="2"/>
        <v>597.6</v>
      </c>
      <c r="P9" s="102">
        <f t="shared" si="3"/>
        <v>105.19999999999999</v>
      </c>
      <c r="Q9" s="102">
        <f t="shared" si="4"/>
        <v>1017.4000000000001</v>
      </c>
    </row>
    <row r="10" spans="1:33">
      <c r="A10" s="102">
        <v>1965</v>
      </c>
      <c r="B10" s="102">
        <v>26.9</v>
      </c>
      <c r="C10" s="102">
        <v>23.2</v>
      </c>
      <c r="D10" s="102">
        <v>85.8</v>
      </c>
      <c r="E10" s="102">
        <v>71.400000000000006</v>
      </c>
      <c r="F10" s="102">
        <v>255.9</v>
      </c>
      <c r="G10" s="102">
        <v>153.5</v>
      </c>
      <c r="H10" s="102">
        <v>99</v>
      </c>
      <c r="I10" s="102">
        <v>161.30000000000001</v>
      </c>
      <c r="J10" s="102">
        <v>45.4</v>
      </c>
      <c r="K10" s="102">
        <v>209.2</v>
      </c>
      <c r="L10" s="102">
        <v>87.7</v>
      </c>
      <c r="M10" s="102">
        <v>30.5</v>
      </c>
      <c r="N10" s="102">
        <f t="shared" si="1"/>
        <v>207.29999999999998</v>
      </c>
      <c r="O10" s="102">
        <f t="shared" si="2"/>
        <v>715.1</v>
      </c>
      <c r="P10" s="102">
        <f t="shared" si="3"/>
        <v>327.39999999999998</v>
      </c>
      <c r="Q10" s="102">
        <f t="shared" si="4"/>
        <v>1249.8</v>
      </c>
    </row>
    <row r="11" spans="1:33">
      <c r="A11" s="102">
        <v>1966</v>
      </c>
      <c r="B11" s="102">
        <v>14.8</v>
      </c>
      <c r="C11" s="102">
        <v>34.9</v>
      </c>
      <c r="D11" s="102">
        <v>27.4</v>
      </c>
      <c r="E11" s="102">
        <v>134.9</v>
      </c>
      <c r="F11" s="102">
        <v>245.9</v>
      </c>
      <c r="G11" s="102">
        <v>139.4</v>
      </c>
      <c r="H11" s="102">
        <v>138.6</v>
      </c>
      <c r="I11" s="102">
        <v>15.1</v>
      </c>
      <c r="J11" s="102">
        <v>39.299999999999997</v>
      </c>
      <c r="K11" s="102">
        <v>87.2</v>
      </c>
      <c r="L11" s="102">
        <v>5.5</v>
      </c>
      <c r="M11" s="102">
        <v>19.5</v>
      </c>
      <c r="N11" s="102">
        <f t="shared" si="1"/>
        <v>212</v>
      </c>
      <c r="O11" s="102">
        <f t="shared" si="2"/>
        <v>578.29999999999995</v>
      </c>
      <c r="P11" s="102">
        <f t="shared" si="3"/>
        <v>112.2</v>
      </c>
      <c r="Q11" s="102">
        <f t="shared" si="4"/>
        <v>902.5</v>
      </c>
    </row>
    <row r="12" spans="1:33">
      <c r="A12" s="102">
        <v>1967</v>
      </c>
      <c r="B12" s="102">
        <v>9.3000000000000007</v>
      </c>
      <c r="C12" s="102">
        <v>52.7</v>
      </c>
      <c r="D12" s="102">
        <v>30.9</v>
      </c>
      <c r="E12" s="102">
        <v>155.6</v>
      </c>
      <c r="F12" s="102">
        <v>211.5</v>
      </c>
      <c r="G12" s="102">
        <v>238.6</v>
      </c>
      <c r="H12" s="102">
        <v>105.7</v>
      </c>
      <c r="I12" s="102">
        <v>223.3</v>
      </c>
      <c r="J12" s="102">
        <v>118.1</v>
      </c>
      <c r="K12" s="102">
        <v>40.700000000000003</v>
      </c>
      <c r="L12" s="102">
        <v>89.7</v>
      </c>
      <c r="M12" s="102">
        <v>31.4</v>
      </c>
      <c r="N12" s="102">
        <f t="shared" si="1"/>
        <v>248.5</v>
      </c>
      <c r="O12" s="102">
        <f t="shared" si="2"/>
        <v>897.20000000000016</v>
      </c>
      <c r="P12" s="102">
        <f t="shared" si="3"/>
        <v>161.80000000000001</v>
      </c>
      <c r="Q12" s="102">
        <f t="shared" si="4"/>
        <v>1307.5000000000002</v>
      </c>
    </row>
    <row r="13" spans="1:33">
      <c r="A13" s="102">
        <v>1968</v>
      </c>
      <c r="B13" s="102">
        <v>14.7</v>
      </c>
      <c r="C13" s="102">
        <v>10.8</v>
      </c>
      <c r="D13" s="102">
        <v>72.2</v>
      </c>
      <c r="E13" s="102">
        <v>141.1</v>
      </c>
      <c r="F13" s="102">
        <v>148</v>
      </c>
      <c r="G13" s="102">
        <v>209.7</v>
      </c>
      <c r="H13" s="102">
        <v>189.9</v>
      </c>
      <c r="I13" s="102">
        <v>160.30000000000001</v>
      </c>
      <c r="J13" s="102">
        <v>72.3</v>
      </c>
      <c r="K13" s="102">
        <v>38.700000000000003</v>
      </c>
      <c r="L13" s="102">
        <v>58.9</v>
      </c>
      <c r="M13" s="102">
        <v>35.200000000000003</v>
      </c>
      <c r="N13" s="102">
        <f t="shared" si="1"/>
        <v>238.8</v>
      </c>
      <c r="O13" s="102">
        <f t="shared" si="2"/>
        <v>780.2</v>
      </c>
      <c r="P13" s="102">
        <f t="shared" si="3"/>
        <v>132.80000000000001</v>
      </c>
      <c r="Q13" s="102">
        <f t="shared" si="4"/>
        <v>1151.8000000000002</v>
      </c>
    </row>
    <row r="14" spans="1:33">
      <c r="A14" s="102">
        <v>1969</v>
      </c>
      <c r="B14" s="102">
        <v>26.5</v>
      </c>
      <c r="C14" s="102">
        <v>0.7</v>
      </c>
      <c r="D14" s="102">
        <v>36.700000000000003</v>
      </c>
      <c r="E14" s="102">
        <v>48.1</v>
      </c>
      <c r="F14" s="102">
        <v>143.30000000000001</v>
      </c>
      <c r="G14" s="102">
        <v>247</v>
      </c>
      <c r="H14" s="102">
        <v>152.1</v>
      </c>
      <c r="I14" s="102">
        <v>263.5</v>
      </c>
      <c r="J14" s="102">
        <v>25.8</v>
      </c>
      <c r="K14" s="102">
        <v>109.2</v>
      </c>
      <c r="L14" s="102">
        <v>45.9</v>
      </c>
      <c r="M14" s="102">
        <v>5.4</v>
      </c>
      <c r="N14" s="102">
        <f t="shared" si="1"/>
        <v>112</v>
      </c>
      <c r="O14" s="102">
        <f t="shared" si="2"/>
        <v>831.69999999999993</v>
      </c>
      <c r="P14" s="102">
        <f t="shared" si="3"/>
        <v>160.5</v>
      </c>
      <c r="Q14" s="102">
        <f t="shared" si="4"/>
        <v>1104.2</v>
      </c>
    </row>
    <row r="15" spans="1:33">
      <c r="A15" s="102">
        <v>1970</v>
      </c>
      <c r="B15" s="102">
        <v>34.1</v>
      </c>
      <c r="C15" s="102">
        <v>23</v>
      </c>
      <c r="D15" s="102">
        <v>100.1</v>
      </c>
      <c r="E15" s="102">
        <v>115</v>
      </c>
      <c r="F15" s="102">
        <v>139.1</v>
      </c>
      <c r="G15" s="102">
        <v>111.4</v>
      </c>
      <c r="H15" s="102">
        <v>186.6</v>
      </c>
      <c r="I15" s="102">
        <v>101.8</v>
      </c>
      <c r="J15" s="102">
        <v>50.9</v>
      </c>
      <c r="K15" s="102">
        <v>13.2</v>
      </c>
      <c r="L15" s="102">
        <v>43.4</v>
      </c>
      <c r="M15" s="102">
        <v>55.5</v>
      </c>
      <c r="N15" s="102">
        <f t="shared" si="1"/>
        <v>272.2</v>
      </c>
      <c r="O15" s="102">
        <f t="shared" si="2"/>
        <v>589.79999999999995</v>
      </c>
      <c r="P15" s="102">
        <f t="shared" si="3"/>
        <v>112.1</v>
      </c>
      <c r="Q15" s="102">
        <f t="shared" si="4"/>
        <v>974.09999999999991</v>
      </c>
    </row>
    <row r="16" spans="1:33">
      <c r="A16" s="102">
        <v>1971</v>
      </c>
      <c r="B16" s="102">
        <v>11.2</v>
      </c>
      <c r="C16" s="102">
        <v>18.899999999999999</v>
      </c>
      <c r="D16" s="102">
        <v>32.9</v>
      </c>
      <c r="E16" s="102">
        <v>134.80000000000001</v>
      </c>
      <c r="F16" s="102">
        <v>240</v>
      </c>
      <c r="G16" s="102">
        <v>347.5</v>
      </c>
      <c r="H16" s="102">
        <v>91</v>
      </c>
      <c r="I16" s="102">
        <v>133.69999999999999</v>
      </c>
      <c r="J16" s="102">
        <v>24.3</v>
      </c>
      <c r="K16" s="102">
        <v>71.900000000000006</v>
      </c>
      <c r="L16" s="102">
        <v>10.3</v>
      </c>
      <c r="M16" s="102">
        <v>33</v>
      </c>
      <c r="N16" s="102">
        <f t="shared" si="1"/>
        <v>197.8</v>
      </c>
      <c r="O16" s="102">
        <f t="shared" si="2"/>
        <v>836.5</v>
      </c>
      <c r="P16" s="102">
        <f t="shared" si="3"/>
        <v>115.2</v>
      </c>
      <c r="Q16" s="102">
        <f t="shared" si="4"/>
        <v>1149.5</v>
      </c>
    </row>
    <row r="17" spans="1:17">
      <c r="A17" s="102">
        <v>1972</v>
      </c>
      <c r="B17" s="102">
        <v>15.6</v>
      </c>
      <c r="C17" s="102">
        <v>19.2</v>
      </c>
      <c r="D17" s="102">
        <v>36.700000000000003</v>
      </c>
      <c r="E17" s="102">
        <v>97.3</v>
      </c>
      <c r="F17" s="102">
        <v>161.5</v>
      </c>
      <c r="G17" s="102">
        <v>164.4</v>
      </c>
      <c r="H17" s="102">
        <v>39.200000000000003</v>
      </c>
      <c r="I17" s="102">
        <v>22.4</v>
      </c>
      <c r="J17" s="102">
        <v>107.2</v>
      </c>
      <c r="K17" s="102">
        <v>170.2</v>
      </c>
      <c r="L17" s="102">
        <v>84</v>
      </c>
      <c r="M17" s="102">
        <v>32.700000000000003</v>
      </c>
      <c r="N17" s="102">
        <f t="shared" si="1"/>
        <v>168.8</v>
      </c>
      <c r="O17" s="102">
        <f t="shared" si="2"/>
        <v>494.69999999999993</v>
      </c>
      <c r="P17" s="102">
        <f t="shared" si="3"/>
        <v>286.89999999999998</v>
      </c>
      <c r="Q17" s="102">
        <f t="shared" si="4"/>
        <v>950.40000000000009</v>
      </c>
    </row>
    <row r="18" spans="1:17">
      <c r="A18" s="102">
        <v>1973</v>
      </c>
      <c r="B18" s="102">
        <v>21.7</v>
      </c>
      <c r="C18" s="102">
        <v>29.8</v>
      </c>
      <c r="D18" s="102">
        <v>71.900000000000006</v>
      </c>
      <c r="E18" s="102">
        <v>152.30000000000001</v>
      </c>
      <c r="F18" s="102">
        <v>213.4</v>
      </c>
      <c r="G18" s="102">
        <v>239.9</v>
      </c>
      <c r="H18" s="102">
        <v>123.6</v>
      </c>
      <c r="I18" s="102">
        <v>155.9</v>
      </c>
      <c r="J18" s="102">
        <v>122.8</v>
      </c>
      <c r="K18" s="102">
        <v>51.7</v>
      </c>
      <c r="L18" s="102">
        <v>36.799999999999997</v>
      </c>
      <c r="M18" s="102">
        <v>6.4</v>
      </c>
      <c r="N18" s="102">
        <f t="shared" si="1"/>
        <v>275.70000000000005</v>
      </c>
      <c r="O18" s="102">
        <f t="shared" si="2"/>
        <v>855.59999999999991</v>
      </c>
      <c r="P18" s="102">
        <f t="shared" si="3"/>
        <v>94.9</v>
      </c>
      <c r="Q18" s="102">
        <f t="shared" si="4"/>
        <v>1226.2</v>
      </c>
    </row>
    <row r="19" spans="1:17">
      <c r="A19" s="102">
        <v>1974</v>
      </c>
      <c r="B19" s="102">
        <v>51</v>
      </c>
      <c r="C19" s="102">
        <v>7.3</v>
      </c>
      <c r="D19" s="102">
        <v>46.2</v>
      </c>
      <c r="E19" s="102">
        <v>194.6</v>
      </c>
      <c r="F19" s="102">
        <v>127.9</v>
      </c>
      <c r="G19" s="102">
        <v>177.8</v>
      </c>
      <c r="H19" s="102">
        <v>127.2</v>
      </c>
      <c r="I19" s="102">
        <v>125.5</v>
      </c>
      <c r="J19" s="102">
        <v>43.6</v>
      </c>
      <c r="K19" s="102">
        <v>29.9</v>
      </c>
      <c r="L19" s="102">
        <v>11.9</v>
      </c>
      <c r="M19" s="102">
        <v>19.100000000000001</v>
      </c>
      <c r="N19" s="102">
        <f t="shared" si="1"/>
        <v>299.10000000000002</v>
      </c>
      <c r="O19" s="102">
        <f t="shared" si="2"/>
        <v>602.00000000000011</v>
      </c>
      <c r="P19" s="102">
        <f t="shared" si="3"/>
        <v>60.9</v>
      </c>
      <c r="Q19" s="102">
        <f t="shared" si="4"/>
        <v>962</v>
      </c>
    </row>
    <row r="20" spans="1:17">
      <c r="A20" s="102">
        <v>1975</v>
      </c>
      <c r="B20" s="102">
        <v>22.8</v>
      </c>
      <c r="C20" s="102">
        <v>17.2</v>
      </c>
      <c r="D20" s="102">
        <v>38.799999999999997</v>
      </c>
      <c r="E20" s="102">
        <v>166</v>
      </c>
      <c r="F20" s="102">
        <v>255.7</v>
      </c>
      <c r="G20" s="102">
        <v>124.1</v>
      </c>
      <c r="H20" s="102">
        <v>55.4</v>
      </c>
      <c r="I20" s="102">
        <v>125.7</v>
      </c>
      <c r="J20" s="102">
        <v>78.400000000000006</v>
      </c>
      <c r="K20" s="102">
        <v>21.2</v>
      </c>
      <c r="L20" s="102">
        <v>82.6</v>
      </c>
      <c r="M20" s="102">
        <v>4.9000000000000004</v>
      </c>
      <c r="N20" s="102">
        <f t="shared" si="1"/>
        <v>244.8</v>
      </c>
      <c r="O20" s="102">
        <f t="shared" si="2"/>
        <v>639.29999999999995</v>
      </c>
      <c r="P20" s="102">
        <f t="shared" si="3"/>
        <v>108.7</v>
      </c>
      <c r="Q20" s="102">
        <f t="shared" si="4"/>
        <v>992.80000000000007</v>
      </c>
    </row>
    <row r="21" spans="1:17">
      <c r="A21" s="102">
        <v>1976</v>
      </c>
      <c r="B21" s="102">
        <v>48.6</v>
      </c>
      <c r="C21" s="102">
        <v>12.3</v>
      </c>
      <c r="D21" s="102">
        <v>45.5</v>
      </c>
      <c r="E21" s="102">
        <v>148</v>
      </c>
      <c r="F21" s="102">
        <v>172</v>
      </c>
      <c r="G21" s="102">
        <v>213.1</v>
      </c>
      <c r="H21" s="102">
        <v>61.8</v>
      </c>
      <c r="I21" s="102">
        <v>159.80000000000001</v>
      </c>
      <c r="J21" s="102">
        <v>70.599999999999994</v>
      </c>
      <c r="K21" s="102">
        <v>128.69999999999999</v>
      </c>
      <c r="L21" s="102">
        <v>65.3</v>
      </c>
      <c r="M21" s="102">
        <v>16.8</v>
      </c>
      <c r="N21" s="102">
        <f t="shared" si="1"/>
        <v>254.4</v>
      </c>
      <c r="O21" s="102">
        <f t="shared" si="2"/>
        <v>677.30000000000007</v>
      </c>
      <c r="P21" s="102">
        <f t="shared" si="3"/>
        <v>210.8</v>
      </c>
      <c r="Q21" s="102">
        <f t="shared" si="4"/>
        <v>1142.4999999999998</v>
      </c>
    </row>
    <row r="22" spans="1:17">
      <c r="A22" s="102">
        <v>1977</v>
      </c>
      <c r="B22" s="102">
        <v>20.2</v>
      </c>
      <c r="C22" s="102">
        <v>22</v>
      </c>
      <c r="D22" s="102">
        <v>52.6</v>
      </c>
      <c r="E22" s="102">
        <v>165.4</v>
      </c>
      <c r="F22" s="102">
        <v>211.1</v>
      </c>
      <c r="G22" s="102">
        <v>159.30000000000001</v>
      </c>
      <c r="H22" s="102">
        <v>125.8</v>
      </c>
      <c r="I22" s="102">
        <v>82</v>
      </c>
      <c r="J22" s="102">
        <v>81.400000000000006</v>
      </c>
      <c r="K22" s="102">
        <v>151.4</v>
      </c>
      <c r="L22" s="102">
        <v>38</v>
      </c>
      <c r="M22" s="102">
        <v>7.7</v>
      </c>
      <c r="N22" s="102">
        <f t="shared" si="1"/>
        <v>260.20000000000005</v>
      </c>
      <c r="O22" s="102">
        <f t="shared" si="2"/>
        <v>659.6</v>
      </c>
      <c r="P22" s="102">
        <f t="shared" si="3"/>
        <v>197.1</v>
      </c>
      <c r="Q22" s="102">
        <f t="shared" si="4"/>
        <v>1116.9000000000001</v>
      </c>
    </row>
    <row r="23" spans="1:17">
      <c r="A23" s="102">
        <v>1978</v>
      </c>
      <c r="B23" s="102">
        <v>41</v>
      </c>
      <c r="C23" s="102">
        <v>5.0999999999999996</v>
      </c>
      <c r="D23" s="102">
        <v>44.2</v>
      </c>
      <c r="E23" s="102">
        <v>22.9</v>
      </c>
      <c r="F23" s="102">
        <v>252.8</v>
      </c>
      <c r="G23" s="102">
        <v>113.2</v>
      </c>
      <c r="H23" s="102">
        <v>57.4</v>
      </c>
      <c r="I23" s="102">
        <v>157.69999999999999</v>
      </c>
      <c r="J23" s="102">
        <v>106.9</v>
      </c>
      <c r="K23" s="102">
        <v>116.1</v>
      </c>
      <c r="L23" s="102">
        <v>116.2</v>
      </c>
      <c r="M23" s="102">
        <v>5.5</v>
      </c>
      <c r="N23" s="102">
        <f t="shared" si="1"/>
        <v>113.20000000000002</v>
      </c>
      <c r="O23" s="102">
        <f t="shared" si="2"/>
        <v>687.99999999999989</v>
      </c>
      <c r="P23" s="102">
        <f t="shared" si="3"/>
        <v>237.8</v>
      </c>
      <c r="Q23" s="102">
        <f t="shared" si="4"/>
        <v>1039</v>
      </c>
    </row>
    <row r="24" spans="1:17">
      <c r="A24" s="102">
        <v>1979</v>
      </c>
      <c r="B24" s="102">
        <v>15.8</v>
      </c>
      <c r="C24" s="102">
        <v>32.700000000000003</v>
      </c>
      <c r="D24" s="102">
        <v>46.6</v>
      </c>
      <c r="E24" s="102">
        <v>77.7</v>
      </c>
      <c r="F24" s="102">
        <v>93.8</v>
      </c>
      <c r="G24" s="102">
        <v>241.4</v>
      </c>
      <c r="H24" s="102">
        <v>118.2</v>
      </c>
      <c r="I24" s="102">
        <v>124.1</v>
      </c>
      <c r="J24" s="102">
        <v>73</v>
      </c>
      <c r="K24" s="102">
        <v>34</v>
      </c>
      <c r="L24" s="102">
        <v>5.6</v>
      </c>
      <c r="M24" s="102">
        <v>7.5</v>
      </c>
      <c r="N24" s="102">
        <f t="shared" si="1"/>
        <v>172.8</v>
      </c>
      <c r="O24" s="102">
        <f t="shared" si="2"/>
        <v>650.5</v>
      </c>
      <c r="P24" s="102">
        <f t="shared" si="3"/>
        <v>47.1</v>
      </c>
      <c r="Q24" s="102">
        <f t="shared" si="4"/>
        <v>870.40000000000009</v>
      </c>
    </row>
    <row r="25" spans="1:17">
      <c r="A25" s="102">
        <v>1980</v>
      </c>
      <c r="B25" s="102">
        <v>45.2</v>
      </c>
      <c r="C25" s="102">
        <v>36.700000000000003</v>
      </c>
      <c r="D25" s="102">
        <v>59.4</v>
      </c>
      <c r="E25" s="102">
        <v>123.6</v>
      </c>
      <c r="F25" s="102">
        <v>261.2</v>
      </c>
      <c r="G25" s="102">
        <v>116.6</v>
      </c>
      <c r="H25" s="102">
        <v>204.6</v>
      </c>
      <c r="I25" s="102">
        <v>134.5</v>
      </c>
      <c r="J25" s="102">
        <v>61.8</v>
      </c>
      <c r="K25" s="102">
        <v>136.80000000000001</v>
      </c>
      <c r="L25" s="102">
        <v>54.3</v>
      </c>
      <c r="M25" s="102">
        <v>18.3</v>
      </c>
      <c r="N25" s="102">
        <f t="shared" si="1"/>
        <v>264.89999999999998</v>
      </c>
      <c r="O25" s="102">
        <f t="shared" si="2"/>
        <v>778.69999999999993</v>
      </c>
      <c r="P25" s="102">
        <f t="shared" si="3"/>
        <v>209.40000000000003</v>
      </c>
      <c r="Q25" s="102">
        <f t="shared" si="4"/>
        <v>1252.9999999999998</v>
      </c>
    </row>
    <row r="26" spans="1:17">
      <c r="A26" s="102">
        <v>1981</v>
      </c>
      <c r="B26" s="102">
        <v>35.799999999999997</v>
      </c>
      <c r="C26" s="102">
        <v>14.3</v>
      </c>
      <c r="D26" s="102">
        <v>26.7</v>
      </c>
      <c r="E26" s="102">
        <v>175.1</v>
      </c>
      <c r="F26" s="102">
        <v>224.1</v>
      </c>
      <c r="G26" s="102">
        <v>97.2</v>
      </c>
      <c r="H26" s="102">
        <v>95.8</v>
      </c>
      <c r="I26" s="102">
        <v>49.5</v>
      </c>
      <c r="J26" s="102">
        <v>65.7</v>
      </c>
      <c r="K26" s="102">
        <v>70.599999999999994</v>
      </c>
      <c r="L26" s="102">
        <v>107.7</v>
      </c>
      <c r="M26" s="102">
        <v>0.4</v>
      </c>
      <c r="N26" s="102">
        <f t="shared" si="1"/>
        <v>251.89999999999998</v>
      </c>
      <c r="O26" s="102">
        <f t="shared" si="2"/>
        <v>532.30000000000007</v>
      </c>
      <c r="P26" s="102">
        <f t="shared" si="3"/>
        <v>178.70000000000002</v>
      </c>
      <c r="Q26" s="102">
        <f t="shared" si="4"/>
        <v>962.90000000000009</v>
      </c>
    </row>
    <row r="27" spans="1:17">
      <c r="A27" s="102">
        <v>1982</v>
      </c>
      <c r="B27" s="102">
        <v>27.2</v>
      </c>
      <c r="C27" s="102">
        <v>69.099999999999994</v>
      </c>
      <c r="D27" s="102">
        <v>25</v>
      </c>
      <c r="E27" s="102">
        <v>104.7</v>
      </c>
      <c r="F27" s="102">
        <v>176.6</v>
      </c>
      <c r="G27" s="102">
        <v>187.2</v>
      </c>
      <c r="H27" s="102">
        <v>49.3</v>
      </c>
      <c r="I27" s="102">
        <v>176.1</v>
      </c>
      <c r="J27" s="102">
        <v>169.2</v>
      </c>
      <c r="K27" s="102">
        <v>93.1</v>
      </c>
      <c r="L27" s="102">
        <v>82.6</v>
      </c>
      <c r="M27" s="102">
        <v>18.8</v>
      </c>
      <c r="N27" s="102">
        <f t="shared" si="1"/>
        <v>226</v>
      </c>
      <c r="O27" s="102">
        <f t="shared" si="2"/>
        <v>758.39999999999986</v>
      </c>
      <c r="P27" s="102">
        <f t="shared" si="3"/>
        <v>194.5</v>
      </c>
      <c r="Q27" s="102">
        <f t="shared" si="4"/>
        <v>1178.8999999999996</v>
      </c>
    </row>
    <row r="28" spans="1:17">
      <c r="A28" s="102">
        <v>1983</v>
      </c>
      <c r="B28" s="102">
        <v>95.9</v>
      </c>
      <c r="C28" s="102">
        <v>44.6</v>
      </c>
      <c r="D28" s="102">
        <v>34.299999999999997</v>
      </c>
      <c r="E28" s="102">
        <v>138.9</v>
      </c>
      <c r="F28" s="102">
        <v>51.5</v>
      </c>
      <c r="G28" s="102">
        <v>141.1</v>
      </c>
      <c r="H28" s="102">
        <v>59</v>
      </c>
      <c r="I28" s="102">
        <v>143.9</v>
      </c>
      <c r="J28" s="102">
        <v>99.1</v>
      </c>
      <c r="K28" s="102">
        <v>79</v>
      </c>
      <c r="L28" s="102">
        <v>50.2</v>
      </c>
      <c r="M28" s="102">
        <v>40.1</v>
      </c>
      <c r="N28" s="102">
        <f t="shared" si="1"/>
        <v>313.70000000000005</v>
      </c>
      <c r="O28" s="102">
        <f t="shared" si="2"/>
        <v>494.6</v>
      </c>
      <c r="P28" s="102">
        <f t="shared" si="3"/>
        <v>169.29999999999998</v>
      </c>
      <c r="Q28" s="102">
        <f t="shared" si="4"/>
        <v>977.60000000000014</v>
      </c>
    </row>
    <row r="29" spans="1:17">
      <c r="A29" s="102">
        <v>1984</v>
      </c>
      <c r="B29" s="102">
        <v>21.5</v>
      </c>
      <c r="C29" s="102">
        <v>9.1</v>
      </c>
      <c r="D29" s="102">
        <v>44.5</v>
      </c>
      <c r="E29" s="102">
        <v>132.4</v>
      </c>
      <c r="F29" s="102">
        <v>304</v>
      </c>
      <c r="G29" s="102">
        <v>99.4</v>
      </c>
      <c r="H29" s="102">
        <v>65.8</v>
      </c>
      <c r="I29" s="102">
        <v>166.7</v>
      </c>
      <c r="J29" s="102">
        <v>48.8</v>
      </c>
      <c r="K29" s="102">
        <v>65</v>
      </c>
      <c r="L29" s="102">
        <v>18.8</v>
      </c>
      <c r="M29" s="102">
        <v>49.7</v>
      </c>
      <c r="N29" s="102">
        <f t="shared" si="1"/>
        <v>207.5</v>
      </c>
      <c r="O29" s="102">
        <f t="shared" si="2"/>
        <v>684.69999999999993</v>
      </c>
      <c r="P29" s="102">
        <f t="shared" si="3"/>
        <v>133.5</v>
      </c>
      <c r="Q29" s="102">
        <f t="shared" si="4"/>
        <v>1025.6999999999998</v>
      </c>
    </row>
    <row r="30" spans="1:17">
      <c r="A30" s="102">
        <v>1985</v>
      </c>
      <c r="B30" s="102">
        <v>14.9</v>
      </c>
      <c r="C30" s="102">
        <v>39.299999999999997</v>
      </c>
      <c r="D30" s="102">
        <v>85.4</v>
      </c>
      <c r="E30" s="102">
        <v>46.9</v>
      </c>
      <c r="F30" s="102">
        <v>156.1</v>
      </c>
      <c r="G30" s="102">
        <v>106.6</v>
      </c>
      <c r="H30" s="102">
        <v>79.3</v>
      </c>
      <c r="I30" s="102">
        <v>127.2</v>
      </c>
      <c r="J30" s="102">
        <v>47</v>
      </c>
      <c r="K30" s="102">
        <v>29.2</v>
      </c>
      <c r="L30" s="102">
        <v>72.2</v>
      </c>
      <c r="M30" s="102">
        <v>15.7</v>
      </c>
      <c r="N30" s="102">
        <f t="shared" si="1"/>
        <v>186.5</v>
      </c>
      <c r="O30" s="102">
        <f t="shared" si="2"/>
        <v>516.20000000000005</v>
      </c>
      <c r="P30" s="102">
        <f t="shared" si="3"/>
        <v>117.10000000000001</v>
      </c>
      <c r="Q30" s="102">
        <f t="shared" si="4"/>
        <v>819.80000000000018</v>
      </c>
    </row>
    <row r="31" spans="1:17">
      <c r="A31" s="102">
        <v>1986</v>
      </c>
      <c r="B31" s="102">
        <v>17.5</v>
      </c>
      <c r="C31" s="102">
        <v>19</v>
      </c>
      <c r="D31" s="102">
        <v>44.4</v>
      </c>
      <c r="E31" s="102">
        <v>57.4</v>
      </c>
      <c r="F31" s="102">
        <v>93.4</v>
      </c>
      <c r="G31" s="102">
        <v>205</v>
      </c>
      <c r="H31" s="102">
        <v>190.1</v>
      </c>
      <c r="I31" s="102">
        <v>50.2</v>
      </c>
      <c r="J31" s="102">
        <v>34.299999999999997</v>
      </c>
      <c r="K31" s="102">
        <v>79.2</v>
      </c>
      <c r="L31" s="102">
        <v>19</v>
      </c>
      <c r="M31" s="102">
        <v>1.4</v>
      </c>
      <c r="N31" s="102">
        <f t="shared" si="1"/>
        <v>138.30000000000001</v>
      </c>
      <c r="O31" s="102">
        <f t="shared" si="2"/>
        <v>573</v>
      </c>
      <c r="P31" s="102">
        <f t="shared" si="3"/>
        <v>99.600000000000009</v>
      </c>
      <c r="Q31" s="102">
        <f t="shared" si="4"/>
        <v>810.90000000000009</v>
      </c>
    </row>
    <row r="32" spans="1:17">
      <c r="A32" s="102">
        <v>1987</v>
      </c>
      <c r="B32" s="102">
        <v>29.5</v>
      </c>
      <c r="C32" s="102">
        <v>34.200000000000003</v>
      </c>
      <c r="D32" s="102">
        <v>49.6</v>
      </c>
      <c r="E32" s="102">
        <v>42.8</v>
      </c>
      <c r="F32" s="102">
        <v>164.1</v>
      </c>
      <c r="G32" s="102">
        <v>220.7</v>
      </c>
      <c r="H32" s="102">
        <v>83.2</v>
      </c>
      <c r="I32" s="102">
        <v>61</v>
      </c>
      <c r="J32" s="102">
        <v>93.2</v>
      </c>
      <c r="K32" s="102">
        <v>48.2</v>
      </c>
      <c r="L32" s="102">
        <v>87.3</v>
      </c>
      <c r="M32" s="102">
        <v>4.8</v>
      </c>
      <c r="N32" s="102">
        <f t="shared" si="1"/>
        <v>156.10000000000002</v>
      </c>
      <c r="O32" s="102">
        <f t="shared" si="2"/>
        <v>622.20000000000005</v>
      </c>
      <c r="P32" s="102">
        <f t="shared" si="3"/>
        <v>140.30000000000001</v>
      </c>
      <c r="Q32" s="102">
        <f t="shared" si="4"/>
        <v>918.60000000000014</v>
      </c>
    </row>
    <row r="33" spans="1:17">
      <c r="A33" s="102">
        <v>1988</v>
      </c>
      <c r="B33" s="102">
        <v>29.6</v>
      </c>
      <c r="C33" s="102">
        <v>35.5</v>
      </c>
      <c r="D33" s="102">
        <v>10.7</v>
      </c>
      <c r="E33" s="102">
        <v>47</v>
      </c>
      <c r="F33" s="102">
        <v>88.7</v>
      </c>
      <c r="G33" s="102">
        <v>146.19999999999999</v>
      </c>
      <c r="H33" s="102">
        <v>31</v>
      </c>
      <c r="I33" s="102">
        <v>225.6</v>
      </c>
      <c r="J33" s="102">
        <v>182.6</v>
      </c>
      <c r="K33" s="102">
        <v>49.6</v>
      </c>
      <c r="L33" s="102">
        <v>2.8</v>
      </c>
      <c r="M33" s="102">
        <v>4.3</v>
      </c>
      <c r="N33" s="102">
        <f t="shared" si="1"/>
        <v>122.8</v>
      </c>
      <c r="O33" s="102">
        <f t="shared" si="2"/>
        <v>674.1</v>
      </c>
      <c r="P33" s="102">
        <f t="shared" si="3"/>
        <v>56.699999999999996</v>
      </c>
      <c r="Q33" s="102">
        <f t="shared" si="4"/>
        <v>853.59999999999991</v>
      </c>
    </row>
    <row r="34" spans="1:17">
      <c r="A34" s="102">
        <v>1989</v>
      </c>
      <c r="B34" s="102">
        <v>25.8</v>
      </c>
      <c r="C34" s="102">
        <v>24.3</v>
      </c>
      <c r="D34" s="102">
        <v>40.4</v>
      </c>
      <c r="E34" s="102">
        <v>91.6</v>
      </c>
      <c r="F34" s="102">
        <v>97.3</v>
      </c>
      <c r="G34" s="102">
        <v>140.19999999999999</v>
      </c>
      <c r="H34" s="102">
        <v>59.9</v>
      </c>
      <c r="I34" s="102">
        <v>29.1</v>
      </c>
      <c r="J34" s="102">
        <v>116.4</v>
      </c>
      <c r="K34" s="102">
        <v>37.6</v>
      </c>
      <c r="L34" s="102">
        <v>29.1</v>
      </c>
      <c r="M34" s="102">
        <v>37.6</v>
      </c>
      <c r="N34" s="102">
        <f t="shared" si="1"/>
        <v>182.1</v>
      </c>
      <c r="O34" s="102">
        <f t="shared" si="2"/>
        <v>442.9</v>
      </c>
      <c r="P34" s="102">
        <f t="shared" si="3"/>
        <v>104.30000000000001</v>
      </c>
      <c r="Q34" s="102">
        <f t="shared" si="4"/>
        <v>729.30000000000007</v>
      </c>
    </row>
    <row r="35" spans="1:17">
      <c r="A35" s="102">
        <v>1990</v>
      </c>
      <c r="B35" s="102">
        <v>56</v>
      </c>
      <c r="C35" s="102">
        <v>28.8</v>
      </c>
      <c r="D35" s="102">
        <v>94.7</v>
      </c>
      <c r="E35" s="102">
        <v>59.7</v>
      </c>
      <c r="F35" s="102">
        <v>139.1</v>
      </c>
      <c r="G35" s="102">
        <v>170.8</v>
      </c>
      <c r="H35" s="102">
        <v>69</v>
      </c>
      <c r="I35" s="102">
        <v>24</v>
      </c>
      <c r="J35" s="102">
        <v>214.7</v>
      </c>
      <c r="K35" s="102">
        <v>105.8</v>
      </c>
      <c r="L35" s="102">
        <v>42.3</v>
      </c>
      <c r="M35" s="102">
        <v>16.8</v>
      </c>
      <c r="N35" s="102">
        <f t="shared" si="1"/>
        <v>239.2</v>
      </c>
      <c r="O35" s="102">
        <f t="shared" si="2"/>
        <v>617.59999999999991</v>
      </c>
      <c r="P35" s="102">
        <f t="shared" si="3"/>
        <v>164.9</v>
      </c>
      <c r="Q35" s="102">
        <f t="shared" si="4"/>
        <v>1021.6999999999998</v>
      </c>
    </row>
    <row r="36" spans="1:17">
      <c r="A36" s="102">
        <v>1991</v>
      </c>
      <c r="B36" s="102">
        <v>68.7</v>
      </c>
      <c r="C36" s="102">
        <v>40.799999999999997</v>
      </c>
      <c r="D36" s="102">
        <v>94.3</v>
      </c>
      <c r="E36" s="102">
        <v>72.599999999999994</v>
      </c>
      <c r="F36" s="102">
        <v>83.6</v>
      </c>
      <c r="G36" s="102">
        <v>138.80000000000001</v>
      </c>
      <c r="H36" s="102">
        <v>304.2</v>
      </c>
      <c r="I36" s="102">
        <v>199.8</v>
      </c>
      <c r="J36" s="102">
        <v>24.8</v>
      </c>
      <c r="K36" s="102">
        <v>64.7</v>
      </c>
      <c r="L36" s="102">
        <v>121.4</v>
      </c>
      <c r="M36" s="102">
        <v>17.100000000000001</v>
      </c>
      <c r="N36" s="102">
        <f t="shared" si="1"/>
        <v>276.39999999999998</v>
      </c>
      <c r="O36" s="102">
        <f t="shared" si="2"/>
        <v>751.2</v>
      </c>
      <c r="P36" s="102">
        <f t="shared" si="3"/>
        <v>203.20000000000002</v>
      </c>
      <c r="Q36" s="102">
        <f t="shared" si="4"/>
        <v>1230.8</v>
      </c>
    </row>
    <row r="37" spans="1:17">
      <c r="A37" s="102">
        <v>1992</v>
      </c>
      <c r="B37" s="102">
        <v>25.9</v>
      </c>
      <c r="C37" s="102">
        <v>62.7</v>
      </c>
      <c r="D37" s="102">
        <v>93.5</v>
      </c>
      <c r="E37" s="102">
        <v>144</v>
      </c>
      <c r="F37" s="102">
        <v>144.19999999999999</v>
      </c>
      <c r="G37" s="102">
        <v>183.3</v>
      </c>
      <c r="H37" s="102">
        <v>115.7</v>
      </c>
      <c r="I37" s="102">
        <v>19</v>
      </c>
      <c r="J37" s="102">
        <v>38.1</v>
      </c>
      <c r="K37" s="102">
        <v>54.8</v>
      </c>
      <c r="L37" s="102">
        <v>9.4</v>
      </c>
      <c r="M37" s="102">
        <v>41.7</v>
      </c>
      <c r="N37" s="102">
        <f t="shared" si="1"/>
        <v>326.10000000000002</v>
      </c>
      <c r="O37" s="102">
        <f t="shared" si="2"/>
        <v>500.3</v>
      </c>
      <c r="P37" s="102">
        <f t="shared" si="3"/>
        <v>105.9</v>
      </c>
      <c r="Q37" s="102">
        <f t="shared" si="4"/>
        <v>932.30000000000007</v>
      </c>
    </row>
    <row r="38" spans="1:17">
      <c r="A38" s="102">
        <v>1993</v>
      </c>
      <c r="B38" s="102">
        <v>40.299999999999997</v>
      </c>
      <c r="C38" s="102">
        <v>48</v>
      </c>
      <c r="D38" s="102">
        <v>34.4</v>
      </c>
      <c r="E38" s="102">
        <v>46.2</v>
      </c>
      <c r="F38" s="102">
        <v>190.5</v>
      </c>
      <c r="G38" s="102">
        <v>147.69999999999999</v>
      </c>
      <c r="H38" s="102">
        <v>202</v>
      </c>
      <c r="I38" s="102">
        <v>134.6</v>
      </c>
      <c r="J38" s="102">
        <v>81.8</v>
      </c>
      <c r="K38" s="102">
        <v>76.400000000000006</v>
      </c>
      <c r="L38" s="102">
        <v>42.7</v>
      </c>
      <c r="M38" s="102">
        <v>21.8</v>
      </c>
      <c r="N38" s="102">
        <f t="shared" si="1"/>
        <v>168.89999999999998</v>
      </c>
      <c r="O38" s="102">
        <f t="shared" si="2"/>
        <v>756.6</v>
      </c>
      <c r="P38" s="102">
        <f t="shared" si="3"/>
        <v>140.9</v>
      </c>
      <c r="Q38" s="102">
        <f t="shared" si="4"/>
        <v>1066.3999999999999</v>
      </c>
    </row>
    <row r="39" spans="1:17">
      <c r="A39" s="102">
        <v>1994</v>
      </c>
      <c r="B39" s="102">
        <v>18.7</v>
      </c>
      <c r="C39" s="102">
        <v>12</v>
      </c>
      <c r="D39" s="102">
        <v>74.599999999999994</v>
      </c>
      <c r="E39" s="102">
        <v>165.3</v>
      </c>
      <c r="F39" s="102">
        <v>205.2</v>
      </c>
      <c r="G39" s="102">
        <v>93.6</v>
      </c>
      <c r="H39" s="102">
        <v>174.6</v>
      </c>
      <c r="I39" s="102">
        <v>105.3</v>
      </c>
      <c r="J39" s="102">
        <v>74.099999999999994</v>
      </c>
      <c r="K39" s="102">
        <v>209.3</v>
      </c>
      <c r="L39" s="102">
        <v>76.2</v>
      </c>
      <c r="M39" s="102">
        <v>37.200000000000003</v>
      </c>
      <c r="N39" s="102">
        <f t="shared" si="1"/>
        <v>270.60000000000002</v>
      </c>
      <c r="O39" s="102">
        <f t="shared" si="2"/>
        <v>652.79999999999995</v>
      </c>
      <c r="P39" s="102">
        <f t="shared" si="3"/>
        <v>322.7</v>
      </c>
      <c r="Q39" s="102">
        <f t="shared" si="4"/>
        <v>1246.1000000000001</v>
      </c>
    </row>
    <row r="40" spans="1:17">
      <c r="A40" s="102">
        <v>1995</v>
      </c>
      <c r="B40" s="102">
        <v>30.2</v>
      </c>
      <c r="C40" s="102">
        <v>58.6</v>
      </c>
      <c r="D40" s="102">
        <v>41.3</v>
      </c>
      <c r="E40" s="102">
        <v>46.4</v>
      </c>
      <c r="F40" s="102">
        <v>211.2</v>
      </c>
      <c r="G40" s="102">
        <v>265.10000000000002</v>
      </c>
      <c r="H40" s="102">
        <v>48.7</v>
      </c>
      <c r="I40" s="102">
        <v>71.7</v>
      </c>
      <c r="J40" s="102">
        <v>49.4</v>
      </c>
      <c r="K40" s="102">
        <v>45.2</v>
      </c>
      <c r="L40" s="102">
        <v>41.3</v>
      </c>
      <c r="M40" s="102">
        <v>5.9</v>
      </c>
      <c r="N40" s="102">
        <f t="shared" si="1"/>
        <v>176.5</v>
      </c>
      <c r="O40" s="102">
        <f t="shared" si="2"/>
        <v>646.1</v>
      </c>
      <c r="P40" s="102">
        <f t="shared" si="3"/>
        <v>92.4</v>
      </c>
      <c r="Q40" s="102">
        <f t="shared" si="4"/>
        <v>915</v>
      </c>
    </row>
    <row r="41" spans="1:17">
      <c r="A41" s="102">
        <v>1996</v>
      </c>
      <c r="B41" s="102">
        <v>20.6</v>
      </c>
      <c r="C41" s="102">
        <v>1.5</v>
      </c>
      <c r="D41" s="102">
        <v>90.3</v>
      </c>
      <c r="E41" s="102">
        <v>56.9</v>
      </c>
      <c r="F41" s="102">
        <v>111.1</v>
      </c>
      <c r="G41" s="102">
        <v>185.5</v>
      </c>
      <c r="H41" s="102">
        <v>243.2</v>
      </c>
      <c r="I41" s="102">
        <v>126.8</v>
      </c>
      <c r="J41" s="102">
        <v>2</v>
      </c>
      <c r="K41" s="102">
        <v>52.5</v>
      </c>
      <c r="L41" s="102">
        <v>28.1</v>
      </c>
      <c r="M41" s="102">
        <v>25.8</v>
      </c>
      <c r="N41" s="102">
        <f t="shared" si="1"/>
        <v>169.3</v>
      </c>
      <c r="O41" s="102">
        <f t="shared" si="2"/>
        <v>668.59999999999991</v>
      </c>
      <c r="P41" s="102">
        <f t="shared" si="3"/>
        <v>106.39999999999999</v>
      </c>
      <c r="Q41" s="102">
        <f t="shared" si="4"/>
        <v>944.29999999999984</v>
      </c>
    </row>
    <row r="42" spans="1:17">
      <c r="A42" s="102">
        <v>1997</v>
      </c>
      <c r="B42" s="102">
        <v>45.9</v>
      </c>
      <c r="C42" s="102">
        <v>59.9</v>
      </c>
      <c r="D42" s="102">
        <v>69.2</v>
      </c>
      <c r="E42" s="102">
        <v>125.8</v>
      </c>
      <c r="F42" s="102">
        <v>113.2</v>
      </c>
      <c r="G42" s="102">
        <v>190.3</v>
      </c>
      <c r="H42" s="102">
        <v>174.6</v>
      </c>
      <c r="I42" s="102">
        <v>36.4</v>
      </c>
      <c r="J42" s="102">
        <v>127.2</v>
      </c>
      <c r="K42" s="102">
        <v>181.7</v>
      </c>
      <c r="L42" s="102">
        <v>52.5</v>
      </c>
      <c r="M42" s="102">
        <v>25.5</v>
      </c>
      <c r="N42" s="102">
        <f t="shared" si="1"/>
        <v>300.8</v>
      </c>
      <c r="O42" s="102">
        <f t="shared" si="2"/>
        <v>641.70000000000005</v>
      </c>
      <c r="P42" s="102">
        <f t="shared" si="3"/>
        <v>259.7</v>
      </c>
      <c r="Q42" s="102">
        <f t="shared" si="4"/>
        <v>1202.2</v>
      </c>
    </row>
    <row r="43" spans="1:17">
      <c r="A43" s="102">
        <v>1998</v>
      </c>
      <c r="B43" s="102">
        <v>42.9</v>
      </c>
      <c r="C43" s="102">
        <v>19.899999999999999</v>
      </c>
      <c r="D43" s="102">
        <v>46.6</v>
      </c>
      <c r="E43" s="102">
        <v>117.4</v>
      </c>
      <c r="F43" s="102">
        <v>109.8</v>
      </c>
      <c r="G43" s="102">
        <v>182</v>
      </c>
      <c r="H43" s="102">
        <v>191.1</v>
      </c>
      <c r="I43" s="102">
        <v>61.5</v>
      </c>
      <c r="J43" s="102">
        <v>24.7</v>
      </c>
      <c r="K43" s="102">
        <v>109.2</v>
      </c>
      <c r="L43" s="102">
        <v>28.1</v>
      </c>
      <c r="M43" s="102">
        <v>12</v>
      </c>
      <c r="N43" s="102">
        <f t="shared" si="1"/>
        <v>226.8</v>
      </c>
      <c r="O43" s="102">
        <f t="shared" si="2"/>
        <v>569.1</v>
      </c>
      <c r="P43" s="102">
        <f t="shared" si="3"/>
        <v>149.30000000000001</v>
      </c>
      <c r="Q43" s="102">
        <f t="shared" si="4"/>
        <v>945.20000000000016</v>
      </c>
    </row>
    <row r="44" spans="1:17">
      <c r="A44" s="102">
        <v>1999</v>
      </c>
      <c r="B44" s="102">
        <v>19.8</v>
      </c>
      <c r="C44" s="102">
        <v>19.899999999999999</v>
      </c>
      <c r="D44" s="102">
        <v>56.7</v>
      </c>
      <c r="E44" s="102">
        <v>101</v>
      </c>
      <c r="F44" s="102">
        <v>157</v>
      </c>
      <c r="G44" s="102">
        <v>151.5</v>
      </c>
      <c r="H44" s="102">
        <v>193.4</v>
      </c>
      <c r="I44" s="102">
        <v>166</v>
      </c>
      <c r="J44" s="102">
        <v>68.599999999999994</v>
      </c>
      <c r="K44" s="102">
        <v>71.8</v>
      </c>
      <c r="L44" s="102">
        <v>54.9</v>
      </c>
      <c r="M44" s="102">
        <v>0.7</v>
      </c>
      <c r="N44" s="102">
        <f t="shared" si="1"/>
        <v>197.4</v>
      </c>
      <c r="O44" s="102">
        <f t="shared" si="2"/>
        <v>736.5</v>
      </c>
      <c r="P44" s="102">
        <f t="shared" si="3"/>
        <v>127.39999999999999</v>
      </c>
      <c r="Q44" s="102">
        <f t="shared" si="4"/>
        <v>1061.3</v>
      </c>
    </row>
    <row r="45" spans="1:17">
      <c r="A45" s="102">
        <v>2000</v>
      </c>
      <c r="B45" s="102">
        <v>17.8</v>
      </c>
      <c r="C45" s="102">
        <v>25.5</v>
      </c>
      <c r="D45" s="102">
        <v>97.7</v>
      </c>
      <c r="E45" s="102">
        <v>110.8</v>
      </c>
      <c r="F45" s="102">
        <v>124.5</v>
      </c>
      <c r="G45" s="102">
        <v>208.8</v>
      </c>
      <c r="H45" s="102">
        <v>94.4</v>
      </c>
      <c r="I45" s="102">
        <v>166.8</v>
      </c>
      <c r="J45" s="102">
        <v>154.6</v>
      </c>
      <c r="K45" s="102">
        <v>88.2</v>
      </c>
      <c r="L45" s="102">
        <v>24.6</v>
      </c>
      <c r="M45" s="102">
        <v>14</v>
      </c>
      <c r="N45" s="102">
        <f t="shared" si="1"/>
        <v>251.8</v>
      </c>
      <c r="O45" s="102">
        <f t="shared" si="2"/>
        <v>749.1</v>
      </c>
      <c r="P45" s="102">
        <f t="shared" si="3"/>
        <v>126.80000000000001</v>
      </c>
      <c r="Q45" s="102">
        <f t="shared" si="4"/>
        <v>1127.6999999999998</v>
      </c>
    </row>
    <row r="46" spans="1:17">
      <c r="A46" s="102">
        <v>2001</v>
      </c>
      <c r="B46" s="102">
        <v>23.3</v>
      </c>
      <c r="C46" s="102">
        <v>25.2</v>
      </c>
      <c r="D46" s="102">
        <v>58.3</v>
      </c>
      <c r="E46" s="102">
        <v>148</v>
      </c>
      <c r="F46" s="102">
        <v>111.9</v>
      </c>
      <c r="G46" s="102">
        <v>119.9</v>
      </c>
      <c r="H46" s="102">
        <v>110.5</v>
      </c>
      <c r="I46" s="102">
        <v>94.5</v>
      </c>
      <c r="J46" s="102">
        <v>2.4</v>
      </c>
      <c r="K46" s="102">
        <v>85.2</v>
      </c>
      <c r="L46" s="102">
        <v>53.6</v>
      </c>
      <c r="M46" s="102">
        <v>11.6</v>
      </c>
      <c r="N46" s="102">
        <f t="shared" si="1"/>
        <v>254.8</v>
      </c>
      <c r="O46" s="102">
        <f t="shared" si="2"/>
        <v>439.2</v>
      </c>
      <c r="P46" s="102">
        <f t="shared" si="3"/>
        <v>150.4</v>
      </c>
      <c r="Q46" s="102">
        <f t="shared" si="4"/>
        <v>844.40000000000009</v>
      </c>
    </row>
    <row r="47" spans="1:17">
      <c r="A47" s="102">
        <v>2002</v>
      </c>
      <c r="B47" s="102">
        <v>16.5</v>
      </c>
      <c r="C47" s="102">
        <v>25.3</v>
      </c>
      <c r="D47" s="102">
        <v>50.8</v>
      </c>
      <c r="E47" s="102">
        <v>186.9</v>
      </c>
      <c r="F47" s="102">
        <v>256.7</v>
      </c>
      <c r="G47" s="102">
        <v>212.7</v>
      </c>
      <c r="H47" s="102">
        <v>130.30000000000001</v>
      </c>
      <c r="I47" s="102">
        <v>226.7</v>
      </c>
      <c r="J47" s="102">
        <v>31.4</v>
      </c>
      <c r="K47" s="102">
        <v>103.8</v>
      </c>
      <c r="L47" s="102">
        <v>13.6</v>
      </c>
      <c r="M47" s="102">
        <v>60.7</v>
      </c>
      <c r="N47" s="102">
        <f t="shared" si="1"/>
        <v>279.5</v>
      </c>
      <c r="O47" s="102">
        <f t="shared" si="2"/>
        <v>857.80000000000007</v>
      </c>
      <c r="P47" s="102">
        <f t="shared" si="3"/>
        <v>178.1</v>
      </c>
      <c r="Q47" s="102">
        <f t="shared" si="4"/>
        <v>1315.4</v>
      </c>
    </row>
    <row r="48" spans="1:17">
      <c r="A48" s="102">
        <v>2003</v>
      </c>
      <c r="B48" s="102">
        <v>32.700000000000003</v>
      </c>
      <c r="C48" s="102">
        <v>11.8</v>
      </c>
      <c r="D48" s="102">
        <v>40.299999999999997</v>
      </c>
      <c r="E48" s="102">
        <v>150.19999999999999</v>
      </c>
      <c r="F48" s="102">
        <v>182.5</v>
      </c>
      <c r="G48" s="102">
        <v>155.9</v>
      </c>
      <c r="H48" s="102">
        <v>51.5</v>
      </c>
      <c r="I48" s="102">
        <v>46.7</v>
      </c>
      <c r="J48" s="102">
        <v>85.5</v>
      </c>
      <c r="K48" s="102">
        <v>41.2</v>
      </c>
      <c r="L48" s="102">
        <v>8.1</v>
      </c>
      <c r="M48" s="102">
        <v>23.8</v>
      </c>
      <c r="N48" s="102">
        <f t="shared" si="1"/>
        <v>235</v>
      </c>
      <c r="O48" s="102">
        <f t="shared" si="2"/>
        <v>522.09999999999991</v>
      </c>
      <c r="P48" s="102">
        <f t="shared" si="3"/>
        <v>73.100000000000009</v>
      </c>
      <c r="Q48" s="102">
        <f t="shared" si="4"/>
        <v>830.2</v>
      </c>
    </row>
    <row r="49" spans="1:33">
      <c r="A49" s="102">
        <v>2004</v>
      </c>
      <c r="B49" s="103">
        <v>30.4</v>
      </c>
      <c r="C49" s="103">
        <v>75.2</v>
      </c>
      <c r="D49" s="103">
        <v>49.5</v>
      </c>
      <c r="E49" s="103">
        <v>94.3</v>
      </c>
      <c r="F49" s="103">
        <v>190</v>
      </c>
      <c r="G49" s="103">
        <v>87.6</v>
      </c>
      <c r="H49" s="103">
        <v>351.1</v>
      </c>
      <c r="I49" s="103">
        <v>60.7</v>
      </c>
      <c r="J49" s="103">
        <v>84.6</v>
      </c>
      <c r="K49" s="103">
        <v>23.1</v>
      </c>
      <c r="L49" s="103">
        <v>61.4</v>
      </c>
      <c r="M49" s="103">
        <v>40.9</v>
      </c>
      <c r="N49" s="102">
        <f t="shared" si="1"/>
        <v>249.39999999999998</v>
      </c>
      <c r="O49" s="102">
        <f t="shared" si="2"/>
        <v>774.00000000000011</v>
      </c>
      <c r="P49" s="102">
        <f t="shared" si="3"/>
        <v>125.4</v>
      </c>
      <c r="Q49" s="102">
        <f t="shared" si="4"/>
        <v>1148.8000000000002</v>
      </c>
    </row>
    <row r="50" spans="1:33">
      <c r="A50" s="102">
        <v>2005</v>
      </c>
      <c r="B50" s="103">
        <v>40.200000000000003</v>
      </c>
      <c r="C50" s="103">
        <v>26.1</v>
      </c>
      <c r="D50" s="103">
        <v>39.6</v>
      </c>
      <c r="E50" s="103">
        <v>65</v>
      </c>
      <c r="F50" s="103">
        <v>153.1</v>
      </c>
      <c r="G50" s="103">
        <v>78.3</v>
      </c>
      <c r="H50" s="103">
        <v>43.7</v>
      </c>
      <c r="I50" s="103">
        <v>201.8</v>
      </c>
      <c r="J50" s="103">
        <v>10.6</v>
      </c>
      <c r="K50" s="102">
        <v>22.9</v>
      </c>
      <c r="L50" s="102">
        <v>50.1</v>
      </c>
      <c r="M50" s="102">
        <v>26.4</v>
      </c>
      <c r="N50" s="102">
        <f t="shared" si="1"/>
        <v>170.9</v>
      </c>
      <c r="O50" s="102">
        <f t="shared" si="2"/>
        <v>487.5</v>
      </c>
      <c r="P50" s="102">
        <f t="shared" si="3"/>
        <v>99.4</v>
      </c>
      <c r="Q50" s="102">
        <f t="shared" si="4"/>
        <v>757.8</v>
      </c>
    </row>
    <row r="51" spans="1:33">
      <c r="A51" s="102">
        <v>2006</v>
      </c>
      <c r="B51" s="102">
        <v>14.2</v>
      </c>
      <c r="C51" s="102">
        <v>44.6</v>
      </c>
      <c r="D51" s="102">
        <v>63.3</v>
      </c>
      <c r="E51" s="102">
        <v>109.8</v>
      </c>
      <c r="F51" s="102">
        <v>100.1</v>
      </c>
      <c r="G51" s="102">
        <v>114</v>
      </c>
      <c r="H51" s="102">
        <v>174.6</v>
      </c>
      <c r="I51" s="102">
        <v>89.9</v>
      </c>
      <c r="J51" s="102">
        <v>50.8</v>
      </c>
      <c r="K51" s="102">
        <v>58.5</v>
      </c>
      <c r="L51" s="102">
        <v>35.200000000000003</v>
      </c>
      <c r="M51" s="102">
        <v>21.1</v>
      </c>
      <c r="N51" s="102">
        <f t="shared" si="1"/>
        <v>231.89999999999998</v>
      </c>
      <c r="O51" s="102">
        <f t="shared" si="2"/>
        <v>529.4</v>
      </c>
      <c r="P51" s="102">
        <f t="shared" si="3"/>
        <v>114.80000000000001</v>
      </c>
      <c r="Q51" s="102">
        <f t="shared" si="4"/>
        <v>876.1</v>
      </c>
    </row>
    <row r="52" spans="1:33">
      <c r="A52" s="102">
        <v>2007</v>
      </c>
      <c r="B52" s="102">
        <v>34.1</v>
      </c>
      <c r="C52" s="102">
        <v>10</v>
      </c>
      <c r="D52" s="102">
        <v>58.5</v>
      </c>
      <c r="E52" s="102">
        <v>112.5</v>
      </c>
      <c r="F52" s="102">
        <v>97</v>
      </c>
      <c r="G52" s="102">
        <v>155.9</v>
      </c>
      <c r="H52" s="102">
        <v>204</v>
      </c>
      <c r="I52" s="102">
        <v>151</v>
      </c>
      <c r="J52" s="102">
        <v>61.4</v>
      </c>
      <c r="K52" s="102">
        <v>1.8</v>
      </c>
      <c r="L52" s="102">
        <v>0.3</v>
      </c>
      <c r="M52" s="102">
        <v>10.6</v>
      </c>
      <c r="N52" s="102">
        <f t="shared" si="1"/>
        <v>215.1</v>
      </c>
      <c r="O52" s="102">
        <f t="shared" si="2"/>
        <v>669.3</v>
      </c>
      <c r="P52" s="102">
        <f t="shared" si="3"/>
        <v>12.7</v>
      </c>
      <c r="Q52" s="102">
        <f t="shared" si="4"/>
        <v>897.09999999999991</v>
      </c>
    </row>
    <row r="53" spans="1:33">
      <c r="A53" s="102">
        <v>2008</v>
      </c>
      <c r="B53" s="102">
        <v>26.1</v>
      </c>
      <c r="C53" s="102">
        <v>25.5</v>
      </c>
      <c r="D53" s="102">
        <v>89.4</v>
      </c>
      <c r="E53" s="102">
        <v>53</v>
      </c>
      <c r="F53" s="102">
        <v>149.9</v>
      </c>
      <c r="G53" s="102">
        <v>90.1</v>
      </c>
      <c r="H53" s="102">
        <v>139.30000000000001</v>
      </c>
      <c r="I53" s="102">
        <v>140.5</v>
      </c>
      <c r="J53" s="102">
        <v>18.399999999999999</v>
      </c>
      <c r="K53" s="102">
        <v>104.6</v>
      </c>
      <c r="L53" s="102">
        <v>150.9</v>
      </c>
      <c r="M53" s="102">
        <v>7</v>
      </c>
      <c r="N53" s="102">
        <f t="shared" si="1"/>
        <v>194</v>
      </c>
      <c r="O53" s="102">
        <f t="shared" si="2"/>
        <v>538.19999999999993</v>
      </c>
      <c r="P53" s="102">
        <f t="shared" si="3"/>
        <v>262.5</v>
      </c>
      <c r="Q53" s="102">
        <f t="shared" si="4"/>
        <v>994.69999999999993</v>
      </c>
    </row>
    <row r="54" spans="1:33">
      <c r="A54" s="102">
        <v>2009</v>
      </c>
      <c r="B54" s="102">
        <v>13.2</v>
      </c>
      <c r="C54" s="102">
        <v>38.200000000000003</v>
      </c>
      <c r="D54" s="102">
        <v>63.5</v>
      </c>
      <c r="E54" s="102">
        <v>222.3</v>
      </c>
      <c r="F54" s="102">
        <v>111</v>
      </c>
      <c r="G54" s="102">
        <v>139.9</v>
      </c>
      <c r="H54" s="102">
        <v>137.80000000000001</v>
      </c>
      <c r="I54" s="102">
        <v>43.5</v>
      </c>
      <c r="J54" s="102">
        <v>17.5</v>
      </c>
      <c r="K54" s="102">
        <v>36.200000000000003</v>
      </c>
      <c r="L54" s="102">
        <v>18.2</v>
      </c>
      <c r="M54" s="102">
        <v>18.8</v>
      </c>
      <c r="N54" s="102">
        <f t="shared" si="1"/>
        <v>337.20000000000005</v>
      </c>
      <c r="O54" s="102">
        <f t="shared" si="2"/>
        <v>449.70000000000005</v>
      </c>
      <c r="P54" s="102">
        <f t="shared" si="3"/>
        <v>73.2</v>
      </c>
      <c r="Q54" s="102">
        <f t="shared" si="4"/>
        <v>860.10000000000014</v>
      </c>
    </row>
    <row r="55" spans="1:33">
      <c r="A55" s="102">
        <v>2010</v>
      </c>
      <c r="B55" s="102">
        <v>4.4000000000000004</v>
      </c>
      <c r="C55" s="102">
        <v>2.6</v>
      </c>
      <c r="D55" s="102">
        <v>29.2</v>
      </c>
      <c r="E55" s="102">
        <v>115.4</v>
      </c>
      <c r="F55" s="102">
        <v>141.9</v>
      </c>
      <c r="G55" s="102">
        <v>181.5</v>
      </c>
      <c r="H55" s="102">
        <v>26.8</v>
      </c>
      <c r="I55" s="102">
        <v>62.9</v>
      </c>
      <c r="J55" s="102">
        <v>67.900000000000006</v>
      </c>
      <c r="K55" s="102">
        <v>82</v>
      </c>
      <c r="L55" s="102">
        <v>22.3</v>
      </c>
      <c r="M55" s="102">
        <v>51.3</v>
      </c>
      <c r="N55" s="102">
        <f t="shared" si="1"/>
        <v>151.60000000000002</v>
      </c>
      <c r="O55" s="102">
        <f t="shared" si="2"/>
        <v>481</v>
      </c>
      <c r="P55" s="102">
        <f t="shared" si="3"/>
        <v>155.6</v>
      </c>
      <c r="Q55" s="102">
        <f t="shared" si="4"/>
        <v>788.19999999999993</v>
      </c>
    </row>
    <row r="56" spans="1:33">
      <c r="A56" s="102">
        <v>2011</v>
      </c>
      <c r="B56" s="102">
        <v>31.2</v>
      </c>
      <c r="C56" s="102">
        <v>4.8</v>
      </c>
      <c r="D56" s="102">
        <v>39.5</v>
      </c>
      <c r="E56" s="102">
        <v>16.5</v>
      </c>
      <c r="F56" s="102">
        <v>134.1</v>
      </c>
      <c r="G56" s="102">
        <v>253.3</v>
      </c>
      <c r="H56" s="102">
        <v>69.900000000000006</v>
      </c>
      <c r="I56" s="102">
        <v>16.7</v>
      </c>
      <c r="J56" s="102">
        <v>60.8</v>
      </c>
      <c r="K56" s="102">
        <v>132.30000000000001</v>
      </c>
      <c r="L56" s="102">
        <v>25</v>
      </c>
      <c r="M56" s="102">
        <v>14</v>
      </c>
      <c r="N56" s="102">
        <f t="shared" si="1"/>
        <v>92</v>
      </c>
      <c r="O56" s="102">
        <f t="shared" si="2"/>
        <v>534.79999999999995</v>
      </c>
      <c r="P56" s="102">
        <f t="shared" si="3"/>
        <v>171.3</v>
      </c>
      <c r="Q56" s="102">
        <f t="shared" si="4"/>
        <v>798.09999999999991</v>
      </c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</row>
    <row r="57" spans="1:33">
      <c r="A57" s="102">
        <v>2012</v>
      </c>
      <c r="B57" s="102">
        <v>36.6</v>
      </c>
      <c r="C57" s="102">
        <v>10.5</v>
      </c>
      <c r="D57" s="102">
        <v>50.9</v>
      </c>
      <c r="E57" s="102">
        <v>82.7</v>
      </c>
      <c r="F57" s="102">
        <v>144.30000000000001</v>
      </c>
      <c r="G57" s="102">
        <v>102.3</v>
      </c>
      <c r="H57" s="102">
        <v>216</v>
      </c>
      <c r="I57" s="102">
        <v>42.1</v>
      </c>
      <c r="J57" s="102">
        <v>104.5</v>
      </c>
      <c r="K57" s="102">
        <v>72.7</v>
      </c>
      <c r="L57" s="102">
        <v>38.200000000000003</v>
      </c>
      <c r="M57" s="102">
        <v>16</v>
      </c>
      <c r="N57" s="102">
        <f t="shared" si="1"/>
        <v>180.7</v>
      </c>
      <c r="O57" s="102">
        <f t="shared" si="2"/>
        <v>609.20000000000005</v>
      </c>
      <c r="P57" s="102">
        <f t="shared" si="3"/>
        <v>126.9</v>
      </c>
      <c r="Q57" s="102">
        <f t="shared" si="4"/>
        <v>916.80000000000007</v>
      </c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</row>
    <row r="58" spans="1:33">
      <c r="A58" s="102">
        <v>2013</v>
      </c>
      <c r="B58" s="102">
        <v>9.5</v>
      </c>
      <c r="C58" s="102">
        <v>21.4</v>
      </c>
      <c r="D58" s="102">
        <v>161.5</v>
      </c>
      <c r="E58" s="102">
        <v>143.5</v>
      </c>
      <c r="F58" s="102">
        <v>242.3</v>
      </c>
      <c r="G58" s="102">
        <v>85.2</v>
      </c>
      <c r="H58" s="102">
        <v>1.5</v>
      </c>
      <c r="I58" s="102">
        <v>74.400000000000006</v>
      </c>
      <c r="J58" s="102">
        <v>169.3</v>
      </c>
      <c r="K58" s="102">
        <v>68.7</v>
      </c>
      <c r="L58" s="102">
        <v>45.7</v>
      </c>
      <c r="M58" s="102">
        <v>30.1</v>
      </c>
      <c r="N58" s="102">
        <f t="shared" si="1"/>
        <v>335.9</v>
      </c>
      <c r="O58" s="102">
        <f t="shared" si="2"/>
        <v>572.70000000000005</v>
      </c>
      <c r="P58" s="102">
        <f t="shared" si="3"/>
        <v>144.5</v>
      </c>
      <c r="Q58" s="102">
        <f t="shared" si="4"/>
        <v>1053.1000000000001</v>
      </c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</row>
    <row r="59" spans="1:33">
      <c r="A59" s="102">
        <v>2014</v>
      </c>
      <c r="B59" s="128">
        <v>7.5</v>
      </c>
      <c r="C59" s="128">
        <v>25.2</v>
      </c>
      <c r="D59" s="128">
        <v>66.8</v>
      </c>
      <c r="E59" s="128">
        <v>93.6</v>
      </c>
      <c r="F59" s="128">
        <v>185.7</v>
      </c>
      <c r="G59" s="128">
        <v>88.2</v>
      </c>
      <c r="H59" s="128">
        <v>232.8</v>
      </c>
      <c r="I59" s="128">
        <v>60.3</v>
      </c>
      <c r="J59" s="128">
        <v>42.9</v>
      </c>
      <c r="K59" s="128">
        <v>74.599999999999994</v>
      </c>
      <c r="L59" s="128">
        <v>63.4</v>
      </c>
      <c r="M59" s="128">
        <v>5.6</v>
      </c>
      <c r="N59" s="102">
        <f t="shared" si="1"/>
        <v>193.1</v>
      </c>
      <c r="O59" s="102">
        <f t="shared" si="2"/>
        <v>609.9</v>
      </c>
      <c r="P59" s="102">
        <f t="shared" si="3"/>
        <v>143.6</v>
      </c>
      <c r="Q59" s="102">
        <f t="shared" si="4"/>
        <v>946.59999999999991</v>
      </c>
    </row>
    <row r="60" spans="1:33">
      <c r="A60" s="102">
        <v>2015</v>
      </c>
      <c r="B60" s="128">
        <v>37.700000000000003</v>
      </c>
      <c r="C60" s="128">
        <v>28.1</v>
      </c>
      <c r="D60" s="128">
        <v>22.8</v>
      </c>
      <c r="E60" s="128">
        <v>115.9</v>
      </c>
      <c r="F60" s="128">
        <v>227.1</v>
      </c>
      <c r="G60" s="128">
        <v>289.60000000000002</v>
      </c>
      <c r="H60" s="128">
        <v>77.5</v>
      </c>
      <c r="I60" s="128">
        <v>185.7</v>
      </c>
      <c r="J60" s="128">
        <v>64.2</v>
      </c>
      <c r="K60" s="128">
        <v>93</v>
      </c>
      <c r="L60" s="128">
        <v>64.8</v>
      </c>
      <c r="M60" s="128">
        <v>82.8</v>
      </c>
      <c r="N60" s="102">
        <f t="shared" si="1"/>
        <v>204.5</v>
      </c>
      <c r="O60" s="102">
        <f t="shared" si="2"/>
        <v>844.10000000000014</v>
      </c>
      <c r="P60" s="102">
        <f t="shared" si="3"/>
        <v>240.60000000000002</v>
      </c>
      <c r="Q60" s="102">
        <f t="shared" si="4"/>
        <v>1289.2</v>
      </c>
    </row>
    <row r="61" spans="1:33" ht="13.5">
      <c r="A61" s="102">
        <v>2016</v>
      </c>
      <c r="B61" s="128">
        <v>62</v>
      </c>
      <c r="C61" s="128">
        <v>16.899999999999999</v>
      </c>
      <c r="D61" s="128">
        <v>79</v>
      </c>
      <c r="E61" s="128">
        <v>215.1</v>
      </c>
      <c r="F61" s="128">
        <v>129.6</v>
      </c>
      <c r="G61" s="128">
        <v>100.6</v>
      </c>
      <c r="H61" s="128">
        <v>86.8</v>
      </c>
      <c r="I61" s="128">
        <v>121</v>
      </c>
      <c r="J61" s="128">
        <v>21.2</v>
      </c>
      <c r="K61" s="128">
        <v>69.8</v>
      </c>
      <c r="L61" s="128">
        <v>58.5</v>
      </c>
      <c r="M61" s="128">
        <v>29.1</v>
      </c>
      <c r="N61" s="102">
        <f>SUM(B61:E61)</f>
        <v>373</v>
      </c>
      <c r="O61" s="102">
        <f>SUM(F61:J61)</f>
        <v>459.2</v>
      </c>
      <c r="P61" s="102">
        <f>SUM(K61:M61)</f>
        <v>157.4</v>
      </c>
      <c r="Q61" s="102">
        <f>SUM(B61:M61)</f>
        <v>989.6</v>
      </c>
      <c r="R61" s="129">
        <f t="shared" ref="R61:AG61" si="5">100*(B61-B4)/B4</f>
        <v>127.31439046746102</v>
      </c>
      <c r="S61" s="129">
        <f t="shared" si="5"/>
        <v>-38.461538461538467</v>
      </c>
      <c r="T61" s="129">
        <f t="shared" si="5"/>
        <v>43.790424805798388</v>
      </c>
      <c r="U61" s="129">
        <f t="shared" si="5"/>
        <v>95.15577661487616</v>
      </c>
      <c r="V61" s="129">
        <f t="shared" si="5"/>
        <v>-22.1771858714534</v>
      </c>
      <c r="W61" s="129">
        <f t="shared" si="5"/>
        <v>-36.814715118887413</v>
      </c>
      <c r="X61" s="129">
        <f t="shared" si="5"/>
        <v>-29.583218647235228</v>
      </c>
      <c r="Y61" s="129">
        <f t="shared" si="5"/>
        <v>7.4975410096139017</v>
      </c>
      <c r="Z61" s="129">
        <f t="shared" si="5"/>
        <v>-70.640749808343841</v>
      </c>
      <c r="AA61" s="129">
        <f t="shared" si="5"/>
        <v>-14.156454517503406</v>
      </c>
      <c r="AB61" s="129">
        <f t="shared" si="5"/>
        <v>13.805322031543136</v>
      </c>
      <c r="AC61" s="129">
        <f t="shared" si="5"/>
        <v>27.711598746081556</v>
      </c>
      <c r="AD61" s="129">
        <f t="shared" si="5"/>
        <v>69.623933150889641</v>
      </c>
      <c r="AE61" s="129">
        <f t="shared" si="5"/>
        <v>-27.546081066612548</v>
      </c>
      <c r="AF61" s="129">
        <f t="shared" si="5"/>
        <v>1.2218649517684923</v>
      </c>
      <c r="AG61" s="129">
        <f t="shared" si="5"/>
        <v>-1.9402237671660558</v>
      </c>
    </row>
  </sheetData>
  <mergeCells count="6">
    <mergeCell ref="A1:A3"/>
    <mergeCell ref="B1:Q1"/>
    <mergeCell ref="B2:M2"/>
    <mergeCell ref="R1:AG1"/>
    <mergeCell ref="N2:Q2"/>
    <mergeCell ref="R2:AG2"/>
  </mergeCells>
  <phoneticPr fontId="2" type="noConversion"/>
  <pageMargins left="0.75" right="0.75" top="1" bottom="1" header="0.5" footer="0.5"/>
  <pageSetup paperSize="9" orientation="portrait" horizontalDpi="200" verticalDpi="200" copies="0" r:id="rId1"/>
  <headerFooter alignWithMargins="0"/>
</worksheet>
</file>

<file path=xl/worksheets/sheet44.xml><?xml version="1.0" encoding="utf-8"?>
<worksheet xmlns="http://schemas.openxmlformats.org/spreadsheetml/2006/main" xmlns:r="http://schemas.openxmlformats.org/officeDocument/2006/relationships">
  <sheetPr codeName="Sheet44"/>
  <dimension ref="A1:AG61"/>
  <sheetViews>
    <sheetView zoomScale="85" zoomScaleNormal="85" workbookViewId="0">
      <pane ySplit="5" topLeftCell="A6" activePane="bottomLeft" state="frozen"/>
      <selection pane="bottomLeft" activeCell="R61" sqref="R61"/>
    </sheetView>
  </sheetViews>
  <sheetFormatPr defaultRowHeight="12"/>
  <cols>
    <col min="1" max="48" width="7.125" style="102" customWidth="1"/>
    <col min="49" max="16384" width="9" style="102"/>
  </cols>
  <sheetData>
    <row r="1" spans="1:33" s="118" customFormat="1" ht="14.25" customHeight="1">
      <c r="A1" s="176" t="s">
        <v>222</v>
      </c>
      <c r="B1" s="176" t="s">
        <v>232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233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223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224</v>
      </c>
      <c r="O2" s="176"/>
      <c r="P2" s="176"/>
      <c r="Q2" s="176"/>
      <c r="R2" s="176" t="s">
        <v>225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 ht="24">
      <c r="A3" s="176"/>
      <c r="B3" s="138" t="s">
        <v>234</v>
      </c>
      <c r="C3" s="138" t="s">
        <v>235</v>
      </c>
      <c r="D3" s="138" t="s">
        <v>9</v>
      </c>
      <c r="E3" s="138" t="s">
        <v>10</v>
      </c>
      <c r="F3" s="138" t="s">
        <v>11</v>
      </c>
      <c r="G3" s="138" t="s">
        <v>12</v>
      </c>
      <c r="H3" s="138" t="s">
        <v>13</v>
      </c>
      <c r="I3" s="138" t="s">
        <v>14</v>
      </c>
      <c r="J3" s="138" t="s">
        <v>15</v>
      </c>
      <c r="K3" s="138" t="s">
        <v>16</v>
      </c>
      <c r="L3" s="138" t="s">
        <v>17</v>
      </c>
      <c r="M3" s="138" t="s">
        <v>18</v>
      </c>
      <c r="N3" s="138" t="s">
        <v>236</v>
      </c>
      <c r="O3" s="138" t="s">
        <v>237</v>
      </c>
      <c r="P3" s="138" t="s">
        <v>238</v>
      </c>
      <c r="Q3" s="138" t="s">
        <v>239</v>
      </c>
      <c r="R3" s="138" t="s">
        <v>234</v>
      </c>
      <c r="S3" s="138" t="s">
        <v>235</v>
      </c>
      <c r="T3" s="138" t="s">
        <v>240</v>
      </c>
      <c r="U3" s="138" t="s">
        <v>241</v>
      </c>
      <c r="V3" s="138" t="s">
        <v>242</v>
      </c>
      <c r="W3" s="138" t="s">
        <v>243</v>
      </c>
      <c r="X3" s="138" t="s">
        <v>25</v>
      </c>
      <c r="Y3" s="138" t="s">
        <v>26</v>
      </c>
      <c r="Z3" s="138" t="s">
        <v>27</v>
      </c>
      <c r="AA3" s="138" t="s">
        <v>244</v>
      </c>
      <c r="AB3" s="138" t="s">
        <v>245</v>
      </c>
      <c r="AC3" s="138" t="s">
        <v>246</v>
      </c>
      <c r="AD3" s="138" t="s">
        <v>226</v>
      </c>
      <c r="AE3" s="138" t="s">
        <v>227</v>
      </c>
      <c r="AF3" s="138" t="s">
        <v>228</v>
      </c>
      <c r="AG3" s="138" t="s">
        <v>229</v>
      </c>
    </row>
    <row r="4" spans="1:33" s="118" customFormat="1">
      <c r="A4" s="150" t="s">
        <v>261</v>
      </c>
      <c r="B4" s="150">
        <f t="shared" ref="B4:Q4" si="0">AVERAGE(B5:B60)</f>
        <v>48.546428571428564</v>
      </c>
      <c r="C4" s="150">
        <f t="shared" si="0"/>
        <v>59.65535714285712</v>
      </c>
      <c r="D4" s="150">
        <f t="shared" si="0"/>
        <v>80.233928571428578</v>
      </c>
      <c r="E4" s="150">
        <f t="shared" si="0"/>
        <v>137.97499999999999</v>
      </c>
      <c r="F4" s="150">
        <f t="shared" si="0"/>
        <v>203.27321428571423</v>
      </c>
      <c r="G4" s="150">
        <f t="shared" si="0"/>
        <v>206.4571428571428</v>
      </c>
      <c r="H4" s="150">
        <f t="shared" si="0"/>
        <v>148.98928571428573</v>
      </c>
      <c r="I4" s="150">
        <f t="shared" si="0"/>
        <v>123.85357142857147</v>
      </c>
      <c r="J4" s="150">
        <f t="shared" si="0"/>
        <v>80.437499999999986</v>
      </c>
      <c r="K4" s="150">
        <f t="shared" si="0"/>
        <v>89.376785714285731</v>
      </c>
      <c r="L4" s="150">
        <f t="shared" si="0"/>
        <v>67.051785714285685</v>
      </c>
      <c r="M4" s="150">
        <f t="shared" si="0"/>
        <v>39.135714285714279</v>
      </c>
      <c r="N4" s="150">
        <f t="shared" si="0"/>
        <v>326.41071428571416</v>
      </c>
      <c r="O4" s="150">
        <f t="shared" si="0"/>
        <v>763.01071428571424</v>
      </c>
      <c r="P4" s="150">
        <f t="shared" si="0"/>
        <v>195.56428571428572</v>
      </c>
      <c r="Q4" s="150">
        <f t="shared" si="0"/>
        <v>1284.9857142857145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1960</v>
      </c>
      <c r="B5" s="102">
        <v>30.1</v>
      </c>
      <c r="C5" s="102">
        <v>61.1</v>
      </c>
      <c r="D5" s="102">
        <v>106.2</v>
      </c>
      <c r="E5" s="102">
        <v>130.5</v>
      </c>
      <c r="F5" s="102">
        <v>242.5</v>
      </c>
      <c r="G5" s="102">
        <v>64.900000000000006</v>
      </c>
      <c r="H5" s="102">
        <v>108.5</v>
      </c>
      <c r="I5" s="102">
        <v>68.400000000000006</v>
      </c>
      <c r="J5" s="102">
        <v>39.5</v>
      </c>
      <c r="K5" s="102">
        <v>51.9</v>
      </c>
      <c r="L5" s="102">
        <v>70.599999999999994</v>
      </c>
      <c r="M5" s="102">
        <v>10.1</v>
      </c>
      <c r="N5" s="102">
        <f>SUM(B5:E5)</f>
        <v>327.9</v>
      </c>
      <c r="O5" s="102">
        <f>SUM(F5:J5)</f>
        <v>523.79999999999995</v>
      </c>
      <c r="P5" s="102">
        <f>SUM(K5:M5)</f>
        <v>132.6</v>
      </c>
      <c r="Q5" s="102">
        <f>SUM(B5:M5)</f>
        <v>984.3</v>
      </c>
    </row>
    <row r="6" spans="1:33">
      <c r="A6" s="102">
        <v>1961</v>
      </c>
      <c r="B6" s="102">
        <v>21.9</v>
      </c>
      <c r="C6" s="102">
        <v>79.7</v>
      </c>
      <c r="D6" s="102">
        <v>100.2</v>
      </c>
      <c r="E6" s="102">
        <v>225.9</v>
      </c>
      <c r="F6" s="102">
        <v>120</v>
      </c>
      <c r="G6" s="102">
        <v>63.7</v>
      </c>
      <c r="H6" s="102">
        <v>152.5</v>
      </c>
      <c r="I6" s="102">
        <v>134</v>
      </c>
      <c r="J6" s="102">
        <v>45.4</v>
      </c>
      <c r="K6" s="102">
        <v>127.1</v>
      </c>
      <c r="L6" s="102">
        <v>120.3</v>
      </c>
      <c r="M6" s="102">
        <v>63.2</v>
      </c>
      <c r="N6" s="102">
        <f t="shared" ref="N6:N60" si="1">SUM(B6:E6)</f>
        <v>427.70000000000005</v>
      </c>
      <c r="O6" s="102">
        <f t="shared" ref="O6:O60" si="2">SUM(F6:J6)</f>
        <v>515.6</v>
      </c>
      <c r="P6" s="102">
        <f t="shared" ref="P6:P60" si="3">SUM(K6:M6)</f>
        <v>310.59999999999997</v>
      </c>
      <c r="Q6" s="102">
        <f t="shared" ref="Q6:Q60" si="4">SUM(B6:M6)</f>
        <v>1253.9000000000001</v>
      </c>
    </row>
    <row r="7" spans="1:33">
      <c r="A7" s="102">
        <v>1962</v>
      </c>
      <c r="B7" s="102">
        <v>28.8</v>
      </c>
      <c r="C7" s="102">
        <v>23.8</v>
      </c>
      <c r="D7" s="102">
        <v>64.3</v>
      </c>
      <c r="E7" s="102">
        <v>126.6</v>
      </c>
      <c r="F7" s="102">
        <v>338.1</v>
      </c>
      <c r="G7" s="102">
        <v>193.8</v>
      </c>
      <c r="H7" s="102">
        <v>46.7</v>
      </c>
      <c r="I7" s="102">
        <v>161.80000000000001</v>
      </c>
      <c r="J7" s="102">
        <v>31.9</v>
      </c>
      <c r="K7" s="102">
        <v>88.2</v>
      </c>
      <c r="L7" s="102">
        <v>33.4</v>
      </c>
      <c r="M7" s="102">
        <v>39.799999999999997</v>
      </c>
      <c r="N7" s="102">
        <f t="shared" si="1"/>
        <v>243.5</v>
      </c>
      <c r="O7" s="102">
        <f t="shared" si="2"/>
        <v>772.30000000000007</v>
      </c>
      <c r="P7" s="102">
        <f t="shared" si="3"/>
        <v>161.39999999999998</v>
      </c>
      <c r="Q7" s="102">
        <f t="shared" si="4"/>
        <v>1177.2</v>
      </c>
    </row>
    <row r="8" spans="1:33">
      <c r="A8" s="102">
        <v>1963</v>
      </c>
      <c r="B8" s="102">
        <v>6.6</v>
      </c>
      <c r="C8" s="102">
        <v>71.099999999999994</v>
      </c>
      <c r="D8" s="102">
        <v>56.2</v>
      </c>
      <c r="E8" s="102">
        <v>99.5</v>
      </c>
      <c r="F8" s="102">
        <v>136.1</v>
      </c>
      <c r="G8" s="102">
        <v>56.3</v>
      </c>
      <c r="H8" s="102">
        <v>86.4</v>
      </c>
      <c r="I8" s="102">
        <v>91.3</v>
      </c>
      <c r="J8" s="102">
        <v>94.2</v>
      </c>
      <c r="K8" s="102">
        <v>85.1</v>
      </c>
      <c r="L8" s="102">
        <v>257.2</v>
      </c>
      <c r="M8" s="102">
        <v>62.2</v>
      </c>
      <c r="N8" s="102">
        <f t="shared" si="1"/>
        <v>233.39999999999998</v>
      </c>
      <c r="O8" s="102">
        <f t="shared" si="2"/>
        <v>464.29999999999995</v>
      </c>
      <c r="P8" s="102">
        <f t="shared" si="3"/>
        <v>404.49999999999994</v>
      </c>
      <c r="Q8" s="102">
        <f t="shared" si="4"/>
        <v>1102.2</v>
      </c>
    </row>
    <row r="9" spans="1:33">
      <c r="A9" s="102">
        <v>1964</v>
      </c>
      <c r="B9" s="102">
        <v>47</v>
      </c>
      <c r="C9" s="102">
        <v>68.3</v>
      </c>
      <c r="D9" s="102">
        <v>76.7</v>
      </c>
      <c r="E9" s="102">
        <v>319.39999999999998</v>
      </c>
      <c r="F9" s="102">
        <v>81.599999999999994</v>
      </c>
      <c r="G9" s="102">
        <v>217.2</v>
      </c>
      <c r="H9" s="102">
        <v>94.1</v>
      </c>
      <c r="I9" s="102">
        <v>95.1</v>
      </c>
      <c r="J9" s="102">
        <v>42.8</v>
      </c>
      <c r="K9" s="102">
        <v>72.2</v>
      </c>
      <c r="L9" s="102">
        <v>30.6</v>
      </c>
      <c r="M9" s="102">
        <v>33</v>
      </c>
      <c r="N9" s="102">
        <f t="shared" si="1"/>
        <v>511.4</v>
      </c>
      <c r="O9" s="102">
        <f t="shared" si="2"/>
        <v>530.79999999999995</v>
      </c>
      <c r="P9" s="102">
        <f t="shared" si="3"/>
        <v>135.80000000000001</v>
      </c>
      <c r="Q9" s="102">
        <f t="shared" si="4"/>
        <v>1178</v>
      </c>
    </row>
    <row r="10" spans="1:33">
      <c r="A10" s="102">
        <v>1965</v>
      </c>
      <c r="B10" s="102">
        <v>31.8</v>
      </c>
      <c r="C10" s="102">
        <v>59.4</v>
      </c>
      <c r="D10" s="102">
        <v>92.9</v>
      </c>
      <c r="E10" s="102">
        <v>132.9</v>
      </c>
      <c r="F10" s="102">
        <v>262.8</v>
      </c>
      <c r="G10" s="102">
        <v>160.19999999999999</v>
      </c>
      <c r="H10" s="102">
        <v>106.7</v>
      </c>
      <c r="I10" s="102">
        <v>300.89999999999998</v>
      </c>
      <c r="J10" s="102">
        <v>24</v>
      </c>
      <c r="K10" s="102">
        <v>187.1</v>
      </c>
      <c r="L10" s="102">
        <v>104.1</v>
      </c>
      <c r="M10" s="102">
        <v>51.3</v>
      </c>
      <c r="N10" s="102">
        <f t="shared" si="1"/>
        <v>317</v>
      </c>
      <c r="O10" s="102">
        <f t="shared" si="2"/>
        <v>854.6</v>
      </c>
      <c r="P10" s="102">
        <f t="shared" si="3"/>
        <v>342.5</v>
      </c>
      <c r="Q10" s="102">
        <f t="shared" si="4"/>
        <v>1514.0999999999997</v>
      </c>
    </row>
    <row r="11" spans="1:33">
      <c r="A11" s="102">
        <v>1966</v>
      </c>
      <c r="B11" s="102">
        <v>29</v>
      </c>
      <c r="C11" s="102">
        <v>67.2</v>
      </c>
      <c r="D11" s="102">
        <v>40.799999999999997</v>
      </c>
      <c r="E11" s="102">
        <v>116.7</v>
      </c>
      <c r="F11" s="102">
        <v>175.5</v>
      </c>
      <c r="G11" s="102">
        <v>96.7</v>
      </c>
      <c r="H11" s="102">
        <v>392.8</v>
      </c>
      <c r="I11" s="102">
        <v>13.3</v>
      </c>
      <c r="J11" s="102">
        <v>8.6999999999999993</v>
      </c>
      <c r="K11" s="102">
        <v>135.6</v>
      </c>
      <c r="L11" s="102">
        <v>15.8</v>
      </c>
      <c r="M11" s="102">
        <v>35.700000000000003</v>
      </c>
      <c r="N11" s="102">
        <f t="shared" si="1"/>
        <v>253.7</v>
      </c>
      <c r="O11" s="102">
        <f t="shared" si="2"/>
        <v>687</v>
      </c>
      <c r="P11" s="102">
        <f t="shared" si="3"/>
        <v>187.10000000000002</v>
      </c>
      <c r="Q11" s="102">
        <f t="shared" si="4"/>
        <v>1127.8</v>
      </c>
    </row>
    <row r="12" spans="1:33">
      <c r="A12" s="102">
        <v>1967</v>
      </c>
      <c r="B12" s="102">
        <v>25.2</v>
      </c>
      <c r="C12" s="102">
        <v>52.5</v>
      </c>
      <c r="D12" s="102">
        <v>54.4</v>
      </c>
      <c r="E12" s="102">
        <v>132.80000000000001</v>
      </c>
      <c r="F12" s="102">
        <v>254.6</v>
      </c>
      <c r="G12" s="102">
        <v>249</v>
      </c>
      <c r="H12" s="102">
        <v>97.1</v>
      </c>
      <c r="I12" s="102">
        <v>209</v>
      </c>
      <c r="J12" s="102">
        <v>144.4</v>
      </c>
      <c r="K12" s="102">
        <v>58.8</v>
      </c>
      <c r="L12" s="102">
        <v>95.3</v>
      </c>
      <c r="M12" s="102">
        <v>47.3</v>
      </c>
      <c r="N12" s="102">
        <f t="shared" si="1"/>
        <v>264.89999999999998</v>
      </c>
      <c r="O12" s="102">
        <f t="shared" si="2"/>
        <v>954.1</v>
      </c>
      <c r="P12" s="102">
        <f t="shared" si="3"/>
        <v>201.39999999999998</v>
      </c>
      <c r="Q12" s="102">
        <f t="shared" si="4"/>
        <v>1420.3999999999999</v>
      </c>
    </row>
    <row r="13" spans="1:33">
      <c r="A13" s="102">
        <v>1968</v>
      </c>
      <c r="B13" s="102">
        <v>49.5</v>
      </c>
      <c r="C13" s="102">
        <v>32.9</v>
      </c>
      <c r="D13" s="102">
        <v>92.8</v>
      </c>
      <c r="E13" s="102">
        <v>145.5</v>
      </c>
      <c r="F13" s="102">
        <v>135.19999999999999</v>
      </c>
      <c r="G13" s="102">
        <v>416.6</v>
      </c>
      <c r="H13" s="102">
        <v>224.2</v>
      </c>
      <c r="I13" s="102">
        <v>143.5</v>
      </c>
      <c r="J13" s="102">
        <v>96.6</v>
      </c>
      <c r="K13" s="102">
        <v>38.5</v>
      </c>
      <c r="L13" s="102">
        <v>128.19999999999999</v>
      </c>
      <c r="M13" s="102">
        <v>63.7</v>
      </c>
      <c r="N13" s="102">
        <f t="shared" si="1"/>
        <v>320.7</v>
      </c>
      <c r="O13" s="102">
        <f t="shared" si="2"/>
        <v>1016.1</v>
      </c>
      <c r="P13" s="102">
        <f t="shared" si="3"/>
        <v>230.39999999999998</v>
      </c>
      <c r="Q13" s="102">
        <f t="shared" si="4"/>
        <v>1567.2</v>
      </c>
    </row>
    <row r="14" spans="1:33">
      <c r="A14" s="102">
        <v>1969</v>
      </c>
      <c r="B14" s="102">
        <v>44.1</v>
      </c>
      <c r="C14" s="102">
        <v>9.3000000000000007</v>
      </c>
      <c r="D14" s="102">
        <v>72.099999999999994</v>
      </c>
      <c r="E14" s="102">
        <v>98</v>
      </c>
      <c r="F14" s="102">
        <v>224</v>
      </c>
      <c r="G14" s="102">
        <v>241.9</v>
      </c>
      <c r="H14" s="102">
        <v>240.3</v>
      </c>
      <c r="I14" s="102">
        <v>221.2</v>
      </c>
      <c r="J14" s="102">
        <v>10.3</v>
      </c>
      <c r="K14" s="102">
        <v>124.3</v>
      </c>
      <c r="L14" s="102">
        <v>125.8</v>
      </c>
      <c r="M14" s="102">
        <v>3.5</v>
      </c>
      <c r="N14" s="102">
        <f t="shared" si="1"/>
        <v>223.5</v>
      </c>
      <c r="O14" s="102">
        <f t="shared" si="2"/>
        <v>937.7</v>
      </c>
      <c r="P14" s="102">
        <f t="shared" si="3"/>
        <v>253.6</v>
      </c>
      <c r="Q14" s="102">
        <f t="shared" si="4"/>
        <v>1414.8</v>
      </c>
    </row>
    <row r="15" spans="1:33">
      <c r="A15" s="102">
        <v>1970</v>
      </c>
      <c r="B15" s="102">
        <v>52.1</v>
      </c>
      <c r="C15" s="102">
        <v>57.8</v>
      </c>
      <c r="D15" s="102">
        <v>130.80000000000001</v>
      </c>
      <c r="E15" s="102">
        <v>122.7</v>
      </c>
      <c r="F15" s="102">
        <v>153</v>
      </c>
      <c r="G15" s="102">
        <v>186.8</v>
      </c>
      <c r="H15" s="102">
        <v>337.9</v>
      </c>
      <c r="I15" s="102">
        <v>113.4</v>
      </c>
      <c r="J15" s="102">
        <v>144</v>
      </c>
      <c r="K15" s="102">
        <v>22.9</v>
      </c>
      <c r="L15" s="102">
        <v>36.5</v>
      </c>
      <c r="M15" s="102">
        <v>72.3</v>
      </c>
      <c r="N15" s="102">
        <f t="shared" si="1"/>
        <v>363.40000000000003</v>
      </c>
      <c r="O15" s="102">
        <f t="shared" si="2"/>
        <v>935.1</v>
      </c>
      <c r="P15" s="102">
        <f t="shared" si="3"/>
        <v>131.69999999999999</v>
      </c>
      <c r="Q15" s="102">
        <f t="shared" si="4"/>
        <v>1430.2</v>
      </c>
    </row>
    <row r="16" spans="1:33">
      <c r="A16" s="102">
        <v>1971</v>
      </c>
      <c r="B16" s="102">
        <v>22.7</v>
      </c>
      <c r="C16" s="102">
        <v>35.5</v>
      </c>
      <c r="D16" s="102">
        <v>56.7</v>
      </c>
      <c r="E16" s="102">
        <v>144.69999999999999</v>
      </c>
      <c r="F16" s="102">
        <v>247.7</v>
      </c>
      <c r="G16" s="102">
        <v>230.8</v>
      </c>
      <c r="H16" s="102">
        <v>60.8</v>
      </c>
      <c r="I16" s="102">
        <v>111.2</v>
      </c>
      <c r="J16" s="102">
        <v>25.3</v>
      </c>
      <c r="K16" s="102">
        <v>96.4</v>
      </c>
      <c r="L16" s="102">
        <v>14.7</v>
      </c>
      <c r="M16" s="102">
        <v>59</v>
      </c>
      <c r="N16" s="102">
        <f t="shared" si="1"/>
        <v>259.60000000000002</v>
      </c>
      <c r="O16" s="102">
        <f t="shared" si="2"/>
        <v>675.8</v>
      </c>
      <c r="P16" s="102">
        <f t="shared" si="3"/>
        <v>170.10000000000002</v>
      </c>
      <c r="Q16" s="102">
        <f t="shared" si="4"/>
        <v>1105.5</v>
      </c>
    </row>
    <row r="17" spans="1:17">
      <c r="A17" s="102">
        <v>1972</v>
      </c>
      <c r="B17" s="102">
        <v>20.2</v>
      </c>
      <c r="C17" s="102">
        <v>55.6</v>
      </c>
      <c r="D17" s="102">
        <v>78.900000000000006</v>
      </c>
      <c r="E17" s="102">
        <v>170.4</v>
      </c>
      <c r="F17" s="102">
        <v>202.2</v>
      </c>
      <c r="G17" s="102">
        <v>129.19999999999999</v>
      </c>
      <c r="H17" s="102">
        <v>8.5</v>
      </c>
      <c r="I17" s="102">
        <v>36.6</v>
      </c>
      <c r="J17" s="102">
        <v>312.89999999999998</v>
      </c>
      <c r="K17" s="102">
        <v>143.5</v>
      </c>
      <c r="L17" s="102">
        <v>108.8</v>
      </c>
      <c r="M17" s="102">
        <v>54</v>
      </c>
      <c r="N17" s="102">
        <f t="shared" si="1"/>
        <v>325.10000000000002</v>
      </c>
      <c r="O17" s="102">
        <f t="shared" si="2"/>
        <v>689.4</v>
      </c>
      <c r="P17" s="102">
        <f t="shared" si="3"/>
        <v>306.3</v>
      </c>
      <c r="Q17" s="102">
        <f t="shared" si="4"/>
        <v>1320.8</v>
      </c>
    </row>
    <row r="18" spans="1:17">
      <c r="A18" s="102">
        <v>1973</v>
      </c>
      <c r="B18" s="102">
        <v>58.7</v>
      </c>
      <c r="C18" s="102">
        <v>45.3</v>
      </c>
      <c r="D18" s="102">
        <v>65.900000000000006</v>
      </c>
      <c r="E18" s="102">
        <v>182.6</v>
      </c>
      <c r="F18" s="102">
        <v>191.5</v>
      </c>
      <c r="G18" s="102">
        <v>271.5</v>
      </c>
      <c r="H18" s="102">
        <v>171.4</v>
      </c>
      <c r="I18" s="102">
        <v>158.19999999999999</v>
      </c>
      <c r="J18" s="102">
        <v>163.9</v>
      </c>
      <c r="K18" s="102">
        <v>74.400000000000006</v>
      </c>
      <c r="L18" s="102">
        <v>42.1</v>
      </c>
      <c r="M18" s="102">
        <v>6.1</v>
      </c>
      <c r="N18" s="102">
        <f t="shared" si="1"/>
        <v>352.5</v>
      </c>
      <c r="O18" s="102">
        <f t="shared" si="2"/>
        <v>956.49999999999989</v>
      </c>
      <c r="P18" s="102">
        <f t="shared" si="3"/>
        <v>122.6</v>
      </c>
      <c r="Q18" s="102">
        <f t="shared" si="4"/>
        <v>1431.6</v>
      </c>
    </row>
    <row r="19" spans="1:17">
      <c r="A19" s="102">
        <v>1974</v>
      </c>
      <c r="B19" s="102">
        <v>82.6</v>
      </c>
      <c r="C19" s="102">
        <v>23.6</v>
      </c>
      <c r="D19" s="102">
        <v>55.1</v>
      </c>
      <c r="E19" s="102">
        <v>265.60000000000002</v>
      </c>
      <c r="F19" s="102">
        <v>155.5</v>
      </c>
      <c r="G19" s="102">
        <v>308.60000000000002</v>
      </c>
      <c r="H19" s="102">
        <v>182</v>
      </c>
      <c r="I19" s="102">
        <v>95.4</v>
      </c>
      <c r="J19" s="102">
        <v>83.1</v>
      </c>
      <c r="K19" s="102">
        <v>6.4</v>
      </c>
      <c r="L19" s="102">
        <v>19.7</v>
      </c>
      <c r="M19" s="102">
        <v>36.6</v>
      </c>
      <c r="N19" s="102">
        <f t="shared" si="1"/>
        <v>426.9</v>
      </c>
      <c r="O19" s="102">
        <f t="shared" si="2"/>
        <v>824.6</v>
      </c>
      <c r="P19" s="102">
        <f t="shared" si="3"/>
        <v>62.7</v>
      </c>
      <c r="Q19" s="102">
        <f t="shared" si="4"/>
        <v>1314.2</v>
      </c>
    </row>
    <row r="20" spans="1:17">
      <c r="A20" s="102">
        <v>1975</v>
      </c>
      <c r="B20" s="102">
        <v>32.5</v>
      </c>
      <c r="C20" s="102">
        <v>37.9</v>
      </c>
      <c r="D20" s="102">
        <v>77.3</v>
      </c>
      <c r="E20" s="102">
        <v>233.6</v>
      </c>
      <c r="F20" s="102">
        <v>338.1</v>
      </c>
      <c r="G20" s="102">
        <v>80.2</v>
      </c>
      <c r="H20" s="102">
        <v>123</v>
      </c>
      <c r="I20" s="102">
        <v>124.8</v>
      </c>
      <c r="J20" s="102">
        <v>38</v>
      </c>
      <c r="K20" s="102">
        <v>37.700000000000003</v>
      </c>
      <c r="L20" s="102">
        <v>89.1</v>
      </c>
      <c r="M20" s="102">
        <v>11.6</v>
      </c>
      <c r="N20" s="102">
        <f t="shared" si="1"/>
        <v>381.29999999999995</v>
      </c>
      <c r="O20" s="102">
        <f t="shared" si="2"/>
        <v>704.09999999999991</v>
      </c>
      <c r="P20" s="102">
        <f t="shared" si="3"/>
        <v>138.4</v>
      </c>
      <c r="Q20" s="102">
        <f t="shared" si="4"/>
        <v>1223.8</v>
      </c>
    </row>
    <row r="21" spans="1:17">
      <c r="A21" s="102">
        <v>1976</v>
      </c>
      <c r="B21" s="102">
        <v>63.8</v>
      </c>
      <c r="C21" s="102">
        <v>52.9</v>
      </c>
      <c r="D21" s="102">
        <v>60.5</v>
      </c>
      <c r="E21" s="102">
        <v>155.9</v>
      </c>
      <c r="F21" s="102">
        <v>179.6</v>
      </c>
      <c r="G21" s="102">
        <v>195.7</v>
      </c>
      <c r="H21" s="102">
        <v>138.6</v>
      </c>
      <c r="I21" s="102">
        <v>105.7</v>
      </c>
      <c r="J21" s="102">
        <v>67.400000000000006</v>
      </c>
      <c r="K21" s="102">
        <v>164.7</v>
      </c>
      <c r="L21" s="102">
        <v>67</v>
      </c>
      <c r="M21" s="102">
        <v>21.3</v>
      </c>
      <c r="N21" s="102">
        <f t="shared" si="1"/>
        <v>333.1</v>
      </c>
      <c r="O21" s="102">
        <f t="shared" si="2"/>
        <v>687</v>
      </c>
      <c r="P21" s="102">
        <f t="shared" si="3"/>
        <v>253</v>
      </c>
      <c r="Q21" s="102">
        <f t="shared" si="4"/>
        <v>1273.1000000000001</v>
      </c>
    </row>
    <row r="22" spans="1:17">
      <c r="A22" s="102">
        <v>1977</v>
      </c>
      <c r="B22" s="102">
        <v>39</v>
      </c>
      <c r="C22" s="102">
        <v>35.1</v>
      </c>
      <c r="D22" s="102">
        <v>57.2</v>
      </c>
      <c r="E22" s="102">
        <v>173.3</v>
      </c>
      <c r="F22" s="102">
        <v>247.7</v>
      </c>
      <c r="G22" s="102">
        <v>262.5</v>
      </c>
      <c r="H22" s="102">
        <v>119.2</v>
      </c>
      <c r="I22" s="102">
        <v>199.5</v>
      </c>
      <c r="J22" s="102">
        <v>37.700000000000003</v>
      </c>
      <c r="K22" s="102">
        <v>119.9</v>
      </c>
      <c r="L22" s="102">
        <v>35.9</v>
      </c>
      <c r="M22" s="102">
        <v>26.1</v>
      </c>
      <c r="N22" s="102">
        <f t="shared" si="1"/>
        <v>304.60000000000002</v>
      </c>
      <c r="O22" s="102">
        <f t="shared" si="2"/>
        <v>866.6</v>
      </c>
      <c r="P22" s="102">
        <f t="shared" si="3"/>
        <v>181.9</v>
      </c>
      <c r="Q22" s="102">
        <f t="shared" si="4"/>
        <v>1353.1000000000001</v>
      </c>
    </row>
    <row r="23" spans="1:17">
      <c r="A23" s="102">
        <v>1978</v>
      </c>
      <c r="B23" s="102">
        <v>42.8</v>
      </c>
      <c r="C23" s="102">
        <v>2.7</v>
      </c>
      <c r="D23" s="102">
        <v>73.099999999999994</v>
      </c>
      <c r="E23" s="102">
        <v>82.6</v>
      </c>
      <c r="F23" s="102">
        <v>312</v>
      </c>
      <c r="G23" s="102">
        <v>127.4</v>
      </c>
      <c r="H23" s="102">
        <v>82.5</v>
      </c>
      <c r="I23" s="102">
        <v>128.5</v>
      </c>
      <c r="J23" s="102">
        <v>115.1</v>
      </c>
      <c r="K23" s="102">
        <v>85.9</v>
      </c>
      <c r="L23" s="102">
        <v>138.5</v>
      </c>
      <c r="M23" s="102">
        <v>28</v>
      </c>
      <c r="N23" s="102">
        <f t="shared" si="1"/>
        <v>201.2</v>
      </c>
      <c r="O23" s="102">
        <f t="shared" si="2"/>
        <v>765.5</v>
      </c>
      <c r="P23" s="102">
        <f t="shared" si="3"/>
        <v>252.4</v>
      </c>
      <c r="Q23" s="102">
        <f t="shared" si="4"/>
        <v>1219.1000000000001</v>
      </c>
    </row>
    <row r="24" spans="1:17">
      <c r="A24" s="102">
        <v>1979</v>
      </c>
      <c r="B24" s="102">
        <v>55.9</v>
      </c>
      <c r="C24" s="102">
        <v>67</v>
      </c>
      <c r="D24" s="102">
        <v>47</v>
      </c>
      <c r="E24" s="102">
        <v>75.599999999999994</v>
      </c>
      <c r="F24" s="102">
        <v>150.30000000000001</v>
      </c>
      <c r="G24" s="102">
        <v>299</v>
      </c>
      <c r="H24" s="102">
        <v>256.8</v>
      </c>
      <c r="I24" s="102">
        <v>144.5</v>
      </c>
      <c r="J24" s="102">
        <v>176.1</v>
      </c>
      <c r="K24" s="102">
        <v>24.9</v>
      </c>
      <c r="L24" s="102">
        <v>4.5999999999999996</v>
      </c>
      <c r="M24" s="102">
        <v>14.9</v>
      </c>
      <c r="N24" s="102">
        <f t="shared" si="1"/>
        <v>245.5</v>
      </c>
      <c r="O24" s="102">
        <f t="shared" si="2"/>
        <v>1026.7</v>
      </c>
      <c r="P24" s="102">
        <f t="shared" si="3"/>
        <v>44.4</v>
      </c>
      <c r="Q24" s="102">
        <f t="shared" si="4"/>
        <v>1316.6</v>
      </c>
    </row>
    <row r="25" spans="1:17">
      <c r="A25" s="102">
        <v>1980</v>
      </c>
      <c r="B25" s="102">
        <v>73.400000000000006</v>
      </c>
      <c r="C25" s="102">
        <v>75.3</v>
      </c>
      <c r="D25" s="102">
        <v>102.3</v>
      </c>
      <c r="E25" s="102">
        <v>157.19999999999999</v>
      </c>
      <c r="F25" s="102">
        <v>184.3</v>
      </c>
      <c r="G25" s="102">
        <v>151.30000000000001</v>
      </c>
      <c r="H25" s="102">
        <v>296.60000000000002</v>
      </c>
      <c r="I25" s="102">
        <v>145</v>
      </c>
      <c r="J25" s="102">
        <v>13.9</v>
      </c>
      <c r="K25" s="102">
        <v>130.1</v>
      </c>
      <c r="L25" s="102">
        <v>27.7</v>
      </c>
      <c r="M25" s="102">
        <v>30.3</v>
      </c>
      <c r="N25" s="102">
        <f t="shared" si="1"/>
        <v>408.2</v>
      </c>
      <c r="O25" s="102">
        <f t="shared" si="2"/>
        <v>791.1</v>
      </c>
      <c r="P25" s="102">
        <f t="shared" si="3"/>
        <v>188.1</v>
      </c>
      <c r="Q25" s="102">
        <f t="shared" si="4"/>
        <v>1387.4</v>
      </c>
    </row>
    <row r="26" spans="1:17">
      <c r="A26" s="102">
        <v>1981</v>
      </c>
      <c r="B26" s="102">
        <v>45</v>
      </c>
      <c r="C26" s="102">
        <v>67.900000000000006</v>
      </c>
      <c r="D26" s="102">
        <v>60.9</v>
      </c>
      <c r="E26" s="102">
        <v>234.8</v>
      </c>
      <c r="F26" s="102">
        <v>211.5</v>
      </c>
      <c r="G26" s="102">
        <v>242.1</v>
      </c>
      <c r="H26" s="102">
        <v>71.8</v>
      </c>
      <c r="I26" s="102">
        <v>59.8</v>
      </c>
      <c r="J26" s="102">
        <v>42.4</v>
      </c>
      <c r="K26" s="102">
        <v>119.8</v>
      </c>
      <c r="L26" s="102">
        <v>157.80000000000001</v>
      </c>
      <c r="M26" s="102">
        <v>0.3</v>
      </c>
      <c r="N26" s="102">
        <f t="shared" si="1"/>
        <v>408.6</v>
      </c>
      <c r="O26" s="102">
        <f t="shared" si="2"/>
        <v>627.59999999999991</v>
      </c>
      <c r="P26" s="102">
        <f t="shared" si="3"/>
        <v>277.90000000000003</v>
      </c>
      <c r="Q26" s="102">
        <f t="shared" si="4"/>
        <v>1314.1</v>
      </c>
    </row>
    <row r="27" spans="1:17">
      <c r="A27" s="102">
        <v>1982</v>
      </c>
      <c r="B27" s="102">
        <v>28.5</v>
      </c>
      <c r="C27" s="102">
        <v>132.19999999999999</v>
      </c>
      <c r="D27" s="102">
        <v>49.7</v>
      </c>
      <c r="E27" s="102">
        <v>145.80000000000001</v>
      </c>
      <c r="F27" s="102">
        <v>184.8</v>
      </c>
      <c r="G27" s="102">
        <v>288.89999999999998</v>
      </c>
      <c r="H27" s="102">
        <v>160.1</v>
      </c>
      <c r="I27" s="102">
        <v>188.4</v>
      </c>
      <c r="J27" s="102">
        <v>139.30000000000001</v>
      </c>
      <c r="K27" s="102">
        <v>206</v>
      </c>
      <c r="L27" s="102">
        <v>86.6</v>
      </c>
      <c r="M27" s="102">
        <v>32.9</v>
      </c>
      <c r="N27" s="102">
        <f t="shared" si="1"/>
        <v>356.2</v>
      </c>
      <c r="O27" s="102">
        <f t="shared" si="2"/>
        <v>961.5</v>
      </c>
      <c r="P27" s="102">
        <f t="shared" si="3"/>
        <v>325.5</v>
      </c>
      <c r="Q27" s="102">
        <f t="shared" si="4"/>
        <v>1643.2</v>
      </c>
    </row>
    <row r="28" spans="1:17">
      <c r="A28" s="102">
        <v>1983</v>
      </c>
      <c r="B28" s="102">
        <v>89.5</v>
      </c>
      <c r="C28" s="102">
        <v>89.4</v>
      </c>
      <c r="D28" s="102">
        <v>42.1</v>
      </c>
      <c r="E28" s="102">
        <v>157.19999999999999</v>
      </c>
      <c r="F28" s="102">
        <v>169.9</v>
      </c>
      <c r="G28" s="102">
        <v>264</v>
      </c>
      <c r="H28" s="102">
        <v>72.599999999999994</v>
      </c>
      <c r="I28" s="102">
        <v>63.6</v>
      </c>
      <c r="J28" s="102">
        <v>64.599999999999994</v>
      </c>
      <c r="K28" s="102">
        <v>66.5</v>
      </c>
      <c r="L28" s="102">
        <v>68</v>
      </c>
      <c r="M28" s="102">
        <v>52.8</v>
      </c>
      <c r="N28" s="102">
        <f t="shared" si="1"/>
        <v>378.2</v>
      </c>
      <c r="O28" s="102">
        <f t="shared" si="2"/>
        <v>634.70000000000005</v>
      </c>
      <c r="P28" s="102">
        <f t="shared" si="3"/>
        <v>187.3</v>
      </c>
      <c r="Q28" s="102">
        <f t="shared" si="4"/>
        <v>1200.2</v>
      </c>
    </row>
    <row r="29" spans="1:17">
      <c r="A29" s="102">
        <v>1984</v>
      </c>
      <c r="B29" s="102">
        <v>29.5</v>
      </c>
      <c r="C29" s="102">
        <v>26.2</v>
      </c>
      <c r="D29" s="102">
        <v>38.9</v>
      </c>
      <c r="E29" s="102">
        <v>95.1</v>
      </c>
      <c r="F29" s="102">
        <v>345.4</v>
      </c>
      <c r="G29" s="102">
        <v>129.5</v>
      </c>
      <c r="H29" s="102">
        <v>56.6</v>
      </c>
      <c r="I29" s="102">
        <v>122.1</v>
      </c>
      <c r="J29" s="102">
        <v>44.5</v>
      </c>
      <c r="K29" s="102">
        <v>107.8</v>
      </c>
      <c r="L29" s="102">
        <v>25.4</v>
      </c>
      <c r="M29" s="102">
        <v>76.3</v>
      </c>
      <c r="N29" s="102">
        <f t="shared" si="1"/>
        <v>189.7</v>
      </c>
      <c r="O29" s="102">
        <f t="shared" si="2"/>
        <v>698.1</v>
      </c>
      <c r="P29" s="102">
        <f t="shared" si="3"/>
        <v>209.5</v>
      </c>
      <c r="Q29" s="102">
        <f t="shared" si="4"/>
        <v>1097.3</v>
      </c>
    </row>
    <row r="30" spans="1:17">
      <c r="A30" s="102">
        <v>1985</v>
      </c>
      <c r="B30" s="102">
        <v>26.2</v>
      </c>
      <c r="C30" s="102">
        <v>124.8</v>
      </c>
      <c r="D30" s="102">
        <v>78.2</v>
      </c>
      <c r="E30" s="102">
        <v>96.5</v>
      </c>
      <c r="F30" s="102">
        <v>173.2</v>
      </c>
      <c r="G30" s="102">
        <v>60.5</v>
      </c>
      <c r="H30" s="102">
        <v>54.7</v>
      </c>
      <c r="I30" s="102">
        <v>70.5</v>
      </c>
      <c r="J30" s="102">
        <v>39.700000000000003</v>
      </c>
      <c r="K30" s="102">
        <v>32.200000000000003</v>
      </c>
      <c r="L30" s="102">
        <v>72</v>
      </c>
      <c r="M30" s="102">
        <v>27.9</v>
      </c>
      <c r="N30" s="102">
        <f t="shared" si="1"/>
        <v>325.7</v>
      </c>
      <c r="O30" s="102">
        <f t="shared" si="2"/>
        <v>398.59999999999997</v>
      </c>
      <c r="P30" s="102">
        <f t="shared" si="3"/>
        <v>132.1</v>
      </c>
      <c r="Q30" s="102">
        <f t="shared" si="4"/>
        <v>856.40000000000009</v>
      </c>
    </row>
    <row r="31" spans="1:17">
      <c r="A31" s="102">
        <v>1986</v>
      </c>
      <c r="B31" s="102">
        <v>35</v>
      </c>
      <c r="C31" s="102">
        <v>26.9</v>
      </c>
      <c r="D31" s="102">
        <v>78.2</v>
      </c>
      <c r="E31" s="102">
        <v>70.900000000000006</v>
      </c>
      <c r="F31" s="102">
        <v>158.5</v>
      </c>
      <c r="G31" s="102">
        <v>223.3</v>
      </c>
      <c r="H31" s="102">
        <v>195.8</v>
      </c>
      <c r="I31" s="102">
        <v>30.1</v>
      </c>
      <c r="J31" s="102">
        <v>29.9</v>
      </c>
      <c r="K31" s="102">
        <v>91.7</v>
      </c>
      <c r="L31" s="102">
        <v>52.3</v>
      </c>
      <c r="M31" s="102">
        <v>18.3</v>
      </c>
      <c r="N31" s="102">
        <f t="shared" si="1"/>
        <v>211</v>
      </c>
      <c r="O31" s="102">
        <f t="shared" si="2"/>
        <v>637.6</v>
      </c>
      <c r="P31" s="102">
        <f t="shared" si="3"/>
        <v>162.30000000000001</v>
      </c>
      <c r="Q31" s="102">
        <f t="shared" si="4"/>
        <v>1010.8999999999999</v>
      </c>
    </row>
    <row r="32" spans="1:17">
      <c r="A32" s="102">
        <v>1987</v>
      </c>
      <c r="B32" s="102">
        <v>54.5</v>
      </c>
      <c r="C32" s="102">
        <v>49.4</v>
      </c>
      <c r="D32" s="102">
        <v>66.7</v>
      </c>
      <c r="E32" s="102">
        <v>92.3</v>
      </c>
      <c r="F32" s="102">
        <v>238.5</v>
      </c>
      <c r="G32" s="102">
        <v>218</v>
      </c>
      <c r="H32" s="102">
        <v>76.900000000000006</v>
      </c>
      <c r="I32" s="102">
        <v>106.8</v>
      </c>
      <c r="J32" s="102">
        <v>71.400000000000006</v>
      </c>
      <c r="K32" s="102">
        <v>123</v>
      </c>
      <c r="L32" s="102">
        <v>125.7</v>
      </c>
      <c r="M32" s="102">
        <v>5.9</v>
      </c>
      <c r="N32" s="102">
        <f t="shared" si="1"/>
        <v>262.90000000000003</v>
      </c>
      <c r="O32" s="102">
        <f t="shared" si="2"/>
        <v>711.59999999999991</v>
      </c>
      <c r="P32" s="102">
        <f t="shared" si="3"/>
        <v>254.6</v>
      </c>
      <c r="Q32" s="102">
        <f t="shared" si="4"/>
        <v>1229.1000000000001</v>
      </c>
    </row>
    <row r="33" spans="1:17">
      <c r="A33" s="102">
        <v>1988</v>
      </c>
      <c r="B33" s="102">
        <v>34.700000000000003</v>
      </c>
      <c r="C33" s="102">
        <v>80</v>
      </c>
      <c r="D33" s="102">
        <v>54.9</v>
      </c>
      <c r="E33" s="102">
        <v>75.8</v>
      </c>
      <c r="F33" s="102">
        <v>138.9</v>
      </c>
      <c r="G33" s="102">
        <v>142.19999999999999</v>
      </c>
      <c r="H33" s="102">
        <v>35.9</v>
      </c>
      <c r="I33" s="102">
        <v>323.89999999999998</v>
      </c>
      <c r="J33" s="102">
        <v>68.3</v>
      </c>
      <c r="K33" s="102">
        <v>61.5</v>
      </c>
      <c r="L33" s="102">
        <v>1.5</v>
      </c>
      <c r="M33" s="102">
        <v>8.1999999999999993</v>
      </c>
      <c r="N33" s="102">
        <f t="shared" si="1"/>
        <v>245.39999999999998</v>
      </c>
      <c r="O33" s="102">
        <f t="shared" si="2"/>
        <v>709.19999999999993</v>
      </c>
      <c r="P33" s="102">
        <f t="shared" si="3"/>
        <v>71.2</v>
      </c>
      <c r="Q33" s="102">
        <f t="shared" si="4"/>
        <v>1025.8</v>
      </c>
    </row>
    <row r="34" spans="1:17">
      <c r="A34" s="102">
        <v>1989</v>
      </c>
      <c r="B34" s="102">
        <v>94.7</v>
      </c>
      <c r="C34" s="102">
        <v>70.3</v>
      </c>
      <c r="D34" s="102">
        <v>66.2</v>
      </c>
      <c r="E34" s="102">
        <v>154.69999999999999</v>
      </c>
      <c r="F34" s="102">
        <v>156.69999999999999</v>
      </c>
      <c r="G34" s="102">
        <v>193.8</v>
      </c>
      <c r="H34" s="102">
        <v>147.5</v>
      </c>
      <c r="I34" s="102">
        <v>77.599999999999994</v>
      </c>
      <c r="J34" s="102">
        <v>130.6</v>
      </c>
      <c r="K34" s="102">
        <v>81.099999999999994</v>
      </c>
      <c r="L34" s="102">
        <v>67.099999999999994</v>
      </c>
      <c r="M34" s="102">
        <v>30.7</v>
      </c>
      <c r="N34" s="102">
        <f t="shared" si="1"/>
        <v>385.9</v>
      </c>
      <c r="O34" s="102">
        <f t="shared" si="2"/>
        <v>706.2</v>
      </c>
      <c r="P34" s="102">
        <f t="shared" si="3"/>
        <v>178.89999999999998</v>
      </c>
      <c r="Q34" s="102">
        <f t="shared" si="4"/>
        <v>1270.9999999999998</v>
      </c>
    </row>
    <row r="35" spans="1:17">
      <c r="A35" s="102">
        <v>1990</v>
      </c>
      <c r="B35" s="102">
        <v>73.400000000000006</v>
      </c>
      <c r="C35" s="102">
        <v>75.400000000000006</v>
      </c>
      <c r="D35" s="102">
        <v>121.2</v>
      </c>
      <c r="E35" s="102">
        <v>102.9</v>
      </c>
      <c r="F35" s="102">
        <v>191.4</v>
      </c>
      <c r="G35" s="102">
        <v>225.9</v>
      </c>
      <c r="H35" s="102">
        <v>38.6</v>
      </c>
      <c r="I35" s="102">
        <v>99.4</v>
      </c>
      <c r="J35" s="102">
        <v>143.4</v>
      </c>
      <c r="K35" s="102">
        <v>124.3</v>
      </c>
      <c r="L35" s="102">
        <v>43.3</v>
      </c>
      <c r="M35" s="102">
        <v>60</v>
      </c>
      <c r="N35" s="102">
        <f t="shared" si="1"/>
        <v>372.9</v>
      </c>
      <c r="O35" s="102">
        <f t="shared" si="2"/>
        <v>698.7</v>
      </c>
      <c r="P35" s="102">
        <f t="shared" si="3"/>
        <v>227.6</v>
      </c>
      <c r="Q35" s="102">
        <f t="shared" si="4"/>
        <v>1299.1999999999998</v>
      </c>
    </row>
    <row r="36" spans="1:17">
      <c r="A36" s="102">
        <v>1991</v>
      </c>
      <c r="B36" s="102">
        <v>122.7</v>
      </c>
      <c r="C36" s="102">
        <v>90.2</v>
      </c>
      <c r="D36" s="102">
        <v>160.6</v>
      </c>
      <c r="E36" s="102">
        <v>63.9</v>
      </c>
      <c r="F36" s="102">
        <v>146.6</v>
      </c>
      <c r="G36" s="102">
        <v>165.2</v>
      </c>
      <c r="H36" s="102">
        <v>204.5</v>
      </c>
      <c r="I36" s="102">
        <v>159.4</v>
      </c>
      <c r="J36" s="102">
        <v>37.200000000000003</v>
      </c>
      <c r="K36" s="102">
        <v>104.6</v>
      </c>
      <c r="L36" s="102">
        <v>97.1</v>
      </c>
      <c r="M36" s="102">
        <v>46</v>
      </c>
      <c r="N36" s="102">
        <f t="shared" si="1"/>
        <v>437.4</v>
      </c>
      <c r="O36" s="102">
        <f t="shared" si="2"/>
        <v>712.9</v>
      </c>
      <c r="P36" s="102">
        <f t="shared" si="3"/>
        <v>247.7</v>
      </c>
      <c r="Q36" s="102">
        <f t="shared" si="4"/>
        <v>1398</v>
      </c>
    </row>
    <row r="37" spans="1:17">
      <c r="A37" s="102">
        <v>1992</v>
      </c>
      <c r="B37" s="102">
        <v>41.2</v>
      </c>
      <c r="C37" s="102">
        <v>77.599999999999994</v>
      </c>
      <c r="D37" s="102">
        <v>132.5</v>
      </c>
      <c r="E37" s="102">
        <v>191.2</v>
      </c>
      <c r="F37" s="102">
        <v>328</v>
      </c>
      <c r="G37" s="102">
        <v>206.8</v>
      </c>
      <c r="H37" s="102">
        <v>74</v>
      </c>
      <c r="I37" s="102">
        <v>5.6</v>
      </c>
      <c r="J37" s="102">
        <v>58.5</v>
      </c>
      <c r="K37" s="102">
        <v>36</v>
      </c>
      <c r="L37" s="102">
        <v>5.9</v>
      </c>
      <c r="M37" s="102">
        <v>54.3</v>
      </c>
      <c r="N37" s="102">
        <f t="shared" si="1"/>
        <v>442.5</v>
      </c>
      <c r="O37" s="102">
        <f t="shared" si="2"/>
        <v>672.9</v>
      </c>
      <c r="P37" s="102">
        <f t="shared" si="3"/>
        <v>96.199999999999989</v>
      </c>
      <c r="Q37" s="102">
        <f t="shared" si="4"/>
        <v>1211.5999999999999</v>
      </c>
    </row>
    <row r="38" spans="1:17">
      <c r="A38" s="102">
        <v>1993</v>
      </c>
      <c r="B38" s="102">
        <v>61.6</v>
      </c>
      <c r="C38" s="102">
        <v>73.599999999999994</v>
      </c>
      <c r="D38" s="102">
        <v>63.1</v>
      </c>
      <c r="E38" s="102">
        <v>63.1</v>
      </c>
      <c r="F38" s="102">
        <v>228.3</v>
      </c>
      <c r="G38" s="102">
        <v>241.9</v>
      </c>
      <c r="H38" s="102">
        <v>472.2</v>
      </c>
      <c r="I38" s="102">
        <v>231.1</v>
      </c>
      <c r="J38" s="102">
        <v>121.7</v>
      </c>
      <c r="K38" s="102">
        <v>70.3</v>
      </c>
      <c r="L38" s="102">
        <v>51.7</v>
      </c>
      <c r="M38" s="102">
        <v>32.700000000000003</v>
      </c>
      <c r="N38" s="102">
        <f t="shared" si="1"/>
        <v>261.39999999999998</v>
      </c>
      <c r="O38" s="102">
        <f t="shared" si="2"/>
        <v>1295.2</v>
      </c>
      <c r="P38" s="102">
        <f t="shared" si="3"/>
        <v>154.69999999999999</v>
      </c>
      <c r="Q38" s="102">
        <f t="shared" si="4"/>
        <v>1711.3</v>
      </c>
    </row>
    <row r="39" spans="1:17">
      <c r="A39" s="102">
        <v>1994</v>
      </c>
      <c r="B39" s="102">
        <v>27.3</v>
      </c>
      <c r="C39" s="102">
        <v>46.1</v>
      </c>
      <c r="D39" s="102">
        <v>94</v>
      </c>
      <c r="E39" s="102">
        <v>146.9</v>
      </c>
      <c r="F39" s="102">
        <v>242.3</v>
      </c>
      <c r="G39" s="102">
        <v>139.19999999999999</v>
      </c>
      <c r="H39" s="102">
        <v>254.5</v>
      </c>
      <c r="I39" s="102">
        <v>139.30000000000001</v>
      </c>
      <c r="J39" s="102">
        <v>99.5</v>
      </c>
      <c r="K39" s="102">
        <v>266.10000000000002</v>
      </c>
      <c r="L39" s="102">
        <v>61.5</v>
      </c>
      <c r="M39" s="102">
        <v>44.9</v>
      </c>
      <c r="N39" s="102">
        <f t="shared" si="1"/>
        <v>314.3</v>
      </c>
      <c r="O39" s="102">
        <f t="shared" si="2"/>
        <v>874.8</v>
      </c>
      <c r="P39" s="102">
        <f t="shared" si="3"/>
        <v>372.5</v>
      </c>
      <c r="Q39" s="102">
        <f t="shared" si="4"/>
        <v>1561.6</v>
      </c>
    </row>
    <row r="40" spans="1:17">
      <c r="A40" s="102">
        <v>1995</v>
      </c>
      <c r="B40" s="102">
        <v>54</v>
      </c>
      <c r="C40" s="102">
        <v>115.2</v>
      </c>
      <c r="D40" s="102">
        <v>67.900000000000006</v>
      </c>
      <c r="E40" s="102">
        <v>97.3</v>
      </c>
      <c r="F40" s="102">
        <v>232.9</v>
      </c>
      <c r="G40" s="102">
        <v>390.1</v>
      </c>
      <c r="H40" s="102">
        <v>80.7</v>
      </c>
      <c r="I40" s="102">
        <v>40.5</v>
      </c>
      <c r="J40" s="102">
        <v>98.5</v>
      </c>
      <c r="K40" s="102">
        <v>22.4</v>
      </c>
      <c r="L40" s="102">
        <v>60.6</v>
      </c>
      <c r="M40" s="102">
        <v>7.1</v>
      </c>
      <c r="N40" s="102">
        <f t="shared" si="1"/>
        <v>334.4</v>
      </c>
      <c r="O40" s="102">
        <f t="shared" si="2"/>
        <v>842.7</v>
      </c>
      <c r="P40" s="102">
        <f t="shared" si="3"/>
        <v>90.1</v>
      </c>
      <c r="Q40" s="102">
        <f t="shared" si="4"/>
        <v>1267.1999999999998</v>
      </c>
    </row>
    <row r="41" spans="1:17">
      <c r="A41" s="102">
        <v>1996</v>
      </c>
      <c r="B41" s="102">
        <v>69.3</v>
      </c>
      <c r="C41" s="102">
        <v>11.7</v>
      </c>
      <c r="D41" s="102">
        <v>115.8</v>
      </c>
      <c r="E41" s="102">
        <v>108.7</v>
      </c>
      <c r="F41" s="102">
        <v>149.4</v>
      </c>
      <c r="G41" s="102">
        <v>161.1</v>
      </c>
      <c r="H41" s="102">
        <v>511.6</v>
      </c>
      <c r="I41" s="102">
        <v>142.6</v>
      </c>
      <c r="J41" s="102">
        <v>3.7</v>
      </c>
      <c r="K41" s="102">
        <v>61.3</v>
      </c>
      <c r="L41" s="102">
        <v>50.8</v>
      </c>
      <c r="M41" s="102">
        <v>25.8</v>
      </c>
      <c r="N41" s="102">
        <f t="shared" si="1"/>
        <v>305.5</v>
      </c>
      <c r="O41" s="102">
        <f t="shared" si="2"/>
        <v>968.40000000000009</v>
      </c>
      <c r="P41" s="102">
        <f t="shared" si="3"/>
        <v>137.9</v>
      </c>
      <c r="Q41" s="102">
        <f t="shared" si="4"/>
        <v>1411.7999999999997</v>
      </c>
    </row>
    <row r="42" spans="1:17">
      <c r="A42" s="102">
        <v>1997</v>
      </c>
      <c r="B42" s="102">
        <v>72.900000000000006</v>
      </c>
      <c r="C42" s="102">
        <v>121.4</v>
      </c>
      <c r="D42" s="102">
        <v>86.4</v>
      </c>
      <c r="E42" s="102">
        <v>153.80000000000001</v>
      </c>
      <c r="F42" s="102">
        <v>129.6</v>
      </c>
      <c r="G42" s="102">
        <v>195.4</v>
      </c>
      <c r="H42" s="102">
        <v>184.8</v>
      </c>
      <c r="I42" s="102">
        <v>45.1</v>
      </c>
      <c r="J42" s="102">
        <v>131.30000000000001</v>
      </c>
      <c r="K42" s="102">
        <v>225.3</v>
      </c>
      <c r="L42" s="102">
        <v>107.7</v>
      </c>
      <c r="M42" s="102">
        <v>95.7</v>
      </c>
      <c r="N42" s="102">
        <f t="shared" si="1"/>
        <v>434.50000000000006</v>
      </c>
      <c r="O42" s="102">
        <f t="shared" si="2"/>
        <v>686.2</v>
      </c>
      <c r="P42" s="102">
        <f t="shared" si="3"/>
        <v>428.7</v>
      </c>
      <c r="Q42" s="102">
        <f t="shared" si="4"/>
        <v>1549.4</v>
      </c>
    </row>
    <row r="43" spans="1:17">
      <c r="A43" s="102">
        <v>1998</v>
      </c>
      <c r="B43" s="102">
        <v>112.2</v>
      </c>
      <c r="C43" s="102">
        <v>56.5</v>
      </c>
      <c r="D43" s="102">
        <v>103.6</v>
      </c>
      <c r="E43" s="102">
        <v>95.1</v>
      </c>
      <c r="F43" s="102">
        <v>128.1</v>
      </c>
      <c r="G43" s="102">
        <v>281.5</v>
      </c>
      <c r="H43" s="102">
        <v>142.69999999999999</v>
      </c>
      <c r="I43" s="102">
        <v>23.6</v>
      </c>
      <c r="J43" s="102">
        <v>112.3</v>
      </c>
      <c r="K43" s="102">
        <v>67.7</v>
      </c>
      <c r="L43" s="102">
        <v>15.7</v>
      </c>
      <c r="M43" s="102">
        <v>12.8</v>
      </c>
      <c r="N43" s="102">
        <f t="shared" si="1"/>
        <v>367.4</v>
      </c>
      <c r="O43" s="102">
        <f t="shared" si="2"/>
        <v>688.19999999999993</v>
      </c>
      <c r="P43" s="102">
        <f t="shared" si="3"/>
        <v>96.2</v>
      </c>
      <c r="Q43" s="102">
        <f t="shared" si="4"/>
        <v>1151.8000000000002</v>
      </c>
    </row>
    <row r="44" spans="1:17">
      <c r="A44" s="102">
        <v>1999</v>
      </c>
      <c r="B44" s="102">
        <v>33.299999999999997</v>
      </c>
      <c r="C44" s="102">
        <v>25.5</v>
      </c>
      <c r="D44" s="102">
        <v>51.5</v>
      </c>
      <c r="E44" s="102">
        <v>103.8</v>
      </c>
      <c r="F44" s="102">
        <v>176.3</v>
      </c>
      <c r="G44" s="102">
        <v>222.8</v>
      </c>
      <c r="H44" s="102">
        <v>198.4</v>
      </c>
      <c r="I44" s="102">
        <v>263.7</v>
      </c>
      <c r="J44" s="102">
        <v>65.400000000000006</v>
      </c>
      <c r="K44" s="102">
        <v>92</v>
      </c>
      <c r="L44" s="102">
        <v>49.5</v>
      </c>
      <c r="M44" s="102">
        <v>1.1000000000000001</v>
      </c>
      <c r="N44" s="102">
        <f t="shared" si="1"/>
        <v>214.1</v>
      </c>
      <c r="O44" s="102">
        <f t="shared" si="2"/>
        <v>926.6</v>
      </c>
      <c r="P44" s="102">
        <f t="shared" si="3"/>
        <v>142.6</v>
      </c>
      <c r="Q44" s="102">
        <f t="shared" si="4"/>
        <v>1283.3</v>
      </c>
    </row>
    <row r="45" spans="1:17">
      <c r="A45" s="102">
        <v>2000</v>
      </c>
      <c r="B45" s="102">
        <v>35.1</v>
      </c>
      <c r="C45" s="102">
        <v>45</v>
      </c>
      <c r="D45" s="102">
        <v>139.5</v>
      </c>
      <c r="E45" s="102">
        <v>128.6</v>
      </c>
      <c r="F45" s="102">
        <v>261.3</v>
      </c>
      <c r="G45" s="102">
        <v>148</v>
      </c>
      <c r="H45" s="102">
        <v>83</v>
      </c>
      <c r="I45" s="102">
        <v>135.1</v>
      </c>
      <c r="J45" s="102">
        <v>194.6</v>
      </c>
      <c r="K45" s="102">
        <v>122.2</v>
      </c>
      <c r="L45" s="102">
        <v>43.7</v>
      </c>
      <c r="M45" s="102">
        <v>37.200000000000003</v>
      </c>
      <c r="N45" s="102">
        <f t="shared" si="1"/>
        <v>348.2</v>
      </c>
      <c r="O45" s="102">
        <f t="shared" si="2"/>
        <v>822</v>
      </c>
      <c r="P45" s="102">
        <f t="shared" si="3"/>
        <v>203.10000000000002</v>
      </c>
      <c r="Q45" s="102">
        <f t="shared" si="4"/>
        <v>1373.3000000000002</v>
      </c>
    </row>
    <row r="46" spans="1:17">
      <c r="A46" s="102">
        <v>2001</v>
      </c>
      <c r="B46" s="102">
        <v>59.6</v>
      </c>
      <c r="C46" s="102">
        <v>71.2</v>
      </c>
      <c r="D46" s="102">
        <v>59.3</v>
      </c>
      <c r="E46" s="102">
        <v>203.4</v>
      </c>
      <c r="F46" s="102">
        <v>212.2</v>
      </c>
      <c r="G46" s="102">
        <v>191.3</v>
      </c>
      <c r="H46" s="102">
        <v>138.6</v>
      </c>
      <c r="I46" s="102">
        <v>204.2</v>
      </c>
      <c r="J46" s="102">
        <v>7.1</v>
      </c>
      <c r="K46" s="102">
        <v>77</v>
      </c>
      <c r="L46" s="102">
        <v>89.2</v>
      </c>
      <c r="M46" s="102">
        <v>29.3</v>
      </c>
      <c r="N46" s="102">
        <f t="shared" si="1"/>
        <v>393.5</v>
      </c>
      <c r="O46" s="102">
        <f t="shared" si="2"/>
        <v>753.4</v>
      </c>
      <c r="P46" s="102">
        <f t="shared" si="3"/>
        <v>195.5</v>
      </c>
      <c r="Q46" s="102">
        <f t="shared" si="4"/>
        <v>1342.3999999999999</v>
      </c>
    </row>
    <row r="47" spans="1:17">
      <c r="A47" s="102">
        <v>2002</v>
      </c>
      <c r="B47" s="102">
        <v>30.1</v>
      </c>
      <c r="C47" s="102">
        <v>77.900000000000006</v>
      </c>
      <c r="D47" s="102">
        <v>89</v>
      </c>
      <c r="E47" s="102">
        <v>186.3</v>
      </c>
      <c r="F47" s="102">
        <v>305.7</v>
      </c>
      <c r="G47" s="102">
        <v>136.9</v>
      </c>
      <c r="H47" s="102">
        <v>153.19999999999999</v>
      </c>
      <c r="I47" s="102">
        <v>192.1</v>
      </c>
      <c r="J47" s="102">
        <v>52.5</v>
      </c>
      <c r="K47" s="102">
        <v>143.9</v>
      </c>
      <c r="L47" s="102">
        <v>13.7</v>
      </c>
      <c r="M47" s="102">
        <v>87.6</v>
      </c>
      <c r="N47" s="102">
        <f t="shared" si="1"/>
        <v>383.3</v>
      </c>
      <c r="O47" s="102">
        <f t="shared" si="2"/>
        <v>840.4</v>
      </c>
      <c r="P47" s="102">
        <f t="shared" si="3"/>
        <v>245.2</v>
      </c>
      <c r="Q47" s="102">
        <f t="shared" si="4"/>
        <v>1468.8999999999999</v>
      </c>
    </row>
    <row r="48" spans="1:17">
      <c r="A48" s="102">
        <v>2003</v>
      </c>
      <c r="B48" s="102">
        <v>88.3</v>
      </c>
      <c r="C48" s="102">
        <v>22.6</v>
      </c>
      <c r="D48" s="102">
        <v>56</v>
      </c>
      <c r="E48" s="102">
        <v>219</v>
      </c>
      <c r="F48" s="102">
        <v>223.3</v>
      </c>
      <c r="G48" s="102">
        <v>183.8</v>
      </c>
      <c r="H48" s="102">
        <v>14.6</v>
      </c>
      <c r="I48" s="102">
        <v>34.9</v>
      </c>
      <c r="J48" s="102">
        <v>46</v>
      </c>
      <c r="K48" s="102">
        <v>46.4</v>
      </c>
      <c r="L48" s="102">
        <v>10.6</v>
      </c>
      <c r="M48" s="102">
        <v>42.6</v>
      </c>
      <c r="N48" s="102">
        <f t="shared" si="1"/>
        <v>385.9</v>
      </c>
      <c r="O48" s="102">
        <f t="shared" si="2"/>
        <v>502.6</v>
      </c>
      <c r="P48" s="102">
        <f t="shared" si="3"/>
        <v>99.6</v>
      </c>
      <c r="Q48" s="102">
        <f t="shared" si="4"/>
        <v>988.1</v>
      </c>
    </row>
    <row r="49" spans="1:33">
      <c r="A49" s="102">
        <v>2004</v>
      </c>
      <c r="B49" s="103">
        <v>56.8</v>
      </c>
      <c r="C49" s="103">
        <v>83.3</v>
      </c>
      <c r="D49" s="103">
        <v>89.2</v>
      </c>
      <c r="E49" s="103">
        <v>142.1</v>
      </c>
      <c r="F49" s="103">
        <v>145</v>
      </c>
      <c r="G49" s="103">
        <v>298.3</v>
      </c>
      <c r="H49" s="103">
        <v>280.10000000000002</v>
      </c>
      <c r="I49" s="103">
        <v>164.8</v>
      </c>
      <c r="J49" s="103">
        <v>71.8</v>
      </c>
      <c r="K49" s="103">
        <v>8.8000000000000007</v>
      </c>
      <c r="L49" s="103">
        <v>106.6</v>
      </c>
      <c r="M49" s="103">
        <v>41.1</v>
      </c>
      <c r="N49" s="102">
        <f t="shared" si="1"/>
        <v>371.4</v>
      </c>
      <c r="O49" s="102">
        <f t="shared" si="2"/>
        <v>960</v>
      </c>
      <c r="P49" s="102">
        <f t="shared" si="3"/>
        <v>156.5</v>
      </c>
      <c r="Q49" s="102">
        <f t="shared" si="4"/>
        <v>1487.8999999999999</v>
      </c>
    </row>
    <row r="50" spans="1:33">
      <c r="A50" s="102">
        <v>2005</v>
      </c>
      <c r="B50" s="103">
        <v>64.8</v>
      </c>
      <c r="C50" s="103">
        <v>94.7</v>
      </c>
      <c r="D50" s="103">
        <v>66.8</v>
      </c>
      <c r="E50" s="103">
        <v>70.5</v>
      </c>
      <c r="F50" s="103">
        <v>200.3</v>
      </c>
      <c r="G50" s="103">
        <v>319.89999999999998</v>
      </c>
      <c r="H50" s="103">
        <v>147.9</v>
      </c>
      <c r="I50" s="103">
        <v>62</v>
      </c>
      <c r="J50" s="103">
        <v>19.399999999999999</v>
      </c>
      <c r="K50" s="102">
        <v>31.3</v>
      </c>
      <c r="L50" s="102">
        <v>63.4</v>
      </c>
      <c r="M50" s="102">
        <v>41.4</v>
      </c>
      <c r="N50" s="102">
        <f t="shared" si="1"/>
        <v>296.8</v>
      </c>
      <c r="O50" s="102">
        <f t="shared" si="2"/>
        <v>749.5</v>
      </c>
      <c r="P50" s="102">
        <f t="shared" si="3"/>
        <v>136.1</v>
      </c>
      <c r="Q50" s="102">
        <f t="shared" si="4"/>
        <v>1182.4000000000003</v>
      </c>
    </row>
    <row r="51" spans="1:33">
      <c r="A51" s="102">
        <v>2006</v>
      </c>
      <c r="B51" s="102">
        <v>40.4</v>
      </c>
      <c r="C51" s="102">
        <v>126.7</v>
      </c>
      <c r="D51" s="102">
        <v>75.400000000000006</v>
      </c>
      <c r="E51" s="102">
        <v>232.3</v>
      </c>
      <c r="F51" s="102">
        <v>86.6</v>
      </c>
      <c r="G51" s="102">
        <v>146.9</v>
      </c>
      <c r="H51" s="102">
        <v>62.5</v>
      </c>
      <c r="I51" s="102">
        <v>58.9</v>
      </c>
      <c r="J51" s="102">
        <v>14</v>
      </c>
      <c r="K51" s="102">
        <v>58.7</v>
      </c>
      <c r="L51" s="102">
        <v>50.9</v>
      </c>
      <c r="M51" s="102">
        <v>19.8</v>
      </c>
      <c r="N51" s="102">
        <f t="shared" si="1"/>
        <v>474.8</v>
      </c>
      <c r="O51" s="102">
        <f t="shared" si="2"/>
        <v>368.9</v>
      </c>
      <c r="P51" s="102">
        <f t="shared" si="3"/>
        <v>129.4</v>
      </c>
      <c r="Q51" s="102">
        <f t="shared" si="4"/>
        <v>973.09999999999991</v>
      </c>
    </row>
    <row r="52" spans="1:33">
      <c r="A52" s="102">
        <v>2007</v>
      </c>
      <c r="B52" s="102">
        <v>59.2</v>
      </c>
      <c r="C52" s="102">
        <v>50.7</v>
      </c>
      <c r="D52" s="102">
        <v>51.2</v>
      </c>
      <c r="E52" s="102">
        <v>97.9</v>
      </c>
      <c r="F52" s="102">
        <v>90.8</v>
      </c>
      <c r="G52" s="102">
        <v>259.2</v>
      </c>
      <c r="H52" s="102">
        <v>71.099999999999994</v>
      </c>
      <c r="I52" s="102">
        <v>100.5</v>
      </c>
      <c r="J52" s="102">
        <v>106.5</v>
      </c>
      <c r="K52" s="102">
        <v>9.6999999999999993</v>
      </c>
      <c r="L52" s="102">
        <v>0.5</v>
      </c>
      <c r="M52" s="102">
        <v>21.1</v>
      </c>
      <c r="N52" s="102">
        <f t="shared" si="1"/>
        <v>259</v>
      </c>
      <c r="O52" s="102">
        <f t="shared" si="2"/>
        <v>628.1</v>
      </c>
      <c r="P52" s="102">
        <f t="shared" si="3"/>
        <v>31.3</v>
      </c>
      <c r="Q52" s="102">
        <f t="shared" si="4"/>
        <v>918.40000000000009</v>
      </c>
    </row>
    <row r="53" spans="1:33">
      <c r="A53" s="102">
        <v>2008</v>
      </c>
      <c r="B53" s="102">
        <v>41.7</v>
      </c>
      <c r="C53" s="102">
        <v>63.8</v>
      </c>
      <c r="D53" s="102">
        <v>108.1</v>
      </c>
      <c r="E53" s="102">
        <v>61.4</v>
      </c>
      <c r="F53" s="102">
        <v>151.19999999999999</v>
      </c>
      <c r="G53" s="102">
        <v>143.1</v>
      </c>
      <c r="H53" s="102">
        <v>243.1</v>
      </c>
      <c r="I53" s="102">
        <v>243.1</v>
      </c>
      <c r="J53" s="102">
        <v>17.100000000000001</v>
      </c>
      <c r="K53" s="102">
        <v>77.099999999999994</v>
      </c>
      <c r="L53" s="102">
        <v>157.19999999999999</v>
      </c>
      <c r="M53" s="102">
        <v>16.7</v>
      </c>
      <c r="N53" s="102">
        <f t="shared" si="1"/>
        <v>275</v>
      </c>
      <c r="O53" s="102">
        <f t="shared" si="2"/>
        <v>797.6</v>
      </c>
      <c r="P53" s="102">
        <f t="shared" si="3"/>
        <v>250.99999999999997</v>
      </c>
      <c r="Q53" s="102">
        <f t="shared" si="4"/>
        <v>1323.6</v>
      </c>
    </row>
    <row r="54" spans="1:33">
      <c r="A54" s="102">
        <v>2009</v>
      </c>
      <c r="B54" s="102">
        <v>29.2</v>
      </c>
      <c r="C54" s="102">
        <v>64.099999999999994</v>
      </c>
      <c r="D54" s="102">
        <v>80.8</v>
      </c>
      <c r="E54" s="102">
        <v>241.5</v>
      </c>
      <c r="F54" s="102">
        <v>260</v>
      </c>
      <c r="G54" s="102">
        <v>285.39999999999998</v>
      </c>
      <c r="H54" s="102">
        <v>233.6</v>
      </c>
      <c r="I54" s="102">
        <v>67.3</v>
      </c>
      <c r="J54" s="102">
        <v>14.4</v>
      </c>
      <c r="K54" s="102">
        <v>49.8</v>
      </c>
      <c r="L54" s="102">
        <v>17.2</v>
      </c>
      <c r="M54" s="102">
        <v>108.5</v>
      </c>
      <c r="N54" s="102">
        <f t="shared" si="1"/>
        <v>415.6</v>
      </c>
      <c r="O54" s="102">
        <f t="shared" si="2"/>
        <v>860.69999999999993</v>
      </c>
      <c r="P54" s="102">
        <f t="shared" si="3"/>
        <v>175.5</v>
      </c>
      <c r="Q54" s="102">
        <f t="shared" si="4"/>
        <v>1451.8</v>
      </c>
    </row>
    <row r="55" spans="1:33">
      <c r="A55" s="102">
        <v>2010</v>
      </c>
      <c r="B55" s="102">
        <v>15.6</v>
      </c>
      <c r="C55" s="102">
        <v>8.1000000000000014</v>
      </c>
      <c r="D55" s="102">
        <v>78.699999999999989</v>
      </c>
      <c r="E55" s="102">
        <v>120.3</v>
      </c>
      <c r="F55" s="102">
        <v>150</v>
      </c>
      <c r="G55" s="102">
        <v>256.2</v>
      </c>
      <c r="H55" s="102">
        <v>33</v>
      </c>
      <c r="I55" s="102">
        <v>115.4</v>
      </c>
      <c r="J55" s="102">
        <v>114.10000000000001</v>
      </c>
      <c r="K55" s="102">
        <v>98.8</v>
      </c>
      <c r="L55" s="102">
        <v>34.9</v>
      </c>
      <c r="M55" s="102">
        <v>108.19999999999999</v>
      </c>
      <c r="N55" s="102">
        <f t="shared" si="1"/>
        <v>222.7</v>
      </c>
      <c r="O55" s="102">
        <f t="shared" si="2"/>
        <v>668.7</v>
      </c>
      <c r="P55" s="102">
        <f t="shared" si="3"/>
        <v>241.89999999999998</v>
      </c>
      <c r="Q55" s="102">
        <f t="shared" si="4"/>
        <v>1133.3</v>
      </c>
    </row>
    <row r="56" spans="1:33">
      <c r="A56" s="102">
        <v>2011</v>
      </c>
      <c r="B56" s="102">
        <v>52.1</v>
      </c>
      <c r="C56" s="102">
        <v>39.200000000000003</v>
      </c>
      <c r="D56" s="102">
        <v>53.4</v>
      </c>
      <c r="E56" s="102">
        <v>59.3</v>
      </c>
      <c r="F56" s="102">
        <v>198.9</v>
      </c>
      <c r="G56" s="102">
        <v>198.3</v>
      </c>
      <c r="H56" s="102">
        <v>35.299999999999997</v>
      </c>
      <c r="I56" s="102">
        <v>53.4</v>
      </c>
      <c r="J56" s="102">
        <v>88.2</v>
      </c>
      <c r="K56" s="102">
        <v>179.5</v>
      </c>
      <c r="L56" s="102">
        <v>49.5</v>
      </c>
      <c r="M56" s="102">
        <v>10</v>
      </c>
      <c r="N56" s="102">
        <f t="shared" si="1"/>
        <v>204</v>
      </c>
      <c r="O56" s="102">
        <f t="shared" si="2"/>
        <v>574.1</v>
      </c>
      <c r="P56" s="102">
        <f t="shared" si="3"/>
        <v>239</v>
      </c>
      <c r="Q56" s="102">
        <f t="shared" si="4"/>
        <v>1017.1</v>
      </c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</row>
    <row r="57" spans="1:33">
      <c r="A57" s="102">
        <v>2012</v>
      </c>
      <c r="B57" s="102">
        <v>85.7</v>
      </c>
      <c r="C57" s="102">
        <v>46.4</v>
      </c>
      <c r="D57" s="102">
        <v>90.6</v>
      </c>
      <c r="E57" s="102">
        <v>40.9</v>
      </c>
      <c r="F57" s="102">
        <v>251.9</v>
      </c>
      <c r="G57" s="102">
        <v>189.8</v>
      </c>
      <c r="H57" s="102">
        <v>160.6</v>
      </c>
      <c r="I57" s="102">
        <v>49.6</v>
      </c>
      <c r="J57" s="102">
        <v>131.9</v>
      </c>
      <c r="K57" s="102">
        <v>52</v>
      </c>
      <c r="L57" s="102">
        <v>76.3</v>
      </c>
      <c r="M57" s="102">
        <v>46.4</v>
      </c>
      <c r="N57" s="102">
        <f t="shared" si="1"/>
        <v>263.59999999999997</v>
      </c>
      <c r="O57" s="102">
        <f t="shared" si="2"/>
        <v>783.80000000000007</v>
      </c>
      <c r="P57" s="102">
        <f t="shared" si="3"/>
        <v>174.70000000000002</v>
      </c>
      <c r="Q57" s="102">
        <f t="shared" si="4"/>
        <v>1222.1000000000001</v>
      </c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</row>
    <row r="58" spans="1:33">
      <c r="A58" s="102">
        <v>2013</v>
      </c>
      <c r="B58" s="102">
        <v>22.6</v>
      </c>
      <c r="C58" s="102">
        <v>38</v>
      </c>
      <c r="D58" s="102">
        <v>202.7</v>
      </c>
      <c r="E58" s="102">
        <v>203.4</v>
      </c>
      <c r="F58" s="102">
        <v>321.10000000000002</v>
      </c>
      <c r="G58" s="102">
        <v>185.6</v>
      </c>
      <c r="H58" s="102">
        <v>7.8</v>
      </c>
      <c r="I58" s="102">
        <v>105.5</v>
      </c>
      <c r="J58" s="102">
        <v>198.9</v>
      </c>
      <c r="K58" s="102">
        <v>45.6</v>
      </c>
      <c r="L58" s="102">
        <v>71.3</v>
      </c>
      <c r="M58" s="102">
        <v>57.9</v>
      </c>
      <c r="N58" s="102">
        <f t="shared" si="1"/>
        <v>466.70000000000005</v>
      </c>
      <c r="O58" s="102">
        <f t="shared" si="2"/>
        <v>818.9</v>
      </c>
      <c r="P58" s="102">
        <f t="shared" si="3"/>
        <v>174.8</v>
      </c>
      <c r="Q58" s="102">
        <f t="shared" si="4"/>
        <v>1460.4</v>
      </c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</row>
    <row r="59" spans="1:33">
      <c r="A59" s="102">
        <v>2014</v>
      </c>
      <c r="B59" s="128">
        <v>18</v>
      </c>
      <c r="C59" s="128">
        <v>54.5</v>
      </c>
      <c r="D59" s="128">
        <v>109.1</v>
      </c>
      <c r="E59" s="128">
        <v>127.2</v>
      </c>
      <c r="F59" s="128">
        <v>221</v>
      </c>
      <c r="G59" s="128">
        <v>290.60000000000002</v>
      </c>
      <c r="H59" s="128">
        <v>189.2</v>
      </c>
      <c r="I59" s="128">
        <v>121.9</v>
      </c>
      <c r="J59" s="128">
        <v>59.9</v>
      </c>
      <c r="K59" s="128">
        <v>47</v>
      </c>
      <c r="L59" s="128">
        <v>91.2</v>
      </c>
      <c r="M59" s="128">
        <v>9.1</v>
      </c>
      <c r="N59" s="102">
        <f t="shared" si="1"/>
        <v>308.8</v>
      </c>
      <c r="O59" s="102">
        <f t="shared" si="2"/>
        <v>882.59999999999991</v>
      </c>
      <c r="P59" s="102">
        <f t="shared" si="3"/>
        <v>147.29999999999998</v>
      </c>
      <c r="Q59" s="102">
        <f t="shared" si="4"/>
        <v>1338.7</v>
      </c>
    </row>
    <row r="60" spans="1:33">
      <c r="A60" s="102">
        <v>2015</v>
      </c>
      <c r="B60" s="128">
        <v>56.2</v>
      </c>
      <c r="C60" s="128">
        <v>80.2</v>
      </c>
      <c r="D60" s="128">
        <v>49.5</v>
      </c>
      <c r="E60" s="128">
        <v>50.7</v>
      </c>
      <c r="F60" s="128">
        <v>241.4</v>
      </c>
      <c r="G60" s="128">
        <v>332.8</v>
      </c>
      <c r="H60" s="128">
        <v>129.30000000000001</v>
      </c>
      <c r="I60" s="128">
        <v>232.7</v>
      </c>
      <c r="J60" s="128">
        <v>150.69999999999999</v>
      </c>
      <c r="K60" s="128">
        <v>122.1</v>
      </c>
      <c r="L60" s="128">
        <v>112.6</v>
      </c>
      <c r="M60" s="128">
        <v>111</v>
      </c>
      <c r="N60" s="102">
        <f t="shared" si="1"/>
        <v>236.60000000000002</v>
      </c>
      <c r="O60" s="102">
        <f t="shared" si="2"/>
        <v>1086.9000000000001</v>
      </c>
      <c r="P60" s="102">
        <f t="shared" si="3"/>
        <v>345.7</v>
      </c>
      <c r="Q60" s="102">
        <f t="shared" si="4"/>
        <v>1669.1999999999998</v>
      </c>
    </row>
    <row r="61" spans="1:33" ht="13.5">
      <c r="A61" s="102">
        <v>2016</v>
      </c>
      <c r="B61" s="128">
        <v>83.5</v>
      </c>
      <c r="C61" s="128">
        <v>10.5</v>
      </c>
      <c r="D61" s="128">
        <v>128</v>
      </c>
      <c r="E61" s="128">
        <v>197.6</v>
      </c>
      <c r="F61" s="128">
        <v>186.8</v>
      </c>
      <c r="G61" s="128">
        <v>208</v>
      </c>
      <c r="H61" s="128">
        <v>305.5</v>
      </c>
      <c r="I61" s="128">
        <v>196</v>
      </c>
      <c r="J61" s="128">
        <v>48</v>
      </c>
      <c r="K61" s="128">
        <v>128.80000000000001</v>
      </c>
      <c r="L61" s="128">
        <v>88.5</v>
      </c>
      <c r="M61" s="128">
        <v>45.7</v>
      </c>
      <c r="N61" s="102">
        <f>SUM(B61:E61)</f>
        <v>419.6</v>
      </c>
      <c r="O61" s="102">
        <f>SUM(F61:J61)</f>
        <v>944.3</v>
      </c>
      <c r="P61" s="102">
        <f>SUM(K61:M61)</f>
        <v>263</v>
      </c>
      <c r="Q61" s="102">
        <f>SUM(B61:M61)</f>
        <v>1626.9</v>
      </c>
      <c r="R61" s="129">
        <f t="shared" ref="R61:AG61" si="5">100*(B61-B4)/B4</f>
        <v>72.000294269109133</v>
      </c>
      <c r="S61" s="129">
        <f t="shared" si="5"/>
        <v>-82.398898434459838</v>
      </c>
      <c r="T61" s="129">
        <f t="shared" si="5"/>
        <v>59.533506932852582</v>
      </c>
      <c r="U61" s="129">
        <f t="shared" si="5"/>
        <v>43.214350425801776</v>
      </c>
      <c r="V61" s="129">
        <f t="shared" si="5"/>
        <v>-8.1039768784095703</v>
      </c>
      <c r="W61" s="129">
        <f t="shared" si="5"/>
        <v>0.74730141156936147</v>
      </c>
      <c r="X61" s="129">
        <f t="shared" si="5"/>
        <v>105.04830165160485</v>
      </c>
      <c r="Y61" s="129">
        <f t="shared" si="5"/>
        <v>58.251391331929938</v>
      </c>
      <c r="Z61" s="129">
        <f t="shared" si="5"/>
        <v>-40.326340326340315</v>
      </c>
      <c r="AA61" s="129">
        <f t="shared" si="5"/>
        <v>44.10900881101275</v>
      </c>
      <c r="AB61" s="129">
        <f t="shared" si="5"/>
        <v>31.987536285919791</v>
      </c>
      <c r="AC61" s="129">
        <f t="shared" si="5"/>
        <v>16.773133783537169</v>
      </c>
      <c r="AD61" s="129">
        <f t="shared" si="5"/>
        <v>28.549701843645767</v>
      </c>
      <c r="AE61" s="129">
        <f t="shared" si="5"/>
        <v>23.75973001689735</v>
      </c>
      <c r="AF61" s="129">
        <f t="shared" si="5"/>
        <v>34.482632674677674</v>
      </c>
      <c r="AG61" s="129">
        <f t="shared" si="5"/>
        <v>26.608411433145434</v>
      </c>
    </row>
  </sheetData>
  <mergeCells count="6">
    <mergeCell ref="A1:A3"/>
    <mergeCell ref="B1:Q1"/>
    <mergeCell ref="B2:M2"/>
    <mergeCell ref="R1:AG1"/>
    <mergeCell ref="N2:Q2"/>
    <mergeCell ref="R2:AG2"/>
  </mergeCells>
  <phoneticPr fontId="2" type="noConversion"/>
  <pageMargins left="0.75" right="0.75" top="1" bottom="1" header="0.5" footer="0.5"/>
  <pageSetup paperSize="9" orientation="portrait" horizontalDpi="200" verticalDpi="200" copies="0" r:id="rId1"/>
  <headerFooter alignWithMargins="0"/>
</worksheet>
</file>

<file path=xl/worksheets/sheet45.xml><?xml version="1.0" encoding="utf-8"?>
<worksheet xmlns="http://schemas.openxmlformats.org/spreadsheetml/2006/main" xmlns:r="http://schemas.openxmlformats.org/officeDocument/2006/relationships">
  <sheetPr codeName="Sheet45"/>
  <dimension ref="A1:AG61"/>
  <sheetViews>
    <sheetView zoomScale="85" zoomScaleNormal="85" workbookViewId="0">
      <pane ySplit="5" topLeftCell="A6" activePane="bottomLeft" state="frozen"/>
      <selection pane="bottomLeft" activeCell="R61" sqref="R61"/>
    </sheetView>
  </sheetViews>
  <sheetFormatPr defaultRowHeight="12"/>
  <cols>
    <col min="1" max="34" width="7.125" style="102" customWidth="1"/>
    <col min="35" max="16384" width="9" style="102"/>
  </cols>
  <sheetData>
    <row r="1" spans="1:33" s="118" customFormat="1" ht="14.25" customHeight="1">
      <c r="A1" s="176" t="s">
        <v>222</v>
      </c>
      <c r="B1" s="176" t="s">
        <v>232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233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223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224</v>
      </c>
      <c r="O2" s="176"/>
      <c r="P2" s="176"/>
      <c r="Q2" s="176"/>
      <c r="R2" s="176" t="s">
        <v>225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 ht="24">
      <c r="A3" s="176"/>
      <c r="B3" s="138" t="s">
        <v>234</v>
      </c>
      <c r="C3" s="138" t="s">
        <v>235</v>
      </c>
      <c r="D3" s="138" t="s">
        <v>9</v>
      </c>
      <c r="E3" s="138" t="s">
        <v>10</v>
      </c>
      <c r="F3" s="138" t="s">
        <v>11</v>
      </c>
      <c r="G3" s="138" t="s">
        <v>12</v>
      </c>
      <c r="H3" s="138" t="s">
        <v>13</v>
      </c>
      <c r="I3" s="138" t="s">
        <v>14</v>
      </c>
      <c r="J3" s="138" t="s">
        <v>15</v>
      </c>
      <c r="K3" s="138" t="s">
        <v>16</v>
      </c>
      <c r="L3" s="138" t="s">
        <v>17</v>
      </c>
      <c r="M3" s="138" t="s">
        <v>18</v>
      </c>
      <c r="N3" s="138" t="s">
        <v>236</v>
      </c>
      <c r="O3" s="138" t="s">
        <v>237</v>
      </c>
      <c r="P3" s="138" t="s">
        <v>238</v>
      </c>
      <c r="Q3" s="138" t="s">
        <v>239</v>
      </c>
      <c r="R3" s="138" t="s">
        <v>234</v>
      </c>
      <c r="S3" s="138" t="s">
        <v>235</v>
      </c>
      <c r="T3" s="138" t="s">
        <v>240</v>
      </c>
      <c r="U3" s="138" t="s">
        <v>241</v>
      </c>
      <c r="V3" s="138" t="s">
        <v>242</v>
      </c>
      <c r="W3" s="138" t="s">
        <v>243</v>
      </c>
      <c r="X3" s="138" t="s">
        <v>25</v>
      </c>
      <c r="Y3" s="138" t="s">
        <v>26</v>
      </c>
      <c r="Z3" s="138" t="s">
        <v>27</v>
      </c>
      <c r="AA3" s="138" t="s">
        <v>244</v>
      </c>
      <c r="AB3" s="138" t="s">
        <v>245</v>
      </c>
      <c r="AC3" s="138" t="s">
        <v>246</v>
      </c>
      <c r="AD3" s="138" t="s">
        <v>226</v>
      </c>
      <c r="AE3" s="138" t="s">
        <v>227</v>
      </c>
      <c r="AF3" s="138" t="s">
        <v>228</v>
      </c>
      <c r="AG3" s="138" t="s">
        <v>229</v>
      </c>
    </row>
    <row r="4" spans="1:33" s="118" customFormat="1">
      <c r="A4" s="150" t="s">
        <v>261</v>
      </c>
      <c r="B4" s="150">
        <f t="shared" ref="B4:Q4" si="0">AVERAGE(B5:B60)</f>
        <v>27.74821428571429</v>
      </c>
      <c r="C4" s="150">
        <f t="shared" si="0"/>
        <v>28.916071428571431</v>
      </c>
      <c r="D4" s="150">
        <f t="shared" si="0"/>
        <v>53.535714285714292</v>
      </c>
      <c r="E4" s="150">
        <f t="shared" si="0"/>
        <v>119.12857142857142</v>
      </c>
      <c r="F4" s="150">
        <f t="shared" si="0"/>
        <v>195.68749999999994</v>
      </c>
      <c r="G4" s="150">
        <f t="shared" si="0"/>
        <v>219.47142857142859</v>
      </c>
      <c r="H4" s="150">
        <f t="shared" si="0"/>
        <v>175.1178571428571</v>
      </c>
      <c r="I4" s="150">
        <f t="shared" si="0"/>
        <v>122.55535714285713</v>
      </c>
      <c r="J4" s="150">
        <f t="shared" si="0"/>
        <v>78.874999999999986</v>
      </c>
      <c r="K4" s="150">
        <f t="shared" si="0"/>
        <v>94.496428571428581</v>
      </c>
      <c r="L4" s="150">
        <f t="shared" si="0"/>
        <v>53.173214285714288</v>
      </c>
      <c r="M4" s="150">
        <f t="shared" si="0"/>
        <v>24.108928571428574</v>
      </c>
      <c r="N4" s="150">
        <f t="shared" si="0"/>
        <v>229.32857142857142</v>
      </c>
      <c r="O4" s="150">
        <f t="shared" si="0"/>
        <v>791.70714285714314</v>
      </c>
      <c r="P4" s="150">
        <f t="shared" si="0"/>
        <v>171.77857142857144</v>
      </c>
      <c r="Q4" s="150">
        <f t="shared" si="0"/>
        <v>1192.8142857142859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1960</v>
      </c>
      <c r="B5" s="102">
        <v>18.5</v>
      </c>
      <c r="C5" s="102">
        <v>49.4</v>
      </c>
      <c r="D5" s="102">
        <v>57.3</v>
      </c>
      <c r="E5" s="102">
        <v>143</v>
      </c>
      <c r="F5" s="102">
        <v>184.3</v>
      </c>
      <c r="G5" s="102">
        <v>105.7</v>
      </c>
      <c r="H5" s="102">
        <v>252.7</v>
      </c>
      <c r="I5" s="102">
        <v>22</v>
      </c>
      <c r="J5" s="102">
        <v>46.1</v>
      </c>
      <c r="K5" s="102">
        <v>45.8</v>
      </c>
      <c r="L5" s="102">
        <v>52.2</v>
      </c>
      <c r="M5" s="102">
        <v>7.8</v>
      </c>
      <c r="N5" s="102">
        <f>SUM(B5:E5)</f>
        <v>268.2</v>
      </c>
      <c r="O5" s="102">
        <f>SUM(F5:J5)</f>
        <v>610.80000000000007</v>
      </c>
      <c r="P5" s="102">
        <f>SUM(K5:M5)</f>
        <v>105.8</v>
      </c>
      <c r="Q5" s="102">
        <f>SUM(B5:M5)</f>
        <v>984.80000000000007</v>
      </c>
    </row>
    <row r="6" spans="1:33">
      <c r="A6" s="102">
        <v>1961</v>
      </c>
      <c r="B6" s="102">
        <v>14.5</v>
      </c>
      <c r="C6" s="102">
        <v>21.6</v>
      </c>
      <c r="D6" s="102">
        <v>56.9</v>
      </c>
      <c r="E6" s="102">
        <v>196.8</v>
      </c>
      <c r="F6" s="102">
        <v>153.69999999999999</v>
      </c>
      <c r="G6" s="102">
        <v>66.8</v>
      </c>
      <c r="H6" s="102">
        <v>144.19999999999999</v>
      </c>
      <c r="I6" s="102">
        <v>205</v>
      </c>
      <c r="J6" s="102">
        <v>128.80000000000001</v>
      </c>
      <c r="K6" s="102">
        <v>156.9</v>
      </c>
      <c r="L6" s="102">
        <v>130.80000000000001</v>
      </c>
      <c r="M6" s="102">
        <v>41.5</v>
      </c>
      <c r="N6" s="102">
        <f t="shared" ref="N6:N60" si="1">SUM(B6:E6)</f>
        <v>289.8</v>
      </c>
      <c r="O6" s="102">
        <f t="shared" ref="O6:O60" si="2">SUM(F6:J6)</f>
        <v>698.5</v>
      </c>
      <c r="P6" s="102">
        <f t="shared" ref="P6:P60" si="3">SUM(K6:M6)</f>
        <v>329.20000000000005</v>
      </c>
      <c r="Q6" s="102">
        <f t="shared" ref="Q6:Q60" si="4">SUM(B6:M6)</f>
        <v>1317.5</v>
      </c>
    </row>
    <row r="7" spans="1:33">
      <c r="A7" s="102">
        <v>1962</v>
      </c>
      <c r="B7" s="102">
        <v>24.8</v>
      </c>
      <c r="C7" s="102">
        <v>8.6</v>
      </c>
      <c r="D7" s="102">
        <v>39.4</v>
      </c>
      <c r="E7" s="102">
        <v>112.2</v>
      </c>
      <c r="F7" s="102">
        <v>244.4</v>
      </c>
      <c r="G7" s="102">
        <v>149.80000000000001</v>
      </c>
      <c r="H7" s="102">
        <v>94.4</v>
      </c>
      <c r="I7" s="102">
        <v>128</v>
      </c>
      <c r="J7" s="102">
        <v>51.4</v>
      </c>
      <c r="K7" s="102">
        <v>79.900000000000006</v>
      </c>
      <c r="L7" s="102">
        <v>21.1</v>
      </c>
      <c r="M7" s="102">
        <v>33</v>
      </c>
      <c r="N7" s="102">
        <f t="shared" si="1"/>
        <v>185</v>
      </c>
      <c r="O7" s="102">
        <f t="shared" si="2"/>
        <v>668</v>
      </c>
      <c r="P7" s="102">
        <f t="shared" si="3"/>
        <v>134</v>
      </c>
      <c r="Q7" s="102">
        <f t="shared" si="4"/>
        <v>987</v>
      </c>
    </row>
    <row r="8" spans="1:33">
      <c r="A8" s="102">
        <v>1963</v>
      </c>
      <c r="B8" s="102">
        <v>6.1</v>
      </c>
      <c r="C8" s="102">
        <v>24.4</v>
      </c>
      <c r="D8" s="102">
        <v>52.2</v>
      </c>
      <c r="E8" s="102">
        <v>39.6</v>
      </c>
      <c r="F8" s="102">
        <v>183.9</v>
      </c>
      <c r="G8" s="102">
        <v>39.299999999999997</v>
      </c>
      <c r="H8" s="102">
        <v>268.3</v>
      </c>
      <c r="I8" s="102">
        <v>47</v>
      </c>
      <c r="J8" s="102">
        <v>62.5</v>
      </c>
      <c r="K8" s="102">
        <v>69.599999999999994</v>
      </c>
      <c r="L8" s="102">
        <v>194.9</v>
      </c>
      <c r="M8" s="102">
        <v>42.4</v>
      </c>
      <c r="N8" s="102">
        <f t="shared" si="1"/>
        <v>122.30000000000001</v>
      </c>
      <c r="O8" s="102">
        <f t="shared" si="2"/>
        <v>601</v>
      </c>
      <c r="P8" s="102">
        <f t="shared" si="3"/>
        <v>306.89999999999998</v>
      </c>
      <c r="Q8" s="102">
        <f t="shared" si="4"/>
        <v>1030.2</v>
      </c>
    </row>
    <row r="9" spans="1:33">
      <c r="A9" s="102">
        <v>1964</v>
      </c>
      <c r="B9" s="102">
        <v>19.8</v>
      </c>
      <c r="C9" s="102">
        <v>51.2</v>
      </c>
      <c r="D9" s="102">
        <v>51</v>
      </c>
      <c r="E9" s="102">
        <v>272.89999999999998</v>
      </c>
      <c r="F9" s="102">
        <v>96.7</v>
      </c>
      <c r="G9" s="102">
        <v>233.7</v>
      </c>
      <c r="H9" s="102">
        <v>144.1</v>
      </c>
      <c r="I9" s="102">
        <v>162</v>
      </c>
      <c r="J9" s="102">
        <v>48.6</v>
      </c>
      <c r="K9" s="102">
        <v>187.8</v>
      </c>
      <c r="L9" s="102">
        <v>31.5</v>
      </c>
      <c r="M9" s="102">
        <v>36.299999999999997</v>
      </c>
      <c r="N9" s="102">
        <f t="shared" si="1"/>
        <v>394.9</v>
      </c>
      <c r="O9" s="102">
        <f t="shared" si="2"/>
        <v>685.1</v>
      </c>
      <c r="P9" s="102">
        <f t="shared" si="3"/>
        <v>255.60000000000002</v>
      </c>
      <c r="Q9" s="102">
        <f t="shared" si="4"/>
        <v>1335.6</v>
      </c>
    </row>
    <row r="10" spans="1:33">
      <c r="A10" s="102">
        <v>1965</v>
      </c>
      <c r="B10" s="102">
        <v>34.4</v>
      </c>
      <c r="C10" s="102">
        <v>46</v>
      </c>
      <c r="D10" s="102">
        <v>98.4</v>
      </c>
      <c r="E10" s="102">
        <v>140.9</v>
      </c>
      <c r="F10" s="102">
        <v>208.8</v>
      </c>
      <c r="G10" s="102">
        <v>201.2</v>
      </c>
      <c r="H10" s="102">
        <v>110.4</v>
      </c>
      <c r="I10" s="102">
        <v>234</v>
      </c>
      <c r="J10" s="102">
        <v>47.1</v>
      </c>
      <c r="K10" s="102">
        <v>299.10000000000002</v>
      </c>
      <c r="L10" s="102">
        <v>57.7</v>
      </c>
      <c r="M10" s="102">
        <v>38</v>
      </c>
      <c r="N10" s="102">
        <f t="shared" si="1"/>
        <v>319.70000000000005</v>
      </c>
      <c r="O10" s="102">
        <f t="shared" si="2"/>
        <v>801.5</v>
      </c>
      <c r="P10" s="102">
        <f t="shared" si="3"/>
        <v>394.8</v>
      </c>
      <c r="Q10" s="102">
        <f t="shared" si="4"/>
        <v>1515.9999999999998</v>
      </c>
    </row>
    <row r="11" spans="1:33">
      <c r="A11" s="102">
        <v>1966</v>
      </c>
      <c r="B11" s="102">
        <v>15.8</v>
      </c>
      <c r="C11" s="102">
        <v>28.8</v>
      </c>
      <c r="D11" s="102">
        <v>12.1</v>
      </c>
      <c r="E11" s="102">
        <v>115.6</v>
      </c>
      <c r="F11" s="102">
        <v>231.4</v>
      </c>
      <c r="G11" s="102">
        <v>143</v>
      </c>
      <c r="H11" s="102">
        <v>148.69999999999999</v>
      </c>
      <c r="I11" s="102">
        <v>28.2</v>
      </c>
      <c r="J11" s="102">
        <v>11.8</v>
      </c>
      <c r="K11" s="102">
        <v>115.7</v>
      </c>
      <c r="L11" s="102">
        <v>6.8</v>
      </c>
      <c r="M11" s="102">
        <v>25</v>
      </c>
      <c r="N11" s="102">
        <f t="shared" si="1"/>
        <v>172.3</v>
      </c>
      <c r="O11" s="102">
        <f t="shared" si="2"/>
        <v>563.09999999999991</v>
      </c>
      <c r="P11" s="102">
        <f t="shared" si="3"/>
        <v>147.5</v>
      </c>
      <c r="Q11" s="102">
        <f t="shared" si="4"/>
        <v>882.90000000000009</v>
      </c>
    </row>
    <row r="12" spans="1:33">
      <c r="A12" s="102">
        <v>1967</v>
      </c>
      <c r="B12" s="102">
        <v>6.2</v>
      </c>
      <c r="C12" s="102">
        <v>55.1</v>
      </c>
      <c r="D12" s="102">
        <v>47</v>
      </c>
      <c r="E12" s="102">
        <v>163.19999999999999</v>
      </c>
      <c r="F12" s="102">
        <v>204.8</v>
      </c>
      <c r="G12" s="102">
        <v>298.39999999999998</v>
      </c>
      <c r="H12" s="102">
        <v>177.2</v>
      </c>
      <c r="I12" s="102">
        <v>280.39999999999998</v>
      </c>
      <c r="J12" s="102">
        <v>147.69999999999999</v>
      </c>
      <c r="K12" s="102">
        <v>55</v>
      </c>
      <c r="L12" s="102">
        <v>84.7</v>
      </c>
      <c r="M12" s="102">
        <v>29.3</v>
      </c>
      <c r="N12" s="102">
        <f t="shared" si="1"/>
        <v>271.5</v>
      </c>
      <c r="O12" s="102">
        <f t="shared" si="2"/>
        <v>1108.5</v>
      </c>
      <c r="P12" s="102">
        <f t="shared" si="3"/>
        <v>169</v>
      </c>
      <c r="Q12" s="102">
        <f t="shared" si="4"/>
        <v>1549.0000000000002</v>
      </c>
    </row>
    <row r="13" spans="1:33">
      <c r="A13" s="102">
        <v>1968</v>
      </c>
      <c r="B13" s="102">
        <v>17.600000000000001</v>
      </c>
      <c r="C13" s="102">
        <v>17.899999999999999</v>
      </c>
      <c r="D13" s="102">
        <v>51.4</v>
      </c>
      <c r="E13" s="102">
        <v>120.4</v>
      </c>
      <c r="F13" s="102">
        <v>220.7</v>
      </c>
      <c r="G13" s="102">
        <v>204.6</v>
      </c>
      <c r="H13" s="102">
        <v>200.3</v>
      </c>
      <c r="I13" s="102">
        <v>160.9</v>
      </c>
      <c r="J13" s="102">
        <v>84.8</v>
      </c>
      <c r="K13" s="102">
        <v>52.3</v>
      </c>
      <c r="L13" s="102">
        <v>83.7</v>
      </c>
      <c r="M13" s="102">
        <v>38</v>
      </c>
      <c r="N13" s="102">
        <f t="shared" si="1"/>
        <v>207.3</v>
      </c>
      <c r="O13" s="102">
        <f t="shared" si="2"/>
        <v>871.29999999999984</v>
      </c>
      <c r="P13" s="102">
        <f t="shared" si="3"/>
        <v>174</v>
      </c>
      <c r="Q13" s="102">
        <f t="shared" si="4"/>
        <v>1252.6000000000001</v>
      </c>
    </row>
    <row r="14" spans="1:33">
      <c r="A14" s="102">
        <v>1969</v>
      </c>
      <c r="B14" s="102">
        <v>15.9</v>
      </c>
      <c r="C14" s="102">
        <v>4.7</v>
      </c>
      <c r="D14" s="102">
        <v>48.3</v>
      </c>
      <c r="E14" s="102">
        <v>55.8</v>
      </c>
      <c r="F14" s="102">
        <v>138.69999999999999</v>
      </c>
      <c r="G14" s="102">
        <v>248.5</v>
      </c>
      <c r="H14" s="102">
        <v>303.60000000000002</v>
      </c>
      <c r="I14" s="102">
        <v>197.7</v>
      </c>
      <c r="J14" s="102">
        <v>27</v>
      </c>
      <c r="K14" s="102">
        <v>137.6</v>
      </c>
      <c r="L14" s="102">
        <v>65.5</v>
      </c>
      <c r="M14" s="102">
        <v>1.6</v>
      </c>
      <c r="N14" s="102">
        <f t="shared" si="1"/>
        <v>124.7</v>
      </c>
      <c r="O14" s="102">
        <f t="shared" si="2"/>
        <v>915.5</v>
      </c>
      <c r="P14" s="102">
        <f t="shared" si="3"/>
        <v>204.7</v>
      </c>
      <c r="Q14" s="102">
        <f t="shared" si="4"/>
        <v>1244.8999999999999</v>
      </c>
    </row>
    <row r="15" spans="1:33">
      <c r="A15" s="102">
        <v>1970</v>
      </c>
      <c r="B15" s="102">
        <v>26.5</v>
      </c>
      <c r="C15" s="102">
        <v>41.5</v>
      </c>
      <c r="D15" s="102">
        <v>98.8</v>
      </c>
      <c r="E15" s="102">
        <v>180.5</v>
      </c>
      <c r="F15" s="102">
        <v>126.3</v>
      </c>
      <c r="G15" s="102">
        <v>169.8</v>
      </c>
      <c r="H15" s="102">
        <v>468.9</v>
      </c>
      <c r="I15" s="102">
        <v>92.7</v>
      </c>
      <c r="J15" s="102">
        <v>45</v>
      </c>
      <c r="K15" s="102">
        <v>8.9</v>
      </c>
      <c r="L15" s="102">
        <v>51.1</v>
      </c>
      <c r="M15" s="102">
        <v>61.2</v>
      </c>
      <c r="N15" s="102">
        <f t="shared" si="1"/>
        <v>347.3</v>
      </c>
      <c r="O15" s="102">
        <f t="shared" si="2"/>
        <v>902.7</v>
      </c>
      <c r="P15" s="102">
        <f t="shared" si="3"/>
        <v>121.2</v>
      </c>
      <c r="Q15" s="102">
        <f t="shared" si="4"/>
        <v>1371.2000000000003</v>
      </c>
    </row>
    <row r="16" spans="1:33">
      <c r="A16" s="102">
        <v>1971</v>
      </c>
      <c r="B16" s="102">
        <v>20.5</v>
      </c>
      <c r="C16" s="102">
        <v>17.7</v>
      </c>
      <c r="D16" s="102">
        <v>33.4</v>
      </c>
      <c r="E16" s="102">
        <v>101.1</v>
      </c>
      <c r="F16" s="102">
        <v>248.9</v>
      </c>
      <c r="G16" s="102">
        <v>355.1</v>
      </c>
      <c r="H16" s="102">
        <v>127.3</v>
      </c>
      <c r="I16" s="102">
        <v>204.5</v>
      </c>
      <c r="J16" s="102">
        <v>22.3</v>
      </c>
      <c r="K16" s="102">
        <v>87.2</v>
      </c>
      <c r="L16" s="102">
        <v>8.1</v>
      </c>
      <c r="M16" s="102">
        <v>39.4</v>
      </c>
      <c r="N16" s="102">
        <f t="shared" si="1"/>
        <v>172.7</v>
      </c>
      <c r="O16" s="102">
        <f t="shared" si="2"/>
        <v>958.09999999999991</v>
      </c>
      <c r="P16" s="102">
        <f t="shared" si="3"/>
        <v>134.69999999999999</v>
      </c>
      <c r="Q16" s="102">
        <f t="shared" si="4"/>
        <v>1265.5</v>
      </c>
    </row>
    <row r="17" spans="1:17">
      <c r="A17" s="102">
        <v>1972</v>
      </c>
      <c r="B17" s="102">
        <v>11.6</v>
      </c>
      <c r="C17" s="102">
        <v>15.9</v>
      </c>
      <c r="D17" s="102">
        <v>70.099999999999994</v>
      </c>
      <c r="E17" s="102">
        <v>102.1</v>
      </c>
      <c r="F17" s="102">
        <v>231</v>
      </c>
      <c r="G17" s="102">
        <v>187.2</v>
      </c>
      <c r="H17" s="102">
        <v>21.7</v>
      </c>
      <c r="I17" s="102">
        <v>68.099999999999994</v>
      </c>
      <c r="J17" s="102">
        <v>165</v>
      </c>
      <c r="K17" s="102">
        <v>165.1</v>
      </c>
      <c r="L17" s="102">
        <v>75.5</v>
      </c>
      <c r="M17" s="102">
        <v>35.299999999999997</v>
      </c>
      <c r="N17" s="102">
        <f t="shared" si="1"/>
        <v>199.7</v>
      </c>
      <c r="O17" s="102">
        <f t="shared" si="2"/>
        <v>673</v>
      </c>
      <c r="P17" s="102">
        <f t="shared" si="3"/>
        <v>275.89999999999998</v>
      </c>
      <c r="Q17" s="102">
        <f t="shared" si="4"/>
        <v>1148.5999999999999</v>
      </c>
    </row>
    <row r="18" spans="1:17">
      <c r="A18" s="102">
        <v>1973</v>
      </c>
      <c r="B18" s="102">
        <v>43.1</v>
      </c>
      <c r="C18" s="102">
        <v>27.5</v>
      </c>
      <c r="D18" s="102">
        <v>81.2</v>
      </c>
      <c r="E18" s="102">
        <v>107.7</v>
      </c>
      <c r="F18" s="102">
        <v>232.8</v>
      </c>
      <c r="G18" s="102">
        <v>248.7</v>
      </c>
      <c r="H18" s="102">
        <v>205.7</v>
      </c>
      <c r="I18" s="102">
        <v>115.4</v>
      </c>
      <c r="J18" s="102">
        <v>111.1</v>
      </c>
      <c r="K18" s="102">
        <v>33.5</v>
      </c>
      <c r="L18" s="102">
        <v>37</v>
      </c>
      <c r="M18" s="102">
        <v>2.6</v>
      </c>
      <c r="N18" s="102">
        <f t="shared" si="1"/>
        <v>259.5</v>
      </c>
      <c r="O18" s="102">
        <f t="shared" si="2"/>
        <v>913.7</v>
      </c>
      <c r="P18" s="102">
        <f t="shared" si="3"/>
        <v>73.099999999999994</v>
      </c>
      <c r="Q18" s="102">
        <f t="shared" si="4"/>
        <v>1246.3</v>
      </c>
    </row>
    <row r="19" spans="1:17">
      <c r="A19" s="102">
        <v>1974</v>
      </c>
      <c r="B19" s="102">
        <v>50.6</v>
      </c>
      <c r="C19" s="102">
        <v>8</v>
      </c>
      <c r="D19" s="102">
        <v>44.9</v>
      </c>
      <c r="E19" s="102">
        <v>215.6</v>
      </c>
      <c r="F19" s="102">
        <v>93.2</v>
      </c>
      <c r="G19" s="102">
        <v>301.39999999999998</v>
      </c>
      <c r="H19" s="102">
        <v>178.8</v>
      </c>
      <c r="I19" s="102">
        <v>51.7</v>
      </c>
      <c r="J19" s="102">
        <v>32.9</v>
      </c>
      <c r="K19" s="102">
        <v>53.7</v>
      </c>
      <c r="L19" s="102">
        <v>14.9</v>
      </c>
      <c r="M19" s="102">
        <v>23.7</v>
      </c>
      <c r="N19" s="102">
        <f t="shared" si="1"/>
        <v>319.10000000000002</v>
      </c>
      <c r="O19" s="102">
        <f t="shared" si="2"/>
        <v>658</v>
      </c>
      <c r="P19" s="102">
        <f t="shared" si="3"/>
        <v>92.300000000000011</v>
      </c>
      <c r="Q19" s="102">
        <f t="shared" si="4"/>
        <v>1069.4000000000001</v>
      </c>
    </row>
    <row r="20" spans="1:17">
      <c r="A20" s="102">
        <v>1975</v>
      </c>
      <c r="B20" s="102">
        <v>28.2</v>
      </c>
      <c r="C20" s="102">
        <v>35.200000000000003</v>
      </c>
      <c r="D20" s="102">
        <v>34.6</v>
      </c>
      <c r="E20" s="102">
        <v>242.1</v>
      </c>
      <c r="F20" s="102">
        <v>273.2</v>
      </c>
      <c r="G20" s="102">
        <v>106.6</v>
      </c>
      <c r="H20" s="102">
        <v>43.6</v>
      </c>
      <c r="I20" s="102">
        <v>148.6</v>
      </c>
      <c r="J20" s="102">
        <v>74.400000000000006</v>
      </c>
      <c r="K20" s="102">
        <v>33</v>
      </c>
      <c r="L20" s="102">
        <v>86.2</v>
      </c>
      <c r="M20" s="102">
        <v>3.8</v>
      </c>
      <c r="N20" s="102">
        <f t="shared" si="1"/>
        <v>340.1</v>
      </c>
      <c r="O20" s="102">
        <f t="shared" si="2"/>
        <v>646.4</v>
      </c>
      <c r="P20" s="102">
        <f t="shared" si="3"/>
        <v>123</v>
      </c>
      <c r="Q20" s="102">
        <f t="shared" si="4"/>
        <v>1109.5</v>
      </c>
    </row>
    <row r="21" spans="1:17">
      <c r="A21" s="102">
        <v>1976</v>
      </c>
      <c r="B21" s="102">
        <v>37.5</v>
      </c>
      <c r="C21" s="102">
        <v>15.5</v>
      </c>
      <c r="D21" s="102">
        <v>41.9</v>
      </c>
      <c r="E21" s="102">
        <v>218.7</v>
      </c>
      <c r="F21" s="102">
        <v>187.2</v>
      </c>
      <c r="G21" s="102">
        <v>225.1</v>
      </c>
      <c r="H21" s="102">
        <v>135.6</v>
      </c>
      <c r="I21" s="102">
        <v>130.80000000000001</v>
      </c>
      <c r="J21" s="102">
        <v>27</v>
      </c>
      <c r="K21" s="102">
        <v>170.6</v>
      </c>
      <c r="L21" s="102">
        <v>72.5</v>
      </c>
      <c r="M21" s="102">
        <v>12.3</v>
      </c>
      <c r="N21" s="102">
        <f t="shared" si="1"/>
        <v>313.60000000000002</v>
      </c>
      <c r="O21" s="102">
        <f t="shared" si="2"/>
        <v>705.7</v>
      </c>
      <c r="P21" s="102">
        <f t="shared" si="3"/>
        <v>255.4</v>
      </c>
      <c r="Q21" s="102">
        <f t="shared" si="4"/>
        <v>1274.6999999999998</v>
      </c>
    </row>
    <row r="22" spans="1:17">
      <c r="A22" s="102">
        <v>1977</v>
      </c>
      <c r="B22" s="102">
        <v>13.4</v>
      </c>
      <c r="C22" s="102">
        <v>19.8</v>
      </c>
      <c r="D22" s="102">
        <v>54.1</v>
      </c>
      <c r="E22" s="102">
        <v>158.5</v>
      </c>
      <c r="F22" s="102">
        <v>331.5</v>
      </c>
      <c r="G22" s="102">
        <v>218.1</v>
      </c>
      <c r="H22" s="102">
        <v>174.9</v>
      </c>
      <c r="I22" s="102">
        <v>142.69999999999999</v>
      </c>
      <c r="J22" s="102">
        <v>124</v>
      </c>
      <c r="K22" s="102">
        <v>166.9</v>
      </c>
      <c r="L22" s="102">
        <v>36.4</v>
      </c>
      <c r="M22" s="102">
        <v>8.1</v>
      </c>
      <c r="N22" s="102">
        <f t="shared" si="1"/>
        <v>245.8</v>
      </c>
      <c r="O22" s="102">
        <f t="shared" si="2"/>
        <v>991.2</v>
      </c>
      <c r="P22" s="102">
        <f t="shared" si="3"/>
        <v>211.4</v>
      </c>
      <c r="Q22" s="102">
        <f t="shared" si="4"/>
        <v>1448.4</v>
      </c>
    </row>
    <row r="23" spans="1:17">
      <c r="A23" s="102">
        <v>1978</v>
      </c>
      <c r="B23" s="102">
        <v>34.700000000000003</v>
      </c>
      <c r="C23" s="102">
        <v>0.6</v>
      </c>
      <c r="D23" s="102">
        <v>35.299999999999997</v>
      </c>
      <c r="E23" s="102">
        <v>54.4</v>
      </c>
      <c r="F23" s="102">
        <v>341.7</v>
      </c>
      <c r="G23" s="102">
        <v>154.30000000000001</v>
      </c>
      <c r="H23" s="102">
        <v>61.6</v>
      </c>
      <c r="I23" s="102">
        <v>74.8</v>
      </c>
      <c r="J23" s="102">
        <v>76.8</v>
      </c>
      <c r="K23" s="102">
        <v>123.5</v>
      </c>
      <c r="L23" s="102">
        <v>111.9</v>
      </c>
      <c r="M23" s="102">
        <v>10.1</v>
      </c>
      <c r="N23" s="102">
        <f t="shared" si="1"/>
        <v>125</v>
      </c>
      <c r="O23" s="102">
        <f t="shared" si="2"/>
        <v>709.19999999999993</v>
      </c>
      <c r="P23" s="102">
        <f t="shared" si="3"/>
        <v>245.5</v>
      </c>
      <c r="Q23" s="102">
        <f t="shared" si="4"/>
        <v>1079.6999999999998</v>
      </c>
    </row>
    <row r="24" spans="1:17">
      <c r="A24" s="102">
        <v>1979</v>
      </c>
      <c r="B24" s="102">
        <v>12.8</v>
      </c>
      <c r="C24" s="102">
        <v>38.1</v>
      </c>
      <c r="D24" s="102">
        <v>16.3</v>
      </c>
      <c r="E24" s="102">
        <v>79</v>
      </c>
      <c r="F24" s="102">
        <v>109.4</v>
      </c>
      <c r="G24" s="102">
        <v>323.89999999999998</v>
      </c>
      <c r="H24" s="102">
        <v>239.1</v>
      </c>
      <c r="I24" s="102">
        <v>159.1</v>
      </c>
      <c r="J24" s="102">
        <v>66.599999999999994</v>
      </c>
      <c r="K24" s="102">
        <v>31</v>
      </c>
      <c r="L24" s="102">
        <v>6.2</v>
      </c>
      <c r="M24" s="102">
        <v>20.3</v>
      </c>
      <c r="N24" s="102">
        <f t="shared" si="1"/>
        <v>146.19999999999999</v>
      </c>
      <c r="O24" s="102">
        <f t="shared" si="2"/>
        <v>898.1</v>
      </c>
      <c r="P24" s="102">
        <f t="shared" si="3"/>
        <v>57.5</v>
      </c>
      <c r="Q24" s="102">
        <f t="shared" si="4"/>
        <v>1101.8</v>
      </c>
    </row>
    <row r="25" spans="1:17">
      <c r="A25" s="102">
        <v>1980</v>
      </c>
      <c r="B25" s="102">
        <v>31.8</v>
      </c>
      <c r="C25" s="102">
        <v>27.1</v>
      </c>
      <c r="D25" s="102">
        <v>40.200000000000003</v>
      </c>
      <c r="E25" s="102">
        <v>114.5</v>
      </c>
      <c r="F25" s="102">
        <v>241.5</v>
      </c>
      <c r="G25" s="102">
        <v>103.9</v>
      </c>
      <c r="H25" s="102">
        <v>256.5</v>
      </c>
      <c r="I25" s="102">
        <v>144.1</v>
      </c>
      <c r="J25" s="102">
        <v>50.7</v>
      </c>
      <c r="K25" s="102">
        <v>129.30000000000001</v>
      </c>
      <c r="L25" s="102">
        <v>75.2</v>
      </c>
      <c r="M25" s="102">
        <v>39.299999999999997</v>
      </c>
      <c r="N25" s="102">
        <f t="shared" si="1"/>
        <v>213.60000000000002</v>
      </c>
      <c r="O25" s="102">
        <f t="shared" si="2"/>
        <v>796.7</v>
      </c>
      <c r="P25" s="102">
        <f t="shared" si="3"/>
        <v>243.8</v>
      </c>
      <c r="Q25" s="102">
        <f t="shared" si="4"/>
        <v>1254.1000000000001</v>
      </c>
    </row>
    <row r="26" spans="1:17">
      <c r="A26" s="102">
        <v>1981</v>
      </c>
      <c r="B26" s="102">
        <v>23.5</v>
      </c>
      <c r="C26" s="102">
        <v>20.6</v>
      </c>
      <c r="D26" s="102">
        <v>34</v>
      </c>
      <c r="E26" s="102">
        <v>154.19999999999999</v>
      </c>
      <c r="F26" s="102">
        <v>219.9</v>
      </c>
      <c r="G26" s="102">
        <v>179.2</v>
      </c>
      <c r="H26" s="102">
        <v>87.5</v>
      </c>
      <c r="I26" s="102">
        <v>41.4</v>
      </c>
      <c r="J26" s="102">
        <v>50</v>
      </c>
      <c r="K26" s="102">
        <v>70</v>
      </c>
      <c r="L26" s="102">
        <v>123.6</v>
      </c>
      <c r="M26" s="102">
        <v>0.1</v>
      </c>
      <c r="N26" s="102">
        <f t="shared" si="1"/>
        <v>232.29999999999998</v>
      </c>
      <c r="O26" s="102">
        <f t="shared" si="2"/>
        <v>578</v>
      </c>
      <c r="P26" s="102">
        <f t="shared" si="3"/>
        <v>193.7</v>
      </c>
      <c r="Q26" s="102">
        <f t="shared" si="4"/>
        <v>1004</v>
      </c>
    </row>
    <row r="27" spans="1:17">
      <c r="A27" s="102">
        <v>1982</v>
      </c>
      <c r="B27" s="102">
        <v>30.4</v>
      </c>
      <c r="C27" s="102">
        <v>69</v>
      </c>
      <c r="D27" s="102">
        <v>37.299999999999997</v>
      </c>
      <c r="E27" s="102">
        <v>136.5</v>
      </c>
      <c r="F27" s="102">
        <v>200.4</v>
      </c>
      <c r="G27" s="102">
        <v>217.6</v>
      </c>
      <c r="H27" s="102">
        <v>81.099999999999994</v>
      </c>
      <c r="I27" s="102">
        <v>110.3</v>
      </c>
      <c r="J27" s="102">
        <v>234.3</v>
      </c>
      <c r="K27" s="102">
        <v>104.4</v>
      </c>
      <c r="L27" s="102">
        <v>77</v>
      </c>
      <c r="M27" s="102">
        <v>15.3</v>
      </c>
      <c r="N27" s="102">
        <f t="shared" si="1"/>
        <v>273.2</v>
      </c>
      <c r="O27" s="102">
        <f t="shared" si="2"/>
        <v>843.7</v>
      </c>
      <c r="P27" s="102">
        <f t="shared" si="3"/>
        <v>196.70000000000002</v>
      </c>
      <c r="Q27" s="102">
        <f t="shared" si="4"/>
        <v>1313.6000000000001</v>
      </c>
    </row>
    <row r="28" spans="1:17">
      <c r="A28" s="102">
        <v>1983</v>
      </c>
      <c r="B28" s="102">
        <v>72.8</v>
      </c>
      <c r="C28" s="102">
        <v>38.200000000000003</v>
      </c>
      <c r="D28" s="102">
        <v>33</v>
      </c>
      <c r="E28" s="102">
        <v>121</v>
      </c>
      <c r="F28" s="102">
        <v>173.4</v>
      </c>
      <c r="G28" s="102">
        <v>340.9</v>
      </c>
      <c r="H28" s="102">
        <v>192.5</v>
      </c>
      <c r="I28" s="102">
        <v>68.900000000000006</v>
      </c>
      <c r="J28" s="102">
        <v>87.8</v>
      </c>
      <c r="K28" s="102">
        <v>60.4</v>
      </c>
      <c r="L28" s="102">
        <v>68.599999999999994</v>
      </c>
      <c r="M28" s="102">
        <v>22</v>
      </c>
      <c r="N28" s="102">
        <f t="shared" si="1"/>
        <v>265</v>
      </c>
      <c r="O28" s="102">
        <f t="shared" si="2"/>
        <v>863.49999999999989</v>
      </c>
      <c r="P28" s="102">
        <f t="shared" si="3"/>
        <v>151</v>
      </c>
      <c r="Q28" s="102">
        <f t="shared" si="4"/>
        <v>1279.5</v>
      </c>
    </row>
    <row r="29" spans="1:17">
      <c r="A29" s="102">
        <v>1984</v>
      </c>
      <c r="B29" s="102">
        <v>20.9</v>
      </c>
      <c r="C29" s="102">
        <v>19</v>
      </c>
      <c r="D29" s="102">
        <v>34.299999999999997</v>
      </c>
      <c r="E29" s="102">
        <v>102.6</v>
      </c>
      <c r="F29" s="102">
        <v>259.2</v>
      </c>
      <c r="G29" s="102">
        <v>156.9</v>
      </c>
      <c r="H29" s="102">
        <v>76.099999999999994</v>
      </c>
      <c r="I29" s="102">
        <v>243.1</v>
      </c>
      <c r="J29" s="102">
        <v>134.30000000000001</v>
      </c>
      <c r="K29" s="102">
        <v>90</v>
      </c>
      <c r="L29" s="102">
        <v>35.1</v>
      </c>
      <c r="M29" s="102">
        <v>40.700000000000003</v>
      </c>
      <c r="N29" s="102">
        <f t="shared" si="1"/>
        <v>176.79999999999998</v>
      </c>
      <c r="O29" s="102">
        <f t="shared" si="2"/>
        <v>869.60000000000014</v>
      </c>
      <c r="P29" s="102">
        <f t="shared" si="3"/>
        <v>165.8</v>
      </c>
      <c r="Q29" s="102">
        <f t="shared" si="4"/>
        <v>1212.2</v>
      </c>
    </row>
    <row r="30" spans="1:17">
      <c r="A30" s="102">
        <v>1985</v>
      </c>
      <c r="B30" s="102">
        <v>10.7</v>
      </c>
      <c r="C30" s="102">
        <v>42.4</v>
      </c>
      <c r="D30" s="102">
        <v>43.8</v>
      </c>
      <c r="E30" s="102">
        <v>74.900000000000006</v>
      </c>
      <c r="F30" s="102">
        <v>223.4</v>
      </c>
      <c r="G30" s="102">
        <v>193.8</v>
      </c>
      <c r="H30" s="102">
        <v>109.9</v>
      </c>
      <c r="I30" s="102">
        <v>159.5</v>
      </c>
      <c r="J30" s="102">
        <v>26</v>
      </c>
      <c r="K30" s="102">
        <v>47.8</v>
      </c>
      <c r="L30" s="102">
        <v>47.4</v>
      </c>
      <c r="M30" s="102">
        <v>26.9</v>
      </c>
      <c r="N30" s="102">
        <f t="shared" si="1"/>
        <v>171.8</v>
      </c>
      <c r="O30" s="102">
        <f t="shared" si="2"/>
        <v>712.6</v>
      </c>
      <c r="P30" s="102">
        <f t="shared" si="3"/>
        <v>122.1</v>
      </c>
      <c r="Q30" s="102">
        <f t="shared" si="4"/>
        <v>1006.4999999999999</v>
      </c>
    </row>
    <row r="31" spans="1:17">
      <c r="A31" s="102">
        <v>1986</v>
      </c>
      <c r="B31" s="102">
        <v>21.3</v>
      </c>
      <c r="C31" s="102">
        <v>12</v>
      </c>
      <c r="D31" s="102">
        <v>48.6</v>
      </c>
      <c r="E31" s="102">
        <v>46.4</v>
      </c>
      <c r="F31" s="102">
        <v>46.5</v>
      </c>
      <c r="G31" s="102">
        <v>191.7</v>
      </c>
      <c r="H31" s="102">
        <v>194.9</v>
      </c>
      <c r="I31" s="102">
        <v>102.6</v>
      </c>
      <c r="J31" s="102">
        <v>56.2</v>
      </c>
      <c r="K31" s="102">
        <v>88.6</v>
      </c>
      <c r="L31" s="102">
        <v>21.4</v>
      </c>
      <c r="M31" s="102">
        <v>2.7</v>
      </c>
      <c r="N31" s="102">
        <f t="shared" si="1"/>
        <v>128.30000000000001</v>
      </c>
      <c r="O31" s="102">
        <f t="shared" si="2"/>
        <v>591.90000000000009</v>
      </c>
      <c r="P31" s="102">
        <f t="shared" si="3"/>
        <v>112.7</v>
      </c>
      <c r="Q31" s="102">
        <f t="shared" si="4"/>
        <v>832.90000000000009</v>
      </c>
    </row>
    <row r="32" spans="1:17">
      <c r="A32" s="102">
        <v>1987</v>
      </c>
      <c r="B32" s="102">
        <v>28.7</v>
      </c>
      <c r="C32" s="102">
        <v>22.8</v>
      </c>
      <c r="D32" s="102">
        <v>40</v>
      </c>
      <c r="E32" s="102">
        <v>50.4</v>
      </c>
      <c r="F32" s="102">
        <v>190.8</v>
      </c>
      <c r="G32" s="102">
        <v>333.2</v>
      </c>
      <c r="H32" s="102">
        <v>109.5</v>
      </c>
      <c r="I32" s="102">
        <v>85.9</v>
      </c>
      <c r="J32" s="102">
        <v>71.7</v>
      </c>
      <c r="K32" s="102">
        <v>224.6</v>
      </c>
      <c r="L32" s="102">
        <v>76.7</v>
      </c>
      <c r="M32" s="102">
        <v>4.5</v>
      </c>
      <c r="N32" s="102">
        <f t="shared" si="1"/>
        <v>141.9</v>
      </c>
      <c r="O32" s="102">
        <f t="shared" si="2"/>
        <v>791.1</v>
      </c>
      <c r="P32" s="102">
        <f t="shared" si="3"/>
        <v>305.8</v>
      </c>
      <c r="Q32" s="102">
        <f t="shared" si="4"/>
        <v>1238.8000000000002</v>
      </c>
    </row>
    <row r="33" spans="1:17">
      <c r="A33" s="102">
        <v>1988</v>
      </c>
      <c r="B33" s="102">
        <v>28</v>
      </c>
      <c r="C33" s="102">
        <v>34.5</v>
      </c>
      <c r="D33" s="102">
        <v>18.5</v>
      </c>
      <c r="E33" s="102">
        <v>70.400000000000006</v>
      </c>
      <c r="F33" s="102">
        <v>112.8</v>
      </c>
      <c r="G33" s="102">
        <v>204.5</v>
      </c>
      <c r="H33" s="102">
        <v>173.5</v>
      </c>
      <c r="I33" s="102">
        <v>287.3</v>
      </c>
      <c r="J33" s="102">
        <v>165.2</v>
      </c>
      <c r="K33" s="102">
        <v>66.2</v>
      </c>
      <c r="L33" s="102">
        <v>7.5</v>
      </c>
      <c r="M33" s="102">
        <v>9.4</v>
      </c>
      <c r="N33" s="102">
        <f t="shared" si="1"/>
        <v>151.4</v>
      </c>
      <c r="O33" s="102">
        <f t="shared" si="2"/>
        <v>943.3</v>
      </c>
      <c r="P33" s="102">
        <f t="shared" si="3"/>
        <v>83.100000000000009</v>
      </c>
      <c r="Q33" s="102">
        <f t="shared" si="4"/>
        <v>1177.8000000000002</v>
      </c>
    </row>
    <row r="34" spans="1:17">
      <c r="A34" s="102">
        <v>1989</v>
      </c>
      <c r="B34" s="102">
        <v>21.3</v>
      </c>
      <c r="C34" s="102">
        <v>34.9</v>
      </c>
      <c r="D34" s="102">
        <v>58.2</v>
      </c>
      <c r="E34" s="102">
        <v>75.5</v>
      </c>
      <c r="F34" s="102">
        <v>100.7</v>
      </c>
      <c r="G34" s="102">
        <v>232.7</v>
      </c>
      <c r="H34" s="102">
        <v>47.5</v>
      </c>
      <c r="I34" s="102">
        <v>144.19999999999999</v>
      </c>
      <c r="J34" s="102">
        <v>93.7</v>
      </c>
      <c r="K34" s="102">
        <v>50.9</v>
      </c>
      <c r="L34" s="102">
        <v>29.8</v>
      </c>
      <c r="M34" s="102">
        <v>28.7</v>
      </c>
      <c r="N34" s="102">
        <f t="shared" si="1"/>
        <v>189.9</v>
      </c>
      <c r="O34" s="102">
        <f t="shared" si="2"/>
        <v>618.79999999999995</v>
      </c>
      <c r="P34" s="102">
        <f t="shared" si="3"/>
        <v>109.4</v>
      </c>
      <c r="Q34" s="102">
        <f t="shared" si="4"/>
        <v>918.1</v>
      </c>
    </row>
    <row r="35" spans="1:17">
      <c r="A35" s="102">
        <v>1990</v>
      </c>
      <c r="B35" s="102">
        <v>67</v>
      </c>
      <c r="C35" s="102">
        <v>40</v>
      </c>
      <c r="D35" s="102">
        <v>103.3</v>
      </c>
      <c r="E35" s="102">
        <v>78</v>
      </c>
      <c r="F35" s="102">
        <v>230.7</v>
      </c>
      <c r="G35" s="102">
        <v>318.5</v>
      </c>
      <c r="H35" s="102">
        <v>171.8</v>
      </c>
      <c r="I35" s="102">
        <v>28.4</v>
      </c>
      <c r="J35" s="102">
        <v>242.8</v>
      </c>
      <c r="K35" s="102">
        <v>67.599999999999994</v>
      </c>
      <c r="L35" s="102">
        <v>33.5</v>
      </c>
      <c r="M35" s="102">
        <v>24.6</v>
      </c>
      <c r="N35" s="102">
        <f t="shared" si="1"/>
        <v>288.3</v>
      </c>
      <c r="O35" s="102">
        <f t="shared" si="2"/>
        <v>992.2</v>
      </c>
      <c r="P35" s="102">
        <f t="shared" si="3"/>
        <v>125.69999999999999</v>
      </c>
      <c r="Q35" s="102">
        <f t="shared" si="4"/>
        <v>1406.1999999999998</v>
      </c>
    </row>
    <row r="36" spans="1:17">
      <c r="A36" s="102">
        <v>1991</v>
      </c>
      <c r="B36" s="102">
        <v>59.6</v>
      </c>
      <c r="C36" s="102">
        <v>23.2</v>
      </c>
      <c r="D36" s="102">
        <v>132.9</v>
      </c>
      <c r="E36" s="102">
        <v>90.6</v>
      </c>
      <c r="F36" s="102">
        <v>214.6</v>
      </c>
      <c r="G36" s="102">
        <v>161.80000000000001</v>
      </c>
      <c r="H36" s="102">
        <v>329.6</v>
      </c>
      <c r="I36" s="102">
        <v>84.7</v>
      </c>
      <c r="J36" s="102">
        <v>16.600000000000001</v>
      </c>
      <c r="K36" s="102">
        <v>88</v>
      </c>
      <c r="L36" s="102">
        <v>73.3</v>
      </c>
      <c r="M36" s="102">
        <v>24.7</v>
      </c>
      <c r="N36" s="102">
        <f t="shared" si="1"/>
        <v>306.29999999999995</v>
      </c>
      <c r="O36" s="102">
        <f t="shared" si="2"/>
        <v>807.30000000000007</v>
      </c>
      <c r="P36" s="102">
        <f t="shared" si="3"/>
        <v>186</v>
      </c>
      <c r="Q36" s="102">
        <f t="shared" si="4"/>
        <v>1299.5999999999999</v>
      </c>
    </row>
    <row r="37" spans="1:17">
      <c r="A37" s="102">
        <v>1992</v>
      </c>
      <c r="B37" s="102">
        <v>47.7</v>
      </c>
      <c r="C37" s="102">
        <v>55.1</v>
      </c>
      <c r="D37" s="102">
        <v>61.2</v>
      </c>
      <c r="E37" s="102">
        <v>129.6</v>
      </c>
      <c r="F37" s="102">
        <v>167.8</v>
      </c>
      <c r="G37" s="102">
        <v>178</v>
      </c>
      <c r="H37" s="102">
        <v>203.2</v>
      </c>
      <c r="I37" s="102">
        <v>11.4</v>
      </c>
      <c r="J37" s="102">
        <v>54.3</v>
      </c>
      <c r="K37" s="102">
        <v>39.299999999999997</v>
      </c>
      <c r="L37" s="102">
        <v>17.100000000000001</v>
      </c>
      <c r="M37" s="102">
        <v>29.3</v>
      </c>
      <c r="N37" s="102">
        <f t="shared" si="1"/>
        <v>293.60000000000002</v>
      </c>
      <c r="O37" s="102">
        <f t="shared" si="2"/>
        <v>614.69999999999993</v>
      </c>
      <c r="P37" s="102">
        <f t="shared" si="3"/>
        <v>85.7</v>
      </c>
      <c r="Q37" s="102">
        <f t="shared" si="4"/>
        <v>994</v>
      </c>
    </row>
    <row r="38" spans="1:17">
      <c r="A38" s="102">
        <v>1993</v>
      </c>
      <c r="B38" s="102">
        <v>34.1</v>
      </c>
      <c r="C38" s="102">
        <v>47.6</v>
      </c>
      <c r="D38" s="102">
        <v>23.1</v>
      </c>
      <c r="E38" s="102">
        <v>74.599999999999994</v>
      </c>
      <c r="F38" s="102">
        <v>255.4</v>
      </c>
      <c r="G38" s="102">
        <v>276.60000000000002</v>
      </c>
      <c r="H38" s="102">
        <v>316.2</v>
      </c>
      <c r="I38" s="102">
        <v>124.9</v>
      </c>
      <c r="J38" s="102">
        <v>93.8</v>
      </c>
      <c r="K38" s="102">
        <v>49.9</v>
      </c>
      <c r="L38" s="102">
        <v>43.5</v>
      </c>
      <c r="M38" s="102">
        <v>16.399999999999999</v>
      </c>
      <c r="N38" s="102">
        <f t="shared" si="1"/>
        <v>179.4</v>
      </c>
      <c r="O38" s="102">
        <f t="shared" si="2"/>
        <v>1066.9000000000001</v>
      </c>
      <c r="P38" s="102">
        <f t="shared" si="3"/>
        <v>109.80000000000001</v>
      </c>
      <c r="Q38" s="102">
        <f t="shared" si="4"/>
        <v>1356.1000000000004</v>
      </c>
    </row>
    <row r="39" spans="1:17">
      <c r="A39" s="102">
        <v>1994</v>
      </c>
      <c r="B39" s="102">
        <v>18.7</v>
      </c>
      <c r="C39" s="102">
        <v>20.7</v>
      </c>
      <c r="D39" s="102">
        <v>71.8</v>
      </c>
      <c r="E39" s="102">
        <v>112.6</v>
      </c>
      <c r="F39" s="102">
        <v>189.6</v>
      </c>
      <c r="G39" s="102">
        <v>76.5</v>
      </c>
      <c r="H39" s="102">
        <v>232.1</v>
      </c>
      <c r="I39" s="102">
        <v>99.3</v>
      </c>
      <c r="J39" s="102">
        <v>100.1</v>
      </c>
      <c r="K39" s="102">
        <v>202.1</v>
      </c>
      <c r="L39" s="102">
        <v>73.599999999999994</v>
      </c>
      <c r="M39" s="102">
        <v>37.299999999999997</v>
      </c>
      <c r="N39" s="102">
        <f t="shared" si="1"/>
        <v>223.79999999999998</v>
      </c>
      <c r="O39" s="102">
        <f t="shared" si="2"/>
        <v>697.6</v>
      </c>
      <c r="P39" s="102">
        <f t="shared" si="3"/>
        <v>313</v>
      </c>
      <c r="Q39" s="102">
        <f t="shared" si="4"/>
        <v>1234.3999999999999</v>
      </c>
    </row>
    <row r="40" spans="1:17">
      <c r="A40" s="102">
        <v>1995</v>
      </c>
      <c r="B40" s="102">
        <v>38.799999999999997</v>
      </c>
      <c r="C40" s="102">
        <v>71.3</v>
      </c>
      <c r="D40" s="102">
        <v>27.6</v>
      </c>
      <c r="E40" s="102">
        <v>59.7</v>
      </c>
      <c r="F40" s="102">
        <v>280.10000000000002</v>
      </c>
      <c r="G40" s="102">
        <v>321.7</v>
      </c>
      <c r="H40" s="102">
        <v>107.8</v>
      </c>
      <c r="I40" s="102">
        <v>70</v>
      </c>
      <c r="J40" s="102">
        <v>66.400000000000006</v>
      </c>
      <c r="K40" s="102">
        <v>17.899999999999999</v>
      </c>
      <c r="L40" s="102">
        <v>44.8</v>
      </c>
      <c r="M40" s="102">
        <v>3.6</v>
      </c>
      <c r="N40" s="102">
        <f t="shared" si="1"/>
        <v>197.39999999999998</v>
      </c>
      <c r="O40" s="102">
        <f t="shared" si="2"/>
        <v>845.99999999999989</v>
      </c>
      <c r="P40" s="102">
        <f t="shared" si="3"/>
        <v>66.3</v>
      </c>
      <c r="Q40" s="102">
        <f t="shared" si="4"/>
        <v>1109.7</v>
      </c>
    </row>
    <row r="41" spans="1:17">
      <c r="A41" s="102">
        <v>1996</v>
      </c>
      <c r="B41" s="102">
        <v>23.4</v>
      </c>
      <c r="C41" s="102">
        <v>3.2</v>
      </c>
      <c r="D41" s="102">
        <v>103.9</v>
      </c>
      <c r="E41" s="102">
        <v>153.5</v>
      </c>
      <c r="F41" s="102">
        <v>169.9</v>
      </c>
      <c r="G41" s="102">
        <v>307.3</v>
      </c>
      <c r="H41" s="102">
        <v>511.5</v>
      </c>
      <c r="I41" s="102">
        <v>139.1</v>
      </c>
      <c r="J41" s="102">
        <v>11.2</v>
      </c>
      <c r="K41" s="102">
        <v>55.1</v>
      </c>
      <c r="L41" s="102">
        <v>51.3</v>
      </c>
      <c r="M41" s="102">
        <v>17.100000000000001</v>
      </c>
      <c r="N41" s="102">
        <f t="shared" si="1"/>
        <v>284</v>
      </c>
      <c r="O41" s="102">
        <f t="shared" si="2"/>
        <v>1139</v>
      </c>
      <c r="P41" s="102">
        <f t="shared" si="3"/>
        <v>123.5</v>
      </c>
      <c r="Q41" s="102">
        <f t="shared" si="4"/>
        <v>1546.4999999999998</v>
      </c>
    </row>
    <row r="42" spans="1:17">
      <c r="A42" s="102">
        <v>1997</v>
      </c>
      <c r="B42" s="102">
        <v>56.2</v>
      </c>
      <c r="C42" s="102">
        <v>56.3</v>
      </c>
      <c r="D42" s="102">
        <v>43.4</v>
      </c>
      <c r="E42" s="102">
        <v>122.2</v>
      </c>
      <c r="F42" s="102">
        <v>103.2</v>
      </c>
      <c r="G42" s="102">
        <v>203.3</v>
      </c>
      <c r="H42" s="102">
        <v>152</v>
      </c>
      <c r="I42" s="102">
        <v>46.4</v>
      </c>
      <c r="J42" s="102">
        <v>119.2</v>
      </c>
      <c r="K42" s="102">
        <v>228.2</v>
      </c>
      <c r="L42" s="102">
        <v>52.8</v>
      </c>
      <c r="M42" s="102">
        <v>30.2</v>
      </c>
      <c r="N42" s="102">
        <f t="shared" si="1"/>
        <v>278.10000000000002</v>
      </c>
      <c r="O42" s="102">
        <f t="shared" si="2"/>
        <v>624.1</v>
      </c>
      <c r="P42" s="102">
        <f t="shared" si="3"/>
        <v>311.2</v>
      </c>
      <c r="Q42" s="102">
        <f t="shared" si="4"/>
        <v>1213.4000000000001</v>
      </c>
    </row>
    <row r="43" spans="1:17">
      <c r="A43" s="102">
        <v>1998</v>
      </c>
      <c r="B43" s="102">
        <v>44.2</v>
      </c>
      <c r="C43" s="102">
        <v>21.2</v>
      </c>
      <c r="D43" s="102">
        <v>37.1</v>
      </c>
      <c r="E43" s="102">
        <v>149.9</v>
      </c>
      <c r="F43" s="102">
        <v>130.80000000000001</v>
      </c>
      <c r="G43" s="102">
        <v>287.7</v>
      </c>
      <c r="H43" s="102">
        <v>303.7</v>
      </c>
      <c r="I43" s="102">
        <v>69.5</v>
      </c>
      <c r="J43" s="102">
        <v>26.9</v>
      </c>
      <c r="K43" s="102">
        <v>159.69999999999999</v>
      </c>
      <c r="L43" s="102">
        <v>21.1</v>
      </c>
      <c r="M43" s="102">
        <v>20.3</v>
      </c>
      <c r="N43" s="102">
        <f t="shared" si="1"/>
        <v>252.4</v>
      </c>
      <c r="O43" s="102">
        <f t="shared" si="2"/>
        <v>818.6</v>
      </c>
      <c r="P43" s="102">
        <f t="shared" si="3"/>
        <v>201.1</v>
      </c>
      <c r="Q43" s="102">
        <f t="shared" si="4"/>
        <v>1272.1000000000001</v>
      </c>
    </row>
    <row r="44" spans="1:17">
      <c r="A44" s="102">
        <v>1999</v>
      </c>
      <c r="B44" s="102">
        <v>21.7</v>
      </c>
      <c r="C44" s="102">
        <v>14.9</v>
      </c>
      <c r="D44" s="102">
        <v>36.1</v>
      </c>
      <c r="E44" s="102">
        <v>93.3</v>
      </c>
      <c r="F44" s="102">
        <v>148.30000000000001</v>
      </c>
      <c r="G44" s="102">
        <v>198</v>
      </c>
      <c r="H44" s="102">
        <v>243.1</v>
      </c>
      <c r="I44" s="102">
        <v>164.6</v>
      </c>
      <c r="J44" s="102">
        <v>70</v>
      </c>
      <c r="K44" s="102">
        <v>94.1</v>
      </c>
      <c r="L44" s="102">
        <v>50.6</v>
      </c>
      <c r="M44" s="102">
        <v>1.5</v>
      </c>
      <c r="N44" s="102">
        <f t="shared" si="1"/>
        <v>166</v>
      </c>
      <c r="O44" s="102">
        <f t="shared" si="2"/>
        <v>824</v>
      </c>
      <c r="P44" s="102">
        <f t="shared" si="3"/>
        <v>146.19999999999999</v>
      </c>
      <c r="Q44" s="102">
        <f t="shared" si="4"/>
        <v>1136.1999999999998</v>
      </c>
    </row>
    <row r="45" spans="1:17">
      <c r="A45" s="102">
        <v>2000</v>
      </c>
      <c r="B45" s="102">
        <v>30.5</v>
      </c>
      <c r="C45" s="102">
        <v>18.7</v>
      </c>
      <c r="D45" s="102">
        <v>98.3</v>
      </c>
      <c r="E45" s="102">
        <v>107.1</v>
      </c>
      <c r="F45" s="102">
        <v>207.7</v>
      </c>
      <c r="G45" s="102">
        <v>362.4</v>
      </c>
      <c r="H45" s="102">
        <v>82.6</v>
      </c>
      <c r="I45" s="102">
        <v>208.5</v>
      </c>
      <c r="J45" s="102">
        <v>121.2</v>
      </c>
      <c r="K45" s="102">
        <v>82.2</v>
      </c>
      <c r="L45" s="102">
        <v>21.1</v>
      </c>
      <c r="M45" s="102">
        <v>25.4</v>
      </c>
      <c r="N45" s="102">
        <f t="shared" si="1"/>
        <v>254.6</v>
      </c>
      <c r="O45" s="102">
        <f t="shared" si="2"/>
        <v>982.4</v>
      </c>
      <c r="P45" s="102">
        <f t="shared" si="3"/>
        <v>128.70000000000002</v>
      </c>
      <c r="Q45" s="102">
        <f t="shared" si="4"/>
        <v>1365.7</v>
      </c>
    </row>
    <row r="46" spans="1:17">
      <c r="A46" s="102">
        <v>2001</v>
      </c>
      <c r="B46" s="102">
        <v>25</v>
      </c>
      <c r="C46" s="102">
        <v>27.1</v>
      </c>
      <c r="D46" s="102">
        <v>48.9</v>
      </c>
      <c r="E46" s="102">
        <v>138.19999999999999</v>
      </c>
      <c r="F46" s="102">
        <v>109.8</v>
      </c>
      <c r="G46" s="102">
        <v>188.6</v>
      </c>
      <c r="H46" s="102">
        <v>116</v>
      </c>
      <c r="I46" s="102">
        <v>110.6</v>
      </c>
      <c r="J46" s="102">
        <v>2.9</v>
      </c>
      <c r="K46" s="102">
        <v>147.80000000000001</v>
      </c>
      <c r="L46" s="102">
        <v>67.8</v>
      </c>
      <c r="M46" s="102">
        <v>14.8</v>
      </c>
      <c r="N46" s="102">
        <f t="shared" si="1"/>
        <v>239.2</v>
      </c>
      <c r="O46" s="102">
        <f t="shared" si="2"/>
        <v>527.9</v>
      </c>
      <c r="P46" s="102">
        <f t="shared" si="3"/>
        <v>230.40000000000003</v>
      </c>
      <c r="Q46" s="102">
        <f t="shared" si="4"/>
        <v>997.5</v>
      </c>
    </row>
    <row r="47" spans="1:17">
      <c r="A47" s="102">
        <v>2002</v>
      </c>
      <c r="B47" s="102">
        <v>12.6</v>
      </c>
      <c r="C47" s="102">
        <v>45.2</v>
      </c>
      <c r="D47" s="102">
        <v>53.4</v>
      </c>
      <c r="E47" s="102">
        <v>106.7</v>
      </c>
      <c r="F47" s="102">
        <v>255.7</v>
      </c>
      <c r="G47" s="102">
        <v>264.60000000000002</v>
      </c>
      <c r="H47" s="102">
        <v>155</v>
      </c>
      <c r="I47" s="102">
        <v>250.2</v>
      </c>
      <c r="J47" s="102">
        <v>27.5</v>
      </c>
      <c r="K47" s="102">
        <v>133.5</v>
      </c>
      <c r="L47" s="102">
        <v>5.6</v>
      </c>
      <c r="M47" s="102">
        <v>65.5</v>
      </c>
      <c r="N47" s="102">
        <f t="shared" si="1"/>
        <v>217.9</v>
      </c>
      <c r="O47" s="102">
        <f t="shared" si="2"/>
        <v>953</v>
      </c>
      <c r="P47" s="102">
        <f t="shared" si="3"/>
        <v>204.6</v>
      </c>
      <c r="Q47" s="102">
        <f t="shared" si="4"/>
        <v>1375.5</v>
      </c>
    </row>
    <row r="48" spans="1:17">
      <c r="A48" s="102">
        <v>2003</v>
      </c>
      <c r="B48" s="102">
        <v>49</v>
      </c>
      <c r="C48" s="102">
        <v>7</v>
      </c>
      <c r="D48" s="102">
        <v>26.3</v>
      </c>
      <c r="E48" s="102">
        <v>221.3</v>
      </c>
      <c r="F48" s="102">
        <v>220.9</v>
      </c>
      <c r="G48" s="102">
        <v>207.4</v>
      </c>
      <c r="H48" s="102">
        <v>122.5</v>
      </c>
      <c r="I48" s="102">
        <v>24.9</v>
      </c>
      <c r="J48" s="102">
        <v>92.1</v>
      </c>
      <c r="K48" s="102">
        <v>66.3</v>
      </c>
      <c r="L48" s="102">
        <v>14.5</v>
      </c>
      <c r="M48" s="102">
        <v>21.8</v>
      </c>
      <c r="N48" s="102">
        <f t="shared" si="1"/>
        <v>303.60000000000002</v>
      </c>
      <c r="O48" s="102">
        <f t="shared" si="2"/>
        <v>667.8</v>
      </c>
      <c r="P48" s="102">
        <f t="shared" si="3"/>
        <v>102.6</v>
      </c>
      <c r="Q48" s="102">
        <f t="shared" si="4"/>
        <v>1074</v>
      </c>
    </row>
    <row r="49" spans="1:33">
      <c r="A49" s="102">
        <v>2004</v>
      </c>
      <c r="B49" s="103">
        <v>34.700000000000003</v>
      </c>
      <c r="C49" s="103">
        <v>43.4</v>
      </c>
      <c r="D49" s="103">
        <v>20.399999999999999</v>
      </c>
      <c r="E49" s="103">
        <v>194.3</v>
      </c>
      <c r="F49" s="103">
        <v>191.9</v>
      </c>
      <c r="G49" s="103">
        <v>178.1</v>
      </c>
      <c r="H49" s="103">
        <v>390</v>
      </c>
      <c r="I49" s="103">
        <v>74.7</v>
      </c>
      <c r="J49" s="103">
        <v>32.9</v>
      </c>
      <c r="K49" s="103">
        <v>16.3</v>
      </c>
      <c r="L49" s="103">
        <v>49.9</v>
      </c>
      <c r="M49" s="103">
        <v>32.200000000000003</v>
      </c>
      <c r="N49" s="102">
        <f t="shared" si="1"/>
        <v>292.8</v>
      </c>
      <c r="O49" s="102">
        <f t="shared" si="2"/>
        <v>867.6</v>
      </c>
      <c r="P49" s="102">
        <f t="shared" si="3"/>
        <v>98.4</v>
      </c>
      <c r="Q49" s="102">
        <f t="shared" si="4"/>
        <v>1258.8000000000004</v>
      </c>
    </row>
    <row r="50" spans="1:33">
      <c r="A50" s="102">
        <v>2005</v>
      </c>
      <c r="B50" s="103">
        <v>44.6</v>
      </c>
      <c r="C50" s="103">
        <v>24.1</v>
      </c>
      <c r="D50" s="103">
        <v>54.9</v>
      </c>
      <c r="E50" s="103">
        <v>54.4</v>
      </c>
      <c r="F50" s="103">
        <v>261.7</v>
      </c>
      <c r="G50" s="103">
        <v>88.6</v>
      </c>
      <c r="H50" s="103">
        <v>61.8</v>
      </c>
      <c r="I50" s="103">
        <v>92.4</v>
      </c>
      <c r="J50" s="103">
        <v>8</v>
      </c>
      <c r="K50" s="102">
        <v>26.3</v>
      </c>
      <c r="L50" s="102">
        <v>28.5</v>
      </c>
      <c r="M50" s="102">
        <v>25.7</v>
      </c>
      <c r="N50" s="102">
        <f t="shared" si="1"/>
        <v>178</v>
      </c>
      <c r="O50" s="102">
        <f t="shared" si="2"/>
        <v>512.5</v>
      </c>
      <c r="P50" s="102">
        <f t="shared" si="3"/>
        <v>80.5</v>
      </c>
      <c r="Q50" s="102">
        <f t="shared" si="4"/>
        <v>770.99999999999989</v>
      </c>
    </row>
    <row r="51" spans="1:33">
      <c r="A51" s="102">
        <v>2006</v>
      </c>
      <c r="B51" s="102">
        <v>11.8</v>
      </c>
      <c r="C51" s="102">
        <v>43.4</v>
      </c>
      <c r="D51" s="102">
        <v>50.5</v>
      </c>
      <c r="E51" s="102">
        <v>182</v>
      </c>
      <c r="F51" s="102">
        <v>143.30000000000001</v>
      </c>
      <c r="G51" s="102">
        <v>171.7</v>
      </c>
      <c r="H51" s="102">
        <v>125.4</v>
      </c>
      <c r="I51" s="102">
        <v>146.30000000000001</v>
      </c>
      <c r="J51" s="102">
        <v>39.700000000000003</v>
      </c>
      <c r="K51" s="102">
        <v>90.4</v>
      </c>
      <c r="L51" s="102">
        <v>35.9</v>
      </c>
      <c r="M51" s="102">
        <v>16.2</v>
      </c>
      <c r="N51" s="102">
        <f t="shared" si="1"/>
        <v>287.7</v>
      </c>
      <c r="O51" s="102">
        <f t="shared" si="2"/>
        <v>626.40000000000009</v>
      </c>
      <c r="P51" s="102">
        <f t="shared" si="3"/>
        <v>142.5</v>
      </c>
      <c r="Q51" s="102">
        <f t="shared" si="4"/>
        <v>1056.6000000000001</v>
      </c>
    </row>
    <row r="52" spans="1:33">
      <c r="A52" s="102">
        <v>2007</v>
      </c>
      <c r="B52" s="102">
        <v>36.9</v>
      </c>
      <c r="C52" s="102">
        <v>13.3</v>
      </c>
      <c r="D52" s="102">
        <v>59.4</v>
      </c>
      <c r="E52" s="102">
        <v>92.3</v>
      </c>
      <c r="F52" s="102">
        <v>141</v>
      </c>
      <c r="G52" s="102">
        <v>289.5</v>
      </c>
      <c r="H52" s="102">
        <v>263.39999999999998</v>
      </c>
      <c r="I52" s="102">
        <v>203</v>
      </c>
      <c r="J52" s="102">
        <v>54.4</v>
      </c>
      <c r="K52" s="102">
        <v>5.6</v>
      </c>
      <c r="L52" s="102">
        <v>0</v>
      </c>
      <c r="M52" s="102">
        <v>14.5</v>
      </c>
      <c r="N52" s="102">
        <f t="shared" si="1"/>
        <v>201.89999999999998</v>
      </c>
      <c r="O52" s="102">
        <f t="shared" si="2"/>
        <v>951.3</v>
      </c>
      <c r="P52" s="102">
        <f t="shared" si="3"/>
        <v>20.100000000000001</v>
      </c>
      <c r="Q52" s="102">
        <f t="shared" si="4"/>
        <v>1173.3</v>
      </c>
    </row>
    <row r="53" spans="1:33">
      <c r="A53" s="102">
        <v>2008</v>
      </c>
      <c r="B53" s="102">
        <v>21.7</v>
      </c>
      <c r="C53" s="102">
        <v>30</v>
      </c>
      <c r="D53" s="102">
        <v>87</v>
      </c>
      <c r="E53" s="102">
        <v>72.599999999999994</v>
      </c>
      <c r="F53" s="102">
        <v>233.5</v>
      </c>
      <c r="G53" s="102">
        <v>114.3</v>
      </c>
      <c r="H53" s="102">
        <v>206.4</v>
      </c>
      <c r="I53" s="102">
        <v>218.7</v>
      </c>
      <c r="J53" s="102">
        <v>49.4</v>
      </c>
      <c r="K53" s="102">
        <v>89.3</v>
      </c>
      <c r="L53" s="102">
        <v>151.4</v>
      </c>
      <c r="M53" s="102">
        <v>13.2</v>
      </c>
      <c r="N53" s="102">
        <f t="shared" si="1"/>
        <v>211.29999999999998</v>
      </c>
      <c r="O53" s="102">
        <f t="shared" si="2"/>
        <v>822.30000000000007</v>
      </c>
      <c r="P53" s="102">
        <f t="shared" si="3"/>
        <v>253.89999999999998</v>
      </c>
      <c r="Q53" s="102">
        <f t="shared" si="4"/>
        <v>1287.5</v>
      </c>
    </row>
    <row r="54" spans="1:33">
      <c r="A54" s="102">
        <v>2009</v>
      </c>
      <c r="B54" s="102">
        <v>18.8</v>
      </c>
      <c r="C54" s="102">
        <v>24.1</v>
      </c>
      <c r="D54" s="102">
        <v>54</v>
      </c>
      <c r="E54" s="102">
        <v>190.2</v>
      </c>
      <c r="F54" s="102">
        <v>102.8</v>
      </c>
      <c r="G54" s="102">
        <v>257.2</v>
      </c>
      <c r="H54" s="102">
        <v>90</v>
      </c>
      <c r="I54" s="102">
        <v>11.4</v>
      </c>
      <c r="J54" s="102">
        <v>89.6</v>
      </c>
      <c r="K54" s="102">
        <v>38.700000000000003</v>
      </c>
      <c r="L54" s="102">
        <v>24.3</v>
      </c>
      <c r="M54" s="102">
        <v>26.7</v>
      </c>
      <c r="N54" s="102">
        <f t="shared" si="1"/>
        <v>287.10000000000002</v>
      </c>
      <c r="O54" s="102">
        <f t="shared" si="2"/>
        <v>551</v>
      </c>
      <c r="P54" s="102">
        <f t="shared" si="3"/>
        <v>89.7</v>
      </c>
      <c r="Q54" s="102">
        <f t="shared" si="4"/>
        <v>927.80000000000007</v>
      </c>
    </row>
    <row r="55" spans="1:33">
      <c r="A55" s="102">
        <v>2010</v>
      </c>
      <c r="B55" s="102">
        <v>8.1999999999999993</v>
      </c>
      <c r="C55" s="102">
        <v>4.5999999999999996</v>
      </c>
      <c r="D55" s="102">
        <v>32.299999999999997</v>
      </c>
      <c r="E55" s="102">
        <v>120.8</v>
      </c>
      <c r="F55" s="102">
        <v>102.5</v>
      </c>
      <c r="G55" s="102">
        <v>305.2</v>
      </c>
      <c r="H55" s="102">
        <v>130.5</v>
      </c>
      <c r="I55" s="102">
        <v>46.9</v>
      </c>
      <c r="J55" s="102">
        <v>134.30000000000001</v>
      </c>
      <c r="K55" s="102">
        <v>100.2</v>
      </c>
      <c r="L55" s="102">
        <v>24</v>
      </c>
      <c r="M55" s="102">
        <v>55.1</v>
      </c>
      <c r="N55" s="102">
        <f t="shared" si="1"/>
        <v>165.89999999999998</v>
      </c>
      <c r="O55" s="102">
        <f t="shared" si="2"/>
        <v>719.40000000000009</v>
      </c>
      <c r="P55" s="102">
        <f t="shared" si="3"/>
        <v>179.3</v>
      </c>
      <c r="Q55" s="102">
        <f t="shared" si="4"/>
        <v>1064.5999999999999</v>
      </c>
    </row>
    <row r="56" spans="1:33">
      <c r="A56" s="102">
        <v>2011</v>
      </c>
      <c r="B56" s="102">
        <v>24.4</v>
      </c>
      <c r="C56" s="102">
        <v>23</v>
      </c>
      <c r="D56" s="102">
        <v>38.5</v>
      </c>
      <c r="E56" s="102">
        <v>45.9</v>
      </c>
      <c r="F56" s="102">
        <v>166.3</v>
      </c>
      <c r="G56" s="102">
        <v>307.10000000000002</v>
      </c>
      <c r="H56" s="102">
        <v>23.8</v>
      </c>
      <c r="I56" s="102">
        <v>23.2</v>
      </c>
      <c r="J56" s="102">
        <v>68.7</v>
      </c>
      <c r="K56" s="102">
        <v>144.69999999999999</v>
      </c>
      <c r="L56" s="102">
        <v>42.5</v>
      </c>
      <c r="M56" s="102">
        <v>11.1</v>
      </c>
      <c r="N56" s="102">
        <f t="shared" si="1"/>
        <v>131.80000000000001</v>
      </c>
      <c r="O56" s="102">
        <f t="shared" si="2"/>
        <v>589.10000000000014</v>
      </c>
      <c r="P56" s="102">
        <f t="shared" si="3"/>
        <v>198.29999999999998</v>
      </c>
      <c r="Q56" s="102">
        <f t="shared" si="4"/>
        <v>919.20000000000016</v>
      </c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</row>
    <row r="57" spans="1:33">
      <c r="A57" s="102">
        <v>2012</v>
      </c>
      <c r="B57" s="102">
        <v>30.1</v>
      </c>
      <c r="C57" s="102">
        <v>25.7</v>
      </c>
      <c r="D57" s="102">
        <v>57</v>
      </c>
      <c r="E57" s="102">
        <v>55</v>
      </c>
      <c r="F57" s="102">
        <v>219</v>
      </c>
      <c r="G57" s="102">
        <v>254.1</v>
      </c>
      <c r="H57" s="102">
        <v>241.2</v>
      </c>
      <c r="I57" s="102">
        <v>70.8</v>
      </c>
      <c r="J57" s="102">
        <v>79.8</v>
      </c>
      <c r="K57" s="102">
        <v>66.400000000000006</v>
      </c>
      <c r="L57" s="102">
        <v>41.7</v>
      </c>
      <c r="M57" s="102">
        <v>12</v>
      </c>
      <c r="N57" s="102">
        <f t="shared" si="1"/>
        <v>167.8</v>
      </c>
      <c r="O57" s="102">
        <f t="shared" si="2"/>
        <v>864.89999999999986</v>
      </c>
      <c r="P57" s="102">
        <f t="shared" si="3"/>
        <v>120.10000000000001</v>
      </c>
      <c r="Q57" s="102">
        <f t="shared" si="4"/>
        <v>1152.8</v>
      </c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</row>
    <row r="58" spans="1:33">
      <c r="A58" s="102">
        <v>2013</v>
      </c>
      <c r="B58" s="102">
        <v>8.9</v>
      </c>
      <c r="C58" s="102">
        <v>21.8</v>
      </c>
      <c r="D58" s="102">
        <v>140.9</v>
      </c>
      <c r="E58" s="102">
        <v>132.4</v>
      </c>
      <c r="F58" s="102">
        <v>329.6</v>
      </c>
      <c r="G58" s="102">
        <v>177.5</v>
      </c>
      <c r="H58" s="102">
        <v>57.4</v>
      </c>
      <c r="I58" s="102">
        <v>88.6</v>
      </c>
      <c r="J58" s="102">
        <v>139.4</v>
      </c>
      <c r="K58" s="102">
        <v>74.099999999999994</v>
      </c>
      <c r="L58" s="102">
        <v>55.5</v>
      </c>
      <c r="M58" s="102">
        <v>40.799999999999997</v>
      </c>
      <c r="N58" s="102">
        <f t="shared" si="1"/>
        <v>304</v>
      </c>
      <c r="O58" s="102">
        <f t="shared" si="2"/>
        <v>792.5</v>
      </c>
      <c r="P58" s="102">
        <f t="shared" si="3"/>
        <v>170.39999999999998</v>
      </c>
      <c r="Q58" s="102">
        <f t="shared" si="4"/>
        <v>1266.8999999999999</v>
      </c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</row>
    <row r="59" spans="1:33">
      <c r="A59" s="102">
        <v>2014</v>
      </c>
      <c r="B59" s="128">
        <v>4.5</v>
      </c>
      <c r="C59" s="128">
        <v>31.5</v>
      </c>
      <c r="D59" s="128">
        <v>66.7</v>
      </c>
      <c r="E59" s="128">
        <v>72.400000000000006</v>
      </c>
      <c r="F59" s="128">
        <v>181.4</v>
      </c>
      <c r="G59" s="128">
        <v>251.3</v>
      </c>
      <c r="H59" s="128">
        <v>223.4</v>
      </c>
      <c r="I59" s="128">
        <v>125.4</v>
      </c>
      <c r="J59" s="128">
        <v>188.7</v>
      </c>
      <c r="K59" s="128">
        <v>68.2</v>
      </c>
      <c r="L59" s="128">
        <v>81.7</v>
      </c>
      <c r="M59" s="128">
        <v>5.0999999999999996</v>
      </c>
      <c r="N59" s="102">
        <f t="shared" si="1"/>
        <v>175.10000000000002</v>
      </c>
      <c r="O59" s="102">
        <f t="shared" si="2"/>
        <v>970.2</v>
      </c>
      <c r="P59" s="102">
        <f t="shared" si="3"/>
        <v>155</v>
      </c>
      <c r="Q59" s="102">
        <f t="shared" si="4"/>
        <v>1300.3</v>
      </c>
    </row>
    <row r="60" spans="1:33">
      <c r="A60" s="102">
        <v>2015</v>
      </c>
      <c r="B60" s="128">
        <v>38.9</v>
      </c>
      <c r="C60" s="128">
        <v>34.9</v>
      </c>
      <c r="D60" s="128">
        <v>56.6</v>
      </c>
      <c r="E60" s="128">
        <v>55.1</v>
      </c>
      <c r="F60" s="128">
        <v>389.8</v>
      </c>
      <c r="G60" s="128">
        <v>407.8</v>
      </c>
      <c r="H60" s="128">
        <v>116.1</v>
      </c>
      <c r="I60" s="128">
        <v>288.3</v>
      </c>
      <c r="J60" s="128">
        <v>116.3</v>
      </c>
      <c r="K60" s="128">
        <v>134.6</v>
      </c>
      <c r="L60" s="128">
        <v>80.7</v>
      </c>
      <c r="M60" s="128">
        <v>65.7</v>
      </c>
      <c r="N60" s="102">
        <f t="shared" si="1"/>
        <v>185.5</v>
      </c>
      <c r="O60" s="102">
        <f t="shared" si="2"/>
        <v>1318.3</v>
      </c>
      <c r="P60" s="102">
        <f t="shared" si="3"/>
        <v>281</v>
      </c>
      <c r="Q60" s="102">
        <f t="shared" si="4"/>
        <v>1784.7999999999997</v>
      </c>
    </row>
    <row r="61" spans="1:33" ht="13.5">
      <c r="A61" s="102">
        <v>2016</v>
      </c>
      <c r="B61" s="128">
        <v>58.6</v>
      </c>
      <c r="C61" s="128">
        <v>8</v>
      </c>
      <c r="D61" s="128">
        <v>87.7</v>
      </c>
      <c r="E61" s="128">
        <v>147</v>
      </c>
      <c r="F61" s="128">
        <v>183.6</v>
      </c>
      <c r="G61" s="128">
        <v>208.5</v>
      </c>
      <c r="H61" s="128">
        <v>213.3</v>
      </c>
      <c r="I61" s="128">
        <v>176</v>
      </c>
      <c r="J61" s="128">
        <v>36.4</v>
      </c>
      <c r="K61" s="128">
        <v>60.9</v>
      </c>
      <c r="L61" s="128">
        <v>62.2</v>
      </c>
      <c r="M61" s="128">
        <v>48.8</v>
      </c>
      <c r="N61" s="102">
        <f>SUM(B61:E61)</f>
        <v>301.3</v>
      </c>
      <c r="O61" s="102">
        <f>SUM(F61:J61)</f>
        <v>817.80000000000007</v>
      </c>
      <c r="P61" s="102">
        <f>SUM(K61:M61)</f>
        <v>171.89999999999998</v>
      </c>
      <c r="Q61" s="102">
        <f>SUM(B61:M61)</f>
        <v>1291.0000000000002</v>
      </c>
      <c r="R61" s="129">
        <f t="shared" ref="R61:AG61" si="5">100*(B61-B4)/B4</f>
        <v>111.18476092412637</v>
      </c>
      <c r="S61" s="129">
        <f t="shared" si="5"/>
        <v>-72.333724448835923</v>
      </c>
      <c r="T61" s="129">
        <f t="shared" si="5"/>
        <v>63.815877251500986</v>
      </c>
      <c r="U61" s="129">
        <f t="shared" si="5"/>
        <v>23.396090658352332</v>
      </c>
      <c r="V61" s="129">
        <f t="shared" si="5"/>
        <v>-6.1769402746726048</v>
      </c>
      <c r="W61" s="129">
        <f t="shared" si="5"/>
        <v>-4.9990236281976257</v>
      </c>
      <c r="X61" s="129">
        <f t="shared" si="5"/>
        <v>21.803683233740575</v>
      </c>
      <c r="Y61" s="129">
        <f t="shared" si="5"/>
        <v>43.608573385204942</v>
      </c>
      <c r="Z61" s="129">
        <f t="shared" si="5"/>
        <v>-53.851030110935021</v>
      </c>
      <c r="AA61" s="129">
        <f t="shared" si="5"/>
        <v>-35.553119921387818</v>
      </c>
      <c r="AB61" s="129">
        <f t="shared" si="5"/>
        <v>16.976189676596032</v>
      </c>
      <c r="AC61" s="129">
        <f t="shared" si="5"/>
        <v>102.41463595289234</v>
      </c>
      <c r="AD61" s="129">
        <f t="shared" si="5"/>
        <v>31.383542017068468</v>
      </c>
      <c r="AE61" s="129">
        <f t="shared" si="5"/>
        <v>3.2957713440214804</v>
      </c>
      <c r="AF61" s="129">
        <f t="shared" si="5"/>
        <v>7.0689009938023781E-2</v>
      </c>
      <c r="AG61" s="129">
        <f t="shared" si="5"/>
        <v>8.2314334646753782</v>
      </c>
    </row>
  </sheetData>
  <mergeCells count="6">
    <mergeCell ref="A1:A3"/>
    <mergeCell ref="B1:Q1"/>
    <mergeCell ref="B2:M2"/>
    <mergeCell ref="R1:AG1"/>
    <mergeCell ref="N2:Q2"/>
    <mergeCell ref="R2:AG2"/>
  </mergeCells>
  <phoneticPr fontId="2" type="noConversion"/>
  <pageMargins left="0.75" right="0.75" top="1" bottom="1" header="0.5" footer="0.5"/>
  <pageSetup paperSize="9" orientation="portrait" horizontalDpi="200" verticalDpi="200" copies="0" r:id="rId1"/>
  <headerFooter alignWithMargins="0"/>
</worksheet>
</file>

<file path=xl/worksheets/sheet46.xml><?xml version="1.0" encoding="utf-8"?>
<worksheet xmlns="http://schemas.openxmlformats.org/spreadsheetml/2006/main" xmlns:r="http://schemas.openxmlformats.org/officeDocument/2006/relationships">
  <sheetPr codeName="Sheet46"/>
  <dimension ref="A1:AG63"/>
  <sheetViews>
    <sheetView zoomScale="85" zoomScaleNormal="85" workbookViewId="0">
      <pane ySplit="5" topLeftCell="A6" activePane="bottomLeft" state="frozen"/>
      <selection pane="bottomLeft" activeCell="B62" sqref="B62:Q62"/>
    </sheetView>
  </sheetViews>
  <sheetFormatPr defaultRowHeight="12"/>
  <cols>
    <col min="1" max="16384" width="9" style="102"/>
  </cols>
  <sheetData>
    <row r="1" spans="1:33" s="118" customFormat="1" ht="14.25" customHeight="1">
      <c r="A1" s="176" t="s">
        <v>53</v>
      </c>
      <c r="B1" s="176" t="s">
        <v>171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2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116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32</v>
      </c>
      <c r="O2" s="176"/>
      <c r="P2" s="176"/>
      <c r="Q2" s="176"/>
      <c r="R2" s="176" t="s">
        <v>38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>
      <c r="A3" s="176"/>
      <c r="B3" s="124" t="s">
        <v>149</v>
      </c>
      <c r="C3" s="124" t="s">
        <v>150</v>
      </c>
      <c r="D3" s="124" t="s">
        <v>9</v>
      </c>
      <c r="E3" s="124" t="s">
        <v>10</v>
      </c>
      <c r="F3" s="124" t="s">
        <v>11</v>
      </c>
      <c r="G3" s="124" t="s">
        <v>12</v>
      </c>
      <c r="H3" s="124" t="s">
        <v>13</v>
      </c>
      <c r="I3" s="124" t="s">
        <v>14</v>
      </c>
      <c r="J3" s="124" t="s">
        <v>15</v>
      </c>
      <c r="K3" s="124" t="s">
        <v>16</v>
      </c>
      <c r="L3" s="124" t="s">
        <v>17</v>
      </c>
      <c r="M3" s="124" t="s">
        <v>18</v>
      </c>
      <c r="N3" s="124" t="s">
        <v>145</v>
      </c>
      <c r="O3" s="124" t="s">
        <v>146</v>
      </c>
      <c r="P3" s="124" t="s">
        <v>147</v>
      </c>
      <c r="Q3" s="124" t="s">
        <v>148</v>
      </c>
      <c r="R3" s="124" t="s">
        <v>149</v>
      </c>
      <c r="S3" s="124" t="s">
        <v>150</v>
      </c>
      <c r="T3" s="124" t="s">
        <v>151</v>
      </c>
      <c r="U3" s="124" t="s">
        <v>152</v>
      </c>
      <c r="V3" s="124" t="s">
        <v>153</v>
      </c>
      <c r="W3" s="124" t="s">
        <v>154</v>
      </c>
      <c r="X3" s="124" t="s">
        <v>25</v>
      </c>
      <c r="Y3" s="124" t="s">
        <v>26</v>
      </c>
      <c r="Z3" s="124" t="s">
        <v>27</v>
      </c>
      <c r="AA3" s="124" t="s">
        <v>155</v>
      </c>
      <c r="AB3" s="124" t="s">
        <v>156</v>
      </c>
      <c r="AC3" s="124" t="s">
        <v>157</v>
      </c>
      <c r="AD3" s="124" t="s">
        <v>90</v>
      </c>
      <c r="AE3" s="124" t="s">
        <v>42</v>
      </c>
      <c r="AF3" s="124" t="s">
        <v>111</v>
      </c>
      <c r="AG3" s="124" t="s">
        <v>66</v>
      </c>
    </row>
    <row r="4" spans="1:33" s="118" customFormat="1">
      <c r="A4" s="150" t="s">
        <v>261</v>
      </c>
      <c r="B4" s="150">
        <f t="shared" ref="B4:Q4" si="0">AVERAGE(B5:B62)</f>
        <v>27.69655172413794</v>
      </c>
      <c r="C4" s="150">
        <f t="shared" si="0"/>
        <v>27.84827586206897</v>
      </c>
      <c r="D4" s="150">
        <f t="shared" si="0"/>
        <v>52.867241379310343</v>
      </c>
      <c r="E4" s="150">
        <f t="shared" si="0"/>
        <v>111.01551724137931</v>
      </c>
      <c r="F4" s="150">
        <f t="shared" si="0"/>
        <v>185.64827586206903</v>
      </c>
      <c r="G4" s="150">
        <f t="shared" si="0"/>
        <v>184.4913793103448</v>
      </c>
      <c r="H4" s="150">
        <f t="shared" si="0"/>
        <v>144.0051724137931</v>
      </c>
      <c r="I4" s="150">
        <f t="shared" si="0"/>
        <v>111.73103448275866</v>
      </c>
      <c r="J4" s="150">
        <f t="shared" si="0"/>
        <v>81.191379310344814</v>
      </c>
      <c r="K4" s="150">
        <f t="shared" si="0"/>
        <v>85.615789473684217</v>
      </c>
      <c r="L4" s="150">
        <f t="shared" si="0"/>
        <v>51.340350877192975</v>
      </c>
      <c r="M4" s="150">
        <f t="shared" si="0"/>
        <v>23.684482758620689</v>
      </c>
      <c r="N4" s="150">
        <f t="shared" si="0"/>
        <v>219.42758620689648</v>
      </c>
      <c r="O4" s="150">
        <f t="shared" si="0"/>
        <v>707.06724137931042</v>
      </c>
      <c r="P4" s="150">
        <f t="shared" si="0"/>
        <v>158.27931034482756</v>
      </c>
      <c r="Q4" s="150">
        <f t="shared" si="0"/>
        <v>1084.7741379310346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1958</v>
      </c>
      <c r="B5" s="102">
        <v>8.1</v>
      </c>
      <c r="C5" s="102">
        <v>30.5</v>
      </c>
      <c r="D5" s="102">
        <v>10.3</v>
      </c>
      <c r="E5" s="102">
        <v>84.9</v>
      </c>
      <c r="F5" s="102">
        <v>153.69999999999999</v>
      </c>
      <c r="G5" s="102">
        <v>113.9</v>
      </c>
      <c r="H5" s="102">
        <v>140.5</v>
      </c>
      <c r="I5" s="102">
        <v>78</v>
      </c>
      <c r="J5" s="102">
        <v>151.5</v>
      </c>
      <c r="K5" s="102">
        <v>89.2</v>
      </c>
      <c r="L5" s="102">
        <v>8.4</v>
      </c>
      <c r="M5" s="102">
        <v>14.5</v>
      </c>
      <c r="N5" s="102">
        <f>SUM(B5:E5)</f>
        <v>133.80000000000001</v>
      </c>
      <c r="O5" s="102">
        <f>SUM(F5:J5)</f>
        <v>637.6</v>
      </c>
      <c r="P5" s="102">
        <f>SUM(K5:M5)</f>
        <v>112.10000000000001</v>
      </c>
      <c r="Q5" s="102">
        <f>SUM(B5:M5)</f>
        <v>883.5</v>
      </c>
    </row>
    <row r="6" spans="1:33">
      <c r="A6" s="102">
        <v>1959</v>
      </c>
      <c r="B6" s="102">
        <v>17.7</v>
      </c>
      <c r="C6" s="102">
        <v>82.3</v>
      </c>
      <c r="D6" s="102">
        <v>133.80000000000001</v>
      </c>
      <c r="E6" s="102">
        <v>99.2</v>
      </c>
      <c r="F6" s="102">
        <v>239.1</v>
      </c>
      <c r="G6" s="102">
        <v>196.6</v>
      </c>
      <c r="H6" s="102">
        <v>107.6</v>
      </c>
      <c r="I6" s="102">
        <v>102.5</v>
      </c>
      <c r="J6" s="102">
        <v>136</v>
      </c>
      <c r="K6" s="102">
        <v>71.099999999999994</v>
      </c>
      <c r="L6" s="102">
        <v>68</v>
      </c>
      <c r="M6" s="102">
        <v>23.5</v>
      </c>
      <c r="N6" s="102">
        <f t="shared" ref="N6:N62" si="1">SUM(B6:E6)</f>
        <v>333</v>
      </c>
      <c r="O6" s="102">
        <f t="shared" ref="O6:O62" si="2">SUM(F6:J6)</f>
        <v>781.8</v>
      </c>
      <c r="P6" s="102">
        <f t="shared" ref="P6:P62" si="3">SUM(K6:M6)</f>
        <v>162.6</v>
      </c>
      <c r="Q6" s="102">
        <f t="shared" ref="Q6:Q62" si="4">SUM(B6:M6)</f>
        <v>1277.4000000000001</v>
      </c>
    </row>
    <row r="7" spans="1:33">
      <c r="A7" s="102">
        <v>1960</v>
      </c>
      <c r="B7" s="102">
        <v>16.5</v>
      </c>
      <c r="C7" s="102">
        <v>29.6</v>
      </c>
      <c r="D7" s="102">
        <v>25.2</v>
      </c>
      <c r="E7" s="102">
        <v>96.2</v>
      </c>
      <c r="F7" s="102">
        <v>164.1</v>
      </c>
      <c r="G7" s="102">
        <v>97.4</v>
      </c>
      <c r="H7" s="102">
        <v>164.8</v>
      </c>
      <c r="I7" s="102">
        <v>40</v>
      </c>
      <c r="J7" s="102">
        <v>67.5</v>
      </c>
      <c r="K7" s="102">
        <v>49.4</v>
      </c>
      <c r="L7" s="102">
        <v>37.200000000000003</v>
      </c>
      <c r="M7" s="102">
        <v>5.3</v>
      </c>
      <c r="N7" s="102">
        <f t="shared" si="1"/>
        <v>167.5</v>
      </c>
      <c r="O7" s="102">
        <f t="shared" si="2"/>
        <v>533.79999999999995</v>
      </c>
      <c r="P7" s="102">
        <f t="shared" si="3"/>
        <v>91.899999999999991</v>
      </c>
      <c r="Q7" s="102">
        <f t="shared" si="4"/>
        <v>793.19999999999993</v>
      </c>
    </row>
    <row r="8" spans="1:33">
      <c r="A8" s="102">
        <v>1961</v>
      </c>
      <c r="B8" s="102">
        <v>10</v>
      </c>
      <c r="C8" s="102">
        <v>24.5</v>
      </c>
      <c r="D8" s="102">
        <v>87</v>
      </c>
      <c r="E8" s="102">
        <v>174.8</v>
      </c>
      <c r="F8" s="102">
        <v>151</v>
      </c>
      <c r="G8" s="102">
        <v>65</v>
      </c>
      <c r="H8" s="102">
        <v>137.6</v>
      </c>
      <c r="I8" s="102">
        <v>141.5</v>
      </c>
      <c r="J8" s="102">
        <v>109.9</v>
      </c>
      <c r="K8" s="102">
        <v>196.6</v>
      </c>
      <c r="L8" s="102">
        <v>124</v>
      </c>
      <c r="M8" s="102">
        <v>48</v>
      </c>
      <c r="N8" s="102">
        <f t="shared" si="1"/>
        <v>296.3</v>
      </c>
      <c r="O8" s="102">
        <f t="shared" si="2"/>
        <v>605</v>
      </c>
      <c r="P8" s="102">
        <f t="shared" si="3"/>
        <v>368.6</v>
      </c>
      <c r="Q8" s="102">
        <f t="shared" si="4"/>
        <v>1269.8999999999999</v>
      </c>
    </row>
    <row r="9" spans="1:33">
      <c r="A9" s="102">
        <v>1962</v>
      </c>
      <c r="B9" s="102">
        <v>23.2</v>
      </c>
      <c r="C9" s="102">
        <v>11.2</v>
      </c>
      <c r="D9" s="102">
        <v>36.9</v>
      </c>
      <c r="E9" s="102">
        <v>149.80000000000001</v>
      </c>
      <c r="F9" s="102">
        <v>223.4</v>
      </c>
      <c r="G9" s="102">
        <v>137.4</v>
      </c>
      <c r="H9" s="102">
        <v>54.4</v>
      </c>
      <c r="I9" s="102">
        <v>74</v>
      </c>
      <c r="J9" s="102">
        <v>33.9</v>
      </c>
      <c r="K9" s="102">
        <v>134.6</v>
      </c>
      <c r="L9" s="102">
        <v>23.2</v>
      </c>
      <c r="M9" s="102">
        <v>38.4</v>
      </c>
      <c r="N9" s="102">
        <f t="shared" si="1"/>
        <v>221.10000000000002</v>
      </c>
      <c r="O9" s="102">
        <f t="shared" si="2"/>
        <v>523.1</v>
      </c>
      <c r="P9" s="102">
        <f t="shared" si="3"/>
        <v>196.2</v>
      </c>
      <c r="Q9" s="102">
        <f t="shared" si="4"/>
        <v>940.4</v>
      </c>
    </row>
    <row r="10" spans="1:33">
      <c r="A10" s="102">
        <v>1963</v>
      </c>
      <c r="B10" s="102">
        <v>9.1999999999999993</v>
      </c>
      <c r="C10" s="102">
        <v>24.9</v>
      </c>
      <c r="D10" s="102">
        <v>23.7</v>
      </c>
      <c r="E10" s="102">
        <v>57.2</v>
      </c>
      <c r="F10" s="102">
        <v>172.9</v>
      </c>
      <c r="G10" s="102">
        <v>29.9</v>
      </c>
      <c r="H10" s="102">
        <v>191</v>
      </c>
      <c r="I10" s="102">
        <v>19.5</v>
      </c>
      <c r="J10" s="102">
        <v>64.8</v>
      </c>
      <c r="K10" s="102">
        <v>81.900000000000006</v>
      </c>
      <c r="L10" s="102">
        <v>166.4</v>
      </c>
      <c r="M10" s="102">
        <v>46.5</v>
      </c>
      <c r="N10" s="102">
        <f t="shared" si="1"/>
        <v>115</v>
      </c>
      <c r="O10" s="102">
        <f t="shared" si="2"/>
        <v>478.1</v>
      </c>
      <c r="P10" s="102">
        <f t="shared" si="3"/>
        <v>294.8</v>
      </c>
      <c r="Q10" s="102">
        <f t="shared" si="4"/>
        <v>887.89999999999986</v>
      </c>
    </row>
    <row r="11" spans="1:33">
      <c r="A11" s="102">
        <v>1964</v>
      </c>
      <c r="B11" s="102">
        <v>18.600000000000001</v>
      </c>
      <c r="C11" s="102">
        <v>43.4</v>
      </c>
      <c r="D11" s="102">
        <v>52.8</v>
      </c>
      <c r="E11" s="102">
        <v>236.8</v>
      </c>
      <c r="F11" s="102">
        <v>86</v>
      </c>
      <c r="G11" s="102">
        <v>196.7</v>
      </c>
      <c r="H11" s="102">
        <v>155</v>
      </c>
      <c r="I11" s="102">
        <v>118.6</v>
      </c>
      <c r="J11" s="102">
        <v>90.1</v>
      </c>
      <c r="K11" s="102">
        <v>129.9</v>
      </c>
      <c r="L11" s="102">
        <v>19.8</v>
      </c>
      <c r="M11" s="102">
        <v>26.4</v>
      </c>
      <c r="N11" s="102">
        <f t="shared" si="1"/>
        <v>351.6</v>
      </c>
      <c r="O11" s="102">
        <f t="shared" si="2"/>
        <v>646.4</v>
      </c>
      <c r="P11" s="102">
        <f t="shared" si="3"/>
        <v>176.10000000000002</v>
      </c>
      <c r="Q11" s="102">
        <f t="shared" si="4"/>
        <v>1174.1000000000001</v>
      </c>
    </row>
    <row r="12" spans="1:33">
      <c r="A12" s="102">
        <v>1965</v>
      </c>
      <c r="B12" s="102">
        <v>26.8</v>
      </c>
      <c r="C12" s="102">
        <v>33.299999999999997</v>
      </c>
      <c r="D12" s="102">
        <v>87.8</v>
      </c>
      <c r="E12" s="102">
        <v>98.3</v>
      </c>
      <c r="F12" s="102">
        <v>208.4</v>
      </c>
      <c r="G12" s="102">
        <v>202.7</v>
      </c>
      <c r="H12" s="102">
        <v>32.700000000000003</v>
      </c>
      <c r="I12" s="102">
        <v>209.5</v>
      </c>
      <c r="J12" s="102">
        <v>53.4</v>
      </c>
      <c r="K12" s="102">
        <v>190.5</v>
      </c>
      <c r="L12" s="102">
        <v>95.9</v>
      </c>
      <c r="M12" s="102">
        <v>38.5</v>
      </c>
      <c r="N12" s="102">
        <f t="shared" si="1"/>
        <v>246.2</v>
      </c>
      <c r="O12" s="102">
        <f t="shared" si="2"/>
        <v>706.69999999999993</v>
      </c>
      <c r="P12" s="102">
        <f t="shared" si="3"/>
        <v>324.89999999999998</v>
      </c>
      <c r="Q12" s="102">
        <f t="shared" si="4"/>
        <v>1277.8000000000002</v>
      </c>
    </row>
    <row r="13" spans="1:33">
      <c r="A13" s="102">
        <v>1966</v>
      </c>
      <c r="B13" s="102">
        <v>16.100000000000001</v>
      </c>
      <c r="C13" s="102">
        <v>32.9</v>
      </c>
      <c r="D13" s="102">
        <v>16.8</v>
      </c>
      <c r="E13" s="102">
        <v>120.4</v>
      </c>
      <c r="F13" s="102">
        <v>200.2</v>
      </c>
      <c r="G13" s="102">
        <v>67.900000000000006</v>
      </c>
      <c r="H13" s="102">
        <v>131.1</v>
      </c>
      <c r="I13" s="102">
        <v>19.899999999999999</v>
      </c>
      <c r="J13" s="102">
        <v>20</v>
      </c>
      <c r="K13" s="102">
        <v>75.7</v>
      </c>
      <c r="L13" s="102">
        <v>7.1</v>
      </c>
      <c r="M13" s="102">
        <v>22.4</v>
      </c>
      <c r="N13" s="102">
        <f t="shared" si="1"/>
        <v>186.2</v>
      </c>
      <c r="O13" s="102">
        <f t="shared" si="2"/>
        <v>439.1</v>
      </c>
      <c r="P13" s="102">
        <f t="shared" si="3"/>
        <v>105.19999999999999</v>
      </c>
      <c r="Q13" s="102">
        <f t="shared" si="4"/>
        <v>730.5</v>
      </c>
    </row>
    <row r="14" spans="1:33">
      <c r="A14" s="102">
        <v>1967</v>
      </c>
      <c r="B14" s="102">
        <v>11.3</v>
      </c>
      <c r="C14" s="102">
        <v>44.2</v>
      </c>
      <c r="D14" s="102">
        <v>33.5</v>
      </c>
      <c r="E14" s="102">
        <v>166.4</v>
      </c>
      <c r="F14" s="102">
        <v>223.6</v>
      </c>
      <c r="G14" s="102">
        <v>260.10000000000002</v>
      </c>
      <c r="H14" s="102">
        <v>131.1</v>
      </c>
      <c r="I14" s="102">
        <v>253.5</v>
      </c>
      <c r="J14" s="102">
        <v>151.19999999999999</v>
      </c>
      <c r="K14" s="102">
        <v>58.4</v>
      </c>
      <c r="L14" s="102">
        <v>71.2</v>
      </c>
      <c r="M14" s="102">
        <v>28.9</v>
      </c>
      <c r="N14" s="102">
        <f t="shared" si="1"/>
        <v>255.4</v>
      </c>
      <c r="O14" s="102">
        <f t="shared" si="2"/>
        <v>1019.5</v>
      </c>
      <c r="P14" s="102">
        <f t="shared" si="3"/>
        <v>158.5</v>
      </c>
      <c r="Q14" s="102">
        <f t="shared" si="4"/>
        <v>1433.4000000000003</v>
      </c>
    </row>
    <row r="15" spans="1:33">
      <c r="A15" s="102">
        <v>1968</v>
      </c>
      <c r="B15" s="102">
        <v>14.8</v>
      </c>
      <c r="C15" s="102">
        <v>23.3</v>
      </c>
      <c r="D15" s="102">
        <v>48.8</v>
      </c>
      <c r="E15" s="102">
        <v>109.4</v>
      </c>
      <c r="F15" s="102">
        <v>220.9</v>
      </c>
      <c r="G15" s="102">
        <v>169.3</v>
      </c>
      <c r="H15" s="102">
        <v>194.6</v>
      </c>
      <c r="I15" s="102">
        <v>173.8</v>
      </c>
      <c r="J15" s="102">
        <v>41.4</v>
      </c>
      <c r="K15" s="102">
        <v>48.4</v>
      </c>
      <c r="L15" s="102">
        <v>56.5</v>
      </c>
      <c r="M15" s="102">
        <v>25</v>
      </c>
      <c r="N15" s="102">
        <f t="shared" si="1"/>
        <v>196.3</v>
      </c>
      <c r="O15" s="102">
        <f t="shared" si="2"/>
        <v>800.00000000000011</v>
      </c>
      <c r="P15" s="102">
        <f t="shared" si="3"/>
        <v>129.9</v>
      </c>
      <c r="Q15" s="102">
        <f t="shared" si="4"/>
        <v>1126.2</v>
      </c>
    </row>
    <row r="16" spans="1:33">
      <c r="A16" s="102">
        <v>1969</v>
      </c>
      <c r="B16" s="102">
        <v>27.1</v>
      </c>
      <c r="C16" s="102">
        <v>6.6</v>
      </c>
      <c r="D16" s="102">
        <v>42.3</v>
      </c>
      <c r="E16" s="102">
        <v>55.2</v>
      </c>
      <c r="F16" s="102">
        <v>145.1</v>
      </c>
      <c r="G16" s="102">
        <v>210.4</v>
      </c>
      <c r="H16" s="102">
        <v>204.3</v>
      </c>
      <c r="I16" s="102">
        <v>246.9</v>
      </c>
      <c r="J16" s="102">
        <v>0.9</v>
      </c>
      <c r="K16" s="102">
        <v>74.3</v>
      </c>
      <c r="L16" s="102">
        <v>63</v>
      </c>
      <c r="M16" s="102">
        <v>6.7</v>
      </c>
      <c r="N16" s="102">
        <f t="shared" si="1"/>
        <v>131.19999999999999</v>
      </c>
      <c r="O16" s="102">
        <f t="shared" si="2"/>
        <v>807.59999999999991</v>
      </c>
      <c r="P16" s="102">
        <f t="shared" si="3"/>
        <v>144</v>
      </c>
      <c r="Q16" s="102">
        <f t="shared" si="4"/>
        <v>1082.8</v>
      </c>
    </row>
    <row r="17" spans="1:17">
      <c r="A17" s="102">
        <v>1970</v>
      </c>
      <c r="B17" s="102">
        <v>35.4</v>
      </c>
      <c r="C17" s="102">
        <v>25.5</v>
      </c>
      <c r="D17" s="102">
        <v>107.2</v>
      </c>
      <c r="E17" s="102">
        <v>181.7</v>
      </c>
      <c r="F17" s="102">
        <v>129.4</v>
      </c>
      <c r="G17" s="102">
        <v>182.7</v>
      </c>
      <c r="H17" s="102">
        <v>268.2</v>
      </c>
      <c r="I17" s="102">
        <v>68.099999999999994</v>
      </c>
      <c r="J17" s="102">
        <v>70.599999999999994</v>
      </c>
      <c r="K17" s="102">
        <v>10.6</v>
      </c>
      <c r="L17" s="102">
        <v>59.9</v>
      </c>
      <c r="M17" s="102">
        <v>53.7</v>
      </c>
      <c r="N17" s="102">
        <f t="shared" si="1"/>
        <v>349.79999999999995</v>
      </c>
      <c r="O17" s="102">
        <f t="shared" si="2"/>
        <v>719</v>
      </c>
      <c r="P17" s="102">
        <f t="shared" si="3"/>
        <v>124.2</v>
      </c>
      <c r="Q17" s="102">
        <f t="shared" si="4"/>
        <v>1193</v>
      </c>
    </row>
    <row r="18" spans="1:17">
      <c r="A18" s="102">
        <v>1971</v>
      </c>
      <c r="B18" s="102">
        <v>14.8</v>
      </c>
      <c r="C18" s="102">
        <v>21.7</v>
      </c>
      <c r="D18" s="102">
        <v>42.5</v>
      </c>
      <c r="E18" s="102">
        <v>135.30000000000001</v>
      </c>
      <c r="F18" s="102">
        <v>287.89999999999998</v>
      </c>
      <c r="G18" s="102">
        <v>341.8</v>
      </c>
      <c r="H18" s="102">
        <v>127.7</v>
      </c>
      <c r="I18" s="102">
        <v>199.8</v>
      </c>
      <c r="J18" s="102">
        <v>28.2</v>
      </c>
      <c r="K18" s="102">
        <v>82.8</v>
      </c>
      <c r="L18" s="102">
        <v>14.4</v>
      </c>
      <c r="M18" s="102">
        <v>38.6</v>
      </c>
      <c r="N18" s="102">
        <f t="shared" si="1"/>
        <v>214.3</v>
      </c>
      <c r="O18" s="102">
        <f t="shared" si="2"/>
        <v>985.40000000000009</v>
      </c>
      <c r="P18" s="102">
        <f t="shared" si="3"/>
        <v>135.80000000000001</v>
      </c>
      <c r="Q18" s="102">
        <f t="shared" si="4"/>
        <v>1335.5</v>
      </c>
    </row>
    <row r="19" spans="1:17">
      <c r="A19" s="102">
        <v>1972</v>
      </c>
      <c r="B19" s="102">
        <v>18</v>
      </c>
      <c r="C19" s="102">
        <v>24.4</v>
      </c>
      <c r="D19" s="102">
        <v>50.1</v>
      </c>
      <c r="E19" s="102">
        <v>107</v>
      </c>
      <c r="F19" s="102">
        <v>259.60000000000002</v>
      </c>
      <c r="G19" s="102">
        <v>142.9</v>
      </c>
      <c r="H19" s="102">
        <v>9.8000000000000007</v>
      </c>
      <c r="I19" s="102">
        <v>49.7</v>
      </c>
      <c r="J19" s="102">
        <v>128.69999999999999</v>
      </c>
      <c r="K19" s="102">
        <v>121.6</v>
      </c>
      <c r="L19" s="102">
        <v>81.900000000000006</v>
      </c>
      <c r="M19" s="102">
        <v>32.700000000000003</v>
      </c>
      <c r="N19" s="102">
        <f t="shared" si="1"/>
        <v>199.5</v>
      </c>
      <c r="O19" s="102">
        <f t="shared" si="2"/>
        <v>590.70000000000005</v>
      </c>
      <c r="P19" s="102">
        <f t="shared" si="3"/>
        <v>236.2</v>
      </c>
      <c r="Q19" s="102">
        <f t="shared" si="4"/>
        <v>1026.4000000000001</v>
      </c>
    </row>
    <row r="20" spans="1:17">
      <c r="A20" s="102">
        <v>1973</v>
      </c>
      <c r="B20" s="102">
        <v>31.7</v>
      </c>
      <c r="C20" s="102">
        <v>35.9</v>
      </c>
      <c r="D20" s="102">
        <v>54.8</v>
      </c>
      <c r="E20" s="102">
        <v>164.1</v>
      </c>
      <c r="F20" s="102">
        <v>213.4</v>
      </c>
      <c r="G20" s="102">
        <v>286</v>
      </c>
      <c r="H20" s="102">
        <v>138.1</v>
      </c>
      <c r="I20" s="102">
        <v>102.7</v>
      </c>
      <c r="J20" s="102">
        <v>128.30000000000001</v>
      </c>
      <c r="K20" s="102">
        <v>48</v>
      </c>
      <c r="L20" s="102">
        <v>38.4</v>
      </c>
      <c r="M20" s="102">
        <v>4.0999999999999996</v>
      </c>
      <c r="N20" s="102">
        <f t="shared" si="1"/>
        <v>286.5</v>
      </c>
      <c r="O20" s="102">
        <f t="shared" si="2"/>
        <v>868.5</v>
      </c>
      <c r="P20" s="102">
        <f t="shared" si="3"/>
        <v>90.5</v>
      </c>
      <c r="Q20" s="102">
        <f t="shared" si="4"/>
        <v>1245.5</v>
      </c>
    </row>
    <row r="21" spans="1:17">
      <c r="A21" s="102">
        <v>1974</v>
      </c>
      <c r="B21" s="102">
        <v>52.6</v>
      </c>
      <c r="C21" s="102">
        <v>14.4</v>
      </c>
      <c r="D21" s="102">
        <v>52.7</v>
      </c>
      <c r="E21" s="102">
        <v>271.89999999999998</v>
      </c>
      <c r="F21" s="102">
        <v>100.4</v>
      </c>
      <c r="G21" s="102">
        <v>240.2</v>
      </c>
      <c r="H21" s="102">
        <v>168</v>
      </c>
      <c r="I21" s="102">
        <v>94.7</v>
      </c>
      <c r="J21" s="102">
        <v>52.8</v>
      </c>
      <c r="K21" s="102">
        <v>56.5</v>
      </c>
      <c r="L21" s="102">
        <v>17.399999999999999</v>
      </c>
      <c r="M21" s="102">
        <v>23.1</v>
      </c>
      <c r="N21" s="102">
        <f t="shared" si="1"/>
        <v>391.59999999999997</v>
      </c>
      <c r="O21" s="102">
        <f t="shared" si="2"/>
        <v>656.1</v>
      </c>
      <c r="P21" s="102">
        <f t="shared" si="3"/>
        <v>97</v>
      </c>
      <c r="Q21" s="102">
        <f t="shared" si="4"/>
        <v>1144.7</v>
      </c>
    </row>
    <row r="22" spans="1:17">
      <c r="A22" s="102">
        <v>1975</v>
      </c>
      <c r="B22" s="102">
        <v>26.3</v>
      </c>
      <c r="C22" s="102">
        <v>24.1</v>
      </c>
      <c r="D22" s="102">
        <v>40.4</v>
      </c>
      <c r="E22" s="102">
        <v>152.19999999999999</v>
      </c>
      <c r="F22" s="102">
        <v>255.9</v>
      </c>
      <c r="G22" s="102">
        <v>139.19999999999999</v>
      </c>
      <c r="H22" s="102">
        <v>16.399999999999999</v>
      </c>
      <c r="I22" s="102">
        <v>106.7</v>
      </c>
      <c r="J22" s="102">
        <v>49.5</v>
      </c>
      <c r="K22" s="102">
        <v>31.2</v>
      </c>
      <c r="L22" s="102">
        <v>86.4</v>
      </c>
      <c r="M22" s="102">
        <v>6.3</v>
      </c>
      <c r="N22" s="102">
        <f t="shared" si="1"/>
        <v>243</v>
      </c>
      <c r="O22" s="102">
        <f t="shared" si="2"/>
        <v>567.70000000000005</v>
      </c>
      <c r="P22" s="102">
        <f t="shared" si="3"/>
        <v>123.9</v>
      </c>
      <c r="Q22" s="102">
        <f t="shared" si="4"/>
        <v>934.59999999999991</v>
      </c>
    </row>
    <row r="23" spans="1:17">
      <c r="A23" s="102">
        <v>1976</v>
      </c>
      <c r="B23" s="102">
        <v>38.9</v>
      </c>
      <c r="C23" s="102">
        <v>18.399999999999999</v>
      </c>
      <c r="D23" s="102">
        <v>50.9</v>
      </c>
      <c r="E23" s="102">
        <v>158.9</v>
      </c>
      <c r="F23" s="102">
        <v>238.2</v>
      </c>
      <c r="G23" s="102">
        <v>378.6</v>
      </c>
      <c r="H23" s="102">
        <v>114.4</v>
      </c>
      <c r="I23" s="102">
        <v>190.9</v>
      </c>
      <c r="J23" s="102">
        <v>30.3</v>
      </c>
      <c r="K23" s="102">
        <v>160.4</v>
      </c>
      <c r="L23" s="102">
        <v>75.400000000000006</v>
      </c>
      <c r="M23" s="102">
        <v>18.3</v>
      </c>
      <c r="N23" s="102">
        <f t="shared" si="1"/>
        <v>267.10000000000002</v>
      </c>
      <c r="O23" s="102">
        <f t="shared" si="2"/>
        <v>952.39999999999986</v>
      </c>
      <c r="P23" s="102">
        <f t="shared" si="3"/>
        <v>254.10000000000002</v>
      </c>
      <c r="Q23" s="102">
        <f t="shared" si="4"/>
        <v>1473.6000000000001</v>
      </c>
    </row>
    <row r="24" spans="1:17">
      <c r="A24" s="102">
        <v>1977</v>
      </c>
      <c r="B24" s="102">
        <v>26.9</v>
      </c>
      <c r="C24" s="102">
        <v>26.4</v>
      </c>
      <c r="D24" s="102">
        <v>58.3</v>
      </c>
      <c r="E24" s="102">
        <v>138</v>
      </c>
      <c r="F24" s="102">
        <v>269.3</v>
      </c>
      <c r="G24" s="102">
        <v>225</v>
      </c>
      <c r="H24" s="102">
        <v>137</v>
      </c>
      <c r="I24" s="102">
        <v>155.1</v>
      </c>
      <c r="J24" s="102">
        <v>116.7</v>
      </c>
      <c r="K24" s="102">
        <v>159.19999999999999</v>
      </c>
      <c r="L24" s="102">
        <v>40.5</v>
      </c>
      <c r="M24" s="102">
        <v>11.6</v>
      </c>
      <c r="N24" s="102">
        <f t="shared" si="1"/>
        <v>249.6</v>
      </c>
      <c r="O24" s="102">
        <f t="shared" si="2"/>
        <v>903.1</v>
      </c>
      <c r="P24" s="102">
        <f t="shared" si="3"/>
        <v>211.29999999999998</v>
      </c>
      <c r="Q24" s="102">
        <f t="shared" si="4"/>
        <v>1364</v>
      </c>
    </row>
    <row r="25" spans="1:17">
      <c r="A25" s="102">
        <v>1978</v>
      </c>
      <c r="B25" s="102">
        <v>43.7</v>
      </c>
      <c r="C25" s="102">
        <v>8.4</v>
      </c>
      <c r="D25" s="102">
        <v>48.9</v>
      </c>
      <c r="E25" s="102">
        <v>35.9</v>
      </c>
      <c r="F25" s="102">
        <v>291.10000000000002</v>
      </c>
      <c r="G25" s="102">
        <v>149.1</v>
      </c>
      <c r="H25" s="102">
        <v>40.700000000000003</v>
      </c>
      <c r="I25" s="102">
        <v>148</v>
      </c>
      <c r="J25" s="102">
        <v>111.6</v>
      </c>
      <c r="K25" s="102">
        <v>92.3</v>
      </c>
      <c r="L25" s="102">
        <v>130.6</v>
      </c>
      <c r="M25" s="102">
        <v>4.9000000000000004</v>
      </c>
      <c r="N25" s="102">
        <f t="shared" si="1"/>
        <v>136.9</v>
      </c>
      <c r="O25" s="102">
        <f t="shared" si="2"/>
        <v>740.50000000000011</v>
      </c>
      <c r="P25" s="102">
        <f t="shared" si="3"/>
        <v>227.79999999999998</v>
      </c>
      <c r="Q25" s="102">
        <f t="shared" si="4"/>
        <v>1105.2</v>
      </c>
    </row>
    <row r="26" spans="1:17">
      <c r="A26" s="102">
        <v>1979</v>
      </c>
      <c r="B26" s="102">
        <v>17.7</v>
      </c>
      <c r="C26" s="102">
        <v>31</v>
      </c>
      <c r="D26" s="102">
        <v>27.5</v>
      </c>
      <c r="E26" s="102">
        <v>76.400000000000006</v>
      </c>
      <c r="F26" s="102">
        <v>102.5</v>
      </c>
      <c r="G26" s="102">
        <v>231.6</v>
      </c>
      <c r="H26" s="102">
        <v>177.1</v>
      </c>
      <c r="I26" s="102">
        <v>110.7</v>
      </c>
      <c r="J26" s="102">
        <v>54.5</v>
      </c>
      <c r="K26" s="102">
        <v>29.5</v>
      </c>
      <c r="L26" s="102">
        <v>5.9</v>
      </c>
      <c r="M26" s="102">
        <v>28.1</v>
      </c>
      <c r="N26" s="102">
        <f t="shared" si="1"/>
        <v>152.60000000000002</v>
      </c>
      <c r="O26" s="102">
        <f t="shared" si="2"/>
        <v>676.40000000000009</v>
      </c>
      <c r="P26" s="102">
        <f t="shared" si="3"/>
        <v>63.5</v>
      </c>
      <c r="Q26" s="102">
        <f t="shared" si="4"/>
        <v>892.50000000000011</v>
      </c>
    </row>
    <row r="27" spans="1:17">
      <c r="A27" s="102">
        <v>1980</v>
      </c>
      <c r="B27" s="102">
        <v>35.200000000000003</v>
      </c>
      <c r="C27" s="102">
        <v>25.9</v>
      </c>
      <c r="D27" s="102">
        <v>46.3</v>
      </c>
      <c r="E27" s="102">
        <v>89</v>
      </c>
      <c r="F27" s="102">
        <v>209.5</v>
      </c>
      <c r="G27" s="102">
        <v>125.3</v>
      </c>
      <c r="H27" s="102">
        <v>253.9</v>
      </c>
      <c r="I27" s="102">
        <v>129.19999999999999</v>
      </c>
      <c r="J27" s="102">
        <v>49.6</v>
      </c>
      <c r="K27" s="102">
        <v>110.4</v>
      </c>
      <c r="L27" s="102">
        <v>70.3</v>
      </c>
      <c r="M27" s="102">
        <v>13.9</v>
      </c>
      <c r="N27" s="102">
        <f t="shared" si="1"/>
        <v>196.4</v>
      </c>
      <c r="O27" s="102">
        <f t="shared" si="2"/>
        <v>767.50000000000011</v>
      </c>
      <c r="P27" s="102">
        <f t="shared" si="3"/>
        <v>194.6</v>
      </c>
      <c r="Q27" s="102">
        <f t="shared" si="4"/>
        <v>1158.5</v>
      </c>
    </row>
    <row r="28" spans="1:17">
      <c r="A28" s="102">
        <v>1981</v>
      </c>
      <c r="B28" s="102">
        <v>34.5</v>
      </c>
      <c r="C28" s="102">
        <v>16.7</v>
      </c>
      <c r="D28" s="102">
        <v>27.6</v>
      </c>
      <c r="E28" s="102">
        <v>130.19999999999999</v>
      </c>
      <c r="F28" s="102">
        <v>246.1</v>
      </c>
      <c r="G28" s="102">
        <v>92.9</v>
      </c>
      <c r="H28" s="102">
        <v>118.4</v>
      </c>
      <c r="I28" s="102">
        <v>81.900000000000006</v>
      </c>
      <c r="J28" s="102">
        <v>63</v>
      </c>
      <c r="K28" s="102">
        <v>97.1</v>
      </c>
      <c r="L28" s="102">
        <v>100.6</v>
      </c>
      <c r="M28" s="102">
        <v>0.2</v>
      </c>
      <c r="N28" s="102">
        <f t="shared" si="1"/>
        <v>209</v>
      </c>
      <c r="O28" s="102">
        <f t="shared" si="2"/>
        <v>602.29999999999995</v>
      </c>
      <c r="P28" s="102">
        <f t="shared" si="3"/>
        <v>197.89999999999998</v>
      </c>
      <c r="Q28" s="102">
        <f t="shared" si="4"/>
        <v>1009.2</v>
      </c>
    </row>
    <row r="29" spans="1:17">
      <c r="A29" s="102">
        <v>1982</v>
      </c>
      <c r="B29" s="102">
        <v>24.7</v>
      </c>
      <c r="C29" s="102">
        <v>75.3</v>
      </c>
      <c r="D29" s="102">
        <v>48</v>
      </c>
      <c r="E29" s="102">
        <v>97.7</v>
      </c>
      <c r="F29" s="102">
        <v>147.9</v>
      </c>
      <c r="G29" s="102">
        <v>187.8</v>
      </c>
      <c r="H29" s="102">
        <v>69.900000000000006</v>
      </c>
      <c r="I29" s="102">
        <v>145.30000000000001</v>
      </c>
      <c r="J29" s="102">
        <v>189.8</v>
      </c>
      <c r="K29" s="102">
        <v>96.9</v>
      </c>
      <c r="L29" s="102">
        <v>72.3</v>
      </c>
      <c r="M29" s="102">
        <v>23.1</v>
      </c>
      <c r="N29" s="102">
        <f t="shared" si="1"/>
        <v>245.7</v>
      </c>
      <c r="O29" s="102">
        <f t="shared" si="2"/>
        <v>740.7</v>
      </c>
      <c r="P29" s="102">
        <f t="shared" si="3"/>
        <v>192.29999999999998</v>
      </c>
      <c r="Q29" s="102">
        <f t="shared" si="4"/>
        <v>1178.7</v>
      </c>
    </row>
    <row r="30" spans="1:17">
      <c r="A30" s="102">
        <v>1983</v>
      </c>
      <c r="B30" s="102">
        <v>80.8</v>
      </c>
      <c r="C30" s="102">
        <v>34.700000000000003</v>
      </c>
      <c r="D30" s="102">
        <v>27.4</v>
      </c>
      <c r="E30" s="102">
        <v>125.4</v>
      </c>
      <c r="F30" s="102">
        <v>92.9</v>
      </c>
      <c r="G30" s="102">
        <v>190.9</v>
      </c>
      <c r="H30" s="102">
        <v>130.69999999999999</v>
      </c>
      <c r="I30" s="102">
        <v>50.3</v>
      </c>
      <c r="J30" s="102">
        <v>100.1</v>
      </c>
      <c r="K30" s="102">
        <v>65.7</v>
      </c>
      <c r="L30" s="102">
        <v>61.5</v>
      </c>
      <c r="M30" s="102">
        <v>34.4</v>
      </c>
      <c r="N30" s="102">
        <f t="shared" si="1"/>
        <v>268.3</v>
      </c>
      <c r="O30" s="102">
        <f t="shared" si="2"/>
        <v>564.9</v>
      </c>
      <c r="P30" s="102">
        <f t="shared" si="3"/>
        <v>161.6</v>
      </c>
      <c r="Q30" s="102">
        <f t="shared" si="4"/>
        <v>994.8</v>
      </c>
    </row>
    <row r="31" spans="1:17">
      <c r="A31" s="102">
        <v>1984</v>
      </c>
      <c r="B31" s="102">
        <v>25.2</v>
      </c>
      <c r="C31" s="102">
        <v>15.3</v>
      </c>
      <c r="D31" s="102">
        <v>39.700000000000003</v>
      </c>
      <c r="E31" s="102">
        <v>81.5</v>
      </c>
      <c r="F31" s="102">
        <v>243.8</v>
      </c>
      <c r="G31" s="102">
        <v>180.7</v>
      </c>
      <c r="H31" s="102">
        <v>61</v>
      </c>
      <c r="I31" s="102">
        <v>256.10000000000002</v>
      </c>
      <c r="J31" s="102">
        <v>75.2</v>
      </c>
      <c r="K31" s="102">
        <v>90.3</v>
      </c>
      <c r="L31" s="102">
        <v>24.2</v>
      </c>
      <c r="M31" s="102">
        <v>41.2</v>
      </c>
      <c r="N31" s="102">
        <f t="shared" si="1"/>
        <v>161.69999999999999</v>
      </c>
      <c r="O31" s="102">
        <f t="shared" si="2"/>
        <v>816.80000000000007</v>
      </c>
      <c r="P31" s="102">
        <f t="shared" si="3"/>
        <v>155.69999999999999</v>
      </c>
      <c r="Q31" s="102">
        <f t="shared" si="4"/>
        <v>1134.2000000000003</v>
      </c>
    </row>
    <row r="32" spans="1:17">
      <c r="A32" s="102">
        <v>1985</v>
      </c>
      <c r="B32" s="102">
        <v>14.2</v>
      </c>
      <c r="C32" s="102">
        <v>45.6</v>
      </c>
      <c r="D32" s="102">
        <v>46.2</v>
      </c>
      <c r="E32" s="102">
        <v>53.2</v>
      </c>
      <c r="F32" s="102">
        <v>118.3</v>
      </c>
      <c r="G32" s="102">
        <v>130.69999999999999</v>
      </c>
      <c r="H32" s="102">
        <v>81.599999999999994</v>
      </c>
      <c r="I32" s="102">
        <v>72.900000000000006</v>
      </c>
      <c r="J32" s="102">
        <v>18.8</v>
      </c>
      <c r="K32" s="102">
        <v>31.6</v>
      </c>
      <c r="L32" s="102">
        <v>62.1</v>
      </c>
      <c r="M32" s="102">
        <v>20.5</v>
      </c>
      <c r="N32" s="102">
        <f t="shared" si="1"/>
        <v>159.19999999999999</v>
      </c>
      <c r="O32" s="102">
        <f t="shared" si="2"/>
        <v>422.3</v>
      </c>
      <c r="P32" s="102">
        <f t="shared" si="3"/>
        <v>114.2</v>
      </c>
      <c r="Q32" s="102">
        <f t="shared" si="4"/>
        <v>695.69999999999993</v>
      </c>
    </row>
    <row r="33" spans="1:17">
      <c r="A33" s="102">
        <v>1986</v>
      </c>
      <c r="B33" s="102">
        <v>20.7</v>
      </c>
      <c r="C33" s="102">
        <v>13.7</v>
      </c>
      <c r="D33" s="102">
        <v>33.700000000000003</v>
      </c>
      <c r="E33" s="102">
        <v>62.1</v>
      </c>
      <c r="F33" s="102">
        <v>60</v>
      </c>
      <c r="G33" s="102">
        <v>214.1</v>
      </c>
      <c r="H33" s="102">
        <v>162.30000000000001</v>
      </c>
      <c r="I33" s="102">
        <v>64.599999999999994</v>
      </c>
      <c r="J33" s="102">
        <v>29.4</v>
      </c>
      <c r="K33" s="102">
        <v>75.2</v>
      </c>
      <c r="L33" s="102">
        <v>15.4</v>
      </c>
      <c r="M33" s="102">
        <v>1.9</v>
      </c>
      <c r="N33" s="102">
        <f t="shared" si="1"/>
        <v>130.19999999999999</v>
      </c>
      <c r="O33" s="102">
        <f t="shared" si="2"/>
        <v>530.4</v>
      </c>
      <c r="P33" s="102">
        <f t="shared" si="3"/>
        <v>92.500000000000014</v>
      </c>
      <c r="Q33" s="102">
        <f t="shared" si="4"/>
        <v>753.09999999999991</v>
      </c>
    </row>
    <row r="34" spans="1:17">
      <c r="A34" s="102">
        <v>1987</v>
      </c>
      <c r="B34" s="102">
        <v>29.1</v>
      </c>
      <c r="C34" s="102">
        <v>29.9</v>
      </c>
      <c r="D34" s="102">
        <v>47.2</v>
      </c>
      <c r="E34" s="102">
        <v>38.700000000000003</v>
      </c>
      <c r="F34" s="102">
        <v>212.6</v>
      </c>
      <c r="G34" s="102">
        <v>194.1</v>
      </c>
      <c r="H34" s="102">
        <v>142.9</v>
      </c>
      <c r="I34" s="102">
        <v>99.9</v>
      </c>
      <c r="J34" s="102">
        <v>63.8</v>
      </c>
      <c r="K34" s="102">
        <v>76.3</v>
      </c>
      <c r="L34" s="102">
        <v>75.900000000000006</v>
      </c>
      <c r="M34" s="102">
        <v>5.4</v>
      </c>
      <c r="N34" s="102">
        <f t="shared" si="1"/>
        <v>144.9</v>
      </c>
      <c r="O34" s="102">
        <f t="shared" si="2"/>
        <v>713.3</v>
      </c>
      <c r="P34" s="102">
        <f t="shared" si="3"/>
        <v>157.6</v>
      </c>
      <c r="Q34" s="102">
        <f t="shared" si="4"/>
        <v>1015.7999999999998</v>
      </c>
    </row>
    <row r="35" spans="1:17">
      <c r="A35" s="102">
        <v>1988</v>
      </c>
      <c r="B35" s="102">
        <v>27.3</v>
      </c>
      <c r="C35" s="102">
        <v>23.4</v>
      </c>
      <c r="D35" s="102">
        <v>9.6</v>
      </c>
      <c r="E35" s="102">
        <v>73.7</v>
      </c>
      <c r="F35" s="102">
        <v>103</v>
      </c>
      <c r="G35" s="102">
        <v>247.4</v>
      </c>
      <c r="H35" s="102">
        <v>148.5</v>
      </c>
      <c r="I35" s="102">
        <v>252.1</v>
      </c>
      <c r="J35" s="102">
        <v>266.60000000000002</v>
      </c>
      <c r="K35" s="102">
        <v>63</v>
      </c>
      <c r="L35" s="102">
        <v>2.6</v>
      </c>
      <c r="M35" s="102">
        <v>11.5</v>
      </c>
      <c r="N35" s="102">
        <f t="shared" si="1"/>
        <v>134</v>
      </c>
      <c r="O35" s="102">
        <f t="shared" si="2"/>
        <v>1017.6</v>
      </c>
      <c r="P35" s="102">
        <f t="shared" si="3"/>
        <v>77.099999999999994</v>
      </c>
      <c r="Q35" s="102">
        <f t="shared" si="4"/>
        <v>1228.6999999999998</v>
      </c>
    </row>
    <row r="36" spans="1:17">
      <c r="A36" s="102">
        <v>1989</v>
      </c>
      <c r="B36" s="102">
        <v>22.1</v>
      </c>
      <c r="C36" s="102">
        <v>40.5</v>
      </c>
      <c r="D36" s="102">
        <v>44.5</v>
      </c>
      <c r="E36" s="102">
        <v>96.5</v>
      </c>
      <c r="F36" s="102">
        <v>193.8</v>
      </c>
      <c r="G36" s="102">
        <v>118.3</v>
      </c>
      <c r="H36" s="102">
        <v>52.1</v>
      </c>
      <c r="I36" s="102">
        <v>49.5</v>
      </c>
      <c r="J36" s="102">
        <v>177.8</v>
      </c>
      <c r="K36" s="102" t="s">
        <v>85</v>
      </c>
      <c r="L36" s="102" t="s">
        <v>85</v>
      </c>
      <c r="M36" s="102">
        <v>34</v>
      </c>
      <c r="N36" s="102">
        <f t="shared" si="1"/>
        <v>203.6</v>
      </c>
      <c r="O36" s="102">
        <f t="shared" si="2"/>
        <v>591.5</v>
      </c>
      <c r="P36" s="102">
        <f t="shared" si="3"/>
        <v>34</v>
      </c>
      <c r="Q36" s="102">
        <f t="shared" si="4"/>
        <v>829.09999999999991</v>
      </c>
    </row>
    <row r="37" spans="1:17">
      <c r="A37" s="102">
        <v>1990</v>
      </c>
      <c r="B37" s="102">
        <v>46.7</v>
      </c>
      <c r="C37" s="102">
        <v>27.1</v>
      </c>
      <c r="D37" s="102">
        <v>87.5</v>
      </c>
      <c r="E37" s="102">
        <v>79.400000000000006</v>
      </c>
      <c r="F37" s="102">
        <v>192.1</v>
      </c>
      <c r="G37" s="102">
        <v>239.7</v>
      </c>
      <c r="H37" s="102">
        <v>82.9</v>
      </c>
      <c r="I37" s="102">
        <v>22.5</v>
      </c>
      <c r="J37" s="102">
        <v>193.5</v>
      </c>
      <c r="K37" s="102">
        <v>125.4</v>
      </c>
      <c r="L37" s="102">
        <v>48.8</v>
      </c>
      <c r="M37" s="102">
        <v>14.6</v>
      </c>
      <c r="N37" s="102">
        <f t="shared" si="1"/>
        <v>240.70000000000002</v>
      </c>
      <c r="O37" s="102">
        <f t="shared" si="2"/>
        <v>730.69999999999993</v>
      </c>
      <c r="P37" s="102">
        <f t="shared" si="3"/>
        <v>188.79999999999998</v>
      </c>
      <c r="Q37" s="102">
        <f t="shared" si="4"/>
        <v>1160.1999999999998</v>
      </c>
    </row>
    <row r="38" spans="1:17">
      <c r="A38" s="102">
        <v>1991</v>
      </c>
      <c r="B38" s="102">
        <v>66.099999999999994</v>
      </c>
      <c r="C38" s="102">
        <v>28.5</v>
      </c>
      <c r="D38" s="102">
        <v>101.5</v>
      </c>
      <c r="E38" s="102">
        <v>86</v>
      </c>
      <c r="F38" s="102">
        <v>166.7</v>
      </c>
      <c r="G38" s="102">
        <v>109.6</v>
      </c>
      <c r="H38" s="102">
        <v>375.8</v>
      </c>
      <c r="I38" s="102">
        <v>93</v>
      </c>
      <c r="J38" s="102">
        <v>40.5</v>
      </c>
      <c r="K38" s="102">
        <v>72.7</v>
      </c>
      <c r="L38" s="102">
        <v>81.900000000000006</v>
      </c>
      <c r="M38" s="102">
        <v>17.5</v>
      </c>
      <c r="N38" s="102">
        <f t="shared" si="1"/>
        <v>282.10000000000002</v>
      </c>
      <c r="O38" s="102">
        <f t="shared" si="2"/>
        <v>785.59999999999991</v>
      </c>
      <c r="P38" s="102">
        <f t="shared" si="3"/>
        <v>172.10000000000002</v>
      </c>
      <c r="Q38" s="102">
        <f t="shared" si="4"/>
        <v>1239.8000000000002</v>
      </c>
    </row>
    <row r="39" spans="1:17">
      <c r="A39" s="102">
        <v>1992</v>
      </c>
      <c r="B39" s="102">
        <v>30.4</v>
      </c>
      <c r="C39" s="102">
        <v>51.9</v>
      </c>
      <c r="D39" s="102">
        <v>74.8</v>
      </c>
      <c r="E39" s="102">
        <v>142.30000000000001</v>
      </c>
      <c r="F39" s="102">
        <v>204.4</v>
      </c>
      <c r="G39" s="102">
        <v>213.4</v>
      </c>
      <c r="H39" s="102">
        <v>179.2</v>
      </c>
      <c r="I39" s="102">
        <v>6.7</v>
      </c>
      <c r="J39" s="102">
        <v>80.7</v>
      </c>
      <c r="K39" s="102">
        <v>45</v>
      </c>
      <c r="L39" s="102">
        <v>8.4</v>
      </c>
      <c r="M39" s="102">
        <v>38.299999999999997</v>
      </c>
      <c r="N39" s="102">
        <f t="shared" si="1"/>
        <v>299.39999999999998</v>
      </c>
      <c r="O39" s="102">
        <f t="shared" si="2"/>
        <v>684.40000000000009</v>
      </c>
      <c r="P39" s="102">
        <f t="shared" si="3"/>
        <v>91.699999999999989</v>
      </c>
      <c r="Q39" s="102">
        <f t="shared" si="4"/>
        <v>1075.5</v>
      </c>
    </row>
    <row r="40" spans="1:17">
      <c r="A40" s="102">
        <v>1993</v>
      </c>
      <c r="B40" s="102">
        <v>36.5</v>
      </c>
      <c r="C40" s="102">
        <v>37.4</v>
      </c>
      <c r="D40" s="102">
        <v>28.1</v>
      </c>
      <c r="E40" s="102">
        <v>66</v>
      </c>
      <c r="F40" s="102">
        <v>258.39999999999998</v>
      </c>
      <c r="G40" s="102">
        <v>130.1</v>
      </c>
      <c r="H40" s="102">
        <v>239.4</v>
      </c>
      <c r="I40" s="102">
        <v>149</v>
      </c>
      <c r="J40" s="102">
        <v>68.5</v>
      </c>
      <c r="K40" s="102">
        <v>68.8</v>
      </c>
      <c r="L40" s="102">
        <v>37</v>
      </c>
      <c r="M40" s="102">
        <v>22.1</v>
      </c>
      <c r="N40" s="102">
        <f t="shared" si="1"/>
        <v>168</v>
      </c>
      <c r="O40" s="102">
        <f t="shared" si="2"/>
        <v>845.4</v>
      </c>
      <c r="P40" s="102">
        <f t="shared" si="3"/>
        <v>127.9</v>
      </c>
      <c r="Q40" s="102">
        <f t="shared" si="4"/>
        <v>1141.3</v>
      </c>
    </row>
    <row r="41" spans="1:17">
      <c r="A41" s="102">
        <v>1994</v>
      </c>
      <c r="B41" s="102">
        <v>26.4</v>
      </c>
      <c r="C41" s="102">
        <v>12.3</v>
      </c>
      <c r="D41" s="102">
        <v>75.900000000000006</v>
      </c>
      <c r="E41" s="102">
        <v>166.7</v>
      </c>
      <c r="F41" s="102">
        <v>167.9</v>
      </c>
      <c r="G41" s="102">
        <v>60.2</v>
      </c>
      <c r="H41" s="102">
        <v>180.7</v>
      </c>
      <c r="I41" s="102">
        <v>121.1</v>
      </c>
      <c r="J41" s="102">
        <v>120.2</v>
      </c>
      <c r="K41" s="102">
        <v>181.4</v>
      </c>
      <c r="L41" s="102">
        <v>78.099999999999994</v>
      </c>
      <c r="M41" s="102">
        <v>32.6</v>
      </c>
      <c r="N41" s="102">
        <f t="shared" si="1"/>
        <v>281.3</v>
      </c>
      <c r="O41" s="102">
        <f t="shared" si="2"/>
        <v>650.1</v>
      </c>
      <c r="P41" s="102">
        <f t="shared" si="3"/>
        <v>292.10000000000002</v>
      </c>
      <c r="Q41" s="102">
        <f t="shared" si="4"/>
        <v>1223.5</v>
      </c>
    </row>
    <row r="42" spans="1:17">
      <c r="A42" s="102">
        <v>1995</v>
      </c>
      <c r="B42" s="102">
        <v>35.700000000000003</v>
      </c>
      <c r="C42" s="102">
        <v>33.1</v>
      </c>
      <c r="D42" s="102">
        <v>34.299999999999997</v>
      </c>
      <c r="E42" s="102">
        <v>43.8</v>
      </c>
      <c r="F42" s="102">
        <v>315.7</v>
      </c>
      <c r="G42" s="102">
        <v>311.2</v>
      </c>
      <c r="H42" s="102">
        <v>68.599999999999994</v>
      </c>
      <c r="I42" s="102">
        <v>99.1</v>
      </c>
      <c r="J42" s="102">
        <v>44.2</v>
      </c>
      <c r="K42" s="102">
        <v>58.8</v>
      </c>
      <c r="L42" s="102">
        <v>49.1</v>
      </c>
      <c r="M42" s="102">
        <v>7.8</v>
      </c>
      <c r="N42" s="102">
        <f t="shared" si="1"/>
        <v>146.9</v>
      </c>
      <c r="O42" s="102">
        <f t="shared" si="2"/>
        <v>838.80000000000007</v>
      </c>
      <c r="P42" s="102">
        <f t="shared" si="3"/>
        <v>115.7</v>
      </c>
      <c r="Q42" s="102">
        <f t="shared" si="4"/>
        <v>1101.3999999999999</v>
      </c>
    </row>
    <row r="43" spans="1:17">
      <c r="A43" s="102">
        <v>1996</v>
      </c>
      <c r="B43" s="102">
        <v>13.8</v>
      </c>
      <c r="C43" s="102">
        <v>2.5</v>
      </c>
      <c r="D43" s="102">
        <v>80.5</v>
      </c>
      <c r="E43" s="102">
        <v>116.2</v>
      </c>
      <c r="F43" s="102">
        <v>191.7</v>
      </c>
      <c r="G43" s="102">
        <v>271.60000000000002</v>
      </c>
      <c r="H43" s="102">
        <v>401.2</v>
      </c>
      <c r="I43" s="102">
        <v>144.19999999999999</v>
      </c>
      <c r="J43" s="102">
        <v>5</v>
      </c>
      <c r="K43" s="102">
        <v>60.2</v>
      </c>
      <c r="L43" s="102">
        <v>25.6</v>
      </c>
      <c r="M43" s="102">
        <v>6.5</v>
      </c>
      <c r="N43" s="102">
        <f t="shared" si="1"/>
        <v>213</v>
      </c>
      <c r="O43" s="102">
        <f t="shared" si="2"/>
        <v>1013.7</v>
      </c>
      <c r="P43" s="102">
        <f t="shared" si="3"/>
        <v>92.300000000000011</v>
      </c>
      <c r="Q43" s="102">
        <f t="shared" si="4"/>
        <v>1319</v>
      </c>
    </row>
    <row r="44" spans="1:17">
      <c r="A44" s="102">
        <v>1997</v>
      </c>
      <c r="B44" s="102">
        <v>42.9</v>
      </c>
      <c r="C44" s="102">
        <v>38</v>
      </c>
      <c r="D44" s="102">
        <v>61.1</v>
      </c>
      <c r="E44" s="102">
        <v>147.6</v>
      </c>
      <c r="F44" s="102">
        <v>123</v>
      </c>
      <c r="G44" s="102">
        <v>213.7</v>
      </c>
      <c r="H44" s="102">
        <v>149.6</v>
      </c>
      <c r="I44" s="102">
        <v>60.5</v>
      </c>
      <c r="J44" s="102">
        <v>93.6</v>
      </c>
      <c r="K44" s="102">
        <v>153.6</v>
      </c>
      <c r="L44" s="102">
        <v>26.6</v>
      </c>
      <c r="M44" s="102">
        <v>18.899999999999999</v>
      </c>
      <c r="N44" s="102">
        <f t="shared" si="1"/>
        <v>289.60000000000002</v>
      </c>
      <c r="O44" s="102">
        <f t="shared" si="2"/>
        <v>640.4</v>
      </c>
      <c r="P44" s="102">
        <f t="shared" si="3"/>
        <v>199.1</v>
      </c>
      <c r="Q44" s="102">
        <f t="shared" si="4"/>
        <v>1129.0999999999999</v>
      </c>
    </row>
    <row r="45" spans="1:17">
      <c r="A45" s="102">
        <v>1998</v>
      </c>
      <c r="B45" s="102">
        <v>38.700000000000003</v>
      </c>
      <c r="C45" s="102">
        <v>23.5</v>
      </c>
      <c r="D45" s="102">
        <v>6.7</v>
      </c>
      <c r="E45" s="102">
        <v>89</v>
      </c>
      <c r="F45" s="102">
        <v>162.9</v>
      </c>
      <c r="G45" s="102">
        <v>257</v>
      </c>
      <c r="H45" s="102">
        <v>144.19999999999999</v>
      </c>
      <c r="I45" s="102">
        <v>68.2</v>
      </c>
      <c r="J45" s="102">
        <v>41.1</v>
      </c>
      <c r="K45" s="102">
        <v>127.9</v>
      </c>
      <c r="L45" s="102">
        <v>16.600000000000001</v>
      </c>
      <c r="M45" s="102">
        <v>16.5</v>
      </c>
      <c r="N45" s="102">
        <f t="shared" si="1"/>
        <v>157.9</v>
      </c>
      <c r="O45" s="102">
        <f t="shared" si="2"/>
        <v>673.4</v>
      </c>
      <c r="P45" s="102">
        <f t="shared" si="3"/>
        <v>161</v>
      </c>
      <c r="Q45" s="102">
        <f t="shared" si="4"/>
        <v>992.30000000000007</v>
      </c>
    </row>
    <row r="46" spans="1:17">
      <c r="A46" s="102">
        <v>1999</v>
      </c>
      <c r="B46" s="102">
        <v>28.9</v>
      </c>
      <c r="C46" s="102">
        <v>12.9</v>
      </c>
      <c r="D46" s="102">
        <v>60.5</v>
      </c>
      <c r="E46" s="102">
        <v>113.6</v>
      </c>
      <c r="F46" s="102">
        <v>134.69999999999999</v>
      </c>
      <c r="G46" s="102">
        <v>295.7</v>
      </c>
      <c r="H46" s="102">
        <v>233.5</v>
      </c>
      <c r="I46" s="102">
        <v>185.5</v>
      </c>
      <c r="J46" s="102">
        <v>77.8</v>
      </c>
      <c r="K46" s="102">
        <v>86.4</v>
      </c>
      <c r="L46" s="102">
        <v>51</v>
      </c>
      <c r="M46" s="102">
        <v>0.1</v>
      </c>
      <c r="N46" s="102">
        <f t="shared" si="1"/>
        <v>215.89999999999998</v>
      </c>
      <c r="O46" s="102">
        <f t="shared" si="2"/>
        <v>927.19999999999993</v>
      </c>
      <c r="P46" s="102">
        <f t="shared" si="3"/>
        <v>137.5</v>
      </c>
      <c r="Q46" s="102">
        <f t="shared" si="4"/>
        <v>1280.5999999999999</v>
      </c>
    </row>
    <row r="47" spans="1:17">
      <c r="A47" s="102">
        <v>2000</v>
      </c>
      <c r="B47" s="102">
        <v>31.5</v>
      </c>
      <c r="C47" s="102">
        <v>23</v>
      </c>
      <c r="D47" s="102">
        <v>86.2</v>
      </c>
      <c r="E47" s="102">
        <v>110.4</v>
      </c>
      <c r="F47" s="102">
        <v>187.7</v>
      </c>
      <c r="G47" s="102">
        <v>314.89999999999998</v>
      </c>
      <c r="H47" s="102">
        <v>39.299999999999997</v>
      </c>
      <c r="I47" s="102">
        <v>174.3</v>
      </c>
      <c r="J47" s="102">
        <v>111.5</v>
      </c>
      <c r="K47" s="102">
        <v>83</v>
      </c>
      <c r="L47" s="102">
        <v>25.5</v>
      </c>
      <c r="M47" s="102">
        <v>23.5</v>
      </c>
      <c r="N47" s="102">
        <f t="shared" si="1"/>
        <v>251.1</v>
      </c>
      <c r="O47" s="102">
        <f t="shared" si="2"/>
        <v>827.7</v>
      </c>
      <c r="P47" s="102">
        <f t="shared" si="3"/>
        <v>132</v>
      </c>
      <c r="Q47" s="102">
        <f t="shared" si="4"/>
        <v>1210.8</v>
      </c>
    </row>
    <row r="48" spans="1:17">
      <c r="A48" s="102">
        <v>2001</v>
      </c>
      <c r="B48" s="102">
        <v>38.9</v>
      </c>
      <c r="C48" s="102">
        <v>19.5</v>
      </c>
      <c r="D48" s="102">
        <v>48.3</v>
      </c>
      <c r="E48" s="102">
        <v>75.5</v>
      </c>
      <c r="F48" s="102">
        <v>116.1</v>
      </c>
      <c r="G48" s="102">
        <v>122.5</v>
      </c>
      <c r="H48" s="102">
        <v>139.6</v>
      </c>
      <c r="I48" s="102">
        <v>86.6</v>
      </c>
      <c r="J48" s="102">
        <v>4.8</v>
      </c>
      <c r="K48" s="102">
        <v>90.4</v>
      </c>
      <c r="L48" s="102">
        <v>41.7</v>
      </c>
      <c r="M48" s="102">
        <v>14.3</v>
      </c>
      <c r="N48" s="102">
        <f t="shared" si="1"/>
        <v>182.2</v>
      </c>
      <c r="O48" s="102">
        <f t="shared" si="2"/>
        <v>469.59999999999997</v>
      </c>
      <c r="P48" s="102">
        <f t="shared" si="3"/>
        <v>146.40000000000003</v>
      </c>
      <c r="Q48" s="102">
        <f t="shared" si="4"/>
        <v>798.19999999999993</v>
      </c>
    </row>
    <row r="49" spans="1:33">
      <c r="A49" s="102">
        <v>2002</v>
      </c>
      <c r="B49" s="102">
        <v>14</v>
      </c>
      <c r="C49" s="102">
        <v>34.5</v>
      </c>
      <c r="D49" s="102">
        <v>59.1</v>
      </c>
      <c r="E49" s="102">
        <v>143.4</v>
      </c>
      <c r="F49" s="102">
        <v>349.7</v>
      </c>
      <c r="G49" s="102">
        <v>170.6</v>
      </c>
      <c r="H49" s="102">
        <v>111.7</v>
      </c>
      <c r="I49" s="102">
        <v>224.8</v>
      </c>
      <c r="J49" s="102">
        <v>35.1</v>
      </c>
      <c r="K49" s="102">
        <v>136.30000000000001</v>
      </c>
      <c r="L49" s="102">
        <v>10.4</v>
      </c>
      <c r="M49" s="102">
        <v>57.7</v>
      </c>
      <c r="N49" s="102">
        <f t="shared" si="1"/>
        <v>251</v>
      </c>
      <c r="O49" s="102">
        <f t="shared" si="2"/>
        <v>891.9</v>
      </c>
      <c r="P49" s="102">
        <f t="shared" si="3"/>
        <v>204.40000000000003</v>
      </c>
      <c r="Q49" s="102">
        <f t="shared" si="4"/>
        <v>1347.3000000000002</v>
      </c>
    </row>
    <row r="50" spans="1:33">
      <c r="A50" s="102">
        <v>2003</v>
      </c>
      <c r="B50" s="102">
        <v>39.700000000000003</v>
      </c>
      <c r="C50" s="102">
        <v>7</v>
      </c>
      <c r="D50" s="102">
        <v>33</v>
      </c>
      <c r="E50" s="102">
        <v>150.1</v>
      </c>
      <c r="F50" s="102">
        <v>212.6</v>
      </c>
      <c r="G50" s="102">
        <v>178.8</v>
      </c>
      <c r="H50" s="102">
        <v>120.7</v>
      </c>
      <c r="I50" s="102">
        <v>70</v>
      </c>
      <c r="J50" s="102">
        <v>49</v>
      </c>
      <c r="K50" s="102">
        <v>40.4</v>
      </c>
      <c r="L50" s="102">
        <v>10.7</v>
      </c>
      <c r="M50" s="102">
        <v>21.2</v>
      </c>
      <c r="N50" s="102">
        <f t="shared" si="1"/>
        <v>229.8</v>
      </c>
      <c r="O50" s="102">
        <f t="shared" si="2"/>
        <v>631.1</v>
      </c>
      <c r="P50" s="102">
        <f t="shared" si="3"/>
        <v>72.3</v>
      </c>
      <c r="Q50" s="102">
        <f t="shared" si="4"/>
        <v>933.20000000000016</v>
      </c>
    </row>
    <row r="51" spans="1:33">
      <c r="A51" s="102">
        <v>2004</v>
      </c>
      <c r="B51" s="103">
        <v>32</v>
      </c>
      <c r="C51" s="103">
        <v>57.9</v>
      </c>
      <c r="D51" s="103">
        <v>40.9</v>
      </c>
      <c r="E51" s="103">
        <v>144</v>
      </c>
      <c r="F51" s="103">
        <v>180.7</v>
      </c>
      <c r="G51" s="103">
        <v>135.69999999999999</v>
      </c>
      <c r="H51" s="103">
        <v>286.39999999999998</v>
      </c>
      <c r="I51" s="103">
        <v>50.8</v>
      </c>
      <c r="J51" s="103">
        <v>104.5</v>
      </c>
      <c r="K51" s="103">
        <v>10</v>
      </c>
      <c r="L51" s="103">
        <v>86.3</v>
      </c>
      <c r="M51" s="103">
        <v>41.6</v>
      </c>
      <c r="N51" s="102">
        <f t="shared" si="1"/>
        <v>274.8</v>
      </c>
      <c r="O51" s="102">
        <f t="shared" si="2"/>
        <v>758.09999999999991</v>
      </c>
      <c r="P51" s="102">
        <f t="shared" si="3"/>
        <v>137.9</v>
      </c>
      <c r="Q51" s="102">
        <f t="shared" si="4"/>
        <v>1170.8</v>
      </c>
    </row>
    <row r="52" spans="1:33">
      <c r="A52" s="102">
        <v>2005</v>
      </c>
      <c r="B52" s="103">
        <v>40.9</v>
      </c>
      <c r="C52" s="103">
        <v>11.5</v>
      </c>
      <c r="D52" s="103">
        <v>27.1</v>
      </c>
      <c r="E52" s="103">
        <v>48.1</v>
      </c>
      <c r="F52" s="103">
        <v>171.7</v>
      </c>
      <c r="G52" s="103">
        <v>99.6</v>
      </c>
      <c r="H52" s="103">
        <v>73.5</v>
      </c>
      <c r="I52" s="103">
        <v>100.4</v>
      </c>
      <c r="J52" s="103">
        <v>24.2</v>
      </c>
      <c r="K52" s="102">
        <v>42</v>
      </c>
      <c r="L52" s="102">
        <v>44</v>
      </c>
      <c r="M52" s="102">
        <v>28.3</v>
      </c>
      <c r="N52" s="102">
        <f t="shared" si="1"/>
        <v>127.6</v>
      </c>
      <c r="O52" s="102">
        <f t="shared" si="2"/>
        <v>469.39999999999992</v>
      </c>
      <c r="P52" s="102">
        <f t="shared" si="3"/>
        <v>114.3</v>
      </c>
      <c r="Q52" s="102">
        <f t="shared" si="4"/>
        <v>711.3</v>
      </c>
    </row>
    <row r="53" spans="1:33">
      <c r="A53" s="102">
        <v>2006</v>
      </c>
      <c r="B53" s="102">
        <v>11.9</v>
      </c>
      <c r="C53" s="102">
        <v>50.8</v>
      </c>
      <c r="D53" s="102">
        <v>62</v>
      </c>
      <c r="E53" s="102">
        <v>106.2</v>
      </c>
      <c r="F53" s="102">
        <v>155.19999999999999</v>
      </c>
      <c r="G53" s="102">
        <v>177.5</v>
      </c>
      <c r="H53" s="102">
        <v>123.9</v>
      </c>
      <c r="I53" s="102">
        <v>50</v>
      </c>
      <c r="J53" s="102">
        <v>68.900000000000006</v>
      </c>
      <c r="K53" s="102">
        <v>60.5</v>
      </c>
      <c r="L53" s="102">
        <v>33.700000000000003</v>
      </c>
      <c r="M53" s="102">
        <v>16.7</v>
      </c>
      <c r="N53" s="102">
        <f t="shared" si="1"/>
        <v>230.89999999999998</v>
      </c>
      <c r="O53" s="102">
        <f t="shared" si="2"/>
        <v>575.5</v>
      </c>
      <c r="P53" s="102">
        <f t="shared" si="3"/>
        <v>110.9</v>
      </c>
      <c r="Q53" s="102">
        <f t="shared" si="4"/>
        <v>917.3</v>
      </c>
    </row>
    <row r="54" spans="1:33">
      <c r="A54" s="102">
        <v>2007</v>
      </c>
      <c r="B54" s="102">
        <v>29.7</v>
      </c>
      <c r="C54" s="102">
        <v>11.7</v>
      </c>
      <c r="D54" s="102">
        <v>77.099999999999994</v>
      </c>
      <c r="E54" s="102">
        <v>129.30000000000001</v>
      </c>
      <c r="F54" s="102">
        <v>143</v>
      </c>
      <c r="G54" s="102">
        <v>173.8</v>
      </c>
      <c r="H54" s="102">
        <v>321.5</v>
      </c>
      <c r="I54" s="102">
        <v>175.8</v>
      </c>
      <c r="J54" s="102">
        <v>69.599999999999994</v>
      </c>
      <c r="K54" s="102">
        <v>4.0999999999999996</v>
      </c>
      <c r="L54" s="102">
        <v>0.2</v>
      </c>
      <c r="M54" s="102">
        <v>18.100000000000001</v>
      </c>
      <c r="N54" s="102">
        <f t="shared" si="1"/>
        <v>247.8</v>
      </c>
      <c r="O54" s="102">
        <f t="shared" si="2"/>
        <v>883.69999999999993</v>
      </c>
      <c r="P54" s="102">
        <f t="shared" si="3"/>
        <v>22.400000000000002</v>
      </c>
      <c r="Q54" s="102">
        <f t="shared" si="4"/>
        <v>1153.8999999999999</v>
      </c>
    </row>
    <row r="55" spans="1:33">
      <c r="A55" s="102">
        <v>2008</v>
      </c>
      <c r="B55" s="102">
        <v>26.4</v>
      </c>
      <c r="C55" s="102">
        <v>28.6</v>
      </c>
      <c r="D55" s="102">
        <v>84.8</v>
      </c>
      <c r="E55" s="102">
        <v>66.3</v>
      </c>
      <c r="F55" s="102">
        <v>154.5</v>
      </c>
      <c r="G55" s="102">
        <v>98.9</v>
      </c>
      <c r="H55" s="102">
        <v>153.80000000000001</v>
      </c>
      <c r="I55" s="102">
        <v>223.8</v>
      </c>
      <c r="J55" s="102">
        <v>27.9</v>
      </c>
      <c r="K55" s="102">
        <v>94.5</v>
      </c>
      <c r="L55" s="102">
        <v>153.19999999999999</v>
      </c>
      <c r="M55" s="102">
        <v>12.9</v>
      </c>
      <c r="N55" s="102">
        <f t="shared" si="1"/>
        <v>206.10000000000002</v>
      </c>
      <c r="O55" s="102">
        <f t="shared" si="2"/>
        <v>658.9</v>
      </c>
      <c r="P55" s="102">
        <f t="shared" si="3"/>
        <v>260.59999999999997</v>
      </c>
      <c r="Q55" s="102">
        <f t="shared" si="4"/>
        <v>1125.5999999999999</v>
      </c>
    </row>
    <row r="56" spans="1:33">
      <c r="A56" s="102">
        <v>2009</v>
      </c>
      <c r="B56" s="102">
        <v>21.5</v>
      </c>
      <c r="C56" s="102">
        <v>39.4</v>
      </c>
      <c r="D56" s="102">
        <v>51.2</v>
      </c>
      <c r="E56" s="102">
        <v>216.4</v>
      </c>
      <c r="F56" s="102">
        <v>116.1</v>
      </c>
      <c r="G56" s="102">
        <v>223.4</v>
      </c>
      <c r="H56" s="102">
        <v>131.69999999999999</v>
      </c>
      <c r="I56" s="102">
        <v>10.1</v>
      </c>
      <c r="J56" s="102">
        <v>55.5</v>
      </c>
      <c r="K56" s="102">
        <v>26.4</v>
      </c>
      <c r="L56" s="102">
        <v>16.8</v>
      </c>
      <c r="M56" s="102">
        <v>26.4</v>
      </c>
      <c r="N56" s="102">
        <f t="shared" si="1"/>
        <v>328.5</v>
      </c>
      <c r="O56" s="102">
        <f t="shared" si="2"/>
        <v>536.79999999999995</v>
      </c>
      <c r="P56" s="102">
        <f t="shared" si="3"/>
        <v>69.599999999999994</v>
      </c>
      <c r="Q56" s="102">
        <f t="shared" si="4"/>
        <v>934.9</v>
      </c>
    </row>
    <row r="57" spans="1:33">
      <c r="A57" s="102">
        <v>2010</v>
      </c>
      <c r="B57" s="102">
        <v>7</v>
      </c>
      <c r="C57" s="102">
        <v>5.5</v>
      </c>
      <c r="D57" s="102">
        <v>42.6</v>
      </c>
      <c r="E57" s="102">
        <v>146.5</v>
      </c>
      <c r="F57" s="102">
        <v>128.4</v>
      </c>
      <c r="G57" s="102">
        <v>185.9</v>
      </c>
      <c r="H57" s="102">
        <v>58.2</v>
      </c>
      <c r="I57" s="102">
        <v>52.6</v>
      </c>
      <c r="J57" s="102">
        <v>125.2</v>
      </c>
      <c r="K57" s="102">
        <v>96.4</v>
      </c>
      <c r="L57" s="102">
        <v>20.6</v>
      </c>
      <c r="M57" s="102">
        <v>54.2</v>
      </c>
      <c r="N57" s="102">
        <f t="shared" si="1"/>
        <v>201.6</v>
      </c>
      <c r="O57" s="102">
        <f t="shared" si="2"/>
        <v>550.30000000000007</v>
      </c>
      <c r="P57" s="102">
        <f t="shared" si="3"/>
        <v>171.2</v>
      </c>
      <c r="Q57" s="102">
        <f t="shared" si="4"/>
        <v>923.10000000000014</v>
      </c>
    </row>
    <row r="58" spans="1:33">
      <c r="A58" s="102">
        <v>2011</v>
      </c>
      <c r="B58" s="102">
        <v>27.6</v>
      </c>
      <c r="C58" s="102">
        <v>6.9</v>
      </c>
      <c r="D58" s="102">
        <v>35.799999999999997</v>
      </c>
      <c r="E58" s="102">
        <v>39.5</v>
      </c>
      <c r="F58" s="102">
        <v>115.6</v>
      </c>
      <c r="G58" s="102">
        <v>226.5</v>
      </c>
      <c r="H58" s="102">
        <v>6.3</v>
      </c>
      <c r="I58" s="102">
        <v>24.3</v>
      </c>
      <c r="J58" s="102">
        <v>75.7</v>
      </c>
      <c r="K58" s="102">
        <v>127.8</v>
      </c>
      <c r="L58" s="102">
        <v>45.5</v>
      </c>
      <c r="M58" s="102">
        <v>14.5</v>
      </c>
      <c r="N58" s="102">
        <f t="shared" si="1"/>
        <v>109.8</v>
      </c>
      <c r="O58" s="102">
        <f t="shared" si="2"/>
        <v>448.40000000000003</v>
      </c>
      <c r="P58" s="102">
        <f t="shared" si="3"/>
        <v>187.8</v>
      </c>
      <c r="Q58" s="102">
        <f t="shared" si="4"/>
        <v>746</v>
      </c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</row>
    <row r="59" spans="1:33">
      <c r="A59" s="102">
        <v>2012</v>
      </c>
      <c r="B59" s="102">
        <v>35.6</v>
      </c>
      <c r="C59" s="102">
        <v>15.9</v>
      </c>
      <c r="D59" s="102">
        <v>35.6</v>
      </c>
      <c r="E59" s="102">
        <v>80.8</v>
      </c>
      <c r="F59" s="102">
        <v>166.7</v>
      </c>
      <c r="G59" s="102">
        <v>122.2</v>
      </c>
      <c r="H59" s="102">
        <v>316.7</v>
      </c>
      <c r="I59" s="102">
        <v>52.4</v>
      </c>
      <c r="J59" s="102">
        <v>69.7</v>
      </c>
      <c r="K59" s="102">
        <v>67.5</v>
      </c>
      <c r="L59" s="102">
        <v>53.3</v>
      </c>
      <c r="M59" s="102">
        <v>11</v>
      </c>
      <c r="N59" s="102">
        <f t="shared" si="1"/>
        <v>167.89999999999998</v>
      </c>
      <c r="O59" s="102">
        <f t="shared" si="2"/>
        <v>727.69999999999993</v>
      </c>
      <c r="P59" s="102">
        <f t="shared" si="3"/>
        <v>131.80000000000001</v>
      </c>
      <c r="Q59" s="102">
        <f t="shared" si="4"/>
        <v>1027.4000000000001</v>
      </c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</row>
    <row r="60" spans="1:33">
      <c r="A60" s="102">
        <v>2013</v>
      </c>
      <c r="B60" s="102">
        <v>9.5</v>
      </c>
      <c r="C60" s="102">
        <v>25.8</v>
      </c>
      <c r="D60" s="102">
        <v>146</v>
      </c>
      <c r="E60" s="102">
        <v>103.5</v>
      </c>
      <c r="F60" s="102">
        <v>216</v>
      </c>
      <c r="G60" s="102">
        <v>140</v>
      </c>
      <c r="H60" s="102">
        <v>16.600000000000001</v>
      </c>
      <c r="I60" s="102">
        <v>91.7</v>
      </c>
      <c r="J60" s="102">
        <v>184.6</v>
      </c>
      <c r="K60" s="102">
        <v>89.7</v>
      </c>
      <c r="L60" s="102">
        <v>46.2</v>
      </c>
      <c r="M60" s="102">
        <v>41.1</v>
      </c>
      <c r="N60" s="102">
        <f t="shared" si="1"/>
        <v>284.8</v>
      </c>
      <c r="O60" s="102">
        <f t="shared" si="2"/>
        <v>648.9</v>
      </c>
      <c r="P60" s="102">
        <f t="shared" si="3"/>
        <v>177</v>
      </c>
      <c r="Q60" s="102">
        <f t="shared" si="4"/>
        <v>1110.7</v>
      </c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  <c r="AD60" s="104"/>
      <c r="AE60" s="104"/>
      <c r="AF60" s="104"/>
      <c r="AG60" s="104"/>
    </row>
    <row r="61" spans="1:33">
      <c r="A61" s="102">
        <v>2014</v>
      </c>
      <c r="B61" s="128">
        <v>10.8</v>
      </c>
      <c r="C61" s="128">
        <v>35.4</v>
      </c>
      <c r="D61" s="128">
        <v>80.3</v>
      </c>
      <c r="E61" s="128">
        <v>56.1</v>
      </c>
      <c r="F61" s="128">
        <v>208</v>
      </c>
      <c r="G61" s="128">
        <v>118.9</v>
      </c>
      <c r="H61" s="128">
        <v>266.8</v>
      </c>
      <c r="I61" s="128">
        <v>62.5</v>
      </c>
      <c r="J61" s="128">
        <v>85.5</v>
      </c>
      <c r="K61" s="128">
        <v>78.099999999999994</v>
      </c>
      <c r="L61" s="128">
        <v>76.900000000000006</v>
      </c>
      <c r="M61" s="128">
        <v>6.4</v>
      </c>
      <c r="N61" s="102">
        <f t="shared" si="1"/>
        <v>182.6</v>
      </c>
      <c r="O61" s="102">
        <f t="shared" si="2"/>
        <v>741.7</v>
      </c>
      <c r="P61" s="102">
        <f t="shared" si="3"/>
        <v>161.4</v>
      </c>
      <c r="Q61" s="102">
        <f t="shared" si="4"/>
        <v>1085.7</v>
      </c>
    </row>
    <row r="62" spans="1:33">
      <c r="A62" s="102">
        <v>2015</v>
      </c>
      <c r="B62" s="128">
        <v>44.1</v>
      </c>
      <c r="C62" s="128">
        <v>36.700000000000003</v>
      </c>
      <c r="D62" s="128">
        <v>43</v>
      </c>
      <c r="E62" s="128">
        <v>54.2</v>
      </c>
      <c r="F62" s="128">
        <v>264.10000000000002</v>
      </c>
      <c r="G62" s="128">
        <v>362.5</v>
      </c>
      <c r="H62" s="128">
        <v>67.099999999999994</v>
      </c>
      <c r="I62" s="128">
        <v>174.6</v>
      </c>
      <c r="J62" s="128">
        <v>126.4</v>
      </c>
      <c r="K62" s="128">
        <v>154.19999999999999</v>
      </c>
      <c r="L62" s="128">
        <v>61.9</v>
      </c>
      <c r="M62" s="128">
        <v>79.3</v>
      </c>
      <c r="N62" s="102">
        <f t="shared" si="1"/>
        <v>178</v>
      </c>
      <c r="O62" s="102">
        <f t="shared" si="2"/>
        <v>994.7</v>
      </c>
      <c r="P62" s="102">
        <f t="shared" si="3"/>
        <v>295.39999999999998</v>
      </c>
      <c r="Q62" s="102">
        <f t="shared" si="4"/>
        <v>1468.1000000000001</v>
      </c>
    </row>
    <row r="63" spans="1:33" ht="13.5">
      <c r="A63" s="102">
        <v>2016</v>
      </c>
      <c r="B63" s="128">
        <v>60.1</v>
      </c>
      <c r="C63" s="128">
        <v>11.6</v>
      </c>
      <c r="D63" s="128">
        <v>75.400000000000006</v>
      </c>
      <c r="E63" s="128">
        <v>188.2</v>
      </c>
      <c r="F63" s="128">
        <v>155.69999999999999</v>
      </c>
      <c r="G63" s="128">
        <v>174</v>
      </c>
      <c r="H63" s="128">
        <v>65.900000000000006</v>
      </c>
      <c r="I63" s="128">
        <v>96.6</v>
      </c>
      <c r="J63" s="128">
        <v>18.899999999999999</v>
      </c>
      <c r="K63" s="128">
        <v>65.5</v>
      </c>
      <c r="L63" s="128">
        <v>66.8</v>
      </c>
      <c r="M63" s="128">
        <v>21.1</v>
      </c>
      <c r="N63" s="102">
        <f>SUM(B63:E63)</f>
        <v>335.3</v>
      </c>
      <c r="O63" s="102">
        <f>SUM(F63:J63)</f>
        <v>511.1</v>
      </c>
      <c r="P63" s="102">
        <f>SUM(K63:M63)</f>
        <v>153.4</v>
      </c>
      <c r="Q63" s="102">
        <f>SUM(B63:M63)</f>
        <v>999.8</v>
      </c>
      <c r="R63" s="129">
        <f t="shared" ref="R63:AG63" si="5">100*(B63-B4)/B4</f>
        <v>116.99452191235054</v>
      </c>
      <c r="S63" s="129">
        <f t="shared" si="5"/>
        <v>-58.345715700842014</v>
      </c>
      <c r="T63" s="129">
        <f t="shared" si="5"/>
        <v>42.62140038482864</v>
      </c>
      <c r="U63" s="129">
        <f t="shared" si="5"/>
        <v>69.525850688782228</v>
      </c>
      <c r="V63" s="129">
        <f t="shared" si="5"/>
        <v>-16.131728518890039</v>
      </c>
      <c r="W63" s="129">
        <f t="shared" si="5"/>
        <v>-5.6866501565347249</v>
      </c>
      <c r="X63" s="129">
        <f t="shared" si="5"/>
        <v>-54.237754869916067</v>
      </c>
      <c r="Y63" s="129">
        <f t="shared" si="5"/>
        <v>-13.542373927535371</v>
      </c>
      <c r="Z63" s="129">
        <f t="shared" si="5"/>
        <v>-76.721666560489268</v>
      </c>
      <c r="AA63" s="129">
        <f t="shared" si="5"/>
        <v>-23.495420175816076</v>
      </c>
      <c r="AB63" s="129">
        <f t="shared" si="5"/>
        <v>30.112083105522157</v>
      </c>
      <c r="AC63" s="129">
        <f t="shared" si="5"/>
        <v>-10.912135109558118</v>
      </c>
      <c r="AD63" s="129">
        <f t="shared" si="5"/>
        <v>52.806675676525181</v>
      </c>
      <c r="AE63" s="129">
        <f t="shared" si="5"/>
        <v>-27.715502841996692</v>
      </c>
      <c r="AF63" s="129">
        <f t="shared" si="5"/>
        <v>-3.0827215093352915</v>
      </c>
      <c r="AG63" s="129">
        <f t="shared" si="5"/>
        <v>-7.8333484326150975</v>
      </c>
    </row>
  </sheetData>
  <mergeCells count="6">
    <mergeCell ref="A1:A3"/>
    <mergeCell ref="B1:Q1"/>
    <mergeCell ref="B2:M2"/>
    <mergeCell ref="R1:AG1"/>
    <mergeCell ref="N2:Q2"/>
    <mergeCell ref="R2:AG2"/>
  </mergeCells>
  <phoneticPr fontId="2" type="noConversion"/>
  <pageMargins left="0.75" right="0.75" top="1" bottom="1" header="0.5" footer="0.5"/>
  <pageSetup paperSize="9" orientation="portrait" horizontalDpi="200" verticalDpi="200" copies="0" r:id="rId1"/>
  <headerFooter alignWithMargins="0"/>
</worksheet>
</file>

<file path=xl/worksheets/sheet47.xml><?xml version="1.0" encoding="utf-8"?>
<worksheet xmlns="http://schemas.openxmlformats.org/spreadsheetml/2006/main" xmlns:r="http://schemas.openxmlformats.org/officeDocument/2006/relationships">
  <sheetPr codeName="Sheet47"/>
  <dimension ref="A1:AG61"/>
  <sheetViews>
    <sheetView zoomScale="85" zoomScaleNormal="85" workbookViewId="0">
      <pane ySplit="5" topLeftCell="A6" activePane="bottomLeft" state="frozen"/>
      <selection pane="bottomLeft" activeCell="R61" sqref="R61:AG61"/>
    </sheetView>
  </sheetViews>
  <sheetFormatPr defaultRowHeight="12"/>
  <cols>
    <col min="1" max="35" width="7.125" style="102" customWidth="1"/>
    <col min="36" max="16384" width="9" style="102"/>
  </cols>
  <sheetData>
    <row r="1" spans="1:33" s="118" customFormat="1" ht="14.25" customHeight="1">
      <c r="A1" s="176" t="s">
        <v>53</v>
      </c>
      <c r="B1" s="176" t="s">
        <v>247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2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93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32</v>
      </c>
      <c r="O2" s="176"/>
      <c r="P2" s="176"/>
      <c r="Q2" s="176"/>
      <c r="R2" s="176" t="s">
        <v>38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 ht="24">
      <c r="A3" s="176"/>
      <c r="B3" s="138" t="s">
        <v>248</v>
      </c>
      <c r="C3" s="138" t="s">
        <v>249</v>
      </c>
      <c r="D3" s="138" t="s">
        <v>9</v>
      </c>
      <c r="E3" s="138" t="s">
        <v>10</v>
      </c>
      <c r="F3" s="138" t="s">
        <v>11</v>
      </c>
      <c r="G3" s="138" t="s">
        <v>12</v>
      </c>
      <c r="H3" s="138" t="s">
        <v>13</v>
      </c>
      <c r="I3" s="138" t="s">
        <v>14</v>
      </c>
      <c r="J3" s="138" t="s">
        <v>15</v>
      </c>
      <c r="K3" s="138" t="s">
        <v>16</v>
      </c>
      <c r="L3" s="138" t="s">
        <v>17</v>
      </c>
      <c r="M3" s="138" t="s">
        <v>18</v>
      </c>
      <c r="N3" s="138" t="s">
        <v>250</v>
      </c>
      <c r="O3" s="138" t="s">
        <v>251</v>
      </c>
      <c r="P3" s="138" t="s">
        <v>252</v>
      </c>
      <c r="Q3" s="138" t="s">
        <v>253</v>
      </c>
      <c r="R3" s="138" t="s">
        <v>248</v>
      </c>
      <c r="S3" s="138" t="s">
        <v>249</v>
      </c>
      <c r="T3" s="138" t="s">
        <v>254</v>
      </c>
      <c r="U3" s="138" t="s">
        <v>255</v>
      </c>
      <c r="V3" s="138" t="s">
        <v>256</v>
      </c>
      <c r="W3" s="138" t="s">
        <v>257</v>
      </c>
      <c r="X3" s="138" t="s">
        <v>25</v>
      </c>
      <c r="Y3" s="138" t="s">
        <v>26</v>
      </c>
      <c r="Z3" s="138" t="s">
        <v>27</v>
      </c>
      <c r="AA3" s="138" t="s">
        <v>258</v>
      </c>
      <c r="AB3" s="138" t="s">
        <v>259</v>
      </c>
      <c r="AC3" s="138" t="s">
        <v>260</v>
      </c>
      <c r="AD3" s="138" t="s">
        <v>230</v>
      </c>
      <c r="AE3" s="138" t="s">
        <v>42</v>
      </c>
      <c r="AF3" s="138" t="s">
        <v>231</v>
      </c>
      <c r="AG3" s="138" t="s">
        <v>66</v>
      </c>
    </row>
    <row r="4" spans="1:33" s="118" customFormat="1">
      <c r="A4" s="150" t="s">
        <v>261</v>
      </c>
      <c r="B4" s="150">
        <f t="shared" ref="B4:Q4" si="0">AVERAGE(B5:B60)</f>
        <v>36.157142857142865</v>
      </c>
      <c r="C4" s="150">
        <f t="shared" si="0"/>
        <v>39.491071428571431</v>
      </c>
      <c r="D4" s="150">
        <f t="shared" si="0"/>
        <v>62.533928571428582</v>
      </c>
      <c r="E4" s="150">
        <f t="shared" si="0"/>
        <v>129.29285714285714</v>
      </c>
      <c r="F4" s="150">
        <f t="shared" si="0"/>
        <v>212.09285714285716</v>
      </c>
      <c r="G4" s="150">
        <f t="shared" si="0"/>
        <v>211.85892857142858</v>
      </c>
      <c r="H4" s="150">
        <f t="shared" si="0"/>
        <v>156.36607142857142</v>
      </c>
      <c r="I4" s="150">
        <f t="shared" si="0"/>
        <v>128.32500000000002</v>
      </c>
      <c r="J4" s="150">
        <f t="shared" si="0"/>
        <v>83.933928571428595</v>
      </c>
      <c r="K4" s="150">
        <f t="shared" si="0"/>
        <v>100.86428571428573</v>
      </c>
      <c r="L4" s="150">
        <f t="shared" si="0"/>
        <v>60.650000000000013</v>
      </c>
      <c r="M4" s="150">
        <f t="shared" si="0"/>
        <v>30.944642857142863</v>
      </c>
      <c r="N4" s="150">
        <f t="shared" si="0"/>
        <v>267.47500000000002</v>
      </c>
      <c r="O4" s="150">
        <f t="shared" si="0"/>
        <v>792.57678571428562</v>
      </c>
      <c r="P4" s="150">
        <f t="shared" si="0"/>
        <v>192.45892857142852</v>
      </c>
      <c r="Q4" s="150">
        <f t="shared" si="0"/>
        <v>1252.5107142857146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1960</v>
      </c>
      <c r="B5" s="102">
        <v>21.2</v>
      </c>
      <c r="C5" s="102">
        <v>36.700000000000003</v>
      </c>
      <c r="D5" s="102">
        <v>60</v>
      </c>
      <c r="E5" s="102">
        <v>67.5</v>
      </c>
      <c r="F5" s="102">
        <v>135.80000000000001</v>
      </c>
      <c r="G5" s="102">
        <v>77.5</v>
      </c>
      <c r="H5" s="102">
        <v>123.3</v>
      </c>
      <c r="I5" s="102">
        <v>59.6</v>
      </c>
      <c r="J5" s="102">
        <v>29.7</v>
      </c>
      <c r="K5" s="102">
        <v>51.6</v>
      </c>
      <c r="L5" s="102">
        <v>61.7</v>
      </c>
      <c r="M5" s="102">
        <v>5.0999999999999996</v>
      </c>
      <c r="N5" s="102">
        <f>SUM(B5:E5)</f>
        <v>185.4</v>
      </c>
      <c r="O5" s="102">
        <f>SUM(F5:J5)</f>
        <v>425.90000000000003</v>
      </c>
      <c r="P5" s="102">
        <f>SUM(K5:M5)</f>
        <v>118.4</v>
      </c>
      <c r="Q5" s="102">
        <f>SUM(B5:M5)</f>
        <v>729.70000000000016</v>
      </c>
    </row>
    <row r="6" spans="1:33">
      <c r="A6" s="102">
        <v>1961</v>
      </c>
      <c r="B6" s="102">
        <v>17.2</v>
      </c>
      <c r="C6" s="102">
        <v>35.1</v>
      </c>
      <c r="D6" s="102">
        <v>72.400000000000006</v>
      </c>
      <c r="E6" s="102">
        <v>166.7</v>
      </c>
      <c r="F6" s="102">
        <v>136.9</v>
      </c>
      <c r="G6" s="102">
        <v>61</v>
      </c>
      <c r="H6" s="102">
        <v>99.1</v>
      </c>
      <c r="I6" s="102">
        <v>99.5</v>
      </c>
      <c r="J6" s="102">
        <v>82.3</v>
      </c>
      <c r="K6" s="102">
        <v>201.1</v>
      </c>
      <c r="L6" s="102">
        <v>93.4</v>
      </c>
      <c r="M6" s="102">
        <v>36.700000000000003</v>
      </c>
      <c r="N6" s="102">
        <f t="shared" ref="N6:N60" si="1">SUM(B6:E6)</f>
        <v>291.39999999999998</v>
      </c>
      <c r="O6" s="102">
        <f t="shared" ref="O6:O60" si="2">SUM(F6:J6)</f>
        <v>478.8</v>
      </c>
      <c r="P6" s="102">
        <f t="shared" ref="P6:P60" si="3">SUM(K6:M6)</f>
        <v>331.2</v>
      </c>
      <c r="Q6" s="102">
        <f t="shared" ref="Q6:Q60" si="4">SUM(B6:M6)</f>
        <v>1101.4000000000001</v>
      </c>
    </row>
    <row r="7" spans="1:33">
      <c r="A7" s="102">
        <v>1962</v>
      </c>
      <c r="B7" s="102">
        <v>24.4</v>
      </c>
      <c r="C7" s="102">
        <v>9.3000000000000007</v>
      </c>
      <c r="D7" s="102">
        <v>42.2</v>
      </c>
      <c r="E7" s="102">
        <v>95.7</v>
      </c>
      <c r="F7" s="102">
        <v>268.2</v>
      </c>
      <c r="G7" s="102">
        <v>76.400000000000006</v>
      </c>
      <c r="H7" s="102">
        <v>111.6</v>
      </c>
      <c r="I7" s="102">
        <v>145.6</v>
      </c>
      <c r="J7" s="102">
        <v>45.2</v>
      </c>
      <c r="K7" s="102">
        <v>84.4</v>
      </c>
      <c r="L7" s="102">
        <v>48.2</v>
      </c>
      <c r="M7" s="102">
        <v>29.3</v>
      </c>
      <c r="N7" s="102">
        <f t="shared" si="1"/>
        <v>171.60000000000002</v>
      </c>
      <c r="O7" s="102">
        <f t="shared" si="2"/>
        <v>647.00000000000011</v>
      </c>
      <c r="P7" s="102">
        <f t="shared" si="3"/>
        <v>161.90000000000003</v>
      </c>
      <c r="Q7" s="102">
        <f t="shared" si="4"/>
        <v>980.50000000000011</v>
      </c>
    </row>
    <row r="8" spans="1:33">
      <c r="A8" s="102">
        <v>1963</v>
      </c>
      <c r="B8" s="102">
        <v>4.5</v>
      </c>
      <c r="C8" s="102">
        <v>30.3</v>
      </c>
      <c r="D8" s="102">
        <v>51.9</v>
      </c>
      <c r="E8" s="102">
        <v>41.6</v>
      </c>
      <c r="F8" s="102">
        <v>227.1</v>
      </c>
      <c r="G8" s="102">
        <v>55.5</v>
      </c>
      <c r="H8" s="102">
        <v>273.7</v>
      </c>
      <c r="I8" s="102">
        <v>68.5</v>
      </c>
      <c r="J8" s="102">
        <v>86.7</v>
      </c>
      <c r="K8" s="102">
        <v>91.6</v>
      </c>
      <c r="L8" s="102">
        <v>234</v>
      </c>
      <c r="M8" s="102">
        <v>42.3</v>
      </c>
      <c r="N8" s="102">
        <f t="shared" si="1"/>
        <v>128.29999999999998</v>
      </c>
      <c r="O8" s="102">
        <f t="shared" si="2"/>
        <v>711.5</v>
      </c>
      <c r="P8" s="102">
        <f t="shared" si="3"/>
        <v>367.90000000000003</v>
      </c>
      <c r="Q8" s="102">
        <f t="shared" si="4"/>
        <v>1207.7</v>
      </c>
    </row>
    <row r="9" spans="1:33">
      <c r="A9" s="102">
        <v>1964</v>
      </c>
      <c r="B9" s="102">
        <v>31.2</v>
      </c>
      <c r="C9" s="102">
        <v>53.8</v>
      </c>
      <c r="D9" s="102">
        <v>52.8</v>
      </c>
      <c r="E9" s="102">
        <v>375.5</v>
      </c>
      <c r="F9" s="102">
        <v>132</v>
      </c>
      <c r="G9" s="102">
        <v>170.8</v>
      </c>
      <c r="H9" s="102">
        <v>139</v>
      </c>
      <c r="I9" s="102">
        <v>201.4</v>
      </c>
      <c r="J9" s="102">
        <v>62.8</v>
      </c>
      <c r="K9" s="102">
        <v>131.6</v>
      </c>
      <c r="L9" s="102">
        <v>36.299999999999997</v>
      </c>
      <c r="M9" s="102">
        <v>36.1</v>
      </c>
      <c r="N9" s="102">
        <f t="shared" si="1"/>
        <v>513.29999999999995</v>
      </c>
      <c r="O9" s="102">
        <f t="shared" si="2"/>
        <v>706</v>
      </c>
      <c r="P9" s="102">
        <f t="shared" si="3"/>
        <v>203.99999999999997</v>
      </c>
      <c r="Q9" s="102">
        <f t="shared" si="4"/>
        <v>1423.2999999999997</v>
      </c>
    </row>
    <row r="10" spans="1:33">
      <c r="A10" s="102">
        <v>1965</v>
      </c>
      <c r="B10" s="102">
        <v>41.4</v>
      </c>
      <c r="C10" s="102">
        <v>49.7</v>
      </c>
      <c r="D10" s="102">
        <v>84.9</v>
      </c>
      <c r="E10" s="102">
        <v>140.6</v>
      </c>
      <c r="F10" s="102">
        <v>182.3</v>
      </c>
      <c r="G10" s="102">
        <v>247.3</v>
      </c>
      <c r="H10" s="102">
        <v>114.4</v>
      </c>
      <c r="I10" s="102">
        <v>188.7</v>
      </c>
      <c r="J10" s="102">
        <v>52.6</v>
      </c>
      <c r="K10" s="102">
        <v>294.89999999999998</v>
      </c>
      <c r="L10" s="102">
        <v>63.7</v>
      </c>
      <c r="M10" s="102">
        <v>59</v>
      </c>
      <c r="N10" s="102">
        <f t="shared" si="1"/>
        <v>316.60000000000002</v>
      </c>
      <c r="O10" s="102">
        <f t="shared" si="2"/>
        <v>785.30000000000007</v>
      </c>
      <c r="P10" s="102">
        <f t="shared" si="3"/>
        <v>417.59999999999997</v>
      </c>
      <c r="Q10" s="102">
        <f t="shared" si="4"/>
        <v>1519.4999999999998</v>
      </c>
    </row>
    <row r="11" spans="1:33">
      <c r="A11" s="102">
        <v>1966</v>
      </c>
      <c r="B11" s="102">
        <v>21</v>
      </c>
      <c r="C11" s="102">
        <v>31.7</v>
      </c>
      <c r="D11" s="102">
        <v>17.7</v>
      </c>
      <c r="E11" s="102">
        <v>191.8</v>
      </c>
      <c r="F11" s="102">
        <v>251.2</v>
      </c>
      <c r="G11" s="102">
        <v>142.69999999999999</v>
      </c>
      <c r="H11" s="102">
        <v>190.8</v>
      </c>
      <c r="I11" s="102">
        <v>36.1</v>
      </c>
      <c r="J11" s="102">
        <v>24.1</v>
      </c>
      <c r="K11" s="102">
        <v>143.9</v>
      </c>
      <c r="L11" s="102">
        <v>19</v>
      </c>
      <c r="M11" s="102">
        <v>35</v>
      </c>
      <c r="N11" s="102">
        <f t="shared" si="1"/>
        <v>262.20000000000005</v>
      </c>
      <c r="O11" s="102">
        <f t="shared" si="2"/>
        <v>644.90000000000009</v>
      </c>
      <c r="P11" s="102">
        <f t="shared" si="3"/>
        <v>197.9</v>
      </c>
      <c r="Q11" s="102">
        <f t="shared" si="4"/>
        <v>1105.0000000000002</v>
      </c>
    </row>
    <row r="12" spans="1:33">
      <c r="A12" s="102">
        <v>1967</v>
      </c>
      <c r="B12" s="102">
        <v>19.600000000000001</v>
      </c>
      <c r="C12" s="102">
        <v>56.2</v>
      </c>
      <c r="D12" s="102">
        <v>56.2</v>
      </c>
      <c r="E12" s="102">
        <v>139.30000000000001</v>
      </c>
      <c r="F12" s="102">
        <v>199.2</v>
      </c>
      <c r="G12" s="102">
        <v>252.3</v>
      </c>
      <c r="H12" s="102">
        <v>94.3</v>
      </c>
      <c r="I12" s="102">
        <v>259.7</v>
      </c>
      <c r="J12" s="102">
        <v>151.9</v>
      </c>
      <c r="K12" s="102">
        <v>67.5</v>
      </c>
      <c r="L12" s="102">
        <v>108.1</v>
      </c>
      <c r="M12" s="102">
        <v>43</v>
      </c>
      <c r="N12" s="102">
        <f t="shared" si="1"/>
        <v>271.3</v>
      </c>
      <c r="O12" s="102">
        <f t="shared" si="2"/>
        <v>957.4</v>
      </c>
      <c r="P12" s="102">
        <f t="shared" si="3"/>
        <v>218.6</v>
      </c>
      <c r="Q12" s="102">
        <f t="shared" si="4"/>
        <v>1447.3</v>
      </c>
    </row>
    <row r="13" spans="1:33">
      <c r="A13" s="102">
        <v>1968</v>
      </c>
      <c r="B13" s="102">
        <v>32.799999999999997</v>
      </c>
      <c r="C13" s="102">
        <v>23.1</v>
      </c>
      <c r="D13" s="102">
        <v>44.7</v>
      </c>
      <c r="E13" s="102">
        <v>155.30000000000001</v>
      </c>
      <c r="F13" s="102">
        <v>157.9</v>
      </c>
      <c r="G13" s="102">
        <v>245.5</v>
      </c>
      <c r="H13" s="102">
        <v>211.8</v>
      </c>
      <c r="I13" s="102">
        <v>124.3</v>
      </c>
      <c r="J13" s="102">
        <v>20</v>
      </c>
      <c r="K13" s="102">
        <v>27.1</v>
      </c>
      <c r="L13" s="102">
        <v>69.3</v>
      </c>
      <c r="M13" s="102">
        <v>47.9</v>
      </c>
      <c r="N13" s="102">
        <f t="shared" si="1"/>
        <v>255.9</v>
      </c>
      <c r="O13" s="102">
        <f t="shared" si="2"/>
        <v>759.5</v>
      </c>
      <c r="P13" s="102">
        <f t="shared" si="3"/>
        <v>144.30000000000001</v>
      </c>
      <c r="Q13" s="102">
        <f t="shared" si="4"/>
        <v>1159.6999999999998</v>
      </c>
    </row>
    <row r="14" spans="1:33">
      <c r="A14" s="102">
        <v>1969</v>
      </c>
      <c r="B14" s="102">
        <v>25.3</v>
      </c>
      <c r="C14" s="102">
        <v>8.6999999999999993</v>
      </c>
      <c r="D14" s="102">
        <v>53</v>
      </c>
      <c r="E14" s="102">
        <v>50.8</v>
      </c>
      <c r="F14" s="102">
        <v>186.1</v>
      </c>
      <c r="G14" s="102">
        <v>349.9</v>
      </c>
      <c r="H14" s="102">
        <v>191</v>
      </c>
      <c r="I14" s="102">
        <v>253.1</v>
      </c>
      <c r="J14" s="102">
        <v>2.2000000000000002</v>
      </c>
      <c r="K14" s="102">
        <v>123.8</v>
      </c>
      <c r="L14" s="102">
        <v>68</v>
      </c>
      <c r="M14" s="102">
        <v>6.1</v>
      </c>
      <c r="N14" s="102">
        <f t="shared" si="1"/>
        <v>137.80000000000001</v>
      </c>
      <c r="O14" s="102">
        <f t="shared" si="2"/>
        <v>982.30000000000007</v>
      </c>
      <c r="P14" s="102">
        <f t="shared" si="3"/>
        <v>197.9</v>
      </c>
      <c r="Q14" s="102">
        <f t="shared" si="4"/>
        <v>1317.9999999999998</v>
      </c>
    </row>
    <row r="15" spans="1:33">
      <c r="A15" s="102">
        <v>1970</v>
      </c>
      <c r="B15" s="102">
        <v>30.9</v>
      </c>
      <c r="C15" s="102">
        <v>51</v>
      </c>
      <c r="D15" s="102">
        <v>112.9</v>
      </c>
      <c r="E15" s="102">
        <v>185.4</v>
      </c>
      <c r="F15" s="102">
        <v>197.1</v>
      </c>
      <c r="G15" s="102">
        <v>162.19999999999999</v>
      </c>
      <c r="H15" s="102">
        <v>475.3</v>
      </c>
      <c r="I15" s="102">
        <v>158.69999999999999</v>
      </c>
      <c r="J15" s="102">
        <v>102.5</v>
      </c>
      <c r="K15" s="102">
        <v>24</v>
      </c>
      <c r="L15" s="102">
        <v>50.5</v>
      </c>
      <c r="M15" s="102">
        <v>74.2</v>
      </c>
      <c r="N15" s="102">
        <f t="shared" si="1"/>
        <v>380.20000000000005</v>
      </c>
      <c r="O15" s="102">
        <f t="shared" si="2"/>
        <v>1095.8</v>
      </c>
      <c r="P15" s="102">
        <f t="shared" si="3"/>
        <v>148.69999999999999</v>
      </c>
      <c r="Q15" s="102">
        <f t="shared" si="4"/>
        <v>1624.7</v>
      </c>
    </row>
    <row r="16" spans="1:33">
      <c r="A16" s="102">
        <v>1971</v>
      </c>
      <c r="B16" s="102">
        <v>30.9</v>
      </c>
      <c r="C16" s="102">
        <v>22.5</v>
      </c>
      <c r="D16" s="102">
        <v>45.1</v>
      </c>
      <c r="E16" s="102">
        <v>146.30000000000001</v>
      </c>
      <c r="F16" s="102">
        <v>214.7</v>
      </c>
      <c r="G16" s="102">
        <v>361.2</v>
      </c>
      <c r="H16" s="102">
        <v>94.8</v>
      </c>
      <c r="I16" s="102">
        <v>298.60000000000002</v>
      </c>
      <c r="J16" s="102">
        <v>58.9</v>
      </c>
      <c r="K16" s="102">
        <v>93.4</v>
      </c>
      <c r="L16" s="102">
        <v>18.399999999999999</v>
      </c>
      <c r="M16" s="102">
        <v>39.1</v>
      </c>
      <c r="N16" s="102">
        <f t="shared" si="1"/>
        <v>244.8</v>
      </c>
      <c r="O16" s="102">
        <f t="shared" si="2"/>
        <v>1028.2</v>
      </c>
      <c r="P16" s="102">
        <f t="shared" si="3"/>
        <v>150.9</v>
      </c>
      <c r="Q16" s="102">
        <f t="shared" si="4"/>
        <v>1423.9</v>
      </c>
    </row>
    <row r="17" spans="1:17">
      <c r="A17" s="102">
        <v>1972</v>
      </c>
      <c r="B17" s="102">
        <v>16</v>
      </c>
      <c r="C17" s="102">
        <v>47</v>
      </c>
      <c r="D17" s="102">
        <v>81.3</v>
      </c>
      <c r="E17" s="102">
        <v>145</v>
      </c>
      <c r="F17" s="102">
        <v>262.2</v>
      </c>
      <c r="G17" s="102">
        <v>147.19999999999999</v>
      </c>
      <c r="H17" s="102">
        <v>19.399999999999999</v>
      </c>
      <c r="I17" s="102">
        <v>74.8</v>
      </c>
      <c r="J17" s="102">
        <v>226.1</v>
      </c>
      <c r="K17" s="102">
        <v>175.1</v>
      </c>
      <c r="L17" s="102">
        <v>107.8</v>
      </c>
      <c r="M17" s="102">
        <v>51.4</v>
      </c>
      <c r="N17" s="102">
        <f t="shared" si="1"/>
        <v>289.3</v>
      </c>
      <c r="O17" s="102">
        <f t="shared" si="2"/>
        <v>729.69999999999993</v>
      </c>
      <c r="P17" s="102">
        <f t="shared" si="3"/>
        <v>334.29999999999995</v>
      </c>
      <c r="Q17" s="102">
        <f t="shared" si="4"/>
        <v>1353.3</v>
      </c>
    </row>
    <row r="18" spans="1:17">
      <c r="A18" s="102">
        <v>1973</v>
      </c>
      <c r="B18" s="102">
        <v>33.5</v>
      </c>
      <c r="C18" s="102">
        <v>36.4</v>
      </c>
      <c r="D18" s="102">
        <v>65.900000000000006</v>
      </c>
      <c r="E18" s="102">
        <v>193.1</v>
      </c>
      <c r="F18" s="102">
        <v>243.5</v>
      </c>
      <c r="G18" s="102">
        <v>307.5</v>
      </c>
      <c r="H18" s="102">
        <v>225</v>
      </c>
      <c r="I18" s="102">
        <v>152.30000000000001</v>
      </c>
      <c r="J18" s="102">
        <v>196.8</v>
      </c>
      <c r="K18" s="102">
        <v>59.4</v>
      </c>
      <c r="L18" s="102">
        <v>42.4</v>
      </c>
      <c r="M18" s="102">
        <v>3.5</v>
      </c>
      <c r="N18" s="102">
        <f t="shared" si="1"/>
        <v>328.9</v>
      </c>
      <c r="O18" s="102">
        <f t="shared" si="2"/>
        <v>1125.0999999999999</v>
      </c>
      <c r="P18" s="102">
        <f t="shared" si="3"/>
        <v>105.3</v>
      </c>
      <c r="Q18" s="102">
        <f t="shared" si="4"/>
        <v>1559.3000000000002</v>
      </c>
    </row>
    <row r="19" spans="1:17">
      <c r="A19" s="102">
        <v>1974</v>
      </c>
      <c r="B19" s="102">
        <v>56.1</v>
      </c>
      <c r="C19" s="102">
        <v>10.7</v>
      </c>
      <c r="D19" s="102">
        <v>64.5</v>
      </c>
      <c r="E19" s="102">
        <v>213.9</v>
      </c>
      <c r="F19" s="102">
        <v>163.4</v>
      </c>
      <c r="G19" s="102">
        <v>348.5</v>
      </c>
      <c r="H19" s="102">
        <v>190.8</v>
      </c>
      <c r="I19" s="102">
        <v>76.900000000000006</v>
      </c>
      <c r="J19" s="102">
        <v>49</v>
      </c>
      <c r="K19" s="102">
        <v>68.400000000000006</v>
      </c>
      <c r="L19" s="102">
        <v>19.399999999999999</v>
      </c>
      <c r="M19" s="102">
        <v>31.5</v>
      </c>
      <c r="N19" s="102">
        <f t="shared" si="1"/>
        <v>345.20000000000005</v>
      </c>
      <c r="O19" s="102">
        <f t="shared" si="2"/>
        <v>828.6</v>
      </c>
      <c r="P19" s="102">
        <f t="shared" si="3"/>
        <v>119.30000000000001</v>
      </c>
      <c r="Q19" s="102">
        <f t="shared" si="4"/>
        <v>1293.1000000000004</v>
      </c>
    </row>
    <row r="20" spans="1:17">
      <c r="A20" s="102">
        <v>1975</v>
      </c>
      <c r="B20" s="102">
        <v>38.5</v>
      </c>
      <c r="C20" s="102">
        <v>43.2</v>
      </c>
      <c r="D20" s="102">
        <v>61.4</v>
      </c>
      <c r="E20" s="102">
        <v>302.2</v>
      </c>
      <c r="F20" s="102">
        <v>313.10000000000002</v>
      </c>
      <c r="G20" s="102">
        <v>86.6</v>
      </c>
      <c r="H20" s="102">
        <v>96.1</v>
      </c>
      <c r="I20" s="102">
        <v>183.9</v>
      </c>
      <c r="J20" s="102">
        <v>55.7</v>
      </c>
      <c r="K20" s="102">
        <v>39.200000000000003</v>
      </c>
      <c r="L20" s="102">
        <v>99.6</v>
      </c>
      <c r="M20" s="102">
        <v>5.7</v>
      </c>
      <c r="N20" s="102">
        <f t="shared" si="1"/>
        <v>445.29999999999995</v>
      </c>
      <c r="O20" s="102">
        <f t="shared" si="2"/>
        <v>735.40000000000009</v>
      </c>
      <c r="P20" s="102">
        <f t="shared" si="3"/>
        <v>144.5</v>
      </c>
      <c r="Q20" s="102">
        <f t="shared" si="4"/>
        <v>1325.2</v>
      </c>
    </row>
    <row r="21" spans="1:17">
      <c r="A21" s="102">
        <v>1976</v>
      </c>
      <c r="B21" s="102">
        <v>47.4</v>
      </c>
      <c r="C21" s="102">
        <v>30.9</v>
      </c>
      <c r="D21" s="102">
        <v>61.6</v>
      </c>
      <c r="E21" s="102">
        <v>170.6</v>
      </c>
      <c r="F21" s="102">
        <v>224.1</v>
      </c>
      <c r="G21" s="102">
        <v>228.2</v>
      </c>
      <c r="H21" s="102">
        <v>81.3</v>
      </c>
      <c r="I21" s="102">
        <v>101.9</v>
      </c>
      <c r="J21" s="102">
        <v>46.8</v>
      </c>
      <c r="K21" s="102">
        <v>145.1</v>
      </c>
      <c r="L21" s="102">
        <v>91.1</v>
      </c>
      <c r="M21" s="102">
        <v>22.4</v>
      </c>
      <c r="N21" s="102">
        <f t="shared" si="1"/>
        <v>310.5</v>
      </c>
      <c r="O21" s="102">
        <f t="shared" si="2"/>
        <v>682.29999999999984</v>
      </c>
      <c r="P21" s="102">
        <f t="shared" si="3"/>
        <v>258.59999999999997</v>
      </c>
      <c r="Q21" s="102">
        <f t="shared" si="4"/>
        <v>1251.3999999999999</v>
      </c>
    </row>
    <row r="22" spans="1:17">
      <c r="A22" s="102">
        <v>1977</v>
      </c>
      <c r="B22" s="102">
        <v>23.5</v>
      </c>
      <c r="C22" s="102">
        <v>27.9</v>
      </c>
      <c r="D22" s="102">
        <v>65</v>
      </c>
      <c r="E22" s="102">
        <v>153.5</v>
      </c>
      <c r="F22" s="102">
        <v>249.4</v>
      </c>
      <c r="G22" s="102">
        <v>291</v>
      </c>
      <c r="H22" s="102">
        <v>112.4</v>
      </c>
      <c r="I22" s="102">
        <v>157.1</v>
      </c>
      <c r="J22" s="102">
        <v>76</v>
      </c>
      <c r="K22" s="102">
        <v>212.7</v>
      </c>
      <c r="L22" s="102">
        <v>47.4</v>
      </c>
      <c r="M22" s="102">
        <v>13.2</v>
      </c>
      <c r="N22" s="102">
        <f t="shared" si="1"/>
        <v>269.89999999999998</v>
      </c>
      <c r="O22" s="102">
        <f t="shared" si="2"/>
        <v>885.9</v>
      </c>
      <c r="P22" s="102">
        <f t="shared" si="3"/>
        <v>273.29999999999995</v>
      </c>
      <c r="Q22" s="102">
        <f t="shared" si="4"/>
        <v>1429.1000000000001</v>
      </c>
    </row>
    <row r="23" spans="1:17">
      <c r="A23" s="102">
        <v>1978</v>
      </c>
      <c r="B23" s="102">
        <v>47.1</v>
      </c>
      <c r="C23" s="102">
        <v>7.4</v>
      </c>
      <c r="D23" s="102">
        <v>38.299999999999997</v>
      </c>
      <c r="E23" s="102">
        <v>55.4</v>
      </c>
      <c r="F23" s="102">
        <v>318.2</v>
      </c>
      <c r="G23" s="102">
        <v>93.8</v>
      </c>
      <c r="H23" s="102">
        <v>17.899999999999999</v>
      </c>
      <c r="I23" s="102">
        <v>130.6</v>
      </c>
      <c r="J23" s="102">
        <v>172.4</v>
      </c>
      <c r="K23" s="102">
        <v>145.6</v>
      </c>
      <c r="L23" s="102">
        <v>103.8</v>
      </c>
      <c r="M23" s="102">
        <v>14.9</v>
      </c>
      <c r="N23" s="102">
        <f t="shared" si="1"/>
        <v>148.19999999999999</v>
      </c>
      <c r="O23" s="102">
        <f t="shared" si="2"/>
        <v>732.9</v>
      </c>
      <c r="P23" s="102">
        <f t="shared" si="3"/>
        <v>264.29999999999995</v>
      </c>
      <c r="Q23" s="102">
        <f t="shared" si="4"/>
        <v>1145.3999999999999</v>
      </c>
    </row>
    <row r="24" spans="1:17">
      <c r="A24" s="102">
        <v>1979</v>
      </c>
      <c r="B24" s="102">
        <v>30.4</v>
      </c>
      <c r="C24" s="102">
        <v>34</v>
      </c>
      <c r="D24" s="102">
        <v>23.3</v>
      </c>
      <c r="E24" s="102">
        <v>100.5</v>
      </c>
      <c r="F24" s="102">
        <v>230.4</v>
      </c>
      <c r="G24" s="102">
        <v>319.5</v>
      </c>
      <c r="H24" s="102">
        <v>361.6</v>
      </c>
      <c r="I24" s="102">
        <v>170</v>
      </c>
      <c r="J24" s="102">
        <v>52.1</v>
      </c>
      <c r="K24" s="102">
        <v>34.799999999999997</v>
      </c>
      <c r="L24" s="102">
        <v>7.9</v>
      </c>
      <c r="M24" s="102">
        <v>14</v>
      </c>
      <c r="N24" s="102">
        <f t="shared" si="1"/>
        <v>188.2</v>
      </c>
      <c r="O24" s="102">
        <f t="shared" si="2"/>
        <v>1133.5999999999999</v>
      </c>
      <c r="P24" s="102">
        <f t="shared" si="3"/>
        <v>56.699999999999996</v>
      </c>
      <c r="Q24" s="102">
        <f t="shared" si="4"/>
        <v>1378.5</v>
      </c>
    </row>
    <row r="25" spans="1:17">
      <c r="A25" s="102">
        <v>1980</v>
      </c>
      <c r="B25" s="102">
        <v>36.700000000000003</v>
      </c>
      <c r="C25" s="102">
        <v>48.3</v>
      </c>
      <c r="D25" s="102">
        <v>52.7</v>
      </c>
      <c r="E25" s="102">
        <v>100.9</v>
      </c>
      <c r="F25" s="102">
        <v>283.8</v>
      </c>
      <c r="G25" s="102">
        <v>138.6</v>
      </c>
      <c r="H25" s="102">
        <v>211.5</v>
      </c>
      <c r="I25" s="102">
        <v>130.69999999999999</v>
      </c>
      <c r="J25" s="102">
        <v>64.400000000000006</v>
      </c>
      <c r="K25" s="102">
        <v>128.5</v>
      </c>
      <c r="L25" s="102">
        <v>57.6</v>
      </c>
      <c r="M25" s="102">
        <v>44.4</v>
      </c>
      <c r="N25" s="102">
        <f t="shared" si="1"/>
        <v>238.6</v>
      </c>
      <c r="O25" s="102">
        <f t="shared" si="2"/>
        <v>828.99999999999989</v>
      </c>
      <c r="P25" s="102">
        <f t="shared" si="3"/>
        <v>230.5</v>
      </c>
      <c r="Q25" s="102">
        <f t="shared" si="4"/>
        <v>1298.1000000000001</v>
      </c>
    </row>
    <row r="26" spans="1:17">
      <c r="A26" s="102">
        <v>1981</v>
      </c>
      <c r="B26" s="102">
        <v>29.3</v>
      </c>
      <c r="C26" s="102">
        <v>26.1</v>
      </c>
      <c r="D26" s="102">
        <v>51.9</v>
      </c>
      <c r="E26" s="102">
        <v>227.6</v>
      </c>
      <c r="F26" s="102">
        <v>234.9</v>
      </c>
      <c r="G26" s="102">
        <v>106.4</v>
      </c>
      <c r="H26" s="102">
        <v>113.5</v>
      </c>
      <c r="I26" s="102">
        <v>43.4</v>
      </c>
      <c r="J26" s="102">
        <v>76.900000000000006</v>
      </c>
      <c r="K26" s="102">
        <v>76.900000000000006</v>
      </c>
      <c r="L26" s="102">
        <v>147</v>
      </c>
      <c r="M26" s="102">
        <v>0.2</v>
      </c>
      <c r="N26" s="102">
        <f t="shared" si="1"/>
        <v>334.9</v>
      </c>
      <c r="O26" s="102">
        <f t="shared" si="2"/>
        <v>575.1</v>
      </c>
      <c r="P26" s="102">
        <f t="shared" si="3"/>
        <v>224.1</v>
      </c>
      <c r="Q26" s="102">
        <f t="shared" si="4"/>
        <v>1134.0999999999999</v>
      </c>
    </row>
    <row r="27" spans="1:17">
      <c r="A27" s="102">
        <v>1982</v>
      </c>
      <c r="B27" s="102">
        <v>32.299999999999997</v>
      </c>
      <c r="C27" s="102">
        <v>98.8</v>
      </c>
      <c r="D27" s="102">
        <v>32.799999999999997</v>
      </c>
      <c r="E27" s="102">
        <v>150.9</v>
      </c>
      <c r="F27" s="102">
        <v>159.80000000000001</v>
      </c>
      <c r="G27" s="102">
        <v>256.7</v>
      </c>
      <c r="H27" s="102">
        <v>152.6</v>
      </c>
      <c r="I27" s="102">
        <v>77</v>
      </c>
      <c r="J27" s="102">
        <v>242.1</v>
      </c>
      <c r="K27" s="102">
        <v>156.5</v>
      </c>
      <c r="L27" s="102">
        <v>102.9</v>
      </c>
      <c r="M27" s="102">
        <v>30.6</v>
      </c>
      <c r="N27" s="102">
        <f t="shared" si="1"/>
        <v>314.79999999999995</v>
      </c>
      <c r="O27" s="102">
        <f t="shared" si="2"/>
        <v>888.2</v>
      </c>
      <c r="P27" s="102">
        <f t="shared" si="3"/>
        <v>290</v>
      </c>
      <c r="Q27" s="102">
        <f t="shared" si="4"/>
        <v>1493</v>
      </c>
    </row>
    <row r="28" spans="1:17">
      <c r="A28" s="102">
        <v>1983</v>
      </c>
      <c r="B28" s="102">
        <v>84.4</v>
      </c>
      <c r="C28" s="102">
        <v>58</v>
      </c>
      <c r="D28" s="102">
        <v>43.9</v>
      </c>
      <c r="E28" s="102">
        <v>128</v>
      </c>
      <c r="F28" s="102">
        <v>176</v>
      </c>
      <c r="G28" s="102">
        <v>295.10000000000002</v>
      </c>
      <c r="H28" s="102">
        <v>110.6</v>
      </c>
      <c r="I28" s="102">
        <v>63.9</v>
      </c>
      <c r="J28" s="102">
        <v>82.3</v>
      </c>
      <c r="K28" s="102">
        <v>80.900000000000006</v>
      </c>
      <c r="L28" s="102">
        <v>61.7</v>
      </c>
      <c r="M28" s="102">
        <v>38.9</v>
      </c>
      <c r="N28" s="102">
        <f t="shared" si="1"/>
        <v>314.3</v>
      </c>
      <c r="O28" s="102">
        <f t="shared" si="2"/>
        <v>727.9</v>
      </c>
      <c r="P28" s="102">
        <f t="shared" si="3"/>
        <v>181.50000000000003</v>
      </c>
      <c r="Q28" s="102">
        <f t="shared" si="4"/>
        <v>1223.7000000000003</v>
      </c>
    </row>
    <row r="29" spans="1:17">
      <c r="A29" s="102">
        <v>1984</v>
      </c>
      <c r="B29" s="102">
        <v>26.8</v>
      </c>
      <c r="C29" s="102">
        <v>32.4</v>
      </c>
      <c r="D29" s="102">
        <v>41.3</v>
      </c>
      <c r="E29" s="102">
        <v>100</v>
      </c>
      <c r="F29" s="102">
        <v>266.89999999999998</v>
      </c>
      <c r="G29" s="102">
        <v>166.6</v>
      </c>
      <c r="H29" s="102">
        <v>37.700000000000003</v>
      </c>
      <c r="I29" s="102">
        <v>224.3</v>
      </c>
      <c r="J29" s="102">
        <v>94.8</v>
      </c>
      <c r="K29" s="102">
        <v>119</v>
      </c>
      <c r="L29" s="102">
        <v>21.7</v>
      </c>
      <c r="M29" s="102">
        <v>49.8</v>
      </c>
      <c r="N29" s="102">
        <f t="shared" si="1"/>
        <v>200.5</v>
      </c>
      <c r="O29" s="102">
        <f t="shared" si="2"/>
        <v>790.3</v>
      </c>
      <c r="P29" s="102">
        <f t="shared" si="3"/>
        <v>190.5</v>
      </c>
      <c r="Q29" s="102">
        <f t="shared" si="4"/>
        <v>1181.3</v>
      </c>
    </row>
    <row r="30" spans="1:17">
      <c r="A30" s="102">
        <v>1985</v>
      </c>
      <c r="B30" s="102">
        <v>15</v>
      </c>
      <c r="C30" s="102">
        <v>69.599999999999994</v>
      </c>
      <c r="D30" s="102">
        <v>53.6</v>
      </c>
      <c r="E30" s="102">
        <v>88</v>
      </c>
      <c r="F30" s="102">
        <v>245.7</v>
      </c>
      <c r="G30" s="102">
        <v>235.6</v>
      </c>
      <c r="H30" s="102">
        <v>125.3</v>
      </c>
      <c r="I30" s="102">
        <v>109.1</v>
      </c>
      <c r="J30" s="102">
        <v>53.5</v>
      </c>
      <c r="K30" s="102">
        <v>44.5</v>
      </c>
      <c r="L30" s="102">
        <v>65.900000000000006</v>
      </c>
      <c r="M30" s="102">
        <v>29.1</v>
      </c>
      <c r="N30" s="102">
        <f t="shared" si="1"/>
        <v>226.2</v>
      </c>
      <c r="O30" s="102">
        <f t="shared" si="2"/>
        <v>769.19999999999993</v>
      </c>
      <c r="P30" s="102">
        <f t="shared" si="3"/>
        <v>139.5</v>
      </c>
      <c r="Q30" s="102">
        <f t="shared" si="4"/>
        <v>1134.9000000000001</v>
      </c>
    </row>
    <row r="31" spans="1:17">
      <c r="A31" s="102">
        <v>1986</v>
      </c>
      <c r="B31" s="102">
        <v>26.6</v>
      </c>
      <c r="C31" s="102">
        <v>23</v>
      </c>
      <c r="D31" s="102">
        <v>56.5</v>
      </c>
      <c r="E31" s="102">
        <v>78.5</v>
      </c>
      <c r="F31" s="102">
        <v>95.4</v>
      </c>
      <c r="G31" s="102">
        <v>192.1</v>
      </c>
      <c r="H31" s="102">
        <v>191.1</v>
      </c>
      <c r="I31" s="102">
        <v>75.3</v>
      </c>
      <c r="J31" s="102">
        <v>31.4</v>
      </c>
      <c r="K31" s="102">
        <v>93.3</v>
      </c>
      <c r="L31" s="102">
        <v>24.4</v>
      </c>
      <c r="M31" s="102">
        <v>9.4</v>
      </c>
      <c r="N31" s="102">
        <f t="shared" si="1"/>
        <v>184.6</v>
      </c>
      <c r="O31" s="102">
        <f t="shared" si="2"/>
        <v>585.29999999999995</v>
      </c>
      <c r="P31" s="102">
        <f t="shared" si="3"/>
        <v>127.1</v>
      </c>
      <c r="Q31" s="102">
        <f t="shared" si="4"/>
        <v>896.99999999999989</v>
      </c>
    </row>
    <row r="32" spans="1:17">
      <c r="A32" s="102">
        <v>1987</v>
      </c>
      <c r="B32" s="102">
        <v>41.6</v>
      </c>
      <c r="C32" s="102">
        <v>30.7</v>
      </c>
      <c r="D32" s="102">
        <v>55.4</v>
      </c>
      <c r="E32" s="102">
        <v>64.7</v>
      </c>
      <c r="F32" s="102">
        <v>150</v>
      </c>
      <c r="G32" s="102">
        <v>184.2</v>
      </c>
      <c r="H32" s="102">
        <v>123.6</v>
      </c>
      <c r="I32" s="102">
        <v>71.599999999999994</v>
      </c>
      <c r="J32" s="102">
        <v>66.099999999999994</v>
      </c>
      <c r="K32" s="102">
        <v>139.69999999999999</v>
      </c>
      <c r="L32" s="102">
        <v>87.4</v>
      </c>
      <c r="M32" s="102">
        <v>6.3</v>
      </c>
      <c r="N32" s="102">
        <f t="shared" si="1"/>
        <v>192.39999999999998</v>
      </c>
      <c r="O32" s="102">
        <f t="shared" si="2"/>
        <v>595.5</v>
      </c>
      <c r="P32" s="102">
        <f t="shared" si="3"/>
        <v>233.4</v>
      </c>
      <c r="Q32" s="102">
        <f t="shared" si="4"/>
        <v>1021.2999999999998</v>
      </c>
    </row>
    <row r="33" spans="1:17">
      <c r="A33" s="102">
        <v>1988</v>
      </c>
      <c r="B33" s="102">
        <v>22.5</v>
      </c>
      <c r="C33" s="102">
        <v>51</v>
      </c>
      <c r="D33" s="102">
        <v>26.3</v>
      </c>
      <c r="E33" s="102">
        <v>98.4</v>
      </c>
      <c r="F33" s="102">
        <v>153.1</v>
      </c>
      <c r="G33" s="102">
        <v>208.2</v>
      </c>
      <c r="H33" s="102">
        <v>71.900000000000006</v>
      </c>
      <c r="I33" s="102">
        <v>268.39999999999998</v>
      </c>
      <c r="J33" s="102">
        <v>194.8</v>
      </c>
      <c r="K33" s="102">
        <v>72.8</v>
      </c>
      <c r="L33" s="102">
        <v>8.1</v>
      </c>
      <c r="M33" s="102">
        <v>8.1999999999999993</v>
      </c>
      <c r="N33" s="102">
        <f t="shared" si="1"/>
        <v>198.2</v>
      </c>
      <c r="O33" s="102">
        <f t="shared" si="2"/>
        <v>896.39999999999986</v>
      </c>
      <c r="P33" s="102">
        <f t="shared" si="3"/>
        <v>89.1</v>
      </c>
      <c r="Q33" s="102">
        <f t="shared" si="4"/>
        <v>1183.6999999999998</v>
      </c>
    </row>
    <row r="34" spans="1:17">
      <c r="A34" s="102">
        <v>1989</v>
      </c>
      <c r="B34" s="102">
        <v>30.1</v>
      </c>
      <c r="C34" s="102">
        <v>42.6</v>
      </c>
      <c r="D34" s="102">
        <v>46.7</v>
      </c>
      <c r="E34" s="102">
        <v>89.9</v>
      </c>
      <c r="F34" s="102">
        <v>74.8</v>
      </c>
      <c r="G34" s="102">
        <v>207.9</v>
      </c>
      <c r="H34" s="102">
        <v>64.400000000000006</v>
      </c>
      <c r="I34" s="102">
        <v>82.3</v>
      </c>
      <c r="J34" s="102">
        <v>135.1</v>
      </c>
      <c r="K34" s="102">
        <v>69.5</v>
      </c>
      <c r="L34" s="102">
        <v>27.8</v>
      </c>
      <c r="M34" s="102">
        <v>34.5</v>
      </c>
      <c r="N34" s="102">
        <f t="shared" si="1"/>
        <v>209.3</v>
      </c>
      <c r="O34" s="102">
        <f t="shared" si="2"/>
        <v>564.5</v>
      </c>
      <c r="P34" s="102">
        <f t="shared" si="3"/>
        <v>131.80000000000001</v>
      </c>
      <c r="Q34" s="102">
        <f t="shared" si="4"/>
        <v>905.59999999999991</v>
      </c>
    </row>
    <row r="35" spans="1:17">
      <c r="A35" s="102">
        <v>1990</v>
      </c>
      <c r="B35" s="102">
        <v>73.2</v>
      </c>
      <c r="C35" s="102">
        <v>62.6</v>
      </c>
      <c r="D35" s="102">
        <v>107</v>
      </c>
      <c r="E35" s="102">
        <v>84.7</v>
      </c>
      <c r="F35" s="102">
        <v>201.8</v>
      </c>
      <c r="G35" s="102">
        <v>245.1</v>
      </c>
      <c r="H35" s="102">
        <v>87.8</v>
      </c>
      <c r="I35" s="102">
        <v>40.6</v>
      </c>
      <c r="J35" s="102">
        <v>211</v>
      </c>
      <c r="K35" s="102">
        <v>73.2</v>
      </c>
      <c r="L35" s="102">
        <v>53.4</v>
      </c>
      <c r="M35" s="102">
        <v>37.1</v>
      </c>
      <c r="N35" s="102">
        <f t="shared" si="1"/>
        <v>327.5</v>
      </c>
      <c r="O35" s="102">
        <f t="shared" si="2"/>
        <v>786.3</v>
      </c>
      <c r="P35" s="102">
        <f t="shared" si="3"/>
        <v>163.69999999999999</v>
      </c>
      <c r="Q35" s="102">
        <f t="shared" si="4"/>
        <v>1277.5</v>
      </c>
    </row>
    <row r="36" spans="1:17">
      <c r="A36" s="102">
        <v>1991</v>
      </c>
      <c r="B36" s="102">
        <v>78.3</v>
      </c>
      <c r="C36" s="102">
        <v>46</v>
      </c>
      <c r="D36" s="102">
        <v>118.7</v>
      </c>
      <c r="E36" s="102">
        <v>74.3</v>
      </c>
      <c r="F36" s="102">
        <v>219.6</v>
      </c>
      <c r="G36" s="102">
        <v>217.2</v>
      </c>
      <c r="H36" s="102">
        <v>215.1</v>
      </c>
      <c r="I36" s="102">
        <v>182.8</v>
      </c>
      <c r="J36" s="102">
        <v>20</v>
      </c>
      <c r="K36" s="102">
        <v>104.5</v>
      </c>
      <c r="L36" s="102">
        <v>75.099999999999994</v>
      </c>
      <c r="M36" s="102">
        <v>39.1</v>
      </c>
      <c r="N36" s="102">
        <f t="shared" si="1"/>
        <v>317.3</v>
      </c>
      <c r="O36" s="102">
        <f t="shared" si="2"/>
        <v>854.7</v>
      </c>
      <c r="P36" s="102">
        <f t="shared" si="3"/>
        <v>218.7</v>
      </c>
      <c r="Q36" s="102">
        <f t="shared" si="4"/>
        <v>1390.6999999999998</v>
      </c>
    </row>
    <row r="37" spans="1:17">
      <c r="A37" s="102">
        <v>1992</v>
      </c>
      <c r="B37" s="102">
        <v>56.4</v>
      </c>
      <c r="C37" s="102">
        <v>65.099999999999994</v>
      </c>
      <c r="D37" s="102">
        <v>71.7</v>
      </c>
      <c r="E37" s="102">
        <v>139.19999999999999</v>
      </c>
      <c r="F37" s="102">
        <v>200.3</v>
      </c>
      <c r="G37" s="102">
        <v>307.3</v>
      </c>
      <c r="H37" s="102">
        <v>120.8</v>
      </c>
      <c r="I37" s="102">
        <v>20.6</v>
      </c>
      <c r="J37" s="102">
        <v>53.6</v>
      </c>
      <c r="K37" s="102">
        <v>47.6</v>
      </c>
      <c r="L37" s="102">
        <v>23.7</v>
      </c>
      <c r="M37" s="102">
        <v>32.200000000000003</v>
      </c>
      <c r="N37" s="102">
        <f t="shared" si="1"/>
        <v>332.4</v>
      </c>
      <c r="O37" s="102">
        <f t="shared" si="2"/>
        <v>702.6</v>
      </c>
      <c r="P37" s="102">
        <f t="shared" si="3"/>
        <v>103.5</v>
      </c>
      <c r="Q37" s="102">
        <f t="shared" si="4"/>
        <v>1138.5</v>
      </c>
    </row>
    <row r="38" spans="1:17">
      <c r="A38" s="102">
        <v>1993</v>
      </c>
      <c r="B38" s="102">
        <v>52.9</v>
      </c>
      <c r="C38" s="102">
        <v>51.9</v>
      </c>
      <c r="D38" s="102">
        <v>50.3</v>
      </c>
      <c r="E38" s="102">
        <v>82.3</v>
      </c>
      <c r="F38" s="102">
        <v>408.1</v>
      </c>
      <c r="G38" s="102">
        <v>138.4</v>
      </c>
      <c r="H38" s="102">
        <v>340</v>
      </c>
      <c r="I38" s="102">
        <v>154.4</v>
      </c>
      <c r="J38" s="102">
        <v>96.9</v>
      </c>
      <c r="K38" s="102">
        <v>64.2</v>
      </c>
      <c r="L38" s="102">
        <v>38.799999999999997</v>
      </c>
      <c r="M38" s="102">
        <v>26</v>
      </c>
      <c r="N38" s="102">
        <f t="shared" si="1"/>
        <v>237.39999999999998</v>
      </c>
      <c r="O38" s="102">
        <f t="shared" si="2"/>
        <v>1137.8000000000002</v>
      </c>
      <c r="P38" s="102">
        <f t="shared" si="3"/>
        <v>129</v>
      </c>
      <c r="Q38" s="102">
        <f t="shared" si="4"/>
        <v>1504.2000000000003</v>
      </c>
    </row>
    <row r="39" spans="1:17">
      <c r="A39" s="102">
        <v>1994</v>
      </c>
      <c r="B39" s="102">
        <v>26.7</v>
      </c>
      <c r="C39" s="102">
        <v>34.200000000000003</v>
      </c>
      <c r="D39" s="102">
        <v>91.6</v>
      </c>
      <c r="E39" s="102">
        <v>93</v>
      </c>
      <c r="F39" s="102">
        <v>258.2</v>
      </c>
      <c r="G39" s="102">
        <v>104.6</v>
      </c>
      <c r="H39" s="102">
        <v>154.19999999999999</v>
      </c>
      <c r="I39" s="102">
        <v>189.4</v>
      </c>
      <c r="J39" s="102">
        <v>85.1</v>
      </c>
      <c r="K39" s="102">
        <v>207.5</v>
      </c>
      <c r="L39" s="102">
        <v>80.8</v>
      </c>
      <c r="M39" s="102">
        <v>37.700000000000003</v>
      </c>
      <c r="N39" s="102">
        <f t="shared" si="1"/>
        <v>245.5</v>
      </c>
      <c r="O39" s="102">
        <f t="shared" si="2"/>
        <v>791.5</v>
      </c>
      <c r="P39" s="102">
        <f t="shared" si="3"/>
        <v>326</v>
      </c>
      <c r="Q39" s="102">
        <f t="shared" si="4"/>
        <v>1363</v>
      </c>
    </row>
    <row r="40" spans="1:17">
      <c r="A40" s="102">
        <v>1995</v>
      </c>
      <c r="B40" s="102">
        <v>49.4</v>
      </c>
      <c r="C40" s="102">
        <v>77.8</v>
      </c>
      <c r="D40" s="102">
        <v>26.6</v>
      </c>
      <c r="E40" s="102">
        <v>84.2</v>
      </c>
      <c r="F40" s="102">
        <v>218.4</v>
      </c>
      <c r="G40" s="102">
        <v>288.3</v>
      </c>
      <c r="H40" s="102">
        <v>79.599999999999994</v>
      </c>
      <c r="I40" s="102">
        <v>47.5</v>
      </c>
      <c r="J40" s="102">
        <v>89.1</v>
      </c>
      <c r="K40" s="102">
        <v>35.299999999999997</v>
      </c>
      <c r="L40" s="102">
        <v>52.8</v>
      </c>
      <c r="M40" s="102">
        <v>8.3000000000000007</v>
      </c>
      <c r="N40" s="102">
        <f t="shared" si="1"/>
        <v>238</v>
      </c>
      <c r="O40" s="102">
        <f t="shared" si="2"/>
        <v>722.90000000000009</v>
      </c>
      <c r="P40" s="102">
        <f t="shared" si="3"/>
        <v>96.399999999999991</v>
      </c>
      <c r="Q40" s="102">
        <f t="shared" si="4"/>
        <v>1057.3</v>
      </c>
    </row>
    <row r="41" spans="1:17">
      <c r="A41" s="102">
        <v>1996</v>
      </c>
      <c r="B41" s="102">
        <v>41.4</v>
      </c>
      <c r="C41" s="102">
        <v>12</v>
      </c>
      <c r="D41" s="102">
        <v>122.9</v>
      </c>
      <c r="E41" s="102">
        <v>94.8</v>
      </c>
      <c r="F41" s="102">
        <v>192.8</v>
      </c>
      <c r="G41" s="102">
        <v>350.3</v>
      </c>
      <c r="H41" s="102">
        <v>345.1</v>
      </c>
      <c r="I41" s="102">
        <v>117.6</v>
      </c>
      <c r="J41" s="102">
        <v>11.8</v>
      </c>
      <c r="K41" s="102">
        <v>54.4</v>
      </c>
      <c r="L41" s="102">
        <v>63.8</v>
      </c>
      <c r="M41" s="102">
        <v>22.9</v>
      </c>
      <c r="N41" s="102">
        <f t="shared" si="1"/>
        <v>271.10000000000002</v>
      </c>
      <c r="O41" s="102">
        <f t="shared" si="2"/>
        <v>1017.6</v>
      </c>
      <c r="P41" s="102">
        <f t="shared" si="3"/>
        <v>141.1</v>
      </c>
      <c r="Q41" s="102">
        <f t="shared" si="4"/>
        <v>1429.8000000000002</v>
      </c>
    </row>
    <row r="42" spans="1:17">
      <c r="A42" s="102">
        <v>1997</v>
      </c>
      <c r="B42" s="102">
        <v>61.8</v>
      </c>
      <c r="C42" s="102">
        <v>76.7</v>
      </c>
      <c r="D42" s="102">
        <v>47.9</v>
      </c>
      <c r="E42" s="102">
        <v>154.1</v>
      </c>
      <c r="F42" s="102">
        <v>105.1</v>
      </c>
      <c r="G42" s="102">
        <v>189.2</v>
      </c>
      <c r="H42" s="102">
        <v>127.1</v>
      </c>
      <c r="I42" s="102">
        <v>48</v>
      </c>
      <c r="J42" s="102">
        <v>162</v>
      </c>
      <c r="K42" s="102">
        <v>245.9</v>
      </c>
      <c r="L42" s="102">
        <v>55.8</v>
      </c>
      <c r="M42" s="102">
        <v>43.4</v>
      </c>
      <c r="N42" s="102">
        <f t="shared" si="1"/>
        <v>340.5</v>
      </c>
      <c r="O42" s="102">
        <f t="shared" si="2"/>
        <v>631.4</v>
      </c>
      <c r="P42" s="102">
        <f t="shared" si="3"/>
        <v>345.09999999999997</v>
      </c>
      <c r="Q42" s="102">
        <f t="shared" si="4"/>
        <v>1317</v>
      </c>
    </row>
    <row r="43" spans="1:17">
      <c r="A43" s="102">
        <v>1998</v>
      </c>
      <c r="B43" s="102">
        <v>58.2</v>
      </c>
      <c r="C43" s="102">
        <v>37.200000000000003</v>
      </c>
      <c r="D43" s="102">
        <v>45.8</v>
      </c>
      <c r="E43" s="102">
        <v>123.5</v>
      </c>
      <c r="F43" s="102">
        <v>184.6</v>
      </c>
      <c r="G43" s="102">
        <v>293.89999999999998</v>
      </c>
      <c r="H43" s="102">
        <v>289</v>
      </c>
      <c r="I43" s="102">
        <v>70.900000000000006</v>
      </c>
      <c r="J43" s="102">
        <v>38.6</v>
      </c>
      <c r="K43" s="102">
        <v>135.5</v>
      </c>
      <c r="L43" s="102">
        <v>21.2</v>
      </c>
      <c r="M43" s="102">
        <v>22.7</v>
      </c>
      <c r="N43" s="102">
        <f t="shared" si="1"/>
        <v>264.7</v>
      </c>
      <c r="O43" s="102">
        <f t="shared" si="2"/>
        <v>877</v>
      </c>
      <c r="P43" s="102">
        <f t="shared" si="3"/>
        <v>179.39999999999998</v>
      </c>
      <c r="Q43" s="102">
        <f t="shared" si="4"/>
        <v>1321.1</v>
      </c>
    </row>
    <row r="44" spans="1:17">
      <c r="A44" s="102">
        <v>1999</v>
      </c>
      <c r="B44" s="102">
        <v>30.5</v>
      </c>
      <c r="C44" s="102">
        <v>22.3</v>
      </c>
      <c r="D44" s="102">
        <v>41.6</v>
      </c>
      <c r="E44" s="102">
        <v>95.5</v>
      </c>
      <c r="F44" s="102">
        <v>179.3</v>
      </c>
      <c r="G44" s="102">
        <v>302.89999999999998</v>
      </c>
      <c r="H44" s="102">
        <v>135.4</v>
      </c>
      <c r="I44" s="102">
        <v>248.4</v>
      </c>
      <c r="J44" s="102">
        <v>83.6</v>
      </c>
      <c r="K44" s="102">
        <v>83.8</v>
      </c>
      <c r="L44" s="102">
        <v>57.1</v>
      </c>
      <c r="M44" s="102">
        <v>3.1</v>
      </c>
      <c r="N44" s="102">
        <f t="shared" si="1"/>
        <v>189.9</v>
      </c>
      <c r="O44" s="102">
        <f t="shared" si="2"/>
        <v>949.6</v>
      </c>
      <c r="P44" s="102">
        <f t="shared" si="3"/>
        <v>144</v>
      </c>
      <c r="Q44" s="102">
        <f t="shared" si="4"/>
        <v>1283.4999999999998</v>
      </c>
    </row>
    <row r="45" spans="1:17">
      <c r="A45" s="102">
        <v>2000</v>
      </c>
      <c r="B45" s="102">
        <v>43.1</v>
      </c>
      <c r="C45" s="102">
        <v>33.200000000000003</v>
      </c>
      <c r="D45" s="102">
        <v>113.3</v>
      </c>
      <c r="E45" s="102">
        <v>135</v>
      </c>
      <c r="F45" s="102">
        <v>225.1</v>
      </c>
      <c r="G45" s="102">
        <v>263.8</v>
      </c>
      <c r="H45" s="102">
        <v>46.2</v>
      </c>
      <c r="I45" s="102">
        <v>223</v>
      </c>
      <c r="J45" s="102">
        <v>107.8</v>
      </c>
      <c r="K45" s="102">
        <v>111.7</v>
      </c>
      <c r="L45" s="102">
        <v>37.700000000000003</v>
      </c>
      <c r="M45" s="102">
        <v>31.5</v>
      </c>
      <c r="N45" s="102">
        <f t="shared" si="1"/>
        <v>324.60000000000002</v>
      </c>
      <c r="O45" s="102">
        <f t="shared" si="2"/>
        <v>865.9</v>
      </c>
      <c r="P45" s="102">
        <f t="shared" si="3"/>
        <v>180.9</v>
      </c>
      <c r="Q45" s="102">
        <f t="shared" si="4"/>
        <v>1371.4</v>
      </c>
    </row>
    <row r="46" spans="1:17">
      <c r="A46" s="102">
        <v>2001</v>
      </c>
      <c r="B46" s="102">
        <v>30.4</v>
      </c>
      <c r="C46" s="102">
        <v>37.200000000000003</v>
      </c>
      <c r="D46" s="102">
        <v>64.099999999999994</v>
      </c>
      <c r="E46" s="102">
        <v>173.3</v>
      </c>
      <c r="F46" s="102">
        <v>150.5</v>
      </c>
      <c r="G46" s="102">
        <v>239.3</v>
      </c>
      <c r="H46" s="102">
        <v>201.9</v>
      </c>
      <c r="I46" s="102">
        <v>48.3</v>
      </c>
      <c r="J46" s="102">
        <v>16.100000000000001</v>
      </c>
      <c r="K46" s="102">
        <v>92</v>
      </c>
      <c r="L46" s="102">
        <v>77</v>
      </c>
      <c r="M46" s="102">
        <v>24.7</v>
      </c>
      <c r="N46" s="102">
        <f t="shared" si="1"/>
        <v>305</v>
      </c>
      <c r="O46" s="102">
        <f t="shared" si="2"/>
        <v>656.1</v>
      </c>
      <c r="P46" s="102">
        <f t="shared" si="3"/>
        <v>193.7</v>
      </c>
      <c r="Q46" s="102">
        <f t="shared" si="4"/>
        <v>1154.8</v>
      </c>
    </row>
    <row r="47" spans="1:17">
      <c r="A47" s="102">
        <v>2002</v>
      </c>
      <c r="B47" s="102">
        <v>22</v>
      </c>
      <c r="C47" s="102">
        <v>36</v>
      </c>
      <c r="D47" s="102">
        <v>59.1</v>
      </c>
      <c r="E47" s="102">
        <v>136.30000000000001</v>
      </c>
      <c r="F47" s="102">
        <v>237.7</v>
      </c>
      <c r="G47" s="102">
        <v>145.80000000000001</v>
      </c>
      <c r="H47" s="102">
        <v>99.5</v>
      </c>
      <c r="I47" s="102">
        <v>289.8</v>
      </c>
      <c r="J47" s="102">
        <v>32.5</v>
      </c>
      <c r="K47" s="102">
        <v>185.2</v>
      </c>
      <c r="L47" s="102">
        <v>6.7</v>
      </c>
      <c r="M47" s="102">
        <v>89.3</v>
      </c>
      <c r="N47" s="102">
        <f t="shared" si="1"/>
        <v>253.4</v>
      </c>
      <c r="O47" s="102">
        <f t="shared" si="2"/>
        <v>805.3</v>
      </c>
      <c r="P47" s="102">
        <f t="shared" si="3"/>
        <v>281.2</v>
      </c>
      <c r="Q47" s="102">
        <f t="shared" si="4"/>
        <v>1339.9</v>
      </c>
    </row>
    <row r="48" spans="1:17">
      <c r="A48" s="102">
        <v>2003</v>
      </c>
      <c r="B48" s="102">
        <v>54.5</v>
      </c>
      <c r="C48" s="102">
        <v>12.3</v>
      </c>
      <c r="D48" s="102">
        <v>39.200000000000003</v>
      </c>
      <c r="E48" s="102">
        <v>186.4</v>
      </c>
      <c r="F48" s="102">
        <v>208.5</v>
      </c>
      <c r="G48" s="102">
        <v>153</v>
      </c>
      <c r="H48" s="102">
        <v>83.4</v>
      </c>
      <c r="I48" s="102">
        <v>46.4</v>
      </c>
      <c r="J48" s="102">
        <v>99</v>
      </c>
      <c r="K48" s="102">
        <v>55.5</v>
      </c>
      <c r="L48" s="102">
        <v>14.5</v>
      </c>
      <c r="M48" s="102">
        <v>25.9</v>
      </c>
      <c r="N48" s="102">
        <f t="shared" si="1"/>
        <v>292.39999999999998</v>
      </c>
      <c r="O48" s="102">
        <f t="shared" si="2"/>
        <v>590.29999999999995</v>
      </c>
      <c r="P48" s="102">
        <f t="shared" si="3"/>
        <v>95.9</v>
      </c>
      <c r="Q48" s="102">
        <f t="shared" si="4"/>
        <v>978.59999999999991</v>
      </c>
    </row>
    <row r="49" spans="1:33">
      <c r="A49" s="102">
        <v>2004</v>
      </c>
      <c r="B49" s="103">
        <v>57.4</v>
      </c>
      <c r="C49" s="103">
        <v>59.8</v>
      </c>
      <c r="D49" s="103">
        <v>53.1</v>
      </c>
      <c r="E49" s="103">
        <v>154.69999999999999</v>
      </c>
      <c r="F49" s="103">
        <v>259.7</v>
      </c>
      <c r="G49" s="103">
        <v>139</v>
      </c>
      <c r="H49" s="103">
        <v>437.2</v>
      </c>
      <c r="I49" s="103">
        <v>59.7</v>
      </c>
      <c r="J49" s="103">
        <v>94.1</v>
      </c>
      <c r="K49" s="103">
        <v>20.6</v>
      </c>
      <c r="L49" s="103">
        <v>78.8</v>
      </c>
      <c r="M49" s="103">
        <v>27</v>
      </c>
      <c r="N49" s="102">
        <f t="shared" si="1"/>
        <v>325</v>
      </c>
      <c r="O49" s="102">
        <f t="shared" si="2"/>
        <v>989.7</v>
      </c>
      <c r="P49" s="102">
        <f t="shared" si="3"/>
        <v>126.4</v>
      </c>
      <c r="Q49" s="102">
        <f t="shared" si="4"/>
        <v>1441.1</v>
      </c>
    </row>
    <row r="50" spans="1:33">
      <c r="A50" s="102">
        <v>2005</v>
      </c>
      <c r="B50" s="103">
        <v>62.1</v>
      </c>
      <c r="C50" s="103">
        <v>52.6</v>
      </c>
      <c r="D50" s="103">
        <v>47.9</v>
      </c>
      <c r="E50" s="103">
        <v>82.9</v>
      </c>
      <c r="F50" s="103">
        <v>233.8</v>
      </c>
      <c r="G50" s="103">
        <v>105.1</v>
      </c>
      <c r="H50" s="103">
        <v>44.8</v>
      </c>
      <c r="I50" s="103">
        <v>89.6</v>
      </c>
      <c r="J50" s="103">
        <v>11.8</v>
      </c>
      <c r="K50" s="102">
        <v>45.9</v>
      </c>
      <c r="L50" s="102">
        <v>41.1</v>
      </c>
      <c r="M50" s="102">
        <v>30.4</v>
      </c>
      <c r="N50" s="102">
        <f t="shared" si="1"/>
        <v>245.5</v>
      </c>
      <c r="O50" s="102">
        <f t="shared" si="2"/>
        <v>485.09999999999997</v>
      </c>
      <c r="P50" s="102">
        <f t="shared" si="3"/>
        <v>117.4</v>
      </c>
      <c r="Q50" s="102">
        <f t="shared" si="4"/>
        <v>847.99999999999989</v>
      </c>
    </row>
    <row r="51" spans="1:33">
      <c r="A51" s="102">
        <v>2006</v>
      </c>
      <c r="B51" s="102">
        <v>17.5</v>
      </c>
      <c r="C51" s="102">
        <v>62.2</v>
      </c>
      <c r="D51" s="102">
        <v>71.2</v>
      </c>
      <c r="E51" s="102">
        <v>148.69999999999999</v>
      </c>
      <c r="F51" s="102">
        <v>210.3</v>
      </c>
      <c r="G51" s="102">
        <v>210</v>
      </c>
      <c r="H51" s="102">
        <v>100.1</v>
      </c>
      <c r="I51" s="102">
        <v>105</v>
      </c>
      <c r="J51" s="102">
        <v>72.5</v>
      </c>
      <c r="K51" s="102">
        <v>87.6</v>
      </c>
      <c r="L51" s="102">
        <v>48.9</v>
      </c>
      <c r="M51" s="102">
        <v>23.4</v>
      </c>
      <c r="N51" s="102">
        <f t="shared" si="1"/>
        <v>299.60000000000002</v>
      </c>
      <c r="O51" s="102">
        <f t="shared" si="2"/>
        <v>697.9</v>
      </c>
      <c r="P51" s="102">
        <f t="shared" si="3"/>
        <v>159.9</v>
      </c>
      <c r="Q51" s="102">
        <f t="shared" si="4"/>
        <v>1157.4000000000003</v>
      </c>
    </row>
    <row r="52" spans="1:33">
      <c r="A52" s="102">
        <v>2007</v>
      </c>
      <c r="B52" s="102">
        <v>53.4</v>
      </c>
      <c r="C52" s="102">
        <v>21.4</v>
      </c>
      <c r="D52" s="102">
        <v>68.099999999999994</v>
      </c>
      <c r="E52" s="102">
        <v>124.5</v>
      </c>
      <c r="F52" s="102">
        <v>203.3</v>
      </c>
      <c r="G52" s="102">
        <v>379.6</v>
      </c>
      <c r="H52" s="102">
        <v>223.2</v>
      </c>
      <c r="I52" s="102">
        <v>176.5</v>
      </c>
      <c r="J52" s="102">
        <v>58.8</v>
      </c>
      <c r="K52" s="102">
        <v>5.0999999999999996</v>
      </c>
      <c r="L52" s="102">
        <v>0.5</v>
      </c>
      <c r="M52" s="102">
        <v>20.6</v>
      </c>
      <c r="N52" s="102">
        <f t="shared" si="1"/>
        <v>267.39999999999998</v>
      </c>
      <c r="O52" s="102">
        <f t="shared" si="2"/>
        <v>1041.4000000000001</v>
      </c>
      <c r="P52" s="102">
        <f t="shared" si="3"/>
        <v>26.200000000000003</v>
      </c>
      <c r="Q52" s="102">
        <f t="shared" si="4"/>
        <v>1334.9999999999998</v>
      </c>
    </row>
    <row r="53" spans="1:33">
      <c r="A53" s="102">
        <v>2008</v>
      </c>
      <c r="B53" s="102">
        <v>10.7</v>
      </c>
      <c r="C53" s="102">
        <v>24.4</v>
      </c>
      <c r="D53" s="102">
        <v>97.4</v>
      </c>
      <c r="E53" s="102">
        <v>80.7</v>
      </c>
      <c r="F53" s="102">
        <v>222</v>
      </c>
      <c r="G53" s="102">
        <v>149.80000000000001</v>
      </c>
      <c r="H53" s="102">
        <v>174.4</v>
      </c>
      <c r="I53" s="102">
        <v>220.7</v>
      </c>
      <c r="J53" s="102">
        <v>38.4</v>
      </c>
      <c r="K53" s="102">
        <v>106.3</v>
      </c>
      <c r="L53" s="102">
        <v>169.1</v>
      </c>
      <c r="M53" s="102">
        <v>13.9</v>
      </c>
      <c r="N53" s="102">
        <f t="shared" si="1"/>
        <v>213.2</v>
      </c>
      <c r="O53" s="102">
        <f t="shared" si="2"/>
        <v>805.30000000000007</v>
      </c>
      <c r="P53" s="102">
        <f t="shared" si="3"/>
        <v>289.29999999999995</v>
      </c>
      <c r="Q53" s="102">
        <f t="shared" si="4"/>
        <v>1307.8</v>
      </c>
    </row>
    <row r="54" spans="1:33">
      <c r="A54" s="102">
        <v>2009</v>
      </c>
      <c r="B54" s="102">
        <v>13.4</v>
      </c>
      <c r="C54" s="102">
        <v>55.1</v>
      </c>
      <c r="D54" s="102">
        <v>66.3</v>
      </c>
      <c r="E54" s="102">
        <v>160.1</v>
      </c>
      <c r="F54" s="102">
        <v>121</v>
      </c>
      <c r="G54" s="102">
        <v>304.7</v>
      </c>
      <c r="H54" s="102">
        <v>125.4</v>
      </c>
      <c r="I54" s="102">
        <v>52.7</v>
      </c>
      <c r="J54" s="102">
        <v>30.2</v>
      </c>
      <c r="K54" s="102">
        <v>43.6</v>
      </c>
      <c r="L54" s="102">
        <v>29.4</v>
      </c>
      <c r="M54" s="102">
        <v>35.299999999999997</v>
      </c>
      <c r="N54" s="102">
        <f t="shared" si="1"/>
        <v>294.89999999999998</v>
      </c>
      <c r="O54" s="102">
        <f t="shared" si="2"/>
        <v>634.00000000000011</v>
      </c>
      <c r="P54" s="102">
        <f t="shared" si="3"/>
        <v>108.3</v>
      </c>
      <c r="Q54" s="102">
        <f t="shared" si="4"/>
        <v>1037.2</v>
      </c>
    </row>
    <row r="55" spans="1:33">
      <c r="A55" s="102">
        <v>2010</v>
      </c>
      <c r="B55" s="102">
        <v>15.3</v>
      </c>
      <c r="C55" s="102">
        <v>13.499999999999998</v>
      </c>
      <c r="D55" s="102">
        <v>46.300000000000004</v>
      </c>
      <c r="E55" s="102">
        <v>94</v>
      </c>
      <c r="F55" s="102">
        <v>116.80000000000001</v>
      </c>
      <c r="G55" s="102">
        <v>255.7</v>
      </c>
      <c r="H55" s="102">
        <v>115.19999999999999</v>
      </c>
      <c r="I55" s="102">
        <v>56.100000000000009</v>
      </c>
      <c r="J55" s="102">
        <v>93.100000000000009</v>
      </c>
      <c r="K55" s="102">
        <v>127.4</v>
      </c>
      <c r="L55" s="102">
        <v>35.400000000000006</v>
      </c>
      <c r="M55" s="102">
        <v>72.100000000000009</v>
      </c>
      <c r="N55" s="102">
        <f t="shared" si="1"/>
        <v>169.1</v>
      </c>
      <c r="O55" s="102">
        <f t="shared" si="2"/>
        <v>636.9</v>
      </c>
      <c r="P55" s="102">
        <f t="shared" si="3"/>
        <v>234.90000000000003</v>
      </c>
      <c r="Q55" s="102">
        <f t="shared" si="4"/>
        <v>1040.8999999999999</v>
      </c>
    </row>
    <row r="56" spans="1:33">
      <c r="A56" s="102">
        <v>2011</v>
      </c>
      <c r="B56" s="102">
        <v>31.8</v>
      </c>
      <c r="C56" s="102">
        <v>22.9</v>
      </c>
      <c r="D56" s="102">
        <v>55.8</v>
      </c>
      <c r="E56" s="102">
        <v>36.1</v>
      </c>
      <c r="F56" s="102">
        <v>197.2</v>
      </c>
      <c r="G56" s="102">
        <v>275</v>
      </c>
      <c r="H56" s="102">
        <v>12.6</v>
      </c>
      <c r="I56" s="102">
        <v>34.799999999999997</v>
      </c>
      <c r="J56" s="102">
        <v>87.6</v>
      </c>
      <c r="K56" s="102">
        <v>139.9</v>
      </c>
      <c r="L56" s="102">
        <v>46.3</v>
      </c>
      <c r="M56" s="102">
        <v>17.3</v>
      </c>
      <c r="N56" s="102">
        <f t="shared" si="1"/>
        <v>146.6</v>
      </c>
      <c r="O56" s="102">
        <f t="shared" si="2"/>
        <v>607.20000000000005</v>
      </c>
      <c r="P56" s="102">
        <f t="shared" si="3"/>
        <v>203.5</v>
      </c>
      <c r="Q56" s="102">
        <f t="shared" si="4"/>
        <v>957.29999999999984</v>
      </c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</row>
    <row r="57" spans="1:33">
      <c r="A57" s="102">
        <v>2012</v>
      </c>
      <c r="B57" s="102">
        <v>58.7</v>
      </c>
      <c r="C57" s="102">
        <v>36.5</v>
      </c>
      <c r="D57" s="102">
        <v>59.4</v>
      </c>
      <c r="E57" s="102">
        <v>109.3</v>
      </c>
      <c r="F57" s="102">
        <v>230.2</v>
      </c>
      <c r="G57" s="102">
        <v>167.4</v>
      </c>
      <c r="H57" s="102">
        <v>298.7</v>
      </c>
      <c r="I57" s="102">
        <v>42.6</v>
      </c>
      <c r="J57" s="102">
        <v>149.30000000000001</v>
      </c>
      <c r="K57" s="102">
        <v>66.2</v>
      </c>
      <c r="L57" s="102">
        <v>74.7</v>
      </c>
      <c r="M57" s="102">
        <v>31.7</v>
      </c>
      <c r="N57" s="102">
        <f t="shared" si="1"/>
        <v>263.89999999999998</v>
      </c>
      <c r="O57" s="102">
        <f t="shared" si="2"/>
        <v>888.2</v>
      </c>
      <c r="P57" s="102">
        <f t="shared" si="3"/>
        <v>172.6</v>
      </c>
      <c r="Q57" s="102">
        <f t="shared" si="4"/>
        <v>1324.7000000000003</v>
      </c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</row>
    <row r="58" spans="1:33">
      <c r="A58" s="102">
        <v>2013</v>
      </c>
      <c r="B58" s="102">
        <v>17.2</v>
      </c>
      <c r="C58" s="102">
        <v>35.700000000000003</v>
      </c>
      <c r="D58" s="102">
        <v>172.8</v>
      </c>
      <c r="E58" s="102">
        <v>203.8</v>
      </c>
      <c r="F58" s="102">
        <v>419.6</v>
      </c>
      <c r="G58" s="102">
        <v>106</v>
      </c>
      <c r="H58" s="102">
        <v>27.5</v>
      </c>
      <c r="I58" s="102">
        <v>199.4</v>
      </c>
      <c r="J58" s="102">
        <v>122.2</v>
      </c>
      <c r="K58" s="102">
        <v>76.400000000000006</v>
      </c>
      <c r="L58" s="102">
        <v>57</v>
      </c>
      <c r="M58" s="102">
        <v>53</v>
      </c>
      <c r="N58" s="102">
        <f t="shared" si="1"/>
        <v>429.5</v>
      </c>
      <c r="O58" s="102">
        <f t="shared" si="2"/>
        <v>874.7</v>
      </c>
      <c r="P58" s="102">
        <f t="shared" si="3"/>
        <v>186.4</v>
      </c>
      <c r="Q58" s="102">
        <f t="shared" si="4"/>
        <v>1490.6000000000001</v>
      </c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</row>
    <row r="59" spans="1:33">
      <c r="A59" s="102">
        <v>2014</v>
      </c>
      <c r="B59" s="128">
        <v>13.3</v>
      </c>
      <c r="C59" s="128">
        <v>50.9</v>
      </c>
      <c r="D59" s="128">
        <v>107.4</v>
      </c>
      <c r="E59" s="128">
        <v>121.9</v>
      </c>
      <c r="F59" s="128">
        <v>194.5</v>
      </c>
      <c r="G59" s="128">
        <v>149.1</v>
      </c>
      <c r="H59" s="128">
        <v>320.5</v>
      </c>
      <c r="I59" s="128">
        <v>125.8</v>
      </c>
      <c r="J59" s="128">
        <v>70.8</v>
      </c>
      <c r="K59" s="128">
        <v>88.5</v>
      </c>
      <c r="L59" s="128">
        <v>91.2</v>
      </c>
      <c r="M59" s="128">
        <v>9.1</v>
      </c>
      <c r="N59" s="102">
        <f t="shared" si="1"/>
        <v>293.5</v>
      </c>
      <c r="O59" s="102">
        <f t="shared" si="2"/>
        <v>860.69999999999993</v>
      </c>
      <c r="P59" s="102">
        <f t="shared" si="3"/>
        <v>188.79999999999998</v>
      </c>
      <c r="Q59" s="102">
        <f t="shared" si="4"/>
        <v>1343</v>
      </c>
    </row>
    <row r="60" spans="1:33">
      <c r="A60" s="102">
        <v>2015</v>
      </c>
      <c r="B60" s="128">
        <v>57</v>
      </c>
      <c r="C60" s="128">
        <v>45.9</v>
      </c>
      <c r="D60" s="128">
        <v>40.200000000000003</v>
      </c>
      <c r="E60" s="128">
        <v>49.5</v>
      </c>
      <c r="F60" s="128">
        <v>345.6</v>
      </c>
      <c r="G60" s="128">
        <v>367.6</v>
      </c>
      <c r="H60" s="128">
        <v>126</v>
      </c>
      <c r="I60" s="128">
        <v>208.3</v>
      </c>
      <c r="J60" s="128">
        <v>129.19999999999999</v>
      </c>
      <c r="K60" s="128">
        <v>147.80000000000001</v>
      </c>
      <c r="L60" s="128">
        <v>71.099999999999994</v>
      </c>
      <c r="M60" s="128">
        <v>93.4</v>
      </c>
      <c r="N60" s="102">
        <f t="shared" si="1"/>
        <v>192.60000000000002</v>
      </c>
      <c r="O60" s="102">
        <f t="shared" si="2"/>
        <v>1176.7</v>
      </c>
      <c r="P60" s="102">
        <f t="shared" si="3"/>
        <v>312.3</v>
      </c>
      <c r="Q60" s="102">
        <f t="shared" si="4"/>
        <v>1681.6000000000001</v>
      </c>
    </row>
    <row r="61" spans="1:33" ht="13.5">
      <c r="A61" s="102">
        <v>2016</v>
      </c>
      <c r="B61" s="128">
        <v>57.3</v>
      </c>
      <c r="C61" s="128">
        <v>16.399999999999999</v>
      </c>
      <c r="D61" s="128">
        <v>106.5</v>
      </c>
      <c r="E61" s="128">
        <v>206.7</v>
      </c>
      <c r="F61" s="128">
        <v>170.8</v>
      </c>
      <c r="G61" s="128">
        <v>148.19999999999999</v>
      </c>
      <c r="H61" s="128">
        <v>254.9</v>
      </c>
      <c r="I61" s="128">
        <v>132.69999999999999</v>
      </c>
      <c r="J61" s="128">
        <v>52</v>
      </c>
      <c r="K61" s="128">
        <v>81.099999999999994</v>
      </c>
      <c r="L61" s="128">
        <v>71.099999999999994</v>
      </c>
      <c r="M61" s="128">
        <v>30.9</v>
      </c>
      <c r="N61" s="102">
        <f>SUM(B61:E61)</f>
        <v>386.9</v>
      </c>
      <c r="O61" s="102">
        <f>SUM(F61:J61)</f>
        <v>758.59999999999991</v>
      </c>
      <c r="P61" s="102">
        <f>SUM(K61:M61)</f>
        <v>183.1</v>
      </c>
      <c r="Q61" s="102">
        <f>SUM(B61:M61)</f>
        <v>1328.6</v>
      </c>
      <c r="R61" s="129">
        <f t="shared" ref="R61:AG61" si="5">100*(B61-B4)/B4</f>
        <v>58.474911102331056</v>
      </c>
      <c r="S61" s="129">
        <f t="shared" si="5"/>
        <v>-58.471625593488589</v>
      </c>
      <c r="T61" s="129">
        <f t="shared" si="5"/>
        <v>70.307547331448617</v>
      </c>
      <c r="U61" s="129">
        <f t="shared" si="5"/>
        <v>59.86962046295784</v>
      </c>
      <c r="V61" s="129">
        <f t="shared" si="5"/>
        <v>-19.469235173273162</v>
      </c>
      <c r="W61" s="129">
        <f t="shared" si="5"/>
        <v>-30.047791235744818</v>
      </c>
      <c r="X61" s="129">
        <f t="shared" si="5"/>
        <v>63.014903214754767</v>
      </c>
      <c r="Y61" s="129">
        <f t="shared" si="5"/>
        <v>3.4093122930060167</v>
      </c>
      <c r="Z61" s="129">
        <f t="shared" si="5"/>
        <v>-38.046507669723226</v>
      </c>
      <c r="AA61" s="129">
        <f t="shared" si="5"/>
        <v>-19.594929537568177</v>
      </c>
      <c r="AB61" s="129">
        <f t="shared" si="5"/>
        <v>17.23000824402305</v>
      </c>
      <c r="AC61" s="129">
        <f t="shared" si="5"/>
        <v>-0.14426683593977874</v>
      </c>
      <c r="AD61" s="129">
        <f t="shared" si="5"/>
        <v>44.649032619871001</v>
      </c>
      <c r="AE61" s="129">
        <f t="shared" si="5"/>
        <v>-4.2868762152382711</v>
      </c>
      <c r="AF61" s="129">
        <f t="shared" si="5"/>
        <v>-4.8628185976599587</v>
      </c>
      <c r="AG61" s="129">
        <f t="shared" si="5"/>
        <v>6.0749409044119629</v>
      </c>
    </row>
  </sheetData>
  <mergeCells count="6">
    <mergeCell ref="A1:A3"/>
    <mergeCell ref="B1:Q1"/>
    <mergeCell ref="B2:M2"/>
    <mergeCell ref="R1:AG1"/>
    <mergeCell ref="N2:Q2"/>
    <mergeCell ref="R2:AG2"/>
  </mergeCells>
  <phoneticPr fontId="2" type="noConversion"/>
  <pageMargins left="0.75" right="0.75" top="1" bottom="1" header="0.5" footer="0.5"/>
  <pageSetup paperSize="9" orientation="portrait" horizontalDpi="200" verticalDpi="200" copies="0" r:id="rId1"/>
  <headerFooter alignWithMargins="0"/>
</worksheet>
</file>

<file path=xl/worksheets/sheet48.xml><?xml version="1.0" encoding="utf-8"?>
<worksheet xmlns="http://schemas.openxmlformats.org/spreadsheetml/2006/main" xmlns:r="http://schemas.openxmlformats.org/officeDocument/2006/relationships">
  <sheetPr codeName="Sheet48"/>
  <dimension ref="A1:AG33"/>
  <sheetViews>
    <sheetView zoomScale="85" zoomScaleNormal="85" workbookViewId="0">
      <pane ySplit="5" topLeftCell="A6" activePane="bottomLeft" state="frozen"/>
      <selection pane="bottomLeft" activeCell="R33" sqref="R33"/>
    </sheetView>
  </sheetViews>
  <sheetFormatPr defaultRowHeight="12"/>
  <cols>
    <col min="1" max="39" width="7.125" style="102" customWidth="1"/>
    <col min="40" max="16384" width="9" style="102"/>
  </cols>
  <sheetData>
    <row r="1" spans="1:33" s="118" customFormat="1" ht="14.25" customHeight="1">
      <c r="A1" s="176" t="s">
        <v>53</v>
      </c>
      <c r="B1" s="176" t="s">
        <v>171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2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116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32</v>
      </c>
      <c r="O2" s="176"/>
      <c r="P2" s="176"/>
      <c r="Q2" s="176"/>
      <c r="R2" s="176" t="s">
        <v>38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 ht="24">
      <c r="A3" s="176"/>
      <c r="B3" s="124" t="s">
        <v>149</v>
      </c>
      <c r="C3" s="124" t="s">
        <v>150</v>
      </c>
      <c r="D3" s="124" t="s">
        <v>9</v>
      </c>
      <c r="E3" s="124" t="s">
        <v>10</v>
      </c>
      <c r="F3" s="124" t="s">
        <v>11</v>
      </c>
      <c r="G3" s="124" t="s">
        <v>12</v>
      </c>
      <c r="H3" s="124" t="s">
        <v>13</v>
      </c>
      <c r="I3" s="124" t="s">
        <v>14</v>
      </c>
      <c r="J3" s="124" t="s">
        <v>15</v>
      </c>
      <c r="K3" s="124" t="s">
        <v>16</v>
      </c>
      <c r="L3" s="124" t="s">
        <v>17</v>
      </c>
      <c r="M3" s="124" t="s">
        <v>18</v>
      </c>
      <c r="N3" s="124" t="s">
        <v>145</v>
      </c>
      <c r="O3" s="124" t="s">
        <v>146</v>
      </c>
      <c r="P3" s="124" t="s">
        <v>147</v>
      </c>
      <c r="Q3" s="124" t="s">
        <v>148</v>
      </c>
      <c r="R3" s="124" t="s">
        <v>149</v>
      </c>
      <c r="S3" s="124" t="s">
        <v>150</v>
      </c>
      <c r="T3" s="124" t="s">
        <v>151</v>
      </c>
      <c r="U3" s="124" t="s">
        <v>152</v>
      </c>
      <c r="V3" s="124" t="s">
        <v>153</v>
      </c>
      <c r="W3" s="124" t="s">
        <v>154</v>
      </c>
      <c r="X3" s="124" t="s">
        <v>25</v>
      </c>
      <c r="Y3" s="124" t="s">
        <v>26</v>
      </c>
      <c r="Z3" s="124" t="s">
        <v>27</v>
      </c>
      <c r="AA3" s="124" t="s">
        <v>155</v>
      </c>
      <c r="AB3" s="124" t="s">
        <v>156</v>
      </c>
      <c r="AC3" s="124" t="s">
        <v>157</v>
      </c>
      <c r="AD3" s="124" t="s">
        <v>90</v>
      </c>
      <c r="AE3" s="124" t="s">
        <v>42</v>
      </c>
      <c r="AF3" s="124" t="s">
        <v>111</v>
      </c>
      <c r="AG3" s="124" t="s">
        <v>66</v>
      </c>
    </row>
    <row r="4" spans="1:33" s="118" customFormat="1">
      <c r="A4" s="150" t="s">
        <v>261</v>
      </c>
      <c r="B4" s="150">
        <f t="shared" ref="B4:Q4" si="0">AVERAGE(B5:B32)</f>
        <v>35.392857142857146</v>
      </c>
      <c r="C4" s="150">
        <f t="shared" si="0"/>
        <v>37.825000000000003</v>
      </c>
      <c r="D4" s="150">
        <f t="shared" si="0"/>
        <v>74.185714285714283</v>
      </c>
      <c r="E4" s="150">
        <f t="shared" si="0"/>
        <v>107.20714285714284</v>
      </c>
      <c r="F4" s="150">
        <f t="shared" si="0"/>
        <v>164.00714285714281</v>
      </c>
      <c r="G4" s="150">
        <f t="shared" si="0"/>
        <v>192.44642857142861</v>
      </c>
      <c r="H4" s="150">
        <f t="shared" si="0"/>
        <v>145.71428571428572</v>
      </c>
      <c r="I4" s="150">
        <f t="shared" si="0"/>
        <v>109.05714285714285</v>
      </c>
      <c r="J4" s="150">
        <f t="shared" si="0"/>
        <v>83.371428571428581</v>
      </c>
      <c r="K4" s="150">
        <f t="shared" si="0"/>
        <v>87.810714285714297</v>
      </c>
      <c r="L4" s="150">
        <f t="shared" si="0"/>
        <v>48.028571428571418</v>
      </c>
      <c r="M4" s="150">
        <f t="shared" si="0"/>
        <v>31.214285714285715</v>
      </c>
      <c r="N4" s="150">
        <f t="shared" si="0"/>
        <v>254.61071428571427</v>
      </c>
      <c r="O4" s="150">
        <f t="shared" si="0"/>
        <v>694.59642857142865</v>
      </c>
      <c r="P4" s="150">
        <f t="shared" si="0"/>
        <v>167.05357142857142</v>
      </c>
      <c r="Q4" s="150">
        <f t="shared" si="0"/>
        <v>1116.2607142857144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1988</v>
      </c>
      <c r="B5" s="102">
        <v>36.4</v>
      </c>
      <c r="C5" s="102">
        <v>26.6</v>
      </c>
      <c r="D5" s="102">
        <v>33.4</v>
      </c>
      <c r="E5" s="102">
        <v>36.700000000000003</v>
      </c>
      <c r="F5" s="102">
        <v>90.8</v>
      </c>
      <c r="G5" s="102">
        <v>284</v>
      </c>
      <c r="H5" s="102">
        <v>118.9</v>
      </c>
      <c r="I5" s="102">
        <v>255.7</v>
      </c>
      <c r="J5" s="102">
        <v>187.2</v>
      </c>
      <c r="K5" s="102">
        <v>60.5</v>
      </c>
      <c r="L5" s="102">
        <v>7.2</v>
      </c>
      <c r="M5" s="102">
        <v>11.6</v>
      </c>
      <c r="N5" s="102">
        <f>SUM(B5:E5)</f>
        <v>133.10000000000002</v>
      </c>
      <c r="O5" s="102">
        <f>SUM(F5:J5)</f>
        <v>936.60000000000014</v>
      </c>
      <c r="P5" s="102">
        <f>SUM(K5:M5)</f>
        <v>79.3</v>
      </c>
      <c r="Q5" s="102">
        <f>SUM(B5:M5)</f>
        <v>1149</v>
      </c>
    </row>
    <row r="6" spans="1:33">
      <c r="A6" s="102">
        <v>1989</v>
      </c>
      <c r="B6" s="102">
        <v>26.5</v>
      </c>
      <c r="C6" s="102">
        <v>42.7</v>
      </c>
      <c r="D6" s="102">
        <v>68.599999999999994</v>
      </c>
      <c r="E6" s="102">
        <v>152.6</v>
      </c>
      <c r="F6" s="102">
        <v>55.5</v>
      </c>
      <c r="G6" s="102">
        <v>134.1</v>
      </c>
      <c r="H6" s="102">
        <v>58</v>
      </c>
      <c r="I6" s="102">
        <v>71.8</v>
      </c>
      <c r="J6" s="102">
        <v>79.7</v>
      </c>
      <c r="K6" s="102">
        <v>44.9</v>
      </c>
      <c r="L6" s="102">
        <v>35.4</v>
      </c>
      <c r="M6" s="102">
        <v>42.1</v>
      </c>
      <c r="N6" s="102">
        <f t="shared" ref="N6:N32" si="1">SUM(B6:E6)</f>
        <v>290.39999999999998</v>
      </c>
      <c r="O6" s="102">
        <f t="shared" ref="O6:O32" si="2">SUM(F6:J6)</f>
        <v>399.09999999999997</v>
      </c>
      <c r="P6" s="102">
        <f t="shared" ref="P6:P32" si="3">SUM(K6:M6)</f>
        <v>122.4</v>
      </c>
      <c r="Q6" s="102">
        <f t="shared" ref="Q6:Q32" si="4">SUM(B6:M6)</f>
        <v>811.9</v>
      </c>
    </row>
    <row r="7" spans="1:33">
      <c r="A7" s="102">
        <v>1990</v>
      </c>
      <c r="B7" s="102">
        <v>47.1</v>
      </c>
      <c r="C7" s="102">
        <v>44.2</v>
      </c>
      <c r="D7" s="102">
        <v>92.4</v>
      </c>
      <c r="E7" s="102">
        <v>96.2</v>
      </c>
      <c r="F7" s="102">
        <v>161.1</v>
      </c>
      <c r="G7" s="102">
        <v>236.8</v>
      </c>
      <c r="H7" s="102">
        <v>104.7</v>
      </c>
      <c r="I7" s="102">
        <v>72.599999999999994</v>
      </c>
      <c r="J7" s="102">
        <v>138.4</v>
      </c>
      <c r="K7" s="102">
        <v>129.4</v>
      </c>
      <c r="L7" s="102">
        <v>50.1</v>
      </c>
      <c r="M7" s="102">
        <v>18.3</v>
      </c>
      <c r="N7" s="102">
        <f t="shared" si="1"/>
        <v>279.90000000000003</v>
      </c>
      <c r="O7" s="102">
        <f t="shared" si="2"/>
        <v>713.59999999999991</v>
      </c>
      <c r="P7" s="102">
        <f t="shared" si="3"/>
        <v>197.8</v>
      </c>
      <c r="Q7" s="102">
        <f t="shared" si="4"/>
        <v>1191.3</v>
      </c>
    </row>
    <row r="8" spans="1:33">
      <c r="A8" s="102">
        <v>1991</v>
      </c>
      <c r="B8" s="102">
        <v>87</v>
      </c>
      <c r="C8" s="102">
        <v>42.4</v>
      </c>
      <c r="D8" s="102">
        <v>124.7</v>
      </c>
      <c r="E8" s="102">
        <v>54.6</v>
      </c>
      <c r="F8" s="102">
        <v>145.1</v>
      </c>
      <c r="G8" s="102">
        <v>121.7</v>
      </c>
      <c r="H8" s="102">
        <v>305</v>
      </c>
      <c r="I8" s="102">
        <v>81.7</v>
      </c>
      <c r="J8" s="102">
        <v>53.7</v>
      </c>
      <c r="K8" s="102">
        <v>77.7</v>
      </c>
      <c r="L8" s="102">
        <v>89.6</v>
      </c>
      <c r="M8" s="102">
        <v>24.5</v>
      </c>
      <c r="N8" s="102">
        <f t="shared" si="1"/>
        <v>308.70000000000005</v>
      </c>
      <c r="O8" s="102">
        <f t="shared" si="2"/>
        <v>707.2</v>
      </c>
      <c r="P8" s="102">
        <f t="shared" si="3"/>
        <v>191.8</v>
      </c>
      <c r="Q8" s="102">
        <f t="shared" si="4"/>
        <v>1207.7</v>
      </c>
    </row>
    <row r="9" spans="1:33">
      <c r="A9" s="102">
        <v>1992</v>
      </c>
      <c r="B9" s="102">
        <v>12.4</v>
      </c>
      <c r="C9" s="102">
        <v>47.6</v>
      </c>
      <c r="D9" s="102">
        <v>169.3</v>
      </c>
      <c r="E9" s="102">
        <v>147.4</v>
      </c>
      <c r="F9" s="102">
        <v>271.3</v>
      </c>
      <c r="G9" s="102">
        <v>192.2</v>
      </c>
      <c r="H9" s="102">
        <v>113.2</v>
      </c>
      <c r="I9" s="102">
        <v>26</v>
      </c>
      <c r="J9" s="102">
        <v>60.7</v>
      </c>
      <c r="K9" s="102">
        <v>21.3</v>
      </c>
      <c r="L9" s="102">
        <v>16.3</v>
      </c>
      <c r="M9" s="102">
        <v>49.8</v>
      </c>
      <c r="N9" s="102">
        <f t="shared" si="1"/>
        <v>376.70000000000005</v>
      </c>
      <c r="O9" s="102">
        <f t="shared" si="2"/>
        <v>663.40000000000009</v>
      </c>
      <c r="P9" s="102">
        <f t="shared" si="3"/>
        <v>87.4</v>
      </c>
      <c r="Q9" s="102">
        <f t="shared" si="4"/>
        <v>1127.5</v>
      </c>
    </row>
    <row r="10" spans="1:33">
      <c r="A10" s="102">
        <v>1993</v>
      </c>
      <c r="B10" s="102">
        <v>56.2</v>
      </c>
      <c r="C10" s="102">
        <v>66.599999999999994</v>
      </c>
      <c r="D10" s="102">
        <v>86.6</v>
      </c>
      <c r="E10" s="102">
        <v>43.7</v>
      </c>
      <c r="F10" s="102">
        <v>181.3</v>
      </c>
      <c r="G10" s="102">
        <v>175.4</v>
      </c>
      <c r="H10" s="102">
        <v>264</v>
      </c>
      <c r="I10" s="102">
        <v>139.1</v>
      </c>
      <c r="J10" s="102">
        <v>86.5</v>
      </c>
      <c r="K10" s="102">
        <v>62.1</v>
      </c>
      <c r="L10" s="102">
        <v>39.9</v>
      </c>
      <c r="M10" s="102">
        <v>44.7</v>
      </c>
      <c r="N10" s="102">
        <f t="shared" si="1"/>
        <v>253.09999999999997</v>
      </c>
      <c r="O10" s="102">
        <f t="shared" si="2"/>
        <v>846.30000000000007</v>
      </c>
      <c r="P10" s="102">
        <f t="shared" si="3"/>
        <v>146.69999999999999</v>
      </c>
      <c r="Q10" s="102">
        <f t="shared" si="4"/>
        <v>1246.1000000000001</v>
      </c>
    </row>
    <row r="11" spans="1:33">
      <c r="A11" s="102">
        <v>1994</v>
      </c>
      <c r="B11" s="102">
        <v>16.2</v>
      </c>
      <c r="C11" s="102">
        <v>30.3</v>
      </c>
      <c r="D11" s="102">
        <v>70.3</v>
      </c>
      <c r="E11" s="102">
        <v>206.5</v>
      </c>
      <c r="F11" s="102">
        <v>120</v>
      </c>
      <c r="G11" s="102">
        <v>85</v>
      </c>
      <c r="H11" s="102">
        <v>127.2</v>
      </c>
      <c r="I11" s="102">
        <v>110.4</v>
      </c>
      <c r="J11" s="102">
        <v>124.9</v>
      </c>
      <c r="K11" s="102">
        <v>240.5</v>
      </c>
      <c r="L11" s="102">
        <v>76.599999999999994</v>
      </c>
      <c r="M11" s="102">
        <v>46.6</v>
      </c>
      <c r="N11" s="102">
        <f t="shared" si="1"/>
        <v>323.3</v>
      </c>
      <c r="O11" s="102">
        <f t="shared" si="2"/>
        <v>567.5</v>
      </c>
      <c r="P11" s="102">
        <f t="shared" si="3"/>
        <v>363.70000000000005</v>
      </c>
      <c r="Q11" s="102">
        <f t="shared" si="4"/>
        <v>1254.4999999999998</v>
      </c>
    </row>
    <row r="12" spans="1:33">
      <c r="A12" s="102">
        <v>1995</v>
      </c>
      <c r="B12" s="102">
        <v>30.6</v>
      </c>
      <c r="C12" s="102">
        <v>66.400000000000006</v>
      </c>
      <c r="D12" s="102">
        <v>39.200000000000003</v>
      </c>
      <c r="E12" s="102">
        <v>92.4</v>
      </c>
      <c r="F12" s="102">
        <v>140.30000000000001</v>
      </c>
      <c r="G12" s="102">
        <v>306.2</v>
      </c>
      <c r="H12" s="102">
        <v>59.8</v>
      </c>
      <c r="I12" s="102">
        <v>136.9</v>
      </c>
      <c r="J12" s="102">
        <v>89.2</v>
      </c>
      <c r="K12" s="102">
        <v>37.9</v>
      </c>
      <c r="L12" s="102">
        <v>46.8</v>
      </c>
      <c r="M12" s="102">
        <v>8.6999999999999993</v>
      </c>
      <c r="N12" s="102">
        <f t="shared" si="1"/>
        <v>228.6</v>
      </c>
      <c r="O12" s="102">
        <f t="shared" si="2"/>
        <v>732.40000000000009</v>
      </c>
      <c r="P12" s="102">
        <f t="shared" si="3"/>
        <v>93.399999999999991</v>
      </c>
      <c r="Q12" s="102">
        <f t="shared" si="4"/>
        <v>1054.3999999999999</v>
      </c>
    </row>
    <row r="13" spans="1:33">
      <c r="A13" s="102">
        <v>1996</v>
      </c>
      <c r="B13" s="102">
        <v>28.4</v>
      </c>
      <c r="C13" s="102">
        <v>4.5999999999999996</v>
      </c>
      <c r="D13" s="102">
        <v>111</v>
      </c>
      <c r="E13" s="102">
        <v>30.4</v>
      </c>
      <c r="F13" s="102">
        <v>134.4</v>
      </c>
      <c r="G13" s="102">
        <v>157.69999999999999</v>
      </c>
      <c r="H13" s="102">
        <v>271.3</v>
      </c>
      <c r="I13" s="102">
        <v>142.1</v>
      </c>
      <c r="J13" s="102">
        <v>2.2999999999999998</v>
      </c>
      <c r="K13" s="102">
        <v>88.4</v>
      </c>
      <c r="L13" s="102">
        <v>15.5</v>
      </c>
      <c r="M13" s="102">
        <v>19.899999999999999</v>
      </c>
      <c r="N13" s="102">
        <f t="shared" si="1"/>
        <v>174.4</v>
      </c>
      <c r="O13" s="102">
        <f t="shared" si="2"/>
        <v>707.80000000000007</v>
      </c>
      <c r="P13" s="102">
        <f t="shared" si="3"/>
        <v>123.80000000000001</v>
      </c>
      <c r="Q13" s="102">
        <f t="shared" si="4"/>
        <v>1005.9999999999999</v>
      </c>
    </row>
    <row r="14" spans="1:33">
      <c r="A14" s="102">
        <v>1997</v>
      </c>
      <c r="B14" s="102">
        <v>67.900000000000006</v>
      </c>
      <c r="C14" s="102">
        <v>44.7</v>
      </c>
      <c r="D14" s="102">
        <v>78.3</v>
      </c>
      <c r="E14" s="102">
        <v>138.69999999999999</v>
      </c>
      <c r="F14" s="102">
        <v>162.1</v>
      </c>
      <c r="G14" s="102">
        <v>198.1</v>
      </c>
      <c r="H14" s="102">
        <v>248.9</v>
      </c>
      <c r="I14" s="102">
        <v>78.2</v>
      </c>
      <c r="J14" s="102">
        <v>135.80000000000001</v>
      </c>
      <c r="K14" s="102">
        <v>189.6</v>
      </c>
      <c r="L14" s="102">
        <v>36</v>
      </c>
      <c r="M14" s="102">
        <v>45.4</v>
      </c>
      <c r="N14" s="102">
        <f t="shared" si="1"/>
        <v>329.6</v>
      </c>
      <c r="O14" s="102">
        <f t="shared" si="2"/>
        <v>823.10000000000014</v>
      </c>
      <c r="P14" s="102">
        <f t="shared" si="3"/>
        <v>271</v>
      </c>
      <c r="Q14" s="102">
        <f t="shared" si="4"/>
        <v>1423.7</v>
      </c>
    </row>
    <row r="15" spans="1:33">
      <c r="A15" s="102">
        <v>1998</v>
      </c>
      <c r="B15" s="102">
        <v>42.3</v>
      </c>
      <c r="C15" s="102">
        <v>36.9</v>
      </c>
      <c r="D15" s="102">
        <v>50.6</v>
      </c>
      <c r="E15" s="102">
        <v>109.7</v>
      </c>
      <c r="F15" s="102">
        <v>128.80000000000001</v>
      </c>
      <c r="G15" s="102">
        <v>271.60000000000002</v>
      </c>
      <c r="H15" s="102">
        <v>167.9</v>
      </c>
      <c r="I15" s="102">
        <v>38.700000000000003</v>
      </c>
      <c r="J15" s="102">
        <v>36.6</v>
      </c>
      <c r="K15" s="102">
        <v>140.1</v>
      </c>
      <c r="L15" s="102">
        <v>26.5</v>
      </c>
      <c r="M15" s="102">
        <v>25.1</v>
      </c>
      <c r="N15" s="102">
        <f t="shared" si="1"/>
        <v>239.5</v>
      </c>
      <c r="O15" s="102">
        <f t="shared" si="2"/>
        <v>643.60000000000014</v>
      </c>
      <c r="P15" s="102">
        <f t="shared" si="3"/>
        <v>191.7</v>
      </c>
      <c r="Q15" s="102">
        <f t="shared" si="4"/>
        <v>1074.8000000000002</v>
      </c>
    </row>
    <row r="16" spans="1:33">
      <c r="A16" s="102">
        <v>1999</v>
      </c>
      <c r="B16" s="102">
        <v>28.2</v>
      </c>
      <c r="C16" s="102">
        <v>19.7</v>
      </c>
      <c r="D16" s="102">
        <v>65</v>
      </c>
      <c r="E16" s="102">
        <v>140.4</v>
      </c>
      <c r="F16" s="102">
        <v>201.1</v>
      </c>
      <c r="G16" s="102">
        <v>206.8</v>
      </c>
      <c r="H16" s="102">
        <v>203.6</v>
      </c>
      <c r="I16" s="102">
        <v>133.1</v>
      </c>
      <c r="J16" s="102">
        <v>36.700000000000003</v>
      </c>
      <c r="K16" s="102">
        <v>61.6</v>
      </c>
      <c r="L16" s="102">
        <v>42.2</v>
      </c>
      <c r="M16" s="102">
        <v>0</v>
      </c>
      <c r="N16" s="102">
        <f t="shared" si="1"/>
        <v>253.3</v>
      </c>
      <c r="O16" s="102">
        <f t="shared" si="2"/>
        <v>781.30000000000007</v>
      </c>
      <c r="P16" s="102">
        <f t="shared" si="3"/>
        <v>103.80000000000001</v>
      </c>
      <c r="Q16" s="102">
        <f t="shared" si="4"/>
        <v>1138.4000000000001</v>
      </c>
    </row>
    <row r="17" spans="1:33">
      <c r="A17" s="102">
        <v>2000</v>
      </c>
      <c r="B17" s="102">
        <v>27.9</v>
      </c>
      <c r="C17" s="102">
        <v>27.3</v>
      </c>
      <c r="D17" s="102">
        <v>122.7</v>
      </c>
      <c r="E17" s="102">
        <v>95.1</v>
      </c>
      <c r="F17" s="102">
        <v>99</v>
      </c>
      <c r="G17" s="102">
        <v>252.9</v>
      </c>
      <c r="H17" s="102">
        <v>94.5</v>
      </c>
      <c r="I17" s="102">
        <v>219.4</v>
      </c>
      <c r="J17" s="102">
        <v>82</v>
      </c>
      <c r="K17" s="102">
        <v>88.6</v>
      </c>
      <c r="L17" s="102">
        <v>38.799999999999997</v>
      </c>
      <c r="M17" s="102">
        <v>23.3</v>
      </c>
      <c r="N17" s="102">
        <f t="shared" si="1"/>
        <v>273</v>
      </c>
      <c r="O17" s="102">
        <f t="shared" si="2"/>
        <v>747.8</v>
      </c>
      <c r="P17" s="102">
        <f t="shared" si="3"/>
        <v>150.69999999999999</v>
      </c>
      <c r="Q17" s="102">
        <f t="shared" si="4"/>
        <v>1171.4999999999998</v>
      </c>
    </row>
    <row r="18" spans="1:33">
      <c r="A18" s="102">
        <v>2001</v>
      </c>
      <c r="B18" s="102">
        <v>40.1</v>
      </c>
      <c r="C18" s="102">
        <v>23.9</v>
      </c>
      <c r="D18" s="102">
        <v>41.6</v>
      </c>
      <c r="E18" s="102">
        <v>94.4</v>
      </c>
      <c r="F18" s="102">
        <v>185.2</v>
      </c>
      <c r="G18" s="102">
        <v>160.80000000000001</v>
      </c>
      <c r="H18" s="102">
        <v>194.6</v>
      </c>
      <c r="I18" s="102">
        <v>70.900000000000006</v>
      </c>
      <c r="J18" s="102">
        <v>8.8000000000000007</v>
      </c>
      <c r="K18" s="102">
        <v>78.2</v>
      </c>
      <c r="L18" s="102">
        <v>47.5</v>
      </c>
      <c r="M18" s="102">
        <v>11</v>
      </c>
      <c r="N18" s="102">
        <f t="shared" si="1"/>
        <v>200</v>
      </c>
      <c r="O18" s="102">
        <f t="shared" si="2"/>
        <v>620.29999999999995</v>
      </c>
      <c r="P18" s="102">
        <f t="shared" si="3"/>
        <v>136.69999999999999</v>
      </c>
      <c r="Q18" s="102">
        <f t="shared" si="4"/>
        <v>957</v>
      </c>
    </row>
    <row r="19" spans="1:33">
      <c r="A19" s="102">
        <v>2002</v>
      </c>
      <c r="B19" s="102">
        <v>16.7</v>
      </c>
      <c r="C19" s="102">
        <v>30.6</v>
      </c>
      <c r="D19" s="102">
        <v>64.2</v>
      </c>
      <c r="E19" s="102">
        <v>132.6</v>
      </c>
      <c r="F19" s="102">
        <v>269.10000000000002</v>
      </c>
      <c r="G19" s="102">
        <v>198.4</v>
      </c>
      <c r="H19" s="102">
        <v>131.5</v>
      </c>
      <c r="I19" s="102">
        <v>207.8</v>
      </c>
      <c r="J19" s="102">
        <v>42.5</v>
      </c>
      <c r="K19" s="102">
        <v>127.8</v>
      </c>
      <c r="L19" s="102">
        <v>20.7</v>
      </c>
      <c r="M19" s="102">
        <v>84.8</v>
      </c>
      <c r="N19" s="102">
        <f t="shared" si="1"/>
        <v>244.1</v>
      </c>
      <c r="O19" s="102">
        <f t="shared" si="2"/>
        <v>849.3</v>
      </c>
      <c r="P19" s="102">
        <f t="shared" si="3"/>
        <v>233.3</v>
      </c>
      <c r="Q19" s="102">
        <f t="shared" si="4"/>
        <v>1326.7</v>
      </c>
    </row>
    <row r="20" spans="1:33">
      <c r="A20" s="102">
        <v>2003</v>
      </c>
      <c r="B20" s="102">
        <v>68.2</v>
      </c>
      <c r="C20" s="102">
        <v>34.200000000000003</v>
      </c>
      <c r="D20" s="102">
        <v>47.1</v>
      </c>
      <c r="E20" s="102">
        <v>172.1</v>
      </c>
      <c r="F20" s="102">
        <v>300.8</v>
      </c>
      <c r="G20" s="102">
        <v>206.2</v>
      </c>
      <c r="H20" s="102">
        <v>50.8</v>
      </c>
      <c r="I20" s="102">
        <v>54.5</v>
      </c>
      <c r="J20" s="102">
        <v>87.7</v>
      </c>
      <c r="K20" s="102">
        <v>87.7</v>
      </c>
      <c r="L20" s="102">
        <v>14.8</v>
      </c>
      <c r="M20" s="102">
        <v>33.5</v>
      </c>
      <c r="N20" s="102">
        <f t="shared" si="1"/>
        <v>321.60000000000002</v>
      </c>
      <c r="O20" s="102">
        <f t="shared" si="2"/>
        <v>700</v>
      </c>
      <c r="P20" s="102">
        <f t="shared" si="3"/>
        <v>136</v>
      </c>
      <c r="Q20" s="102">
        <f t="shared" si="4"/>
        <v>1157.6000000000001</v>
      </c>
    </row>
    <row r="21" spans="1:33">
      <c r="A21" s="102">
        <v>2004</v>
      </c>
      <c r="B21" s="102">
        <v>41.4</v>
      </c>
      <c r="C21" s="102">
        <v>70.099999999999994</v>
      </c>
      <c r="D21" s="102">
        <v>73.400000000000006</v>
      </c>
      <c r="E21" s="102">
        <v>95.9</v>
      </c>
      <c r="F21" s="102">
        <v>174</v>
      </c>
      <c r="G21" s="102">
        <v>119.4</v>
      </c>
      <c r="H21" s="102">
        <v>325.39999999999998</v>
      </c>
      <c r="I21" s="102">
        <v>103.4</v>
      </c>
      <c r="J21" s="102">
        <v>108.1</v>
      </c>
      <c r="K21" s="102">
        <v>24.9</v>
      </c>
      <c r="L21" s="102">
        <v>98.3</v>
      </c>
      <c r="M21" s="102">
        <v>51</v>
      </c>
      <c r="N21" s="102">
        <f t="shared" si="1"/>
        <v>280.8</v>
      </c>
      <c r="O21" s="102">
        <f t="shared" si="2"/>
        <v>830.3</v>
      </c>
      <c r="P21" s="102">
        <f t="shared" si="3"/>
        <v>174.2</v>
      </c>
      <c r="Q21" s="102">
        <f t="shared" si="4"/>
        <v>1285.3</v>
      </c>
    </row>
    <row r="22" spans="1:33">
      <c r="A22" s="102">
        <v>2005</v>
      </c>
      <c r="B22" s="103">
        <v>58.1</v>
      </c>
      <c r="C22" s="103">
        <v>56.8</v>
      </c>
      <c r="D22" s="103">
        <v>52.9</v>
      </c>
      <c r="E22" s="103">
        <v>47.5</v>
      </c>
      <c r="F22" s="103">
        <v>153.19999999999999</v>
      </c>
      <c r="G22" s="103">
        <v>198.5</v>
      </c>
      <c r="H22" s="103">
        <v>79.099999999999994</v>
      </c>
      <c r="I22" s="103">
        <v>98</v>
      </c>
      <c r="J22" s="103">
        <v>7.2</v>
      </c>
      <c r="K22" s="102">
        <v>50.8</v>
      </c>
      <c r="L22" s="102">
        <v>31.4</v>
      </c>
      <c r="M22" s="102">
        <v>18.5</v>
      </c>
      <c r="N22" s="102">
        <f t="shared" si="1"/>
        <v>215.3</v>
      </c>
      <c r="O22" s="102">
        <f t="shared" si="2"/>
        <v>536</v>
      </c>
      <c r="P22" s="102">
        <f t="shared" si="3"/>
        <v>100.69999999999999</v>
      </c>
      <c r="Q22" s="102">
        <f t="shared" si="4"/>
        <v>852</v>
      </c>
    </row>
    <row r="23" spans="1:33">
      <c r="A23" s="102">
        <v>2006</v>
      </c>
      <c r="B23" s="102">
        <v>16.600000000000001</v>
      </c>
      <c r="C23" s="102">
        <v>67.400000000000006</v>
      </c>
      <c r="D23" s="102">
        <v>43.5</v>
      </c>
      <c r="E23" s="102">
        <v>117.4</v>
      </c>
      <c r="F23" s="102">
        <v>127.3</v>
      </c>
      <c r="G23" s="102">
        <v>155.80000000000001</v>
      </c>
      <c r="H23" s="102">
        <v>108</v>
      </c>
      <c r="I23" s="102">
        <v>84</v>
      </c>
      <c r="J23" s="102">
        <v>102.4</v>
      </c>
      <c r="K23" s="102">
        <v>122.3</v>
      </c>
      <c r="L23" s="102">
        <v>88.4</v>
      </c>
      <c r="M23" s="102">
        <v>22.2</v>
      </c>
      <c r="N23" s="102">
        <f t="shared" si="1"/>
        <v>244.9</v>
      </c>
      <c r="O23" s="102">
        <f t="shared" si="2"/>
        <v>577.5</v>
      </c>
      <c r="P23" s="102">
        <f t="shared" si="3"/>
        <v>232.89999999999998</v>
      </c>
      <c r="Q23" s="102">
        <f t="shared" si="4"/>
        <v>1055.3</v>
      </c>
    </row>
    <row r="24" spans="1:33">
      <c r="A24" s="102">
        <v>2007</v>
      </c>
      <c r="B24" s="102">
        <v>45</v>
      </c>
      <c r="C24" s="102">
        <v>32.5</v>
      </c>
      <c r="D24" s="102">
        <v>51.1</v>
      </c>
      <c r="E24" s="102">
        <v>97.5</v>
      </c>
      <c r="F24" s="102">
        <v>145.30000000000001</v>
      </c>
      <c r="G24" s="102">
        <v>165.2</v>
      </c>
      <c r="H24" s="102">
        <v>220.1</v>
      </c>
      <c r="I24" s="102">
        <v>83.6</v>
      </c>
      <c r="J24" s="102">
        <v>79.2</v>
      </c>
      <c r="K24" s="102">
        <v>2.9</v>
      </c>
      <c r="L24" s="102">
        <v>0.3</v>
      </c>
      <c r="M24" s="102">
        <v>24.6</v>
      </c>
      <c r="N24" s="102">
        <f t="shared" si="1"/>
        <v>226.1</v>
      </c>
      <c r="O24" s="102">
        <f t="shared" si="2"/>
        <v>693.40000000000009</v>
      </c>
      <c r="P24" s="102">
        <f t="shared" si="3"/>
        <v>27.8</v>
      </c>
      <c r="Q24" s="102">
        <f t="shared" si="4"/>
        <v>947.3</v>
      </c>
    </row>
    <row r="25" spans="1:33">
      <c r="A25" s="102">
        <v>2008</v>
      </c>
      <c r="B25" s="102">
        <v>30.3</v>
      </c>
      <c r="C25" s="102">
        <v>30.5</v>
      </c>
      <c r="D25" s="102">
        <v>100.3</v>
      </c>
      <c r="E25" s="102">
        <v>37.6</v>
      </c>
      <c r="F25" s="102">
        <v>112.2</v>
      </c>
      <c r="G25" s="102">
        <v>77.900000000000006</v>
      </c>
      <c r="H25" s="102">
        <v>115.9</v>
      </c>
      <c r="I25" s="102">
        <v>151.6</v>
      </c>
      <c r="J25" s="102">
        <v>12.3</v>
      </c>
      <c r="K25" s="102">
        <v>123.4</v>
      </c>
      <c r="L25" s="102">
        <v>160.69999999999999</v>
      </c>
      <c r="M25" s="102">
        <v>10.6</v>
      </c>
      <c r="N25" s="102">
        <f t="shared" si="1"/>
        <v>198.7</v>
      </c>
      <c r="O25" s="102">
        <f t="shared" si="2"/>
        <v>469.90000000000003</v>
      </c>
      <c r="P25" s="102">
        <f t="shared" si="3"/>
        <v>294.70000000000005</v>
      </c>
      <c r="Q25" s="102">
        <f t="shared" si="4"/>
        <v>963.29999999999984</v>
      </c>
    </row>
    <row r="26" spans="1:33">
      <c r="A26" s="102">
        <v>2009</v>
      </c>
      <c r="B26" s="102">
        <v>21.9</v>
      </c>
      <c r="C26" s="102">
        <v>70.599999999999994</v>
      </c>
      <c r="D26" s="102">
        <v>51.1</v>
      </c>
      <c r="E26" s="102">
        <v>303.39999999999998</v>
      </c>
      <c r="F26" s="102">
        <v>154.19999999999999</v>
      </c>
      <c r="G26" s="102">
        <v>235.8</v>
      </c>
      <c r="H26" s="102">
        <v>175</v>
      </c>
      <c r="I26" s="102">
        <v>33.6</v>
      </c>
      <c r="J26" s="102">
        <v>45</v>
      </c>
      <c r="K26" s="102">
        <v>55.4</v>
      </c>
      <c r="L26" s="102">
        <v>24.9</v>
      </c>
      <c r="M26" s="102">
        <v>35.799999999999997</v>
      </c>
      <c r="N26" s="102">
        <f t="shared" si="1"/>
        <v>447</v>
      </c>
      <c r="O26" s="102">
        <f t="shared" si="2"/>
        <v>643.6</v>
      </c>
      <c r="P26" s="102">
        <f t="shared" si="3"/>
        <v>116.1</v>
      </c>
      <c r="Q26" s="102">
        <f t="shared" si="4"/>
        <v>1206.7</v>
      </c>
    </row>
    <row r="27" spans="1:33">
      <c r="A27" s="102">
        <v>2010</v>
      </c>
      <c r="B27" s="102">
        <v>5.4</v>
      </c>
      <c r="C27" s="102">
        <v>4.4000000000000004</v>
      </c>
      <c r="D27" s="102">
        <v>36.6</v>
      </c>
      <c r="E27" s="102">
        <v>97.5</v>
      </c>
      <c r="F27" s="102">
        <v>223.7</v>
      </c>
      <c r="G27" s="102">
        <v>203.7</v>
      </c>
      <c r="H27" s="102">
        <v>36.1</v>
      </c>
      <c r="I27" s="102">
        <v>158.1</v>
      </c>
      <c r="J27" s="102">
        <v>100.8</v>
      </c>
      <c r="K27" s="102">
        <v>99.5</v>
      </c>
      <c r="L27" s="102">
        <v>36.700000000000003</v>
      </c>
      <c r="M27" s="102">
        <v>58.9</v>
      </c>
      <c r="N27" s="102">
        <f t="shared" si="1"/>
        <v>143.9</v>
      </c>
      <c r="O27" s="102">
        <f t="shared" si="2"/>
        <v>722.4</v>
      </c>
      <c r="P27" s="102">
        <f t="shared" si="3"/>
        <v>195.1</v>
      </c>
      <c r="Q27" s="102">
        <f t="shared" si="4"/>
        <v>1061.4000000000001</v>
      </c>
    </row>
    <row r="28" spans="1:33">
      <c r="A28" s="102">
        <v>2011</v>
      </c>
      <c r="B28" s="102">
        <v>41.3</v>
      </c>
      <c r="C28" s="102">
        <v>14.5</v>
      </c>
      <c r="D28" s="102">
        <v>31.3</v>
      </c>
      <c r="E28" s="102">
        <v>36.299999999999997</v>
      </c>
      <c r="F28" s="102">
        <v>79.7</v>
      </c>
      <c r="G28" s="102">
        <v>254</v>
      </c>
      <c r="H28" s="102">
        <v>18.8</v>
      </c>
      <c r="I28" s="102">
        <v>61.5</v>
      </c>
      <c r="J28" s="102">
        <v>88.5</v>
      </c>
      <c r="K28" s="102">
        <v>128.4</v>
      </c>
      <c r="L28" s="102">
        <v>29.1</v>
      </c>
      <c r="M28" s="102">
        <v>9.6</v>
      </c>
      <c r="N28" s="102">
        <f t="shared" si="1"/>
        <v>123.39999999999999</v>
      </c>
      <c r="O28" s="102">
        <f t="shared" si="2"/>
        <v>502.5</v>
      </c>
      <c r="P28" s="102">
        <f t="shared" si="3"/>
        <v>167.1</v>
      </c>
      <c r="Q28" s="102">
        <f t="shared" si="4"/>
        <v>793.00000000000011</v>
      </c>
      <c r="R28" s="104"/>
      <c r="S28" s="104"/>
      <c r="T28" s="104"/>
      <c r="U28" s="104"/>
      <c r="V28" s="104"/>
      <c r="W28" s="104"/>
      <c r="X28" s="104"/>
      <c r="Y28" s="104"/>
      <c r="Z28" s="104"/>
      <c r="AA28" s="104"/>
      <c r="AB28" s="104"/>
      <c r="AC28" s="104"/>
      <c r="AD28" s="104"/>
      <c r="AE28" s="104"/>
      <c r="AF28" s="104"/>
      <c r="AG28" s="104"/>
    </row>
    <row r="29" spans="1:33">
      <c r="A29" s="102">
        <v>2012</v>
      </c>
      <c r="B29" s="102">
        <v>45.5</v>
      </c>
      <c r="C29" s="102">
        <v>28.3</v>
      </c>
      <c r="D29" s="102">
        <v>101</v>
      </c>
      <c r="E29" s="102">
        <v>95.2</v>
      </c>
      <c r="F29" s="102">
        <v>222.5</v>
      </c>
      <c r="G29" s="102">
        <v>170.1</v>
      </c>
      <c r="H29" s="102">
        <v>151</v>
      </c>
      <c r="I29" s="102">
        <v>73.5</v>
      </c>
      <c r="J29" s="102">
        <v>130.80000000000001</v>
      </c>
      <c r="K29" s="102">
        <v>77.400000000000006</v>
      </c>
      <c r="L29" s="102">
        <v>84.9</v>
      </c>
      <c r="M29" s="102">
        <v>25.2</v>
      </c>
      <c r="N29" s="102">
        <f t="shared" si="1"/>
        <v>270</v>
      </c>
      <c r="O29" s="102">
        <f t="shared" si="2"/>
        <v>747.90000000000009</v>
      </c>
      <c r="P29" s="102">
        <f t="shared" si="3"/>
        <v>187.5</v>
      </c>
      <c r="Q29" s="102">
        <f t="shared" si="4"/>
        <v>1205.4000000000003</v>
      </c>
      <c r="R29" s="104"/>
      <c r="S29" s="104"/>
      <c r="T29" s="104"/>
      <c r="U29" s="104"/>
      <c r="V29" s="104"/>
      <c r="W29" s="104"/>
      <c r="X29" s="104"/>
      <c r="Y29" s="104"/>
      <c r="Z29" s="104"/>
      <c r="AA29" s="104"/>
      <c r="AB29" s="104"/>
      <c r="AC29" s="104"/>
      <c r="AD29" s="104"/>
      <c r="AE29" s="104"/>
      <c r="AF29" s="104"/>
      <c r="AG29" s="104"/>
    </row>
    <row r="30" spans="1:33">
      <c r="A30" s="102">
        <v>2013</v>
      </c>
      <c r="B30" s="102">
        <v>11.9</v>
      </c>
      <c r="C30" s="102">
        <v>29.5</v>
      </c>
      <c r="D30" s="102">
        <v>135.19999999999999</v>
      </c>
      <c r="E30" s="102">
        <v>147.69999999999999</v>
      </c>
      <c r="F30" s="102">
        <v>152.6</v>
      </c>
      <c r="G30" s="102">
        <v>129.19999999999999</v>
      </c>
      <c r="H30" s="102">
        <v>3.9</v>
      </c>
      <c r="I30" s="102">
        <v>81.5</v>
      </c>
      <c r="J30" s="102">
        <v>242.5</v>
      </c>
      <c r="K30" s="102">
        <v>55.7</v>
      </c>
      <c r="L30" s="102">
        <v>69.599999999999994</v>
      </c>
      <c r="M30" s="102">
        <v>36.1</v>
      </c>
      <c r="N30" s="102">
        <f t="shared" si="1"/>
        <v>324.29999999999995</v>
      </c>
      <c r="O30" s="102">
        <f t="shared" si="2"/>
        <v>609.69999999999993</v>
      </c>
      <c r="P30" s="102">
        <f t="shared" si="3"/>
        <v>161.4</v>
      </c>
      <c r="Q30" s="102">
        <f t="shared" si="4"/>
        <v>1095.3999999999999</v>
      </c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  <c r="AF30" s="104"/>
      <c r="AG30" s="104"/>
    </row>
    <row r="31" spans="1:33">
      <c r="A31" s="102">
        <v>2014</v>
      </c>
      <c r="B31" s="128">
        <v>5.5</v>
      </c>
      <c r="C31" s="128">
        <v>43.4</v>
      </c>
      <c r="D31" s="128">
        <v>80.400000000000006</v>
      </c>
      <c r="E31" s="128">
        <v>100.7</v>
      </c>
      <c r="F31" s="128">
        <v>230.9</v>
      </c>
      <c r="G31" s="128">
        <v>185.3</v>
      </c>
      <c r="H31" s="128">
        <v>243.8</v>
      </c>
      <c r="I31" s="128">
        <v>139.9</v>
      </c>
      <c r="J31" s="128">
        <v>55</v>
      </c>
      <c r="K31" s="128">
        <v>86.9</v>
      </c>
      <c r="L31" s="128">
        <v>69.2</v>
      </c>
      <c r="M31" s="128">
        <v>9.9</v>
      </c>
      <c r="N31" s="102">
        <f t="shared" si="1"/>
        <v>230</v>
      </c>
      <c r="O31" s="102">
        <f t="shared" si="2"/>
        <v>854.9</v>
      </c>
      <c r="P31" s="102">
        <f t="shared" si="3"/>
        <v>166.00000000000003</v>
      </c>
      <c r="Q31" s="102">
        <f t="shared" si="4"/>
        <v>1250.9000000000003</v>
      </c>
    </row>
    <row r="32" spans="1:33">
      <c r="A32" s="102">
        <v>2015</v>
      </c>
      <c r="B32" s="128">
        <v>36</v>
      </c>
      <c r="C32" s="128">
        <v>22.4</v>
      </c>
      <c r="D32" s="128">
        <v>55.4</v>
      </c>
      <c r="E32" s="128">
        <v>81.599999999999994</v>
      </c>
      <c r="F32" s="128">
        <v>170.7</v>
      </c>
      <c r="G32" s="128">
        <v>305.7</v>
      </c>
      <c r="H32" s="128">
        <v>89</v>
      </c>
      <c r="I32" s="128">
        <v>146</v>
      </c>
      <c r="J32" s="128">
        <v>109.9</v>
      </c>
      <c r="K32" s="128">
        <v>94.8</v>
      </c>
      <c r="L32" s="128">
        <v>47.4</v>
      </c>
      <c r="M32" s="128">
        <v>82.3</v>
      </c>
      <c r="N32" s="102">
        <f t="shared" si="1"/>
        <v>195.39999999999998</v>
      </c>
      <c r="O32" s="102">
        <f t="shared" si="2"/>
        <v>821.3</v>
      </c>
      <c r="P32" s="102">
        <f t="shared" si="3"/>
        <v>224.5</v>
      </c>
      <c r="Q32" s="102">
        <f t="shared" si="4"/>
        <v>1241.2</v>
      </c>
    </row>
    <row r="33" spans="1:33" ht="13.5">
      <c r="A33" s="102">
        <v>2016</v>
      </c>
      <c r="B33" s="128">
        <v>62.1</v>
      </c>
      <c r="C33" s="128">
        <v>16.7</v>
      </c>
      <c r="D33" s="128">
        <v>105.4</v>
      </c>
      <c r="E33" s="128">
        <v>224.9</v>
      </c>
      <c r="F33" s="128">
        <v>206.7</v>
      </c>
      <c r="G33" s="128">
        <v>126.7</v>
      </c>
      <c r="H33" s="128">
        <v>80.5</v>
      </c>
      <c r="I33" s="128">
        <v>173.7</v>
      </c>
      <c r="J33" s="128">
        <v>12</v>
      </c>
      <c r="K33" s="128">
        <v>118.5</v>
      </c>
      <c r="L33" s="128">
        <v>80.099999999999994</v>
      </c>
      <c r="M33" s="128">
        <v>53.7</v>
      </c>
      <c r="N33" s="102">
        <f>SUM(B33:E33)</f>
        <v>409.1</v>
      </c>
      <c r="O33" s="102">
        <f>SUM(F33:J33)</f>
        <v>599.59999999999991</v>
      </c>
      <c r="P33" s="102">
        <f>SUM(K33:M33)</f>
        <v>252.3</v>
      </c>
      <c r="Q33" s="102">
        <f>SUM(B33:M33)</f>
        <v>1261</v>
      </c>
      <c r="R33" s="129">
        <f t="shared" ref="R33:AG33" si="5">100*(B33-B4)/B4</f>
        <v>75.459132189707347</v>
      </c>
      <c r="S33" s="129">
        <f t="shared" si="5"/>
        <v>-55.849306014540659</v>
      </c>
      <c r="T33" s="129">
        <f t="shared" si="5"/>
        <v>42.075871365299456</v>
      </c>
      <c r="U33" s="129">
        <f t="shared" si="5"/>
        <v>109.78079818775404</v>
      </c>
      <c r="V33" s="129">
        <f t="shared" si="5"/>
        <v>26.031096206611238</v>
      </c>
      <c r="W33" s="129">
        <f t="shared" si="5"/>
        <v>-34.163496334787055</v>
      </c>
      <c r="X33" s="129">
        <f t="shared" si="5"/>
        <v>-44.754901960784316</v>
      </c>
      <c r="Y33" s="129">
        <f t="shared" si="5"/>
        <v>59.274299187843859</v>
      </c>
      <c r="Z33" s="129">
        <f t="shared" si="5"/>
        <v>-85.606579849211784</v>
      </c>
      <c r="AA33" s="129">
        <f t="shared" si="5"/>
        <v>34.949363484768355</v>
      </c>
      <c r="AB33" s="129">
        <f t="shared" si="5"/>
        <v>66.775728732897107</v>
      </c>
      <c r="AC33" s="129">
        <f t="shared" si="5"/>
        <v>72.036613272311214</v>
      </c>
      <c r="AD33" s="129">
        <f t="shared" si="5"/>
        <v>60.676663253426121</v>
      </c>
      <c r="AE33" s="129">
        <f t="shared" si="5"/>
        <v>-13.676492516209331</v>
      </c>
      <c r="AF33" s="129">
        <f t="shared" si="5"/>
        <v>51.02939604489579</v>
      </c>
      <c r="AG33" s="129">
        <f t="shared" si="5"/>
        <v>12.966440891624774</v>
      </c>
    </row>
  </sheetData>
  <mergeCells count="6">
    <mergeCell ref="A1:A3"/>
    <mergeCell ref="B1:Q1"/>
    <mergeCell ref="B2:M2"/>
    <mergeCell ref="R1:AG1"/>
    <mergeCell ref="N2:Q2"/>
    <mergeCell ref="R2:AG2"/>
  </mergeCells>
  <phoneticPr fontId="2" type="noConversion"/>
  <pageMargins left="0.75" right="0.75" top="1" bottom="1" header="0.5" footer="0.5"/>
  <headerFooter alignWithMargins="0"/>
</worksheet>
</file>

<file path=xl/worksheets/sheet49.xml><?xml version="1.0" encoding="utf-8"?>
<worksheet xmlns="http://schemas.openxmlformats.org/spreadsheetml/2006/main" xmlns:r="http://schemas.openxmlformats.org/officeDocument/2006/relationships">
  <sheetPr codeName="Sheet49"/>
  <dimension ref="A1:AG61"/>
  <sheetViews>
    <sheetView topLeftCell="C1" zoomScaleNormal="100" workbookViewId="0">
      <pane ySplit="5" topLeftCell="A6" activePane="bottomLeft" state="frozen"/>
      <selection pane="bottomLeft" activeCell="G66" sqref="G66"/>
    </sheetView>
  </sheetViews>
  <sheetFormatPr defaultRowHeight="12"/>
  <cols>
    <col min="1" max="39" width="7.125" style="102" customWidth="1"/>
    <col min="40" max="16384" width="9" style="102"/>
  </cols>
  <sheetData>
    <row r="1" spans="1:33" s="118" customFormat="1" ht="14.25" customHeight="1">
      <c r="A1" s="176" t="s">
        <v>53</v>
      </c>
      <c r="B1" s="176" t="s">
        <v>171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2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116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32</v>
      </c>
      <c r="O2" s="176"/>
      <c r="P2" s="176"/>
      <c r="Q2" s="176"/>
      <c r="R2" s="176" t="s">
        <v>38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 ht="24">
      <c r="A3" s="176"/>
      <c r="B3" s="124" t="s">
        <v>149</v>
      </c>
      <c r="C3" s="124" t="s">
        <v>150</v>
      </c>
      <c r="D3" s="124" t="s">
        <v>9</v>
      </c>
      <c r="E3" s="124" t="s">
        <v>10</v>
      </c>
      <c r="F3" s="124" t="s">
        <v>11</v>
      </c>
      <c r="G3" s="124" t="s">
        <v>12</v>
      </c>
      <c r="H3" s="124" t="s">
        <v>13</v>
      </c>
      <c r="I3" s="124" t="s">
        <v>14</v>
      </c>
      <c r="J3" s="124" t="s">
        <v>15</v>
      </c>
      <c r="K3" s="124" t="s">
        <v>16</v>
      </c>
      <c r="L3" s="124" t="s">
        <v>17</v>
      </c>
      <c r="M3" s="124" t="s">
        <v>18</v>
      </c>
      <c r="N3" s="124" t="s">
        <v>145</v>
      </c>
      <c r="O3" s="124" t="s">
        <v>146</v>
      </c>
      <c r="P3" s="124" t="s">
        <v>147</v>
      </c>
      <c r="Q3" s="124" t="s">
        <v>148</v>
      </c>
      <c r="R3" s="124" t="s">
        <v>149</v>
      </c>
      <c r="S3" s="124" t="s">
        <v>150</v>
      </c>
      <c r="T3" s="124" t="s">
        <v>151</v>
      </c>
      <c r="U3" s="124" t="s">
        <v>152</v>
      </c>
      <c r="V3" s="124" t="s">
        <v>153</v>
      </c>
      <c r="W3" s="124" t="s">
        <v>154</v>
      </c>
      <c r="X3" s="124" t="s">
        <v>25</v>
      </c>
      <c r="Y3" s="124" t="s">
        <v>26</v>
      </c>
      <c r="Z3" s="124" t="s">
        <v>27</v>
      </c>
      <c r="AA3" s="124" t="s">
        <v>155</v>
      </c>
      <c r="AB3" s="124" t="s">
        <v>156</v>
      </c>
      <c r="AC3" s="124" t="s">
        <v>157</v>
      </c>
      <c r="AD3" s="124" t="s">
        <v>90</v>
      </c>
      <c r="AE3" s="124" t="s">
        <v>42</v>
      </c>
      <c r="AF3" s="124" t="s">
        <v>111</v>
      </c>
      <c r="AG3" s="124" t="s">
        <v>66</v>
      </c>
    </row>
    <row r="4" spans="1:33" s="118" customFormat="1">
      <c r="A4" s="150" t="s">
        <v>261</v>
      </c>
      <c r="B4" s="150">
        <f t="shared" ref="B4:Q4" si="0">AVERAGE(B5:B60)</f>
        <v>29.13035714285714</v>
      </c>
      <c r="C4" s="150">
        <f t="shared" si="0"/>
        <v>31.082142857142863</v>
      </c>
      <c r="D4" s="150">
        <f t="shared" si="0"/>
        <v>57.74821428571429</v>
      </c>
      <c r="E4" s="150">
        <f t="shared" si="0"/>
        <v>112.59821428571425</v>
      </c>
      <c r="F4" s="150">
        <f t="shared" si="0"/>
        <v>171.59642857142862</v>
      </c>
      <c r="G4" s="150">
        <f t="shared" si="0"/>
        <v>172.12321428571437</v>
      </c>
      <c r="H4" s="150">
        <f t="shared" si="0"/>
        <v>130.38928571428571</v>
      </c>
      <c r="I4" s="150">
        <f t="shared" si="0"/>
        <v>106.22321428571429</v>
      </c>
      <c r="J4" s="150">
        <f t="shared" si="0"/>
        <v>76.546428571428578</v>
      </c>
      <c r="K4" s="150">
        <f t="shared" si="0"/>
        <v>89.16785714285713</v>
      </c>
      <c r="L4" s="150">
        <f t="shared" si="0"/>
        <v>52.50714285714286</v>
      </c>
      <c r="M4" s="150">
        <f t="shared" si="0"/>
        <v>25.001785714285717</v>
      </c>
      <c r="N4" s="150">
        <f t="shared" si="0"/>
        <v>230.55892857142857</v>
      </c>
      <c r="O4" s="150">
        <f t="shared" si="0"/>
        <v>656.87857142857149</v>
      </c>
      <c r="P4" s="150">
        <f t="shared" si="0"/>
        <v>166.6767857142857</v>
      </c>
      <c r="Q4" s="150">
        <f t="shared" si="0"/>
        <v>1054.1142857142856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1960</v>
      </c>
      <c r="B5" s="103">
        <v>14.9</v>
      </c>
      <c r="C5" s="103">
        <v>50.3</v>
      </c>
      <c r="D5" s="103">
        <v>38.5</v>
      </c>
      <c r="E5" s="103">
        <v>94.6</v>
      </c>
      <c r="F5" s="103">
        <v>204.5</v>
      </c>
      <c r="G5" s="103">
        <v>114.1</v>
      </c>
      <c r="H5" s="103">
        <v>198.5</v>
      </c>
      <c r="I5" s="103">
        <v>105.3</v>
      </c>
      <c r="J5" s="103">
        <v>49.4</v>
      </c>
      <c r="K5" s="103">
        <v>54.2</v>
      </c>
      <c r="L5" s="103">
        <v>31.8</v>
      </c>
      <c r="M5" s="103">
        <v>7</v>
      </c>
      <c r="N5" s="102">
        <f>SUM(B5:E5)</f>
        <v>198.3</v>
      </c>
      <c r="O5" s="102">
        <f>SUM(F5:J5)</f>
        <v>671.8</v>
      </c>
      <c r="P5" s="102">
        <f>SUM(K5:M5)</f>
        <v>93</v>
      </c>
      <c r="Q5" s="102">
        <f>SUM(B5:M5)</f>
        <v>963.09999999999991</v>
      </c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</row>
    <row r="6" spans="1:33">
      <c r="A6" s="102">
        <v>1961</v>
      </c>
      <c r="B6" s="103">
        <v>9.5</v>
      </c>
      <c r="C6" s="103">
        <v>29.4</v>
      </c>
      <c r="D6" s="103">
        <v>81.7</v>
      </c>
      <c r="E6" s="103">
        <v>169.7</v>
      </c>
      <c r="F6" s="103">
        <v>151.1</v>
      </c>
      <c r="G6" s="103">
        <v>41.4</v>
      </c>
      <c r="H6" s="103">
        <v>84.5</v>
      </c>
      <c r="I6" s="103">
        <v>137.4</v>
      </c>
      <c r="J6" s="103">
        <v>61.5</v>
      </c>
      <c r="K6" s="103">
        <v>164.8</v>
      </c>
      <c r="L6" s="103">
        <v>104</v>
      </c>
      <c r="M6" s="103">
        <v>46.5</v>
      </c>
      <c r="N6" s="102">
        <f t="shared" ref="N6:N60" si="1">SUM(B6:E6)</f>
        <v>290.29999999999995</v>
      </c>
      <c r="O6" s="102">
        <f t="shared" ref="O6:O60" si="2">SUM(F6:J6)</f>
        <v>475.9</v>
      </c>
      <c r="P6" s="102">
        <f t="shared" ref="P6:P60" si="3">SUM(K6:M6)</f>
        <v>315.3</v>
      </c>
      <c r="Q6" s="102">
        <f t="shared" ref="Q6:Q60" si="4">SUM(B6:M6)</f>
        <v>1081.5</v>
      </c>
      <c r="R6" s="103"/>
      <c r="S6" s="103"/>
      <c r="T6" s="103"/>
      <c r="U6" s="103"/>
      <c r="V6" s="103"/>
      <c r="W6" s="103"/>
      <c r="X6" s="103"/>
      <c r="Y6" s="103"/>
      <c r="Z6" s="103"/>
      <c r="AA6" s="103"/>
      <c r="AB6" s="103"/>
      <c r="AC6" s="103"/>
      <c r="AD6" s="103"/>
      <c r="AE6" s="103"/>
      <c r="AF6" s="103"/>
      <c r="AG6" s="103"/>
    </row>
    <row r="7" spans="1:33">
      <c r="A7" s="102">
        <v>1962</v>
      </c>
      <c r="B7" s="103">
        <v>28.6</v>
      </c>
      <c r="C7" s="103">
        <v>11.6</v>
      </c>
      <c r="D7" s="103">
        <v>71.2</v>
      </c>
      <c r="E7" s="103">
        <v>129.30000000000001</v>
      </c>
      <c r="F7" s="103">
        <v>191.4</v>
      </c>
      <c r="G7" s="103">
        <v>217.4</v>
      </c>
      <c r="H7" s="103">
        <v>87.1</v>
      </c>
      <c r="I7" s="103">
        <v>127.4</v>
      </c>
      <c r="J7" s="103">
        <v>41.7</v>
      </c>
      <c r="K7" s="103">
        <v>98</v>
      </c>
      <c r="L7" s="103">
        <v>27.9</v>
      </c>
      <c r="M7" s="103">
        <v>36.1</v>
      </c>
      <c r="N7" s="102">
        <f t="shared" si="1"/>
        <v>240.70000000000002</v>
      </c>
      <c r="O7" s="102">
        <f t="shared" si="2"/>
        <v>665</v>
      </c>
      <c r="P7" s="102">
        <f t="shared" si="3"/>
        <v>162</v>
      </c>
      <c r="Q7" s="102">
        <f t="shared" si="4"/>
        <v>1067.7</v>
      </c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</row>
    <row r="8" spans="1:33">
      <c r="A8" s="102">
        <v>1963</v>
      </c>
      <c r="B8" s="103">
        <v>5.6</v>
      </c>
      <c r="C8" s="103">
        <v>28.1</v>
      </c>
      <c r="D8" s="103">
        <v>23.2</v>
      </c>
      <c r="E8" s="103">
        <v>92</v>
      </c>
      <c r="F8" s="103">
        <v>179.6</v>
      </c>
      <c r="G8" s="103">
        <v>62.5</v>
      </c>
      <c r="H8" s="103">
        <v>186.9</v>
      </c>
      <c r="I8" s="103">
        <v>117.2</v>
      </c>
      <c r="J8" s="103">
        <v>54.3</v>
      </c>
      <c r="K8" s="103">
        <v>95.1</v>
      </c>
      <c r="L8" s="103">
        <v>254.8</v>
      </c>
      <c r="M8" s="103">
        <v>33</v>
      </c>
      <c r="N8" s="102">
        <f t="shared" si="1"/>
        <v>148.9</v>
      </c>
      <c r="O8" s="102">
        <f t="shared" si="2"/>
        <v>600.5</v>
      </c>
      <c r="P8" s="102">
        <f t="shared" si="3"/>
        <v>382.9</v>
      </c>
      <c r="Q8" s="102">
        <f t="shared" si="4"/>
        <v>1132.3</v>
      </c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</row>
    <row r="9" spans="1:33">
      <c r="A9" s="102">
        <v>1964</v>
      </c>
      <c r="B9" s="103">
        <v>25.3</v>
      </c>
      <c r="C9" s="103">
        <v>44.8</v>
      </c>
      <c r="D9" s="103">
        <v>56.3</v>
      </c>
      <c r="E9" s="103">
        <v>222.9</v>
      </c>
      <c r="F9" s="103">
        <v>110.8</v>
      </c>
      <c r="G9" s="103">
        <v>192.2</v>
      </c>
      <c r="H9" s="103">
        <v>72</v>
      </c>
      <c r="I9" s="103">
        <v>153.69999999999999</v>
      </c>
      <c r="J9" s="103">
        <v>65.2</v>
      </c>
      <c r="K9" s="103">
        <v>243.9</v>
      </c>
      <c r="L9" s="103">
        <v>16.899999999999999</v>
      </c>
      <c r="M9" s="103">
        <v>30</v>
      </c>
      <c r="N9" s="102">
        <f t="shared" si="1"/>
        <v>349.3</v>
      </c>
      <c r="O9" s="102">
        <f t="shared" si="2"/>
        <v>593.90000000000009</v>
      </c>
      <c r="P9" s="102">
        <f t="shared" si="3"/>
        <v>290.8</v>
      </c>
      <c r="Q9" s="102">
        <f t="shared" si="4"/>
        <v>1234.0000000000002</v>
      </c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</row>
    <row r="10" spans="1:33">
      <c r="A10" s="102">
        <v>1965</v>
      </c>
      <c r="B10" s="103">
        <v>30.8</v>
      </c>
      <c r="C10" s="103">
        <v>33.700000000000003</v>
      </c>
      <c r="D10" s="103">
        <v>75.3</v>
      </c>
      <c r="E10" s="103">
        <v>97.8</v>
      </c>
      <c r="F10" s="103">
        <v>325.89999999999998</v>
      </c>
      <c r="G10" s="103">
        <v>138.80000000000001</v>
      </c>
      <c r="H10" s="103">
        <v>66</v>
      </c>
      <c r="I10" s="103">
        <v>169.5</v>
      </c>
      <c r="J10" s="103">
        <v>54</v>
      </c>
      <c r="K10" s="103">
        <v>182.1</v>
      </c>
      <c r="L10" s="103">
        <v>52.6</v>
      </c>
      <c r="M10" s="103">
        <v>44.2</v>
      </c>
      <c r="N10" s="102">
        <f t="shared" si="1"/>
        <v>237.60000000000002</v>
      </c>
      <c r="O10" s="102">
        <f t="shared" si="2"/>
        <v>754.2</v>
      </c>
      <c r="P10" s="102">
        <f t="shared" si="3"/>
        <v>278.89999999999998</v>
      </c>
      <c r="Q10" s="102">
        <f t="shared" si="4"/>
        <v>1270.6999999999998</v>
      </c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</row>
    <row r="11" spans="1:33">
      <c r="A11" s="102">
        <v>1966</v>
      </c>
      <c r="B11" s="103">
        <v>17.5</v>
      </c>
      <c r="C11" s="103">
        <v>35.700000000000003</v>
      </c>
      <c r="D11" s="103">
        <v>28.2</v>
      </c>
      <c r="E11" s="103">
        <v>127.7</v>
      </c>
      <c r="F11" s="103">
        <v>183.2</v>
      </c>
      <c r="G11" s="103">
        <v>111.8</v>
      </c>
      <c r="H11" s="103">
        <v>74.599999999999994</v>
      </c>
      <c r="I11" s="103">
        <v>45.1</v>
      </c>
      <c r="J11" s="103">
        <v>16.100000000000001</v>
      </c>
      <c r="K11" s="103">
        <v>114.8</v>
      </c>
      <c r="L11" s="103">
        <v>11.5</v>
      </c>
      <c r="M11" s="103">
        <v>28.6</v>
      </c>
      <c r="N11" s="102">
        <f t="shared" si="1"/>
        <v>209.10000000000002</v>
      </c>
      <c r="O11" s="102">
        <f t="shared" si="2"/>
        <v>430.80000000000007</v>
      </c>
      <c r="P11" s="102">
        <f t="shared" si="3"/>
        <v>154.9</v>
      </c>
      <c r="Q11" s="102">
        <f t="shared" si="4"/>
        <v>794.80000000000007</v>
      </c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</row>
    <row r="12" spans="1:33">
      <c r="A12" s="102">
        <v>1967</v>
      </c>
      <c r="B12" s="103">
        <v>12.7</v>
      </c>
      <c r="C12" s="103">
        <v>66.599999999999994</v>
      </c>
      <c r="D12" s="103">
        <v>34.200000000000003</v>
      </c>
      <c r="E12" s="103">
        <v>185.5</v>
      </c>
      <c r="F12" s="103">
        <v>197.8</v>
      </c>
      <c r="G12" s="103">
        <v>245.4</v>
      </c>
      <c r="H12" s="103">
        <v>115.7</v>
      </c>
      <c r="I12" s="103">
        <v>273.5</v>
      </c>
      <c r="J12" s="103">
        <v>119.2</v>
      </c>
      <c r="K12" s="103">
        <v>61.2</v>
      </c>
      <c r="L12" s="103">
        <v>66.099999999999994</v>
      </c>
      <c r="M12" s="103">
        <v>28.6</v>
      </c>
      <c r="N12" s="102">
        <f t="shared" si="1"/>
        <v>299</v>
      </c>
      <c r="O12" s="102">
        <f t="shared" si="2"/>
        <v>951.60000000000014</v>
      </c>
      <c r="P12" s="102">
        <f t="shared" si="3"/>
        <v>155.9</v>
      </c>
      <c r="Q12" s="102">
        <f t="shared" si="4"/>
        <v>1406.5</v>
      </c>
      <c r="R12" s="103"/>
      <c r="S12" s="103"/>
      <c r="T12" s="103"/>
      <c r="U12" s="103"/>
      <c r="V12" s="103"/>
      <c r="W12" s="103"/>
      <c r="X12" s="103"/>
      <c r="Y12" s="103"/>
      <c r="Z12" s="103"/>
      <c r="AA12" s="103"/>
      <c r="AB12" s="103"/>
      <c r="AC12" s="103"/>
      <c r="AD12" s="103"/>
      <c r="AE12" s="103"/>
      <c r="AF12" s="103"/>
      <c r="AG12" s="103"/>
    </row>
    <row r="13" spans="1:33">
      <c r="A13" s="102">
        <v>1968</v>
      </c>
      <c r="B13" s="103">
        <v>17.7</v>
      </c>
      <c r="C13" s="103">
        <v>25.9</v>
      </c>
      <c r="D13" s="103">
        <v>61.1</v>
      </c>
      <c r="E13" s="103">
        <v>152.4</v>
      </c>
      <c r="F13" s="103">
        <v>129.19999999999999</v>
      </c>
      <c r="G13" s="103">
        <v>237</v>
      </c>
      <c r="H13" s="103">
        <v>173.8</v>
      </c>
      <c r="I13" s="103">
        <v>189.9</v>
      </c>
      <c r="J13" s="103">
        <v>28.1</v>
      </c>
      <c r="K13" s="103">
        <v>67.099999999999994</v>
      </c>
      <c r="L13" s="103">
        <v>73.400000000000006</v>
      </c>
      <c r="M13" s="103">
        <v>34.799999999999997</v>
      </c>
      <c r="N13" s="102">
        <f t="shared" si="1"/>
        <v>257.10000000000002</v>
      </c>
      <c r="O13" s="102">
        <f t="shared" si="2"/>
        <v>758</v>
      </c>
      <c r="P13" s="102">
        <f t="shared" si="3"/>
        <v>175.3</v>
      </c>
      <c r="Q13" s="102">
        <f t="shared" si="4"/>
        <v>1190.3999999999999</v>
      </c>
      <c r="R13" s="103"/>
      <c r="S13" s="103"/>
      <c r="T13" s="103"/>
      <c r="U13" s="103"/>
      <c r="V13" s="103"/>
      <c r="W13" s="103"/>
      <c r="X13" s="103"/>
      <c r="Y13" s="103"/>
      <c r="Z13" s="103"/>
      <c r="AA13" s="103"/>
      <c r="AB13" s="103"/>
      <c r="AC13" s="103"/>
      <c r="AD13" s="103"/>
      <c r="AE13" s="103"/>
      <c r="AF13" s="103"/>
      <c r="AG13" s="103"/>
    </row>
    <row r="14" spans="1:33">
      <c r="A14" s="102">
        <v>1969</v>
      </c>
      <c r="B14" s="103">
        <v>28.5</v>
      </c>
      <c r="C14" s="103">
        <v>4.8</v>
      </c>
      <c r="D14" s="103">
        <v>41.4</v>
      </c>
      <c r="E14" s="103">
        <v>37.200000000000003</v>
      </c>
      <c r="F14" s="103">
        <v>143.4</v>
      </c>
      <c r="G14" s="103">
        <v>254.1</v>
      </c>
      <c r="H14" s="103">
        <v>146.19999999999999</v>
      </c>
      <c r="I14" s="103">
        <v>166.7</v>
      </c>
      <c r="J14" s="103">
        <v>2.2000000000000002</v>
      </c>
      <c r="K14" s="103">
        <v>189.4</v>
      </c>
      <c r="L14" s="103">
        <v>57.3</v>
      </c>
      <c r="M14" s="103">
        <v>1.3</v>
      </c>
      <c r="N14" s="102">
        <f t="shared" si="1"/>
        <v>111.89999999999999</v>
      </c>
      <c r="O14" s="102">
        <f t="shared" si="2"/>
        <v>712.60000000000014</v>
      </c>
      <c r="P14" s="102">
        <f t="shared" si="3"/>
        <v>248</v>
      </c>
      <c r="Q14" s="102">
        <f t="shared" si="4"/>
        <v>1072.5</v>
      </c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</row>
    <row r="15" spans="1:33">
      <c r="A15" s="102">
        <v>1970</v>
      </c>
      <c r="B15" s="103">
        <v>34.6</v>
      </c>
      <c r="C15" s="103">
        <v>35.299999999999997</v>
      </c>
      <c r="D15" s="103">
        <v>101.9</v>
      </c>
      <c r="E15" s="103">
        <v>96.8</v>
      </c>
      <c r="F15" s="103">
        <v>145.69999999999999</v>
      </c>
      <c r="G15" s="103">
        <v>121.6</v>
      </c>
      <c r="H15" s="103">
        <v>123.1</v>
      </c>
      <c r="I15" s="103">
        <v>102</v>
      </c>
      <c r="J15" s="103">
        <v>73.2</v>
      </c>
      <c r="K15" s="103">
        <v>12.7</v>
      </c>
      <c r="L15" s="103">
        <v>52.4</v>
      </c>
      <c r="M15" s="103">
        <v>59.5</v>
      </c>
      <c r="N15" s="102">
        <f t="shared" si="1"/>
        <v>268.60000000000002</v>
      </c>
      <c r="O15" s="102">
        <f t="shared" si="2"/>
        <v>565.6</v>
      </c>
      <c r="P15" s="102">
        <f t="shared" si="3"/>
        <v>124.6</v>
      </c>
      <c r="Q15" s="102">
        <f t="shared" si="4"/>
        <v>958.80000000000007</v>
      </c>
      <c r="R15" s="103"/>
      <c r="S15" s="103"/>
      <c r="T15" s="103"/>
      <c r="U15" s="103"/>
      <c r="V15" s="103"/>
      <c r="W15" s="103"/>
      <c r="X15" s="103"/>
      <c r="Y15" s="103"/>
      <c r="Z15" s="103"/>
      <c r="AA15" s="103"/>
      <c r="AB15" s="103"/>
      <c r="AC15" s="103"/>
      <c r="AD15" s="103"/>
      <c r="AE15" s="103"/>
      <c r="AF15" s="103"/>
      <c r="AG15" s="103"/>
    </row>
    <row r="16" spans="1:33">
      <c r="A16" s="102">
        <v>1971</v>
      </c>
      <c r="B16" s="102">
        <v>17</v>
      </c>
      <c r="C16" s="102">
        <v>34.700000000000003</v>
      </c>
      <c r="D16" s="102">
        <v>34.9</v>
      </c>
      <c r="E16" s="102">
        <v>152.80000000000001</v>
      </c>
      <c r="F16" s="102">
        <v>246</v>
      </c>
      <c r="G16" s="102">
        <v>254.8</v>
      </c>
      <c r="H16" s="102">
        <v>71.099999999999994</v>
      </c>
      <c r="I16" s="102">
        <v>128.9</v>
      </c>
      <c r="J16" s="102">
        <v>21.9</v>
      </c>
      <c r="K16" s="102">
        <v>76.3</v>
      </c>
      <c r="L16" s="102">
        <v>12.3</v>
      </c>
      <c r="M16" s="102">
        <v>34.4</v>
      </c>
      <c r="N16" s="102">
        <f t="shared" si="1"/>
        <v>239.4</v>
      </c>
      <c r="O16" s="102">
        <f t="shared" si="2"/>
        <v>722.69999999999993</v>
      </c>
      <c r="P16" s="102">
        <f t="shared" si="3"/>
        <v>123</v>
      </c>
      <c r="Q16" s="102">
        <f t="shared" si="4"/>
        <v>1085.1000000000001</v>
      </c>
    </row>
    <row r="17" spans="1:17">
      <c r="A17" s="102">
        <v>1972</v>
      </c>
      <c r="B17" s="102">
        <v>18.8</v>
      </c>
      <c r="C17" s="102">
        <v>21.3</v>
      </c>
      <c r="D17" s="102">
        <v>24.6</v>
      </c>
      <c r="E17" s="102">
        <v>129.69999999999999</v>
      </c>
      <c r="F17" s="102">
        <v>123.3</v>
      </c>
      <c r="G17" s="102">
        <v>169.4</v>
      </c>
      <c r="H17" s="102">
        <v>9.6</v>
      </c>
      <c r="I17" s="102">
        <v>45.4</v>
      </c>
      <c r="J17" s="102">
        <v>135.69999999999999</v>
      </c>
      <c r="K17" s="102">
        <v>147</v>
      </c>
      <c r="L17" s="102">
        <v>99.7</v>
      </c>
      <c r="M17" s="102">
        <v>42.6</v>
      </c>
      <c r="N17" s="102">
        <f t="shared" si="1"/>
        <v>194.39999999999998</v>
      </c>
      <c r="O17" s="102">
        <f t="shared" si="2"/>
        <v>483.4</v>
      </c>
      <c r="P17" s="102">
        <f t="shared" si="3"/>
        <v>289.3</v>
      </c>
      <c r="Q17" s="102">
        <f t="shared" si="4"/>
        <v>967.1</v>
      </c>
    </row>
    <row r="18" spans="1:17">
      <c r="A18" s="102">
        <v>1973</v>
      </c>
      <c r="B18" s="102">
        <v>20.5</v>
      </c>
      <c r="C18" s="102">
        <v>31.5</v>
      </c>
      <c r="D18" s="102">
        <v>43.3</v>
      </c>
      <c r="E18" s="102">
        <v>142.19999999999999</v>
      </c>
      <c r="F18" s="102">
        <v>265.39999999999998</v>
      </c>
      <c r="G18" s="102">
        <v>210.8</v>
      </c>
      <c r="H18" s="102">
        <v>100.4</v>
      </c>
      <c r="I18" s="102">
        <v>123.6</v>
      </c>
      <c r="J18" s="102">
        <v>140</v>
      </c>
      <c r="K18" s="102">
        <v>50.3</v>
      </c>
      <c r="L18" s="102">
        <v>39.6</v>
      </c>
      <c r="M18" s="102">
        <v>7.4</v>
      </c>
      <c r="N18" s="102">
        <f t="shared" si="1"/>
        <v>237.5</v>
      </c>
      <c r="O18" s="102">
        <f t="shared" si="2"/>
        <v>840.2</v>
      </c>
      <c r="P18" s="102">
        <f t="shared" si="3"/>
        <v>97.300000000000011</v>
      </c>
      <c r="Q18" s="102">
        <f t="shared" si="4"/>
        <v>1175</v>
      </c>
    </row>
    <row r="19" spans="1:17">
      <c r="A19" s="102">
        <v>1974</v>
      </c>
      <c r="B19" s="102">
        <v>52.2</v>
      </c>
      <c r="C19" s="102">
        <v>6.1</v>
      </c>
      <c r="D19" s="102">
        <v>44.5</v>
      </c>
      <c r="E19" s="102">
        <v>148.1</v>
      </c>
      <c r="F19" s="102">
        <v>180.4</v>
      </c>
      <c r="G19" s="102">
        <v>206.8</v>
      </c>
      <c r="H19" s="102">
        <v>149.1</v>
      </c>
      <c r="I19" s="102">
        <v>103</v>
      </c>
      <c r="J19" s="102">
        <v>40.5</v>
      </c>
      <c r="K19" s="102">
        <v>43.6</v>
      </c>
      <c r="L19" s="102">
        <v>10.8</v>
      </c>
      <c r="M19" s="102">
        <v>22</v>
      </c>
      <c r="N19" s="102">
        <f t="shared" si="1"/>
        <v>250.9</v>
      </c>
      <c r="O19" s="102">
        <f t="shared" si="2"/>
        <v>679.80000000000007</v>
      </c>
      <c r="P19" s="102">
        <f t="shared" si="3"/>
        <v>76.400000000000006</v>
      </c>
      <c r="Q19" s="102">
        <f t="shared" si="4"/>
        <v>1007.1</v>
      </c>
    </row>
    <row r="20" spans="1:17">
      <c r="A20" s="102">
        <v>1975</v>
      </c>
      <c r="B20" s="102">
        <v>25.3</v>
      </c>
      <c r="C20" s="102">
        <v>13.2</v>
      </c>
      <c r="D20" s="102">
        <v>20.6</v>
      </c>
      <c r="E20" s="102">
        <v>160</v>
      </c>
      <c r="F20" s="102">
        <v>247.9</v>
      </c>
      <c r="G20" s="102">
        <v>110</v>
      </c>
      <c r="H20" s="102">
        <v>56.8</v>
      </c>
      <c r="I20" s="102">
        <v>124.8</v>
      </c>
      <c r="J20" s="102">
        <v>78.900000000000006</v>
      </c>
      <c r="K20" s="102">
        <v>25.2</v>
      </c>
      <c r="L20" s="102">
        <v>95.3</v>
      </c>
      <c r="M20" s="102">
        <v>2.4</v>
      </c>
      <c r="N20" s="102">
        <f t="shared" si="1"/>
        <v>219.1</v>
      </c>
      <c r="O20" s="102">
        <f t="shared" si="2"/>
        <v>618.4</v>
      </c>
      <c r="P20" s="102">
        <f t="shared" si="3"/>
        <v>122.9</v>
      </c>
      <c r="Q20" s="102">
        <f t="shared" si="4"/>
        <v>960.39999999999986</v>
      </c>
    </row>
    <row r="21" spans="1:17">
      <c r="A21" s="102">
        <v>1976</v>
      </c>
      <c r="B21" s="102">
        <v>48.3</v>
      </c>
      <c r="C21" s="102">
        <v>14.6</v>
      </c>
      <c r="D21" s="102">
        <v>40.700000000000003</v>
      </c>
      <c r="E21" s="102">
        <v>149.1</v>
      </c>
      <c r="F21" s="102">
        <v>165.9</v>
      </c>
      <c r="G21" s="102">
        <v>201.9</v>
      </c>
      <c r="H21" s="102">
        <v>167.3</v>
      </c>
      <c r="I21" s="102">
        <v>151.80000000000001</v>
      </c>
      <c r="J21" s="102">
        <v>31.1</v>
      </c>
      <c r="K21" s="102">
        <v>115.7</v>
      </c>
      <c r="L21" s="102">
        <v>71.8</v>
      </c>
      <c r="M21" s="102">
        <v>20.2</v>
      </c>
      <c r="N21" s="102">
        <f t="shared" si="1"/>
        <v>252.7</v>
      </c>
      <c r="O21" s="102">
        <f t="shared" si="2"/>
        <v>718.00000000000011</v>
      </c>
      <c r="P21" s="102">
        <f t="shared" si="3"/>
        <v>207.7</v>
      </c>
      <c r="Q21" s="102">
        <f t="shared" si="4"/>
        <v>1178.3999999999999</v>
      </c>
    </row>
    <row r="22" spans="1:17">
      <c r="A22" s="102">
        <v>1977</v>
      </c>
      <c r="B22" s="102">
        <v>24.8</v>
      </c>
      <c r="C22" s="102">
        <v>28.2</v>
      </c>
      <c r="D22" s="102">
        <v>58.1</v>
      </c>
      <c r="E22" s="102">
        <v>150</v>
      </c>
      <c r="F22" s="102">
        <v>237.9</v>
      </c>
      <c r="G22" s="102">
        <v>150.5</v>
      </c>
      <c r="H22" s="102">
        <v>133.19999999999999</v>
      </c>
      <c r="I22" s="102">
        <v>77.7</v>
      </c>
      <c r="J22" s="102">
        <v>76.5</v>
      </c>
      <c r="K22" s="102">
        <v>161.1</v>
      </c>
      <c r="L22" s="102">
        <v>49.1</v>
      </c>
      <c r="M22" s="102">
        <v>13.8</v>
      </c>
      <c r="N22" s="102">
        <f t="shared" si="1"/>
        <v>261.10000000000002</v>
      </c>
      <c r="O22" s="102">
        <f t="shared" si="2"/>
        <v>675.8</v>
      </c>
      <c r="P22" s="102">
        <f t="shared" si="3"/>
        <v>224</v>
      </c>
      <c r="Q22" s="102">
        <f t="shared" si="4"/>
        <v>1160.8999999999999</v>
      </c>
    </row>
    <row r="23" spans="1:17">
      <c r="A23" s="102">
        <v>1978</v>
      </c>
      <c r="B23" s="102">
        <v>41.2</v>
      </c>
      <c r="C23" s="102">
        <v>4.5999999999999996</v>
      </c>
      <c r="D23" s="102">
        <v>41</v>
      </c>
      <c r="E23" s="102">
        <v>45.7</v>
      </c>
      <c r="F23" s="102">
        <v>254.4</v>
      </c>
      <c r="G23" s="102">
        <v>215.8</v>
      </c>
      <c r="H23" s="102">
        <v>37.6</v>
      </c>
      <c r="I23" s="102">
        <v>61.9</v>
      </c>
      <c r="J23" s="102">
        <v>99.9</v>
      </c>
      <c r="K23" s="102">
        <v>88.7</v>
      </c>
      <c r="L23" s="102">
        <v>113.5</v>
      </c>
      <c r="M23" s="102">
        <v>7.9</v>
      </c>
      <c r="N23" s="102">
        <f t="shared" si="1"/>
        <v>132.5</v>
      </c>
      <c r="O23" s="102">
        <f t="shared" si="2"/>
        <v>669.6</v>
      </c>
      <c r="P23" s="102">
        <f t="shared" si="3"/>
        <v>210.1</v>
      </c>
      <c r="Q23" s="102">
        <f t="shared" si="4"/>
        <v>1012.2</v>
      </c>
    </row>
    <row r="24" spans="1:17">
      <c r="A24" s="102">
        <v>1979</v>
      </c>
      <c r="B24" s="102">
        <v>12.6</v>
      </c>
      <c r="C24" s="102">
        <v>47.6</v>
      </c>
      <c r="D24" s="102">
        <v>51.5</v>
      </c>
      <c r="E24" s="102">
        <v>58.3</v>
      </c>
      <c r="F24" s="102">
        <v>94.9</v>
      </c>
      <c r="G24" s="102">
        <v>287.3</v>
      </c>
      <c r="H24" s="102">
        <v>127.3</v>
      </c>
      <c r="I24" s="102">
        <v>72.099999999999994</v>
      </c>
      <c r="J24" s="102">
        <v>57.5</v>
      </c>
      <c r="K24" s="102">
        <v>52.9</v>
      </c>
      <c r="L24" s="102">
        <v>11.3</v>
      </c>
      <c r="M24" s="102">
        <v>19.7</v>
      </c>
      <c r="N24" s="102">
        <f t="shared" si="1"/>
        <v>170</v>
      </c>
      <c r="O24" s="102">
        <f t="shared" si="2"/>
        <v>639.1</v>
      </c>
      <c r="P24" s="102">
        <f t="shared" si="3"/>
        <v>83.9</v>
      </c>
      <c r="Q24" s="102">
        <f t="shared" si="4"/>
        <v>893</v>
      </c>
    </row>
    <row r="25" spans="1:17">
      <c r="A25" s="102">
        <v>1980</v>
      </c>
      <c r="B25" s="102">
        <v>45.7</v>
      </c>
      <c r="C25" s="102">
        <v>34.700000000000003</v>
      </c>
      <c r="D25" s="102">
        <v>54.5</v>
      </c>
      <c r="E25" s="102">
        <v>102.9</v>
      </c>
      <c r="F25" s="102">
        <v>212.1</v>
      </c>
      <c r="G25" s="102">
        <v>97.5</v>
      </c>
      <c r="H25" s="102">
        <v>219.8</v>
      </c>
      <c r="I25" s="102">
        <v>118.6</v>
      </c>
      <c r="J25" s="102">
        <v>17.2</v>
      </c>
      <c r="K25" s="102">
        <v>116.2</v>
      </c>
      <c r="L25" s="102">
        <v>49.4</v>
      </c>
      <c r="M25" s="102">
        <v>23.1</v>
      </c>
      <c r="N25" s="102">
        <f t="shared" si="1"/>
        <v>237.8</v>
      </c>
      <c r="O25" s="102">
        <f t="shared" si="2"/>
        <v>665.20000000000016</v>
      </c>
      <c r="P25" s="102">
        <f t="shared" si="3"/>
        <v>188.7</v>
      </c>
      <c r="Q25" s="102">
        <f t="shared" si="4"/>
        <v>1091.7</v>
      </c>
    </row>
    <row r="26" spans="1:17">
      <c r="A26" s="102">
        <v>1981</v>
      </c>
      <c r="B26" s="102">
        <v>43.8</v>
      </c>
      <c r="C26" s="102">
        <v>25.8</v>
      </c>
      <c r="D26" s="102">
        <v>44.7</v>
      </c>
      <c r="E26" s="102">
        <v>122</v>
      </c>
      <c r="F26" s="102">
        <v>271.39999999999998</v>
      </c>
      <c r="G26" s="102">
        <v>138.4</v>
      </c>
      <c r="H26" s="102">
        <v>49.2</v>
      </c>
      <c r="I26" s="102">
        <v>63.5</v>
      </c>
      <c r="J26" s="102">
        <v>75.3</v>
      </c>
      <c r="K26" s="102">
        <v>93.1</v>
      </c>
      <c r="L26" s="102">
        <v>92</v>
      </c>
      <c r="M26" s="102">
        <v>0.2</v>
      </c>
      <c r="N26" s="102">
        <f t="shared" si="1"/>
        <v>236.3</v>
      </c>
      <c r="O26" s="102">
        <f t="shared" si="2"/>
        <v>597.79999999999995</v>
      </c>
      <c r="P26" s="102">
        <f t="shared" si="3"/>
        <v>185.29999999999998</v>
      </c>
      <c r="Q26" s="102">
        <f t="shared" si="4"/>
        <v>1019.4000000000001</v>
      </c>
    </row>
    <row r="27" spans="1:17">
      <c r="A27" s="102">
        <v>1982</v>
      </c>
      <c r="B27" s="102">
        <v>24.2</v>
      </c>
      <c r="C27" s="102">
        <v>74.7</v>
      </c>
      <c r="D27" s="102">
        <v>45.1</v>
      </c>
      <c r="E27" s="102">
        <v>84.8</v>
      </c>
      <c r="F27" s="102">
        <v>144.1</v>
      </c>
      <c r="G27" s="102">
        <v>188.3</v>
      </c>
      <c r="H27" s="102">
        <v>62.9</v>
      </c>
      <c r="I27" s="102">
        <v>125.5</v>
      </c>
      <c r="J27" s="102">
        <v>183.9</v>
      </c>
      <c r="K27" s="102">
        <v>85</v>
      </c>
      <c r="L27" s="102">
        <v>90.5</v>
      </c>
      <c r="M27" s="102">
        <v>20</v>
      </c>
      <c r="N27" s="102">
        <f t="shared" si="1"/>
        <v>228.8</v>
      </c>
      <c r="O27" s="102">
        <f t="shared" si="2"/>
        <v>704.69999999999993</v>
      </c>
      <c r="P27" s="102">
        <f t="shared" si="3"/>
        <v>195.5</v>
      </c>
      <c r="Q27" s="102">
        <f t="shared" si="4"/>
        <v>1129</v>
      </c>
    </row>
    <row r="28" spans="1:17">
      <c r="A28" s="102">
        <v>1983</v>
      </c>
      <c r="B28" s="102">
        <v>83.7</v>
      </c>
      <c r="C28" s="102">
        <v>49.4</v>
      </c>
      <c r="D28" s="102">
        <v>32.4</v>
      </c>
      <c r="E28" s="102">
        <v>113.2</v>
      </c>
      <c r="F28" s="102">
        <v>98.8</v>
      </c>
      <c r="G28" s="102">
        <v>171.1</v>
      </c>
      <c r="H28" s="102">
        <v>53.3</v>
      </c>
      <c r="I28" s="102">
        <v>81.8</v>
      </c>
      <c r="J28" s="102">
        <v>131.30000000000001</v>
      </c>
      <c r="K28" s="102">
        <v>81.5</v>
      </c>
      <c r="L28" s="102">
        <v>51.6</v>
      </c>
      <c r="M28" s="102">
        <v>37.5</v>
      </c>
      <c r="N28" s="102">
        <f t="shared" si="1"/>
        <v>278.7</v>
      </c>
      <c r="O28" s="102">
        <f t="shared" si="2"/>
        <v>536.29999999999995</v>
      </c>
      <c r="P28" s="102">
        <f t="shared" si="3"/>
        <v>170.6</v>
      </c>
      <c r="Q28" s="102">
        <f t="shared" si="4"/>
        <v>985.6</v>
      </c>
    </row>
    <row r="29" spans="1:17">
      <c r="A29" s="102">
        <v>1984</v>
      </c>
      <c r="B29" s="102">
        <v>19.399999999999999</v>
      </c>
      <c r="C29" s="102">
        <v>12.2</v>
      </c>
      <c r="D29" s="102">
        <v>42.3</v>
      </c>
      <c r="E29" s="102">
        <v>118.2</v>
      </c>
      <c r="F29" s="102">
        <v>239.3</v>
      </c>
      <c r="G29" s="102">
        <v>110.1</v>
      </c>
      <c r="H29" s="102">
        <v>83.2</v>
      </c>
      <c r="I29" s="102">
        <v>135.80000000000001</v>
      </c>
      <c r="J29" s="102">
        <v>55.3</v>
      </c>
      <c r="K29" s="102">
        <v>72.099999999999994</v>
      </c>
      <c r="L29" s="102">
        <v>38.700000000000003</v>
      </c>
      <c r="M29" s="102">
        <v>43.6</v>
      </c>
      <c r="N29" s="102">
        <f t="shared" si="1"/>
        <v>192.1</v>
      </c>
      <c r="O29" s="102">
        <f t="shared" si="2"/>
        <v>623.69999999999993</v>
      </c>
      <c r="P29" s="102">
        <f t="shared" si="3"/>
        <v>154.4</v>
      </c>
      <c r="Q29" s="102">
        <f t="shared" si="4"/>
        <v>970.2</v>
      </c>
    </row>
    <row r="30" spans="1:17">
      <c r="A30" s="102">
        <v>1985</v>
      </c>
      <c r="B30" s="102">
        <v>9.6</v>
      </c>
      <c r="C30" s="102">
        <v>38.6</v>
      </c>
      <c r="D30" s="102">
        <v>55.2</v>
      </c>
      <c r="E30" s="102">
        <v>58.7</v>
      </c>
      <c r="F30" s="102">
        <v>133.6</v>
      </c>
      <c r="G30" s="102">
        <v>62.6</v>
      </c>
      <c r="H30" s="102">
        <v>83.7</v>
      </c>
      <c r="I30" s="102">
        <v>154</v>
      </c>
      <c r="J30" s="102">
        <v>44.4</v>
      </c>
      <c r="K30" s="102">
        <v>50.1</v>
      </c>
      <c r="L30" s="102">
        <v>80.8</v>
      </c>
      <c r="M30" s="102">
        <v>21.9</v>
      </c>
      <c r="N30" s="102">
        <f t="shared" si="1"/>
        <v>162.10000000000002</v>
      </c>
      <c r="O30" s="102">
        <f t="shared" si="2"/>
        <v>478.29999999999995</v>
      </c>
      <c r="P30" s="102">
        <f t="shared" si="3"/>
        <v>152.80000000000001</v>
      </c>
      <c r="Q30" s="102">
        <f t="shared" si="4"/>
        <v>793.19999999999993</v>
      </c>
    </row>
    <row r="31" spans="1:17">
      <c r="A31" s="102">
        <v>1986</v>
      </c>
      <c r="B31" s="102">
        <v>24.3</v>
      </c>
      <c r="C31" s="102">
        <v>17.5</v>
      </c>
      <c r="D31" s="102">
        <v>60.8</v>
      </c>
      <c r="E31" s="102">
        <v>48.7</v>
      </c>
      <c r="F31" s="102">
        <v>97</v>
      </c>
      <c r="G31" s="102">
        <v>176.2</v>
      </c>
      <c r="H31" s="102">
        <v>202.6</v>
      </c>
      <c r="I31" s="102">
        <v>45.6</v>
      </c>
      <c r="J31" s="102">
        <v>57.3</v>
      </c>
      <c r="K31" s="102">
        <v>69.599999999999994</v>
      </c>
      <c r="L31" s="102">
        <v>25</v>
      </c>
      <c r="M31" s="102">
        <v>2.2999999999999998</v>
      </c>
      <c r="N31" s="102">
        <f t="shared" si="1"/>
        <v>151.30000000000001</v>
      </c>
      <c r="O31" s="102">
        <f t="shared" si="2"/>
        <v>578.69999999999993</v>
      </c>
      <c r="P31" s="102">
        <f t="shared" si="3"/>
        <v>96.899999999999991</v>
      </c>
      <c r="Q31" s="102">
        <f t="shared" si="4"/>
        <v>826.9</v>
      </c>
    </row>
    <row r="32" spans="1:17">
      <c r="A32" s="102">
        <v>1987</v>
      </c>
      <c r="B32" s="102">
        <v>30.3</v>
      </c>
      <c r="C32" s="102">
        <v>24.9</v>
      </c>
      <c r="D32" s="102">
        <v>52.6</v>
      </c>
      <c r="E32" s="102">
        <v>48.5</v>
      </c>
      <c r="F32" s="102">
        <v>190.6</v>
      </c>
      <c r="G32" s="102">
        <v>220</v>
      </c>
      <c r="H32" s="102">
        <v>85.1</v>
      </c>
      <c r="I32" s="102">
        <v>56.8</v>
      </c>
      <c r="J32" s="102">
        <v>108</v>
      </c>
      <c r="K32" s="102">
        <v>110.9</v>
      </c>
      <c r="L32" s="102">
        <v>85.1</v>
      </c>
      <c r="M32" s="102">
        <v>6.9</v>
      </c>
      <c r="N32" s="102">
        <f t="shared" si="1"/>
        <v>156.30000000000001</v>
      </c>
      <c r="O32" s="102">
        <f t="shared" si="2"/>
        <v>660.5</v>
      </c>
      <c r="P32" s="102">
        <f t="shared" si="3"/>
        <v>202.9</v>
      </c>
      <c r="Q32" s="102">
        <f t="shared" si="4"/>
        <v>1019.6999999999999</v>
      </c>
    </row>
    <row r="33" spans="1:17">
      <c r="A33" s="102">
        <v>1988</v>
      </c>
      <c r="B33" s="102">
        <v>30.5</v>
      </c>
      <c r="C33" s="102">
        <v>33.299999999999997</v>
      </c>
      <c r="D33" s="102">
        <v>25.7</v>
      </c>
      <c r="E33" s="102">
        <v>45.1</v>
      </c>
      <c r="F33" s="102">
        <v>86.9</v>
      </c>
      <c r="G33" s="102">
        <v>182.6</v>
      </c>
      <c r="H33" s="102">
        <v>64.8</v>
      </c>
      <c r="I33" s="102">
        <v>244</v>
      </c>
      <c r="J33" s="102">
        <v>226.6</v>
      </c>
      <c r="K33" s="102">
        <v>53.1</v>
      </c>
      <c r="L33" s="102">
        <v>2.8</v>
      </c>
      <c r="M33" s="102">
        <v>13.5</v>
      </c>
      <c r="N33" s="102">
        <f t="shared" si="1"/>
        <v>134.6</v>
      </c>
      <c r="O33" s="102">
        <f t="shared" si="2"/>
        <v>804.9</v>
      </c>
      <c r="P33" s="102">
        <f t="shared" si="3"/>
        <v>69.400000000000006</v>
      </c>
      <c r="Q33" s="102">
        <f t="shared" si="4"/>
        <v>1008.9000000000001</v>
      </c>
    </row>
    <row r="34" spans="1:17">
      <c r="A34" s="102">
        <v>1989</v>
      </c>
      <c r="B34" s="102">
        <v>23</v>
      </c>
      <c r="C34" s="102">
        <v>28.7</v>
      </c>
      <c r="D34" s="102">
        <v>55.2</v>
      </c>
      <c r="E34" s="102">
        <v>109</v>
      </c>
      <c r="F34" s="102">
        <v>73.8</v>
      </c>
      <c r="G34" s="102">
        <v>182.7</v>
      </c>
      <c r="H34" s="102">
        <v>73.900000000000006</v>
      </c>
      <c r="I34" s="102">
        <v>62.1</v>
      </c>
      <c r="J34" s="102">
        <v>96.7</v>
      </c>
      <c r="K34" s="102">
        <v>51</v>
      </c>
      <c r="L34" s="102">
        <v>35.6</v>
      </c>
      <c r="M34" s="102">
        <v>27.5</v>
      </c>
      <c r="N34" s="102">
        <f t="shared" si="1"/>
        <v>215.9</v>
      </c>
      <c r="O34" s="102">
        <f t="shared" si="2"/>
        <v>489.2</v>
      </c>
      <c r="P34" s="102">
        <f t="shared" si="3"/>
        <v>114.1</v>
      </c>
      <c r="Q34" s="102">
        <f t="shared" si="4"/>
        <v>819.2</v>
      </c>
    </row>
    <row r="35" spans="1:17">
      <c r="A35" s="102">
        <v>1990</v>
      </c>
      <c r="B35" s="102">
        <v>37.700000000000003</v>
      </c>
      <c r="C35" s="102">
        <v>28.6</v>
      </c>
      <c r="D35" s="102">
        <v>98.1</v>
      </c>
      <c r="E35" s="102">
        <v>88.7</v>
      </c>
      <c r="F35" s="102">
        <v>169.2</v>
      </c>
      <c r="G35" s="102">
        <v>182.5</v>
      </c>
      <c r="H35" s="102">
        <v>80.3</v>
      </c>
      <c r="I35" s="102">
        <v>23.4</v>
      </c>
      <c r="J35" s="102">
        <v>153.5</v>
      </c>
      <c r="K35" s="102">
        <v>118.4</v>
      </c>
      <c r="L35" s="102">
        <v>35.1</v>
      </c>
      <c r="M35" s="102">
        <v>16.399999999999999</v>
      </c>
      <c r="N35" s="102">
        <f t="shared" si="1"/>
        <v>253.10000000000002</v>
      </c>
      <c r="O35" s="102">
        <f t="shared" si="2"/>
        <v>608.9</v>
      </c>
      <c r="P35" s="102">
        <f t="shared" si="3"/>
        <v>169.9</v>
      </c>
      <c r="Q35" s="102">
        <f t="shared" si="4"/>
        <v>1031.8999999999999</v>
      </c>
    </row>
    <row r="36" spans="1:17">
      <c r="A36" s="102">
        <v>1991</v>
      </c>
      <c r="B36" s="102">
        <v>75.2</v>
      </c>
      <c r="C36" s="102">
        <v>48.5</v>
      </c>
      <c r="D36" s="102">
        <v>93.2</v>
      </c>
      <c r="E36" s="102">
        <v>72.2</v>
      </c>
      <c r="F36" s="102">
        <v>103.3</v>
      </c>
      <c r="G36" s="102">
        <v>143.9</v>
      </c>
      <c r="H36" s="102">
        <v>370.5</v>
      </c>
      <c r="I36" s="102">
        <v>110.8</v>
      </c>
      <c r="J36" s="102">
        <v>40</v>
      </c>
      <c r="K36" s="102">
        <v>70.8</v>
      </c>
      <c r="L36" s="102">
        <v>87.8</v>
      </c>
      <c r="M36" s="102">
        <v>20.5</v>
      </c>
      <c r="N36" s="102">
        <f t="shared" si="1"/>
        <v>289.10000000000002</v>
      </c>
      <c r="O36" s="102">
        <f t="shared" si="2"/>
        <v>768.5</v>
      </c>
      <c r="P36" s="102">
        <f t="shared" si="3"/>
        <v>179.1</v>
      </c>
      <c r="Q36" s="102">
        <f t="shared" si="4"/>
        <v>1236.6999999999998</v>
      </c>
    </row>
    <row r="37" spans="1:17">
      <c r="A37" s="102">
        <v>1992</v>
      </c>
      <c r="B37" s="102">
        <v>21.3</v>
      </c>
      <c r="C37" s="102">
        <v>46.5</v>
      </c>
      <c r="D37" s="102">
        <v>122.2</v>
      </c>
      <c r="E37" s="102">
        <v>154</v>
      </c>
      <c r="F37" s="102">
        <v>205.9</v>
      </c>
      <c r="G37" s="102">
        <v>200.3</v>
      </c>
      <c r="H37" s="102">
        <v>102.9</v>
      </c>
      <c r="I37" s="102">
        <v>25.9</v>
      </c>
      <c r="J37" s="102">
        <v>127.6</v>
      </c>
      <c r="K37" s="102">
        <v>33.4</v>
      </c>
      <c r="L37" s="102">
        <v>8.4</v>
      </c>
      <c r="M37" s="102">
        <v>39</v>
      </c>
      <c r="N37" s="102">
        <f t="shared" si="1"/>
        <v>344</v>
      </c>
      <c r="O37" s="102">
        <f t="shared" si="2"/>
        <v>662.6</v>
      </c>
      <c r="P37" s="102">
        <f t="shared" si="3"/>
        <v>80.8</v>
      </c>
      <c r="Q37" s="102">
        <f t="shared" si="4"/>
        <v>1087.4000000000001</v>
      </c>
    </row>
    <row r="38" spans="1:17">
      <c r="A38" s="102">
        <v>1993</v>
      </c>
      <c r="B38" s="102">
        <v>43.2</v>
      </c>
      <c r="C38" s="102">
        <v>47.7</v>
      </c>
      <c r="D38" s="102">
        <v>23.1</v>
      </c>
      <c r="E38" s="102">
        <v>47.8</v>
      </c>
      <c r="F38" s="102">
        <v>224</v>
      </c>
      <c r="G38" s="102">
        <v>138.6</v>
      </c>
      <c r="H38" s="102">
        <v>257.60000000000002</v>
      </c>
      <c r="I38" s="102">
        <v>114.7</v>
      </c>
      <c r="J38" s="102">
        <v>61.9</v>
      </c>
      <c r="K38" s="102">
        <v>66.900000000000006</v>
      </c>
      <c r="L38" s="102">
        <v>30.9</v>
      </c>
      <c r="M38" s="102">
        <v>26.3</v>
      </c>
      <c r="N38" s="102">
        <f t="shared" si="1"/>
        <v>161.80000000000001</v>
      </c>
      <c r="O38" s="102">
        <f t="shared" si="2"/>
        <v>796.80000000000007</v>
      </c>
      <c r="P38" s="102">
        <f t="shared" si="3"/>
        <v>124.10000000000001</v>
      </c>
      <c r="Q38" s="102">
        <f t="shared" si="4"/>
        <v>1082.7</v>
      </c>
    </row>
    <row r="39" spans="1:17">
      <c r="A39" s="102">
        <v>1994</v>
      </c>
      <c r="B39" s="102">
        <v>14.1</v>
      </c>
      <c r="C39" s="102">
        <v>50.1</v>
      </c>
      <c r="D39" s="102">
        <v>70.8</v>
      </c>
      <c r="E39" s="102">
        <v>145.4</v>
      </c>
      <c r="F39" s="102">
        <v>164.8</v>
      </c>
      <c r="G39" s="102">
        <v>74.2</v>
      </c>
      <c r="H39" s="102">
        <v>160.4</v>
      </c>
      <c r="I39" s="102">
        <v>95.4</v>
      </c>
      <c r="J39" s="102">
        <v>165.9</v>
      </c>
      <c r="K39" s="102">
        <v>229.6</v>
      </c>
      <c r="L39" s="102">
        <v>66.599999999999994</v>
      </c>
      <c r="M39" s="102">
        <v>35.9</v>
      </c>
      <c r="N39" s="102">
        <f t="shared" si="1"/>
        <v>280.39999999999998</v>
      </c>
      <c r="O39" s="102">
        <f t="shared" si="2"/>
        <v>660.69999999999993</v>
      </c>
      <c r="P39" s="102">
        <f t="shared" si="3"/>
        <v>332.09999999999997</v>
      </c>
      <c r="Q39" s="102">
        <f t="shared" si="4"/>
        <v>1273.1999999999998</v>
      </c>
    </row>
    <row r="40" spans="1:17">
      <c r="A40" s="102">
        <v>1995</v>
      </c>
      <c r="B40" s="102">
        <v>29.2</v>
      </c>
      <c r="C40" s="102">
        <v>55.6</v>
      </c>
      <c r="D40" s="102">
        <v>44.1</v>
      </c>
      <c r="E40" s="102">
        <v>88</v>
      </c>
      <c r="F40" s="102">
        <v>218</v>
      </c>
      <c r="G40" s="102">
        <v>385.9</v>
      </c>
      <c r="H40" s="102">
        <v>37.4</v>
      </c>
      <c r="I40" s="102">
        <v>84.7</v>
      </c>
      <c r="J40" s="102">
        <v>58.9</v>
      </c>
      <c r="K40" s="102">
        <v>40.6</v>
      </c>
      <c r="L40" s="102">
        <v>43.4</v>
      </c>
      <c r="M40" s="102">
        <v>9.5</v>
      </c>
      <c r="N40" s="102">
        <f t="shared" si="1"/>
        <v>216.9</v>
      </c>
      <c r="O40" s="102">
        <f t="shared" si="2"/>
        <v>784.9</v>
      </c>
      <c r="P40" s="102">
        <f t="shared" si="3"/>
        <v>93.5</v>
      </c>
      <c r="Q40" s="102">
        <f t="shared" si="4"/>
        <v>1095.3</v>
      </c>
    </row>
    <row r="41" spans="1:17">
      <c r="A41" s="102">
        <v>1996</v>
      </c>
      <c r="B41" s="102">
        <v>23.8</v>
      </c>
      <c r="C41" s="102">
        <v>5.5</v>
      </c>
      <c r="D41" s="102">
        <v>92.6</v>
      </c>
      <c r="E41" s="102">
        <v>109.3</v>
      </c>
      <c r="F41" s="102">
        <v>115.3</v>
      </c>
      <c r="G41" s="102">
        <v>214.2</v>
      </c>
      <c r="H41" s="102">
        <v>327.2</v>
      </c>
      <c r="I41" s="102">
        <v>110.3</v>
      </c>
      <c r="J41" s="102">
        <v>0.8</v>
      </c>
      <c r="K41" s="102">
        <v>66.900000000000006</v>
      </c>
      <c r="L41" s="102">
        <v>31.1</v>
      </c>
      <c r="M41" s="102">
        <v>28.3</v>
      </c>
      <c r="N41" s="102">
        <f t="shared" si="1"/>
        <v>231.2</v>
      </c>
      <c r="O41" s="102">
        <f t="shared" si="2"/>
        <v>767.8</v>
      </c>
      <c r="P41" s="102">
        <f t="shared" si="3"/>
        <v>126.3</v>
      </c>
      <c r="Q41" s="102">
        <f t="shared" si="4"/>
        <v>1125.3</v>
      </c>
    </row>
    <row r="42" spans="1:17">
      <c r="A42" s="102">
        <v>1997</v>
      </c>
      <c r="B42" s="102">
        <v>58.2</v>
      </c>
      <c r="C42" s="102">
        <v>51.2</v>
      </c>
      <c r="D42" s="102">
        <v>86.7</v>
      </c>
      <c r="E42" s="102">
        <v>128.6</v>
      </c>
      <c r="F42" s="102">
        <v>222.9</v>
      </c>
      <c r="G42" s="102">
        <v>236.6</v>
      </c>
      <c r="H42" s="102">
        <v>165.8</v>
      </c>
      <c r="I42" s="102">
        <v>14.8</v>
      </c>
      <c r="J42" s="102">
        <v>146</v>
      </c>
      <c r="K42" s="102">
        <v>159.4</v>
      </c>
      <c r="L42" s="102">
        <v>46.4</v>
      </c>
      <c r="M42" s="102">
        <v>46.2</v>
      </c>
      <c r="N42" s="102">
        <f t="shared" si="1"/>
        <v>324.70000000000005</v>
      </c>
      <c r="O42" s="102">
        <f t="shared" si="2"/>
        <v>786.09999999999991</v>
      </c>
      <c r="P42" s="102">
        <f t="shared" si="3"/>
        <v>252</v>
      </c>
      <c r="Q42" s="102">
        <f t="shared" si="4"/>
        <v>1362.8000000000002</v>
      </c>
    </row>
    <row r="43" spans="1:17">
      <c r="A43" s="102">
        <v>1998</v>
      </c>
      <c r="B43" s="102">
        <v>47.3</v>
      </c>
      <c r="C43" s="102">
        <v>32.799999999999997</v>
      </c>
      <c r="D43" s="102">
        <v>38.4</v>
      </c>
      <c r="E43" s="102">
        <v>125.2</v>
      </c>
      <c r="F43" s="102">
        <v>200.2</v>
      </c>
      <c r="G43" s="102">
        <v>274.60000000000002</v>
      </c>
      <c r="H43" s="102">
        <v>146.5</v>
      </c>
      <c r="I43" s="102">
        <v>124</v>
      </c>
      <c r="J43" s="102">
        <v>21.1</v>
      </c>
      <c r="K43" s="102">
        <v>107.8</v>
      </c>
      <c r="L43" s="102">
        <v>22.7</v>
      </c>
      <c r="M43" s="102">
        <v>23.7</v>
      </c>
      <c r="N43" s="102">
        <f t="shared" si="1"/>
        <v>243.7</v>
      </c>
      <c r="O43" s="102">
        <f t="shared" si="2"/>
        <v>766.4</v>
      </c>
      <c r="P43" s="102">
        <f t="shared" si="3"/>
        <v>154.19999999999999</v>
      </c>
      <c r="Q43" s="102">
        <f t="shared" si="4"/>
        <v>1164.3000000000002</v>
      </c>
    </row>
    <row r="44" spans="1:17">
      <c r="A44" s="102">
        <v>1999</v>
      </c>
      <c r="B44" s="102">
        <v>24.1</v>
      </c>
      <c r="C44" s="102">
        <v>16.399999999999999</v>
      </c>
      <c r="D44" s="102">
        <v>59.9</v>
      </c>
      <c r="E44" s="102">
        <v>105.4</v>
      </c>
      <c r="F44" s="102">
        <v>156.69999999999999</v>
      </c>
      <c r="G44" s="102">
        <v>133.6</v>
      </c>
      <c r="H44" s="102">
        <v>191.8</v>
      </c>
      <c r="I44" s="102">
        <v>188.5</v>
      </c>
      <c r="J44" s="102">
        <v>185</v>
      </c>
      <c r="K44" s="102">
        <v>60.6</v>
      </c>
      <c r="L44" s="102">
        <v>63</v>
      </c>
      <c r="M44" s="102">
        <v>1.5</v>
      </c>
      <c r="N44" s="102">
        <f t="shared" si="1"/>
        <v>205.8</v>
      </c>
      <c r="O44" s="102">
        <f t="shared" si="2"/>
        <v>855.59999999999991</v>
      </c>
      <c r="P44" s="102">
        <f t="shared" si="3"/>
        <v>125.1</v>
      </c>
      <c r="Q44" s="102">
        <f t="shared" si="4"/>
        <v>1186.5</v>
      </c>
    </row>
    <row r="45" spans="1:17">
      <c r="A45" s="102">
        <v>2000</v>
      </c>
      <c r="B45" s="102">
        <v>21</v>
      </c>
      <c r="C45" s="102">
        <v>21.4</v>
      </c>
      <c r="D45" s="102">
        <v>111.9</v>
      </c>
      <c r="E45" s="102">
        <v>90.2</v>
      </c>
      <c r="F45" s="102">
        <v>138</v>
      </c>
      <c r="G45" s="102">
        <v>264.60000000000002</v>
      </c>
      <c r="H45" s="102">
        <v>34.4</v>
      </c>
      <c r="I45" s="102">
        <v>148.80000000000001</v>
      </c>
      <c r="J45" s="102">
        <v>118.1</v>
      </c>
      <c r="K45" s="102">
        <v>72.599999999999994</v>
      </c>
      <c r="L45" s="102">
        <v>41.5</v>
      </c>
      <c r="M45" s="102">
        <v>8</v>
      </c>
      <c r="N45" s="102">
        <f t="shared" si="1"/>
        <v>244.5</v>
      </c>
      <c r="O45" s="102">
        <f t="shared" si="2"/>
        <v>703.9</v>
      </c>
      <c r="P45" s="102">
        <f t="shared" si="3"/>
        <v>122.1</v>
      </c>
      <c r="Q45" s="102">
        <f t="shared" si="4"/>
        <v>1070.5</v>
      </c>
    </row>
    <row r="46" spans="1:17">
      <c r="A46" s="102">
        <v>2001</v>
      </c>
      <c r="B46" s="102">
        <v>33.799999999999997</v>
      </c>
      <c r="C46" s="102">
        <v>19</v>
      </c>
      <c r="D46" s="102">
        <v>47</v>
      </c>
      <c r="E46" s="102">
        <v>133</v>
      </c>
      <c r="F46" s="102">
        <v>99</v>
      </c>
      <c r="G46" s="102">
        <v>140.30000000000001</v>
      </c>
      <c r="H46" s="102">
        <v>197.2</v>
      </c>
      <c r="I46" s="102">
        <v>88.9</v>
      </c>
      <c r="J46" s="102">
        <v>4</v>
      </c>
      <c r="K46" s="102">
        <v>86.6</v>
      </c>
      <c r="L46" s="102">
        <v>57.3</v>
      </c>
      <c r="M46" s="102">
        <v>10.5</v>
      </c>
      <c r="N46" s="102">
        <f t="shared" si="1"/>
        <v>232.8</v>
      </c>
      <c r="O46" s="102">
        <f t="shared" si="2"/>
        <v>529.4</v>
      </c>
      <c r="P46" s="102">
        <f t="shared" si="3"/>
        <v>154.39999999999998</v>
      </c>
      <c r="Q46" s="102">
        <f t="shared" si="4"/>
        <v>916.59999999999991</v>
      </c>
    </row>
    <row r="47" spans="1:17">
      <c r="A47" s="102">
        <v>2002</v>
      </c>
      <c r="B47" s="102">
        <v>15.9</v>
      </c>
      <c r="C47" s="102">
        <v>39.4</v>
      </c>
      <c r="D47" s="102">
        <v>44.1</v>
      </c>
      <c r="E47" s="102">
        <v>127.7</v>
      </c>
      <c r="F47" s="102">
        <v>275.2</v>
      </c>
      <c r="G47" s="102">
        <v>143</v>
      </c>
      <c r="H47" s="102">
        <v>114.2</v>
      </c>
      <c r="I47" s="102">
        <v>164.6</v>
      </c>
      <c r="J47" s="102">
        <v>24.4</v>
      </c>
      <c r="K47" s="102">
        <v>97.4</v>
      </c>
      <c r="L47" s="102">
        <v>17.399999999999999</v>
      </c>
      <c r="M47" s="102">
        <v>70.2</v>
      </c>
      <c r="N47" s="102">
        <f t="shared" si="1"/>
        <v>227.10000000000002</v>
      </c>
      <c r="O47" s="102">
        <f t="shared" si="2"/>
        <v>721.4</v>
      </c>
      <c r="P47" s="102">
        <f t="shared" si="3"/>
        <v>185</v>
      </c>
      <c r="Q47" s="102">
        <f t="shared" si="4"/>
        <v>1133.5000000000002</v>
      </c>
    </row>
    <row r="48" spans="1:17">
      <c r="A48" s="102">
        <v>2003</v>
      </c>
      <c r="B48" s="102">
        <v>52.1</v>
      </c>
      <c r="C48" s="102">
        <v>17.7</v>
      </c>
      <c r="D48" s="102">
        <v>76.099999999999994</v>
      </c>
      <c r="E48" s="102">
        <v>164.9</v>
      </c>
      <c r="F48" s="102">
        <v>178.2</v>
      </c>
      <c r="G48" s="102">
        <v>186.2</v>
      </c>
      <c r="H48" s="102">
        <v>83.4</v>
      </c>
      <c r="I48" s="102">
        <v>25.5</v>
      </c>
      <c r="J48" s="102">
        <v>59.2</v>
      </c>
      <c r="K48" s="102">
        <v>57.1</v>
      </c>
      <c r="L48" s="102">
        <v>10.8</v>
      </c>
      <c r="M48" s="102">
        <v>27.4</v>
      </c>
      <c r="N48" s="102">
        <f t="shared" si="1"/>
        <v>310.79999999999995</v>
      </c>
      <c r="O48" s="102">
        <f t="shared" si="2"/>
        <v>532.5</v>
      </c>
      <c r="P48" s="102">
        <f t="shared" si="3"/>
        <v>95.300000000000011</v>
      </c>
      <c r="Q48" s="102">
        <f t="shared" si="4"/>
        <v>938.59999999999991</v>
      </c>
    </row>
    <row r="49" spans="1:33">
      <c r="A49" s="102">
        <v>2004</v>
      </c>
      <c r="B49" s="102">
        <v>37.299999999999997</v>
      </c>
      <c r="C49" s="102">
        <v>57</v>
      </c>
      <c r="D49" s="102">
        <v>54.8</v>
      </c>
      <c r="E49" s="102">
        <v>89.8</v>
      </c>
      <c r="F49" s="102">
        <v>148.6</v>
      </c>
      <c r="G49" s="102">
        <v>110.1</v>
      </c>
      <c r="H49" s="102">
        <v>371.8</v>
      </c>
      <c r="I49" s="102">
        <v>54.9</v>
      </c>
      <c r="J49" s="102">
        <v>55.1</v>
      </c>
      <c r="K49" s="102">
        <v>36.4</v>
      </c>
      <c r="L49" s="102">
        <v>56.3</v>
      </c>
      <c r="M49" s="102">
        <v>48.4</v>
      </c>
      <c r="N49" s="102">
        <f t="shared" si="1"/>
        <v>238.89999999999998</v>
      </c>
      <c r="O49" s="102">
        <f t="shared" si="2"/>
        <v>740.5</v>
      </c>
      <c r="P49" s="102">
        <f t="shared" si="3"/>
        <v>141.1</v>
      </c>
      <c r="Q49" s="102">
        <f t="shared" si="4"/>
        <v>1120.5000000000002</v>
      </c>
    </row>
    <row r="50" spans="1:33">
      <c r="A50" s="102">
        <v>2005</v>
      </c>
      <c r="B50" s="103">
        <v>50.2</v>
      </c>
      <c r="C50" s="103">
        <v>38.9</v>
      </c>
      <c r="D50" s="103">
        <v>51.5</v>
      </c>
      <c r="E50" s="103">
        <v>82</v>
      </c>
      <c r="F50" s="103">
        <v>138.30000000000001</v>
      </c>
      <c r="G50" s="103">
        <v>216.3</v>
      </c>
      <c r="H50" s="103">
        <v>96.5</v>
      </c>
      <c r="I50" s="103">
        <v>58.6</v>
      </c>
      <c r="J50" s="103">
        <v>10.8</v>
      </c>
      <c r="K50" s="102">
        <v>55.4</v>
      </c>
      <c r="L50" s="102">
        <v>43.8</v>
      </c>
      <c r="M50" s="102">
        <v>21.8</v>
      </c>
      <c r="N50" s="102">
        <f t="shared" si="1"/>
        <v>222.6</v>
      </c>
      <c r="O50" s="102">
        <f t="shared" si="2"/>
        <v>520.5</v>
      </c>
      <c r="P50" s="102">
        <f t="shared" si="3"/>
        <v>120.99999999999999</v>
      </c>
      <c r="Q50" s="102">
        <f t="shared" si="4"/>
        <v>864.09999999999991</v>
      </c>
    </row>
    <row r="51" spans="1:33">
      <c r="A51" s="102">
        <v>2006</v>
      </c>
      <c r="B51" s="102">
        <v>14.6</v>
      </c>
      <c r="C51" s="102">
        <v>62</v>
      </c>
      <c r="D51" s="102">
        <v>60.1</v>
      </c>
      <c r="E51" s="102">
        <v>163.80000000000001</v>
      </c>
      <c r="F51" s="102">
        <v>90.1</v>
      </c>
      <c r="G51" s="102">
        <v>119.7</v>
      </c>
      <c r="H51" s="102">
        <v>141.69999999999999</v>
      </c>
      <c r="I51" s="102">
        <v>67.2</v>
      </c>
      <c r="J51" s="102">
        <v>75.3</v>
      </c>
      <c r="K51" s="102">
        <v>111.3</v>
      </c>
      <c r="L51" s="102">
        <v>55.3</v>
      </c>
      <c r="M51" s="102">
        <v>19</v>
      </c>
      <c r="N51" s="102">
        <f t="shared" si="1"/>
        <v>300.5</v>
      </c>
      <c r="O51" s="102">
        <f t="shared" si="2"/>
        <v>494</v>
      </c>
      <c r="P51" s="102">
        <f t="shared" si="3"/>
        <v>185.6</v>
      </c>
      <c r="Q51" s="102">
        <f t="shared" si="4"/>
        <v>980.09999999999991</v>
      </c>
    </row>
    <row r="52" spans="1:33">
      <c r="A52" s="102">
        <v>2007</v>
      </c>
      <c r="B52" s="102">
        <v>34.700000000000003</v>
      </c>
      <c r="C52" s="102">
        <v>17.2</v>
      </c>
      <c r="D52" s="102">
        <v>56.4</v>
      </c>
      <c r="E52" s="102">
        <v>144.6</v>
      </c>
      <c r="F52" s="102">
        <v>109.1</v>
      </c>
      <c r="G52" s="102">
        <v>191.6</v>
      </c>
      <c r="H52" s="102">
        <v>237.2</v>
      </c>
      <c r="I52" s="102">
        <v>126.5</v>
      </c>
      <c r="J52" s="102">
        <v>76.3</v>
      </c>
      <c r="K52" s="102">
        <v>1.5</v>
      </c>
      <c r="L52" s="102">
        <v>0.4</v>
      </c>
      <c r="M52" s="102">
        <v>6.7</v>
      </c>
      <c r="N52" s="102">
        <f t="shared" si="1"/>
        <v>252.9</v>
      </c>
      <c r="O52" s="102">
        <f t="shared" si="2"/>
        <v>740.69999999999993</v>
      </c>
      <c r="P52" s="102">
        <f t="shared" si="3"/>
        <v>8.6</v>
      </c>
      <c r="Q52" s="102">
        <f t="shared" si="4"/>
        <v>1002.1999999999999</v>
      </c>
    </row>
    <row r="53" spans="1:33">
      <c r="A53" s="102">
        <v>2008</v>
      </c>
      <c r="B53" s="102">
        <v>22.6</v>
      </c>
      <c r="C53" s="102">
        <v>31.5</v>
      </c>
      <c r="D53" s="102">
        <v>103.8</v>
      </c>
      <c r="E53" s="102">
        <v>46</v>
      </c>
      <c r="F53" s="102">
        <v>128.69999999999999</v>
      </c>
      <c r="G53" s="102">
        <v>82.1</v>
      </c>
      <c r="H53" s="102">
        <v>199.3</v>
      </c>
      <c r="I53" s="102">
        <v>215.2</v>
      </c>
      <c r="J53" s="102">
        <v>15.6</v>
      </c>
      <c r="K53" s="102">
        <v>93.8</v>
      </c>
      <c r="L53" s="102">
        <v>148.30000000000001</v>
      </c>
      <c r="M53" s="102">
        <v>8.1999999999999993</v>
      </c>
      <c r="N53" s="102">
        <f t="shared" si="1"/>
        <v>203.9</v>
      </c>
      <c r="O53" s="102">
        <f t="shared" si="2"/>
        <v>640.9</v>
      </c>
      <c r="P53" s="102">
        <f t="shared" si="3"/>
        <v>250.3</v>
      </c>
      <c r="Q53" s="102">
        <f t="shared" si="4"/>
        <v>1095.1000000000001</v>
      </c>
    </row>
    <row r="54" spans="1:33">
      <c r="A54" s="102">
        <v>2009</v>
      </c>
      <c r="B54" s="102">
        <v>15.9</v>
      </c>
      <c r="C54" s="102">
        <v>47.7</v>
      </c>
      <c r="D54" s="102">
        <v>44</v>
      </c>
      <c r="E54" s="102">
        <v>208.5</v>
      </c>
      <c r="F54" s="102">
        <v>126.7</v>
      </c>
      <c r="G54" s="102">
        <v>184.1</v>
      </c>
      <c r="H54" s="102">
        <v>155</v>
      </c>
      <c r="I54" s="102">
        <v>26.8</v>
      </c>
      <c r="J54" s="102">
        <v>20.6</v>
      </c>
      <c r="K54" s="102">
        <v>26.9</v>
      </c>
      <c r="L54" s="102">
        <v>10.6</v>
      </c>
      <c r="M54" s="102">
        <v>19.8</v>
      </c>
      <c r="N54" s="102">
        <f t="shared" si="1"/>
        <v>316.10000000000002</v>
      </c>
      <c r="O54" s="102">
        <f t="shared" si="2"/>
        <v>513.20000000000005</v>
      </c>
      <c r="P54" s="102">
        <f t="shared" si="3"/>
        <v>57.3</v>
      </c>
      <c r="Q54" s="102">
        <f t="shared" si="4"/>
        <v>886.59999999999991</v>
      </c>
    </row>
    <row r="55" spans="1:33">
      <c r="A55" s="102">
        <v>2010</v>
      </c>
      <c r="B55" s="102">
        <v>4.5999999999999996</v>
      </c>
      <c r="C55" s="102">
        <v>4.5999999999999996</v>
      </c>
      <c r="D55" s="102">
        <v>29.4</v>
      </c>
      <c r="E55" s="102">
        <v>110.2</v>
      </c>
      <c r="F55" s="102">
        <v>197.8</v>
      </c>
      <c r="G55" s="102">
        <v>184.2</v>
      </c>
      <c r="H55" s="102">
        <v>24.7</v>
      </c>
      <c r="I55" s="102">
        <v>81</v>
      </c>
      <c r="J55" s="102">
        <v>128.19999999999999</v>
      </c>
      <c r="K55" s="102">
        <v>88</v>
      </c>
      <c r="L55" s="102">
        <v>29.2</v>
      </c>
      <c r="M55" s="102">
        <v>59.8</v>
      </c>
      <c r="N55" s="102">
        <f t="shared" si="1"/>
        <v>148.80000000000001</v>
      </c>
      <c r="O55" s="102">
        <f t="shared" si="2"/>
        <v>615.9</v>
      </c>
      <c r="P55" s="102">
        <f t="shared" si="3"/>
        <v>177</v>
      </c>
      <c r="Q55" s="102">
        <f t="shared" si="4"/>
        <v>941.7</v>
      </c>
    </row>
    <row r="56" spans="1:33">
      <c r="A56" s="102">
        <v>2011</v>
      </c>
      <c r="B56" s="102">
        <v>36.1</v>
      </c>
      <c r="C56" s="102">
        <v>10.3</v>
      </c>
      <c r="D56" s="102">
        <v>37.700000000000003</v>
      </c>
      <c r="E56" s="102">
        <v>29</v>
      </c>
      <c r="F56" s="102">
        <v>159.30000000000001</v>
      </c>
      <c r="G56" s="102">
        <v>251.3</v>
      </c>
      <c r="H56" s="102">
        <v>69.3</v>
      </c>
      <c r="I56" s="102">
        <v>20.2</v>
      </c>
      <c r="J56" s="102">
        <v>63.7</v>
      </c>
      <c r="K56" s="102">
        <v>131.6</v>
      </c>
      <c r="L56" s="102">
        <v>20</v>
      </c>
      <c r="M56" s="102">
        <v>12.8</v>
      </c>
      <c r="N56" s="102">
        <f t="shared" si="1"/>
        <v>113.10000000000001</v>
      </c>
      <c r="O56" s="102">
        <f t="shared" si="2"/>
        <v>563.80000000000007</v>
      </c>
      <c r="P56" s="102">
        <f t="shared" si="3"/>
        <v>164.4</v>
      </c>
      <c r="Q56" s="102">
        <f t="shared" si="4"/>
        <v>841.30000000000007</v>
      </c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</row>
    <row r="57" spans="1:33">
      <c r="A57" s="102">
        <v>2012</v>
      </c>
      <c r="B57" s="102">
        <v>36.799999999999997</v>
      </c>
      <c r="C57" s="102">
        <v>17.2</v>
      </c>
      <c r="D57" s="102">
        <v>71.2</v>
      </c>
      <c r="E57" s="102">
        <v>102.6</v>
      </c>
      <c r="F57" s="102">
        <v>185.5</v>
      </c>
      <c r="G57" s="102">
        <v>165.6</v>
      </c>
      <c r="H57" s="102">
        <v>196.3</v>
      </c>
      <c r="I57" s="102">
        <v>55.9</v>
      </c>
      <c r="J57" s="102">
        <v>120.8</v>
      </c>
      <c r="K57" s="102">
        <v>85.7</v>
      </c>
      <c r="L57" s="102">
        <v>60.3</v>
      </c>
      <c r="M57" s="102">
        <v>18.2</v>
      </c>
      <c r="N57" s="102">
        <f t="shared" si="1"/>
        <v>227.8</v>
      </c>
      <c r="O57" s="102">
        <f t="shared" si="2"/>
        <v>724.1</v>
      </c>
      <c r="P57" s="102">
        <f t="shared" si="3"/>
        <v>164.2</v>
      </c>
      <c r="Q57" s="102">
        <f t="shared" si="4"/>
        <v>1116.0999999999999</v>
      </c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</row>
    <row r="58" spans="1:33">
      <c r="A58" s="102">
        <v>2013</v>
      </c>
      <c r="B58" s="102">
        <v>9.5</v>
      </c>
      <c r="C58" s="102">
        <v>18.7</v>
      </c>
      <c r="D58" s="102">
        <v>162.4</v>
      </c>
      <c r="E58" s="102">
        <v>147.9</v>
      </c>
      <c r="F58" s="102">
        <v>155.19999999999999</v>
      </c>
      <c r="G58" s="102">
        <v>65.5</v>
      </c>
      <c r="H58" s="102">
        <v>1.6</v>
      </c>
      <c r="I58" s="102">
        <v>89.1</v>
      </c>
      <c r="J58" s="102">
        <v>203.3</v>
      </c>
      <c r="K58" s="102">
        <v>65.7</v>
      </c>
      <c r="L58" s="102">
        <v>54.6</v>
      </c>
      <c r="M58" s="102">
        <v>28.5</v>
      </c>
      <c r="N58" s="102">
        <f t="shared" si="1"/>
        <v>338.5</v>
      </c>
      <c r="O58" s="102">
        <f t="shared" si="2"/>
        <v>514.70000000000005</v>
      </c>
      <c r="P58" s="102">
        <f t="shared" si="3"/>
        <v>148.80000000000001</v>
      </c>
      <c r="Q58" s="102">
        <f t="shared" si="4"/>
        <v>1002.0000000000001</v>
      </c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</row>
    <row r="59" spans="1:33">
      <c r="A59" s="102">
        <v>2014</v>
      </c>
      <c r="B59" s="128">
        <v>7.9</v>
      </c>
      <c r="C59" s="128">
        <v>38</v>
      </c>
      <c r="D59" s="128">
        <v>65.3</v>
      </c>
      <c r="E59" s="128">
        <v>94.4</v>
      </c>
      <c r="F59" s="128">
        <v>208.6</v>
      </c>
      <c r="G59" s="128">
        <v>87.6</v>
      </c>
      <c r="H59" s="128">
        <v>294.2</v>
      </c>
      <c r="I59" s="128">
        <v>139.19999999999999</v>
      </c>
      <c r="J59" s="128">
        <v>42.5</v>
      </c>
      <c r="K59" s="128">
        <v>127.3</v>
      </c>
      <c r="L59" s="128">
        <v>45.1</v>
      </c>
      <c r="M59" s="128">
        <v>4.5</v>
      </c>
      <c r="N59" s="102">
        <f t="shared" si="1"/>
        <v>205.6</v>
      </c>
      <c r="O59" s="102">
        <f t="shared" si="2"/>
        <v>772.09999999999991</v>
      </c>
      <c r="P59" s="102">
        <f t="shared" si="3"/>
        <v>176.9</v>
      </c>
      <c r="Q59" s="102">
        <f t="shared" si="4"/>
        <v>1154.5999999999999</v>
      </c>
    </row>
    <row r="60" spans="1:33">
      <c r="A60" s="102">
        <v>2015</v>
      </c>
      <c r="B60" s="128">
        <v>43.3</v>
      </c>
      <c r="C60" s="128">
        <v>9.3000000000000007</v>
      </c>
      <c r="D60" s="128">
        <v>48.4</v>
      </c>
      <c r="E60" s="128">
        <v>113.4</v>
      </c>
      <c r="F60" s="128">
        <v>164.5</v>
      </c>
      <c r="G60" s="128">
        <v>189.2</v>
      </c>
      <c r="H60" s="128">
        <v>85.3</v>
      </c>
      <c r="I60" s="128">
        <v>129</v>
      </c>
      <c r="J60" s="128">
        <v>65.099999999999994</v>
      </c>
      <c r="K60" s="128">
        <v>75</v>
      </c>
      <c r="L60" s="128">
        <v>50.5</v>
      </c>
      <c r="M60" s="128">
        <v>72.5</v>
      </c>
      <c r="N60" s="102">
        <f t="shared" si="1"/>
        <v>214.4</v>
      </c>
      <c r="O60" s="102">
        <f t="shared" si="2"/>
        <v>633.1</v>
      </c>
      <c r="P60" s="102">
        <f t="shared" si="3"/>
        <v>198</v>
      </c>
      <c r="Q60" s="102">
        <f t="shared" si="4"/>
        <v>1045.5</v>
      </c>
    </row>
    <row r="61" spans="1:33" ht="13.5">
      <c r="A61" s="102">
        <v>2016</v>
      </c>
      <c r="B61" s="128">
        <v>49.4</v>
      </c>
      <c r="C61" s="128">
        <v>17.600000000000001</v>
      </c>
      <c r="D61" s="128">
        <v>100.1</v>
      </c>
      <c r="E61" s="128">
        <v>256.3</v>
      </c>
      <c r="F61" s="128">
        <v>110.1</v>
      </c>
      <c r="G61" s="128">
        <v>151.80000000000001</v>
      </c>
      <c r="H61" s="128">
        <v>71.099999999999994</v>
      </c>
      <c r="I61" s="128">
        <v>156.4</v>
      </c>
      <c r="J61" s="128">
        <v>7.1</v>
      </c>
      <c r="K61" s="128">
        <v>77.900000000000006</v>
      </c>
      <c r="L61" s="128">
        <v>73.7</v>
      </c>
      <c r="M61" s="128">
        <v>38.5</v>
      </c>
      <c r="N61" s="102">
        <f>SUM(B61:E61)</f>
        <v>423.4</v>
      </c>
      <c r="O61" s="102">
        <f>SUM(F61:J61)</f>
        <v>496.5</v>
      </c>
      <c r="P61" s="102">
        <f>SUM(K61:M61)</f>
        <v>190.10000000000002</v>
      </c>
      <c r="Q61" s="102">
        <f>SUM(B61:M61)</f>
        <v>1110</v>
      </c>
      <c r="R61" s="129">
        <f t="shared" ref="R61:AG61" si="5">100*(B61-B4)/B4</f>
        <v>69.582541531294083</v>
      </c>
      <c r="S61" s="129">
        <f t="shared" si="5"/>
        <v>-43.375847408939457</v>
      </c>
      <c r="T61" s="129">
        <f t="shared" si="5"/>
        <v>73.338693218714226</v>
      </c>
      <c r="U61" s="129">
        <f t="shared" si="5"/>
        <v>127.62350329077798</v>
      </c>
      <c r="V61" s="129">
        <f t="shared" si="5"/>
        <v>-35.83782546256792</v>
      </c>
      <c r="W61" s="129">
        <f t="shared" si="5"/>
        <v>-11.807363910819735</v>
      </c>
      <c r="X61" s="129">
        <f t="shared" si="5"/>
        <v>-45.47097975841573</v>
      </c>
      <c r="Y61" s="129">
        <f t="shared" si="5"/>
        <v>47.237118601328064</v>
      </c>
      <c r="Z61" s="129">
        <f t="shared" si="5"/>
        <v>-90.724583586058898</v>
      </c>
      <c r="AA61" s="129">
        <f t="shared" si="5"/>
        <v>-12.636680418151942</v>
      </c>
      <c r="AB61" s="129">
        <f t="shared" si="5"/>
        <v>40.361855529859881</v>
      </c>
      <c r="AC61" s="129">
        <f t="shared" si="5"/>
        <v>53.989000785658156</v>
      </c>
      <c r="AD61" s="129">
        <f t="shared" si="5"/>
        <v>83.640686840209739</v>
      </c>
      <c r="AE61" s="129">
        <f t="shared" si="5"/>
        <v>-24.415253960832079</v>
      </c>
      <c r="AF61" s="129">
        <f t="shared" si="5"/>
        <v>14.053075348996691</v>
      </c>
      <c r="AG61" s="129">
        <f t="shared" si="5"/>
        <v>5.3016750691169365</v>
      </c>
    </row>
  </sheetData>
  <mergeCells count="6">
    <mergeCell ref="A1:A3"/>
    <mergeCell ref="B1:Q1"/>
    <mergeCell ref="B2:M2"/>
    <mergeCell ref="R1:AG1"/>
    <mergeCell ref="N2:Q2"/>
    <mergeCell ref="R2:AG2"/>
  </mergeCells>
  <phoneticPr fontId="2" type="noConversion"/>
  <pageMargins left="0.75" right="0.75" top="1" bottom="1" header="0.5" footer="0.5"/>
  <headerFooter alignWithMargins="0"/>
</worksheet>
</file>

<file path=xl/worksheets/sheet50.xml><?xml version="1.0" encoding="utf-8"?>
<worksheet xmlns="http://schemas.openxmlformats.org/spreadsheetml/2006/main" xmlns:r="http://schemas.openxmlformats.org/officeDocument/2006/relationships">
  <sheetPr codeName="Sheet50"/>
  <dimension ref="A1:AG39"/>
  <sheetViews>
    <sheetView zoomScale="85" zoomScaleNormal="85" workbookViewId="0">
      <pane ySplit="5" topLeftCell="A6" activePane="bottomLeft" state="frozen"/>
      <selection pane="bottomLeft" activeCell="AG39" sqref="AG39"/>
    </sheetView>
  </sheetViews>
  <sheetFormatPr defaultRowHeight="12"/>
  <cols>
    <col min="1" max="39" width="7.125" style="102" customWidth="1"/>
    <col min="40" max="16384" width="9" style="102"/>
  </cols>
  <sheetData>
    <row r="1" spans="1:33" s="118" customFormat="1" ht="14.25" customHeight="1">
      <c r="A1" s="176" t="s">
        <v>172</v>
      </c>
      <c r="B1" s="176" t="s">
        <v>180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181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173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174</v>
      </c>
      <c r="O2" s="176"/>
      <c r="P2" s="176"/>
      <c r="Q2" s="176"/>
      <c r="R2" s="176" t="s">
        <v>175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 ht="24">
      <c r="A3" s="176"/>
      <c r="B3" s="124" t="s">
        <v>182</v>
      </c>
      <c r="C3" s="124" t="s">
        <v>183</v>
      </c>
      <c r="D3" s="124" t="s">
        <v>9</v>
      </c>
      <c r="E3" s="124" t="s">
        <v>10</v>
      </c>
      <c r="F3" s="124" t="s">
        <v>11</v>
      </c>
      <c r="G3" s="124" t="s">
        <v>12</v>
      </c>
      <c r="H3" s="124" t="s">
        <v>13</v>
      </c>
      <c r="I3" s="124" t="s">
        <v>14</v>
      </c>
      <c r="J3" s="124" t="s">
        <v>15</v>
      </c>
      <c r="K3" s="124" t="s">
        <v>16</v>
      </c>
      <c r="L3" s="124" t="s">
        <v>17</v>
      </c>
      <c r="M3" s="124" t="s">
        <v>18</v>
      </c>
      <c r="N3" s="124" t="s">
        <v>184</v>
      </c>
      <c r="O3" s="124" t="s">
        <v>185</v>
      </c>
      <c r="P3" s="124" t="s">
        <v>186</v>
      </c>
      <c r="Q3" s="124" t="s">
        <v>187</v>
      </c>
      <c r="R3" s="124" t="s">
        <v>182</v>
      </c>
      <c r="S3" s="124" t="s">
        <v>183</v>
      </c>
      <c r="T3" s="124" t="s">
        <v>188</v>
      </c>
      <c r="U3" s="124" t="s">
        <v>189</v>
      </c>
      <c r="V3" s="124" t="s">
        <v>190</v>
      </c>
      <c r="W3" s="124" t="s">
        <v>191</v>
      </c>
      <c r="X3" s="124" t="s">
        <v>25</v>
      </c>
      <c r="Y3" s="124" t="s">
        <v>26</v>
      </c>
      <c r="Z3" s="124" t="s">
        <v>27</v>
      </c>
      <c r="AA3" s="124" t="s">
        <v>192</v>
      </c>
      <c r="AB3" s="124" t="s">
        <v>193</v>
      </c>
      <c r="AC3" s="124" t="s">
        <v>194</v>
      </c>
      <c r="AD3" s="124" t="s">
        <v>176</v>
      </c>
      <c r="AE3" s="124" t="s">
        <v>177</v>
      </c>
      <c r="AF3" s="124" t="s">
        <v>178</v>
      </c>
      <c r="AG3" s="124" t="s">
        <v>179</v>
      </c>
    </row>
    <row r="4" spans="1:33" s="118" customFormat="1">
      <c r="A4" s="150" t="s">
        <v>261</v>
      </c>
      <c r="B4" s="150">
        <f t="shared" ref="B4:Q4" si="0">AVERAGE(B5:B38)</f>
        <v>28.255882352941178</v>
      </c>
      <c r="C4" s="150">
        <f t="shared" si="0"/>
        <v>31.649999999999991</v>
      </c>
      <c r="D4" s="150">
        <f t="shared" si="0"/>
        <v>50.385294117647064</v>
      </c>
      <c r="E4" s="150">
        <f t="shared" si="0"/>
        <v>93.57058823529411</v>
      </c>
      <c r="F4" s="150">
        <f t="shared" si="0"/>
        <v>165.67352941176469</v>
      </c>
      <c r="G4" s="150">
        <f t="shared" si="0"/>
        <v>183.2294117647059</v>
      </c>
      <c r="H4" s="150">
        <f t="shared" si="0"/>
        <v>152.55588235294115</v>
      </c>
      <c r="I4" s="150">
        <f t="shared" si="0"/>
        <v>123.26764705882354</v>
      </c>
      <c r="J4" s="150">
        <f t="shared" si="0"/>
        <v>92.805882352941182</v>
      </c>
      <c r="K4" s="150">
        <f t="shared" si="0"/>
        <v>90.229411764705873</v>
      </c>
      <c r="L4" s="150">
        <f t="shared" si="0"/>
        <v>43.441176470588246</v>
      </c>
      <c r="M4" s="150">
        <f t="shared" si="0"/>
        <v>23.567647058823532</v>
      </c>
      <c r="N4" s="150">
        <f t="shared" si="0"/>
        <v>203.86176470588231</v>
      </c>
      <c r="O4" s="150">
        <f t="shared" si="0"/>
        <v>717.53235294117667</v>
      </c>
      <c r="P4" s="150">
        <f t="shared" si="0"/>
        <v>157.23823529411769</v>
      </c>
      <c r="Q4" s="150">
        <f t="shared" si="0"/>
        <v>1078.6323529411766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1982</v>
      </c>
      <c r="B5" s="102">
        <v>41.4</v>
      </c>
      <c r="C5" s="102">
        <v>72.599999999999994</v>
      </c>
      <c r="D5" s="102">
        <v>21.3</v>
      </c>
      <c r="E5" s="102">
        <v>96.5</v>
      </c>
      <c r="F5" s="102">
        <v>168.5</v>
      </c>
      <c r="G5" s="102">
        <v>205.8</v>
      </c>
      <c r="H5" s="102">
        <v>86.1</v>
      </c>
      <c r="I5" s="102">
        <v>179.5</v>
      </c>
      <c r="J5" s="102">
        <v>267</v>
      </c>
      <c r="K5" s="102">
        <v>84.7</v>
      </c>
      <c r="L5" s="102">
        <v>142.1</v>
      </c>
      <c r="M5" s="102">
        <v>19.3</v>
      </c>
      <c r="N5" s="102">
        <f>SUM(B5:E5)</f>
        <v>231.8</v>
      </c>
      <c r="O5" s="102">
        <f>SUM(F5:J5)</f>
        <v>906.9</v>
      </c>
      <c r="P5" s="102">
        <f>SUM(K5:M5)</f>
        <v>246.10000000000002</v>
      </c>
      <c r="Q5" s="102">
        <f>SUM(B5:M5)</f>
        <v>1384.8</v>
      </c>
    </row>
    <row r="6" spans="1:33">
      <c r="A6" s="102">
        <v>1983</v>
      </c>
      <c r="B6" s="102">
        <v>79.5</v>
      </c>
      <c r="C6" s="102">
        <v>47.3</v>
      </c>
      <c r="D6" s="102">
        <v>36.9</v>
      </c>
      <c r="E6" s="102">
        <v>172.1</v>
      </c>
      <c r="F6" s="102">
        <v>89.8</v>
      </c>
      <c r="G6" s="102">
        <v>107.5</v>
      </c>
      <c r="H6" s="102">
        <v>56.5</v>
      </c>
      <c r="I6" s="102">
        <v>98.5</v>
      </c>
      <c r="J6" s="102">
        <v>89</v>
      </c>
      <c r="K6" s="102">
        <v>92.6</v>
      </c>
      <c r="L6" s="102">
        <v>45.7</v>
      </c>
      <c r="M6" s="102">
        <v>32.9</v>
      </c>
      <c r="N6" s="102">
        <f t="shared" ref="N6:N38" si="1">SUM(B6:E6)</f>
        <v>335.79999999999995</v>
      </c>
      <c r="O6" s="102">
        <f t="shared" ref="O6:O38" si="2">SUM(F6:J6)</f>
        <v>441.3</v>
      </c>
      <c r="P6" s="102">
        <f t="shared" ref="P6:P38" si="3">SUM(K6:M6)</f>
        <v>171.20000000000002</v>
      </c>
      <c r="Q6" s="102">
        <f t="shared" ref="Q6:Q38" si="4">SUM(B6:M6)</f>
        <v>948.3</v>
      </c>
    </row>
    <row r="7" spans="1:33">
      <c r="A7" s="102">
        <v>1984</v>
      </c>
      <c r="B7" s="102">
        <v>18.2</v>
      </c>
      <c r="C7" s="102">
        <v>22.1</v>
      </c>
      <c r="D7" s="102">
        <v>36.799999999999997</v>
      </c>
      <c r="E7" s="102">
        <v>87.4</v>
      </c>
      <c r="F7" s="102">
        <v>211.1</v>
      </c>
      <c r="G7" s="102">
        <v>87.1</v>
      </c>
      <c r="H7" s="102">
        <v>80.2</v>
      </c>
      <c r="I7" s="102">
        <v>252.3</v>
      </c>
      <c r="J7" s="102">
        <v>85.1</v>
      </c>
      <c r="K7" s="102">
        <v>96.1</v>
      </c>
      <c r="L7" s="102">
        <v>15.7</v>
      </c>
      <c r="M7" s="102">
        <v>31.8</v>
      </c>
      <c r="N7" s="102">
        <f t="shared" si="1"/>
        <v>164.5</v>
      </c>
      <c r="O7" s="102">
        <f t="shared" si="2"/>
        <v>715.80000000000007</v>
      </c>
      <c r="P7" s="102">
        <f t="shared" si="3"/>
        <v>143.6</v>
      </c>
      <c r="Q7" s="102">
        <f t="shared" si="4"/>
        <v>1023.9000000000001</v>
      </c>
    </row>
    <row r="8" spans="1:33">
      <c r="A8" s="102">
        <v>1985</v>
      </c>
      <c r="B8" s="102">
        <v>9</v>
      </c>
      <c r="C8" s="102">
        <v>42.8</v>
      </c>
      <c r="D8" s="102">
        <v>53.2</v>
      </c>
      <c r="E8" s="102">
        <v>60.4</v>
      </c>
      <c r="F8" s="102">
        <v>123.2</v>
      </c>
      <c r="G8" s="102">
        <v>232.9</v>
      </c>
      <c r="H8" s="102">
        <v>80.2</v>
      </c>
      <c r="I8" s="102">
        <v>184.6</v>
      </c>
      <c r="J8" s="102">
        <v>31.8</v>
      </c>
      <c r="K8" s="102">
        <v>51.4</v>
      </c>
      <c r="L8" s="102">
        <v>61.7</v>
      </c>
      <c r="M8" s="102">
        <v>22.3</v>
      </c>
      <c r="N8" s="102">
        <f t="shared" si="1"/>
        <v>165.4</v>
      </c>
      <c r="O8" s="102">
        <f t="shared" si="2"/>
        <v>652.69999999999993</v>
      </c>
      <c r="P8" s="102">
        <f t="shared" si="3"/>
        <v>135.4</v>
      </c>
      <c r="Q8" s="102">
        <f t="shared" si="4"/>
        <v>953.5</v>
      </c>
    </row>
    <row r="9" spans="1:33">
      <c r="A9" s="102">
        <v>1986</v>
      </c>
      <c r="B9" s="102">
        <v>17</v>
      </c>
      <c r="C9" s="102">
        <v>12.5</v>
      </c>
      <c r="D9" s="102">
        <v>34.799999999999997</v>
      </c>
      <c r="E9" s="102">
        <v>79.099999999999994</v>
      </c>
      <c r="F9" s="102">
        <v>216.1</v>
      </c>
      <c r="G9" s="102">
        <v>170.7</v>
      </c>
      <c r="H9" s="102">
        <v>213.1</v>
      </c>
      <c r="I9" s="102">
        <v>134.69999999999999</v>
      </c>
      <c r="J9" s="102">
        <v>46.2</v>
      </c>
      <c r="K9" s="102">
        <v>99.6</v>
      </c>
      <c r="L9" s="102">
        <v>38.9</v>
      </c>
      <c r="M9" s="102">
        <v>4.7</v>
      </c>
      <c r="N9" s="102">
        <f t="shared" si="1"/>
        <v>143.39999999999998</v>
      </c>
      <c r="O9" s="102">
        <f t="shared" si="2"/>
        <v>780.8</v>
      </c>
      <c r="P9" s="102">
        <f t="shared" si="3"/>
        <v>143.19999999999999</v>
      </c>
      <c r="Q9" s="102">
        <f t="shared" si="4"/>
        <v>1067.4000000000001</v>
      </c>
    </row>
    <row r="10" spans="1:33">
      <c r="A10" s="102">
        <v>1987</v>
      </c>
      <c r="B10" s="102">
        <v>33.700000000000003</v>
      </c>
      <c r="C10" s="102">
        <v>48.8</v>
      </c>
      <c r="D10" s="102">
        <v>53.8</v>
      </c>
      <c r="E10" s="102">
        <v>36.9</v>
      </c>
      <c r="F10" s="102">
        <v>154.30000000000001</v>
      </c>
      <c r="G10" s="102">
        <v>273.5</v>
      </c>
      <c r="H10" s="102">
        <v>116</v>
      </c>
      <c r="I10" s="102">
        <v>95.5</v>
      </c>
      <c r="J10" s="102">
        <v>87.1</v>
      </c>
      <c r="K10" s="102">
        <v>153.19999999999999</v>
      </c>
      <c r="L10" s="102">
        <v>64.8</v>
      </c>
      <c r="M10" s="102">
        <v>4.5999999999999996</v>
      </c>
      <c r="N10" s="102">
        <f t="shared" si="1"/>
        <v>173.20000000000002</v>
      </c>
      <c r="O10" s="102">
        <f t="shared" si="2"/>
        <v>726.4</v>
      </c>
      <c r="P10" s="102">
        <f t="shared" si="3"/>
        <v>222.6</v>
      </c>
      <c r="Q10" s="102">
        <f t="shared" si="4"/>
        <v>1122.1999999999998</v>
      </c>
    </row>
    <row r="11" spans="1:33">
      <c r="A11" s="102">
        <v>1988</v>
      </c>
      <c r="B11" s="102">
        <v>26.9</v>
      </c>
      <c r="C11" s="102">
        <v>23.7</v>
      </c>
      <c r="D11" s="102">
        <v>27.3</v>
      </c>
      <c r="E11" s="102">
        <v>55</v>
      </c>
      <c r="F11" s="102">
        <v>104</v>
      </c>
      <c r="G11" s="102">
        <v>186.8</v>
      </c>
      <c r="H11" s="102">
        <v>85.6</v>
      </c>
      <c r="I11" s="102">
        <v>197</v>
      </c>
      <c r="J11" s="102">
        <v>129.69999999999999</v>
      </c>
      <c r="K11" s="102">
        <v>57.2</v>
      </c>
      <c r="L11" s="102">
        <v>4.3</v>
      </c>
      <c r="M11" s="102">
        <v>8.6999999999999993</v>
      </c>
      <c r="N11" s="102">
        <f t="shared" si="1"/>
        <v>132.89999999999998</v>
      </c>
      <c r="O11" s="102">
        <f t="shared" si="2"/>
        <v>703.09999999999991</v>
      </c>
      <c r="P11" s="102">
        <f t="shared" si="3"/>
        <v>70.2</v>
      </c>
      <c r="Q11" s="102">
        <f t="shared" si="4"/>
        <v>906.2</v>
      </c>
    </row>
    <row r="12" spans="1:33">
      <c r="A12" s="102">
        <v>1989</v>
      </c>
      <c r="B12" s="102">
        <v>15.4</v>
      </c>
      <c r="C12" s="102">
        <v>44.1</v>
      </c>
      <c r="D12" s="102">
        <v>61.3</v>
      </c>
      <c r="E12" s="102">
        <v>87.8</v>
      </c>
      <c r="F12" s="102">
        <v>81.5</v>
      </c>
      <c r="G12" s="102">
        <v>161.1</v>
      </c>
      <c r="H12" s="102">
        <v>51.8</v>
      </c>
      <c r="I12" s="102">
        <v>60.8</v>
      </c>
      <c r="J12" s="102">
        <v>80.099999999999994</v>
      </c>
      <c r="K12" s="102">
        <v>48.6</v>
      </c>
      <c r="L12" s="102">
        <v>29</v>
      </c>
      <c r="M12" s="102">
        <v>18.2</v>
      </c>
      <c r="N12" s="102">
        <f t="shared" si="1"/>
        <v>208.6</v>
      </c>
      <c r="O12" s="102">
        <f t="shared" si="2"/>
        <v>435.29999999999995</v>
      </c>
      <c r="P12" s="102">
        <f t="shared" si="3"/>
        <v>95.8</v>
      </c>
      <c r="Q12" s="102">
        <f t="shared" si="4"/>
        <v>739.70000000000016</v>
      </c>
    </row>
    <row r="13" spans="1:33">
      <c r="A13" s="102">
        <v>1990</v>
      </c>
      <c r="B13" s="102">
        <v>36.4</v>
      </c>
      <c r="C13" s="102">
        <v>18.600000000000001</v>
      </c>
      <c r="D13" s="102">
        <v>96.6</v>
      </c>
      <c r="E13" s="102">
        <v>69.7</v>
      </c>
      <c r="F13" s="102">
        <v>152.4</v>
      </c>
      <c r="G13" s="102">
        <v>289.7</v>
      </c>
      <c r="H13" s="102">
        <v>131.5</v>
      </c>
      <c r="I13" s="102">
        <v>7.7</v>
      </c>
      <c r="J13" s="102">
        <v>152.19999999999999</v>
      </c>
      <c r="K13" s="102">
        <v>115.8</v>
      </c>
      <c r="L13" s="102">
        <v>81.8</v>
      </c>
      <c r="M13" s="102">
        <v>18.5</v>
      </c>
      <c r="N13" s="102">
        <f t="shared" si="1"/>
        <v>221.3</v>
      </c>
      <c r="O13" s="102">
        <f t="shared" si="2"/>
        <v>733.5</v>
      </c>
      <c r="P13" s="102">
        <f t="shared" si="3"/>
        <v>216.1</v>
      </c>
      <c r="Q13" s="102">
        <f t="shared" si="4"/>
        <v>1170.9000000000001</v>
      </c>
    </row>
    <row r="14" spans="1:33">
      <c r="A14" s="102">
        <v>1991</v>
      </c>
      <c r="B14" s="102">
        <v>66</v>
      </c>
      <c r="C14" s="102">
        <v>42.3</v>
      </c>
      <c r="D14" s="102">
        <v>52.4</v>
      </c>
      <c r="E14" s="102">
        <v>68.7</v>
      </c>
      <c r="F14" s="102">
        <v>112.3</v>
      </c>
      <c r="G14" s="102">
        <v>142.80000000000001</v>
      </c>
      <c r="H14" s="102">
        <v>294.7</v>
      </c>
      <c r="I14" s="102">
        <v>265.60000000000002</v>
      </c>
      <c r="J14" s="102">
        <v>54.1</v>
      </c>
      <c r="K14" s="102">
        <v>74.099999999999994</v>
      </c>
      <c r="L14" s="102">
        <v>52.5</v>
      </c>
      <c r="M14" s="102">
        <v>13.8</v>
      </c>
      <c r="N14" s="102">
        <f t="shared" si="1"/>
        <v>229.39999999999998</v>
      </c>
      <c r="O14" s="102">
        <f t="shared" si="2"/>
        <v>869.5</v>
      </c>
      <c r="P14" s="102">
        <f t="shared" si="3"/>
        <v>140.4</v>
      </c>
      <c r="Q14" s="102">
        <f t="shared" si="4"/>
        <v>1239.3</v>
      </c>
    </row>
    <row r="15" spans="1:33">
      <c r="A15" s="102">
        <v>1992</v>
      </c>
      <c r="B15" s="102">
        <v>21.9</v>
      </c>
      <c r="C15" s="102">
        <v>36.5</v>
      </c>
      <c r="D15" s="102">
        <v>80.7</v>
      </c>
      <c r="E15" s="102">
        <v>137.30000000000001</v>
      </c>
      <c r="F15" s="102">
        <v>184.3</v>
      </c>
      <c r="G15" s="102">
        <v>170.8</v>
      </c>
      <c r="H15" s="102">
        <v>123</v>
      </c>
      <c r="I15" s="102">
        <v>13.4</v>
      </c>
      <c r="J15" s="102">
        <v>18</v>
      </c>
      <c r="K15" s="102">
        <v>52.9</v>
      </c>
      <c r="L15" s="102">
        <v>13.9</v>
      </c>
      <c r="M15" s="102">
        <v>52.2</v>
      </c>
      <c r="N15" s="102">
        <f t="shared" si="1"/>
        <v>276.39999999999998</v>
      </c>
      <c r="O15" s="102">
        <f t="shared" si="2"/>
        <v>509.5</v>
      </c>
      <c r="P15" s="102">
        <f t="shared" si="3"/>
        <v>119</v>
      </c>
      <c r="Q15" s="102">
        <f t="shared" si="4"/>
        <v>904.9</v>
      </c>
    </row>
    <row r="16" spans="1:33">
      <c r="A16" s="102">
        <v>1993</v>
      </c>
      <c r="B16" s="102">
        <v>40.1</v>
      </c>
      <c r="C16" s="102">
        <v>61.2</v>
      </c>
      <c r="D16" s="102">
        <v>19.600000000000001</v>
      </c>
      <c r="E16" s="102">
        <v>65.7</v>
      </c>
      <c r="F16" s="102">
        <v>182.4</v>
      </c>
      <c r="G16" s="102">
        <v>180.8</v>
      </c>
      <c r="H16" s="102">
        <v>172.1</v>
      </c>
      <c r="I16" s="102">
        <v>125.1</v>
      </c>
      <c r="J16" s="102">
        <v>80</v>
      </c>
      <c r="K16" s="102">
        <v>54.4</v>
      </c>
      <c r="L16" s="102">
        <v>37.200000000000003</v>
      </c>
      <c r="M16" s="102">
        <v>19.5</v>
      </c>
      <c r="N16" s="102">
        <f t="shared" si="1"/>
        <v>186.60000000000002</v>
      </c>
      <c r="O16" s="102">
        <f t="shared" si="2"/>
        <v>740.40000000000009</v>
      </c>
      <c r="P16" s="102">
        <f t="shared" si="3"/>
        <v>111.1</v>
      </c>
      <c r="Q16" s="102">
        <f t="shared" si="4"/>
        <v>1038.0999999999999</v>
      </c>
    </row>
    <row r="17" spans="1:17">
      <c r="A17" s="102">
        <v>1994</v>
      </c>
      <c r="B17" s="102">
        <v>24.1</v>
      </c>
      <c r="C17" s="102">
        <v>12</v>
      </c>
      <c r="D17" s="102">
        <v>71.099999999999994</v>
      </c>
      <c r="E17" s="102">
        <v>82.5</v>
      </c>
      <c r="F17" s="102">
        <v>260.10000000000002</v>
      </c>
      <c r="G17" s="102">
        <v>98.9</v>
      </c>
      <c r="H17" s="102">
        <v>234.2</v>
      </c>
      <c r="I17" s="102">
        <v>86.2</v>
      </c>
      <c r="J17" s="102">
        <v>131.69999999999999</v>
      </c>
      <c r="K17" s="102">
        <v>211</v>
      </c>
      <c r="L17" s="102">
        <v>79</v>
      </c>
      <c r="M17" s="102">
        <v>39.6</v>
      </c>
      <c r="N17" s="102">
        <f t="shared" si="1"/>
        <v>189.7</v>
      </c>
      <c r="O17" s="102">
        <f t="shared" si="2"/>
        <v>811.10000000000014</v>
      </c>
      <c r="P17" s="102">
        <f t="shared" si="3"/>
        <v>329.6</v>
      </c>
      <c r="Q17" s="102">
        <f t="shared" si="4"/>
        <v>1330.4</v>
      </c>
    </row>
    <row r="18" spans="1:17">
      <c r="A18" s="102">
        <v>1995</v>
      </c>
      <c r="B18" s="102">
        <v>25</v>
      </c>
      <c r="C18" s="102">
        <v>41.6</v>
      </c>
      <c r="D18" s="102">
        <v>31.5</v>
      </c>
      <c r="E18" s="102">
        <v>74.599999999999994</v>
      </c>
      <c r="F18" s="102">
        <v>214</v>
      </c>
      <c r="G18" s="102">
        <v>371.8</v>
      </c>
      <c r="H18" s="102">
        <v>85.1</v>
      </c>
      <c r="I18" s="102">
        <v>79.900000000000006</v>
      </c>
      <c r="J18" s="102">
        <v>166.9</v>
      </c>
      <c r="K18" s="102">
        <v>86.7</v>
      </c>
      <c r="L18" s="102">
        <v>42</v>
      </c>
      <c r="M18" s="102">
        <v>3.5</v>
      </c>
      <c r="N18" s="102">
        <f t="shared" si="1"/>
        <v>172.7</v>
      </c>
      <c r="O18" s="102">
        <f t="shared" si="2"/>
        <v>917.69999999999993</v>
      </c>
      <c r="P18" s="102">
        <f t="shared" si="3"/>
        <v>132.19999999999999</v>
      </c>
      <c r="Q18" s="102">
        <f t="shared" si="4"/>
        <v>1222.6000000000001</v>
      </c>
    </row>
    <row r="19" spans="1:17">
      <c r="A19" s="102">
        <v>1996</v>
      </c>
      <c r="B19" s="102">
        <v>30.6</v>
      </c>
      <c r="C19" s="102">
        <v>3.5</v>
      </c>
      <c r="D19" s="102">
        <v>74.2</v>
      </c>
      <c r="E19" s="102">
        <v>55.2</v>
      </c>
      <c r="F19" s="102">
        <v>204.6</v>
      </c>
      <c r="G19" s="102">
        <v>252.7</v>
      </c>
      <c r="H19" s="102">
        <v>403.6</v>
      </c>
      <c r="I19" s="102">
        <v>199.4</v>
      </c>
      <c r="J19" s="102">
        <v>9</v>
      </c>
      <c r="K19" s="102">
        <v>68.7</v>
      </c>
      <c r="L19" s="102">
        <v>51.7</v>
      </c>
      <c r="M19" s="102">
        <v>16.2</v>
      </c>
      <c r="N19" s="102">
        <f t="shared" si="1"/>
        <v>163.5</v>
      </c>
      <c r="O19" s="102">
        <f t="shared" si="2"/>
        <v>1069.3</v>
      </c>
      <c r="P19" s="102">
        <f t="shared" si="3"/>
        <v>136.6</v>
      </c>
      <c r="Q19" s="102">
        <f t="shared" si="4"/>
        <v>1369.4000000000003</v>
      </c>
    </row>
    <row r="20" spans="1:17">
      <c r="A20" s="102">
        <v>1997</v>
      </c>
      <c r="B20" s="102">
        <v>52.3</v>
      </c>
      <c r="C20" s="102">
        <v>38.299999999999997</v>
      </c>
      <c r="D20" s="102">
        <v>62.5</v>
      </c>
      <c r="E20" s="102">
        <v>136.9</v>
      </c>
      <c r="F20" s="102">
        <v>127.1</v>
      </c>
      <c r="G20" s="102">
        <v>168</v>
      </c>
      <c r="H20" s="102">
        <v>133.4</v>
      </c>
      <c r="I20" s="102">
        <v>72.599999999999994</v>
      </c>
      <c r="J20" s="102">
        <v>181</v>
      </c>
      <c r="K20" s="102">
        <v>146.30000000000001</v>
      </c>
      <c r="L20" s="102">
        <v>24.9</v>
      </c>
      <c r="M20" s="102">
        <v>39.1</v>
      </c>
      <c r="N20" s="102">
        <f t="shared" si="1"/>
        <v>290</v>
      </c>
      <c r="O20" s="102">
        <f t="shared" si="2"/>
        <v>682.1</v>
      </c>
      <c r="P20" s="102">
        <f t="shared" si="3"/>
        <v>210.3</v>
      </c>
      <c r="Q20" s="102">
        <f t="shared" si="4"/>
        <v>1182.4000000000001</v>
      </c>
    </row>
    <row r="21" spans="1:17">
      <c r="A21" s="102">
        <v>1998</v>
      </c>
      <c r="B21" s="102">
        <v>30.3</v>
      </c>
      <c r="C21" s="102">
        <v>23.9</v>
      </c>
      <c r="D21" s="102">
        <v>33.9</v>
      </c>
      <c r="E21" s="102">
        <v>67.3</v>
      </c>
      <c r="F21" s="102">
        <v>201.2</v>
      </c>
      <c r="G21" s="102">
        <v>232.3</v>
      </c>
      <c r="H21" s="102">
        <v>205</v>
      </c>
      <c r="I21" s="102">
        <v>186.3</v>
      </c>
      <c r="J21" s="102">
        <v>54.8</v>
      </c>
      <c r="K21" s="102">
        <v>150.1</v>
      </c>
      <c r="L21" s="102">
        <v>24.1</v>
      </c>
      <c r="M21" s="102">
        <v>34.700000000000003</v>
      </c>
      <c r="N21" s="102">
        <f t="shared" si="1"/>
        <v>155.39999999999998</v>
      </c>
      <c r="O21" s="102">
        <f t="shared" si="2"/>
        <v>879.59999999999991</v>
      </c>
      <c r="P21" s="102">
        <f t="shared" si="3"/>
        <v>208.89999999999998</v>
      </c>
      <c r="Q21" s="102">
        <f t="shared" si="4"/>
        <v>1243.8999999999999</v>
      </c>
    </row>
    <row r="22" spans="1:17">
      <c r="A22" s="102">
        <v>1999</v>
      </c>
      <c r="B22" s="102">
        <v>30.6</v>
      </c>
      <c r="C22" s="102">
        <v>10.9</v>
      </c>
      <c r="D22" s="102">
        <v>34.799999999999997</v>
      </c>
      <c r="E22" s="102">
        <v>89.6</v>
      </c>
      <c r="F22" s="102">
        <v>172.9</v>
      </c>
      <c r="G22" s="102">
        <v>235.6</v>
      </c>
      <c r="H22" s="102">
        <v>362.7</v>
      </c>
      <c r="I22" s="102">
        <v>235.5</v>
      </c>
      <c r="J22" s="102">
        <v>152.9</v>
      </c>
      <c r="K22" s="102">
        <v>67.099999999999994</v>
      </c>
      <c r="L22" s="102">
        <v>47.8</v>
      </c>
      <c r="M22" s="102">
        <v>1.1000000000000001</v>
      </c>
      <c r="N22" s="102">
        <f t="shared" si="1"/>
        <v>165.89999999999998</v>
      </c>
      <c r="O22" s="102">
        <f t="shared" si="2"/>
        <v>1159.6000000000001</v>
      </c>
      <c r="P22" s="102">
        <f t="shared" si="3"/>
        <v>115.99999999999999</v>
      </c>
      <c r="Q22" s="102">
        <f t="shared" si="4"/>
        <v>1441.4999999999998</v>
      </c>
    </row>
    <row r="23" spans="1:17">
      <c r="A23" s="102">
        <v>2000</v>
      </c>
      <c r="B23" s="102">
        <v>33.5</v>
      </c>
      <c r="C23" s="102">
        <v>17.600000000000001</v>
      </c>
      <c r="D23" s="102">
        <v>109.3</v>
      </c>
      <c r="E23" s="102">
        <v>110.8</v>
      </c>
      <c r="F23" s="102">
        <v>147.4</v>
      </c>
      <c r="G23" s="102">
        <v>336.7</v>
      </c>
      <c r="H23" s="102">
        <v>72.8</v>
      </c>
      <c r="I23" s="102">
        <v>146.9</v>
      </c>
      <c r="J23" s="102">
        <v>69.3</v>
      </c>
      <c r="K23" s="102">
        <v>86.5</v>
      </c>
      <c r="L23" s="102">
        <v>37.5</v>
      </c>
      <c r="M23" s="102">
        <v>22.1</v>
      </c>
      <c r="N23" s="102">
        <f t="shared" si="1"/>
        <v>271.2</v>
      </c>
      <c r="O23" s="102">
        <f t="shared" si="2"/>
        <v>773.09999999999991</v>
      </c>
      <c r="P23" s="102">
        <f t="shared" si="3"/>
        <v>146.1</v>
      </c>
      <c r="Q23" s="102">
        <f t="shared" si="4"/>
        <v>1190.3999999999999</v>
      </c>
    </row>
    <row r="24" spans="1:17">
      <c r="A24" s="102">
        <v>2001</v>
      </c>
      <c r="B24" s="102">
        <v>33.6</v>
      </c>
      <c r="C24" s="102">
        <v>18.7</v>
      </c>
      <c r="D24" s="102">
        <v>62.1</v>
      </c>
      <c r="E24" s="102">
        <v>98.9</v>
      </c>
      <c r="F24" s="102">
        <v>95.3</v>
      </c>
      <c r="G24" s="102">
        <v>152.4</v>
      </c>
      <c r="H24" s="102">
        <v>171.7</v>
      </c>
      <c r="I24" s="102">
        <v>67.900000000000006</v>
      </c>
      <c r="J24" s="102">
        <v>5.4</v>
      </c>
      <c r="K24" s="102">
        <v>109.2</v>
      </c>
      <c r="L24" s="102">
        <v>27.3</v>
      </c>
      <c r="M24" s="102">
        <v>28.2</v>
      </c>
      <c r="N24" s="102">
        <f t="shared" si="1"/>
        <v>213.3</v>
      </c>
      <c r="O24" s="102">
        <f t="shared" si="2"/>
        <v>492.69999999999993</v>
      </c>
      <c r="P24" s="102">
        <f t="shared" si="3"/>
        <v>164.7</v>
      </c>
      <c r="Q24" s="102">
        <f t="shared" si="4"/>
        <v>870.7</v>
      </c>
    </row>
    <row r="25" spans="1:17">
      <c r="A25" s="102">
        <v>2002</v>
      </c>
      <c r="B25" s="102">
        <v>13.1</v>
      </c>
      <c r="C25" s="102">
        <v>65.099999999999994</v>
      </c>
      <c r="D25" s="102">
        <v>45.3</v>
      </c>
      <c r="E25" s="102">
        <v>100.7</v>
      </c>
      <c r="F25" s="102">
        <v>262.60000000000002</v>
      </c>
      <c r="G25" s="102">
        <v>248.8</v>
      </c>
      <c r="H25" s="102">
        <v>101.6</v>
      </c>
      <c r="I25" s="102">
        <v>305.7</v>
      </c>
      <c r="J25" s="102">
        <v>32.200000000000003</v>
      </c>
      <c r="K25" s="102">
        <v>108.1</v>
      </c>
      <c r="L25" s="102">
        <v>24.1</v>
      </c>
      <c r="M25" s="102">
        <v>32</v>
      </c>
      <c r="N25" s="102">
        <f t="shared" si="1"/>
        <v>224.2</v>
      </c>
      <c r="O25" s="102">
        <f t="shared" si="2"/>
        <v>950.90000000000009</v>
      </c>
      <c r="P25" s="102">
        <f t="shared" si="3"/>
        <v>164.2</v>
      </c>
      <c r="Q25" s="102">
        <f t="shared" si="4"/>
        <v>1339.3</v>
      </c>
    </row>
    <row r="26" spans="1:17">
      <c r="A26" s="102">
        <v>2003</v>
      </c>
      <c r="B26" s="102">
        <v>35.9</v>
      </c>
      <c r="C26" s="102">
        <v>15.5</v>
      </c>
      <c r="D26" s="102">
        <v>34.700000000000003</v>
      </c>
      <c r="E26" s="102">
        <v>134.5</v>
      </c>
      <c r="F26" s="102">
        <v>233.6</v>
      </c>
      <c r="G26" s="102">
        <v>141.4</v>
      </c>
      <c r="H26" s="102">
        <v>132.1</v>
      </c>
      <c r="I26" s="102">
        <v>35.4</v>
      </c>
      <c r="J26" s="102">
        <v>127</v>
      </c>
      <c r="K26" s="102">
        <v>93.8</v>
      </c>
      <c r="L26" s="102">
        <v>16.2</v>
      </c>
      <c r="M26" s="102">
        <v>42.4</v>
      </c>
      <c r="N26" s="102">
        <f t="shared" si="1"/>
        <v>220.6</v>
      </c>
      <c r="O26" s="102">
        <f t="shared" si="2"/>
        <v>669.5</v>
      </c>
      <c r="P26" s="102">
        <f t="shared" si="3"/>
        <v>152.4</v>
      </c>
      <c r="Q26" s="102">
        <f t="shared" si="4"/>
        <v>1042.5</v>
      </c>
    </row>
    <row r="27" spans="1:17">
      <c r="A27" s="102">
        <v>2004</v>
      </c>
      <c r="B27" s="102">
        <v>30.3</v>
      </c>
      <c r="C27" s="102">
        <v>50.6</v>
      </c>
      <c r="D27" s="102">
        <v>34.9</v>
      </c>
      <c r="E27" s="102">
        <v>92.9</v>
      </c>
      <c r="F27" s="102">
        <v>270.8</v>
      </c>
      <c r="G27" s="102">
        <v>100.6</v>
      </c>
      <c r="H27" s="102">
        <v>285.8</v>
      </c>
      <c r="I27" s="102">
        <v>58.1</v>
      </c>
      <c r="J27" s="102">
        <v>78.599999999999994</v>
      </c>
      <c r="K27" s="102">
        <v>36.9</v>
      </c>
      <c r="L27" s="102">
        <v>46.2</v>
      </c>
      <c r="M27" s="102">
        <v>18.2</v>
      </c>
      <c r="N27" s="102">
        <f t="shared" si="1"/>
        <v>208.70000000000002</v>
      </c>
      <c r="O27" s="102">
        <f t="shared" si="2"/>
        <v>793.90000000000009</v>
      </c>
      <c r="P27" s="102">
        <f t="shared" si="3"/>
        <v>101.3</v>
      </c>
      <c r="Q27" s="102">
        <f t="shared" si="4"/>
        <v>1103.9000000000003</v>
      </c>
    </row>
    <row r="28" spans="1:17">
      <c r="A28" s="102">
        <v>2005</v>
      </c>
      <c r="B28" s="103">
        <v>32.200000000000003</v>
      </c>
      <c r="C28" s="103">
        <v>21.8</v>
      </c>
      <c r="D28" s="103">
        <v>38.299999999999997</v>
      </c>
      <c r="E28" s="103">
        <v>56.1</v>
      </c>
      <c r="F28" s="103">
        <v>138.9</v>
      </c>
      <c r="G28" s="103">
        <v>46.8</v>
      </c>
      <c r="H28" s="103">
        <v>213.1</v>
      </c>
      <c r="I28" s="103">
        <v>144.30000000000001</v>
      </c>
      <c r="J28" s="103">
        <v>65.7</v>
      </c>
      <c r="K28" s="102">
        <v>64.400000000000006</v>
      </c>
      <c r="L28" s="102">
        <v>33.700000000000003</v>
      </c>
      <c r="M28" s="102">
        <v>23.3</v>
      </c>
      <c r="N28" s="102">
        <f t="shared" si="1"/>
        <v>148.4</v>
      </c>
      <c r="O28" s="102">
        <f t="shared" si="2"/>
        <v>608.79999999999995</v>
      </c>
      <c r="P28" s="102">
        <f t="shared" si="3"/>
        <v>121.4</v>
      </c>
      <c r="Q28" s="102">
        <f t="shared" si="4"/>
        <v>878.6</v>
      </c>
    </row>
    <row r="29" spans="1:17">
      <c r="A29" s="102">
        <v>2006</v>
      </c>
      <c r="B29" s="102">
        <v>14.3</v>
      </c>
      <c r="C29" s="102">
        <v>47.1</v>
      </c>
      <c r="D29" s="102">
        <v>54.9</v>
      </c>
      <c r="E29" s="102">
        <v>139.9</v>
      </c>
      <c r="F29" s="102">
        <v>149.4</v>
      </c>
      <c r="G29" s="102">
        <v>168.4</v>
      </c>
      <c r="H29" s="102">
        <v>131</v>
      </c>
      <c r="I29" s="102">
        <v>88</v>
      </c>
      <c r="J29" s="102">
        <v>51.8</v>
      </c>
      <c r="K29" s="102">
        <v>69.3</v>
      </c>
      <c r="L29" s="102">
        <v>33.299999999999997</v>
      </c>
      <c r="M29" s="102">
        <v>16.899999999999999</v>
      </c>
      <c r="N29" s="102">
        <f t="shared" si="1"/>
        <v>256.20000000000005</v>
      </c>
      <c r="O29" s="102">
        <f t="shared" si="2"/>
        <v>588.59999999999991</v>
      </c>
      <c r="P29" s="102">
        <f t="shared" si="3"/>
        <v>119.5</v>
      </c>
      <c r="Q29" s="102">
        <f t="shared" si="4"/>
        <v>964.29999999999984</v>
      </c>
    </row>
    <row r="30" spans="1:17">
      <c r="A30" s="102">
        <v>2007</v>
      </c>
      <c r="B30" s="102">
        <v>34.700000000000003</v>
      </c>
      <c r="C30" s="102">
        <v>36.4</v>
      </c>
      <c r="D30" s="102">
        <v>28.5</v>
      </c>
      <c r="E30" s="102">
        <v>128.80000000000001</v>
      </c>
      <c r="F30" s="102">
        <v>142.69999999999999</v>
      </c>
      <c r="G30" s="102">
        <v>165.5</v>
      </c>
      <c r="H30" s="102">
        <v>197.8</v>
      </c>
      <c r="I30" s="102">
        <v>169.1</v>
      </c>
      <c r="J30" s="102">
        <v>98.1</v>
      </c>
      <c r="K30" s="102">
        <v>10.4</v>
      </c>
      <c r="L30" s="102">
        <v>1.4</v>
      </c>
      <c r="M30" s="102">
        <v>25.6</v>
      </c>
      <c r="N30" s="102">
        <f t="shared" si="1"/>
        <v>228.4</v>
      </c>
      <c r="O30" s="102">
        <f t="shared" si="2"/>
        <v>773.2</v>
      </c>
      <c r="P30" s="102">
        <f t="shared" si="3"/>
        <v>37.400000000000006</v>
      </c>
      <c r="Q30" s="102">
        <f t="shared" si="4"/>
        <v>1039</v>
      </c>
    </row>
    <row r="31" spans="1:17">
      <c r="A31" s="102">
        <v>2008</v>
      </c>
      <c r="B31" s="102">
        <v>16.600000000000001</v>
      </c>
      <c r="C31" s="102">
        <v>16.8</v>
      </c>
      <c r="D31" s="102">
        <v>93.7</v>
      </c>
      <c r="E31" s="102">
        <v>60.9</v>
      </c>
      <c r="F31" s="102">
        <v>137.80000000000001</v>
      </c>
      <c r="G31" s="102">
        <v>71.3</v>
      </c>
      <c r="H31" s="102">
        <v>192.9</v>
      </c>
      <c r="I31" s="102">
        <v>127.7</v>
      </c>
      <c r="J31" s="102">
        <v>58</v>
      </c>
      <c r="K31" s="102">
        <v>101.4</v>
      </c>
      <c r="L31" s="102">
        <v>142.69999999999999</v>
      </c>
      <c r="M31" s="102">
        <v>17.5</v>
      </c>
      <c r="N31" s="102">
        <f t="shared" si="1"/>
        <v>188</v>
      </c>
      <c r="O31" s="102">
        <f t="shared" si="2"/>
        <v>587.70000000000005</v>
      </c>
      <c r="P31" s="102">
        <f t="shared" si="3"/>
        <v>261.60000000000002</v>
      </c>
      <c r="Q31" s="102">
        <f t="shared" si="4"/>
        <v>1037.3</v>
      </c>
    </row>
    <row r="32" spans="1:17">
      <c r="A32" s="102">
        <v>2009</v>
      </c>
      <c r="B32" s="102">
        <v>16.2</v>
      </c>
      <c r="C32" s="102">
        <v>70.400000000000006</v>
      </c>
      <c r="D32" s="102">
        <v>35.5</v>
      </c>
      <c r="E32" s="102">
        <v>190.9</v>
      </c>
      <c r="F32" s="102">
        <v>98.5</v>
      </c>
      <c r="G32" s="102">
        <v>243.3</v>
      </c>
      <c r="H32" s="102">
        <v>119.1</v>
      </c>
      <c r="I32" s="102">
        <v>24.2</v>
      </c>
      <c r="J32" s="102">
        <v>59.8</v>
      </c>
      <c r="K32" s="102">
        <v>47.7</v>
      </c>
      <c r="L32" s="102">
        <v>8.6999999999999993</v>
      </c>
      <c r="M32" s="102">
        <v>17.2</v>
      </c>
      <c r="N32" s="102">
        <f t="shared" si="1"/>
        <v>313</v>
      </c>
      <c r="O32" s="102">
        <f t="shared" si="2"/>
        <v>544.9</v>
      </c>
      <c r="P32" s="102">
        <f t="shared" si="3"/>
        <v>73.600000000000009</v>
      </c>
      <c r="Q32" s="102">
        <f t="shared" si="4"/>
        <v>931.50000000000011</v>
      </c>
    </row>
    <row r="33" spans="1:33">
      <c r="A33" s="102">
        <v>2010</v>
      </c>
      <c r="B33" s="102">
        <v>4</v>
      </c>
      <c r="C33" s="102">
        <v>4.0999999999999996</v>
      </c>
      <c r="D33" s="102">
        <v>45.8</v>
      </c>
      <c r="E33" s="102">
        <v>138.1</v>
      </c>
      <c r="F33" s="102">
        <v>168.6</v>
      </c>
      <c r="G33" s="102">
        <v>202.2</v>
      </c>
      <c r="H33" s="102">
        <v>57.7</v>
      </c>
      <c r="I33" s="102">
        <v>133.9</v>
      </c>
      <c r="J33" s="102">
        <v>129</v>
      </c>
      <c r="K33" s="102">
        <v>129.9</v>
      </c>
      <c r="L33" s="102">
        <v>23.1</v>
      </c>
      <c r="M33" s="102">
        <v>46.8</v>
      </c>
      <c r="N33" s="102">
        <f t="shared" si="1"/>
        <v>192</v>
      </c>
      <c r="O33" s="102">
        <f t="shared" si="2"/>
        <v>691.4</v>
      </c>
      <c r="P33" s="102">
        <f t="shared" si="3"/>
        <v>199.8</v>
      </c>
      <c r="Q33" s="102">
        <f t="shared" si="4"/>
        <v>1083.1999999999998</v>
      </c>
    </row>
    <row r="34" spans="1:33">
      <c r="A34" s="102">
        <v>2011</v>
      </c>
      <c r="B34" s="102">
        <v>24.8</v>
      </c>
      <c r="C34" s="102">
        <v>1.3</v>
      </c>
      <c r="D34" s="102">
        <v>46.8</v>
      </c>
      <c r="E34" s="102">
        <v>31.6</v>
      </c>
      <c r="F34" s="102">
        <v>78.2</v>
      </c>
      <c r="G34" s="102">
        <v>173.1</v>
      </c>
      <c r="H34" s="102">
        <v>16.5</v>
      </c>
      <c r="I34" s="102">
        <v>26.5</v>
      </c>
      <c r="J34" s="102">
        <v>94.7</v>
      </c>
      <c r="K34" s="102">
        <v>153</v>
      </c>
      <c r="L34" s="102">
        <v>47.4</v>
      </c>
      <c r="M34" s="102">
        <v>14.1</v>
      </c>
      <c r="N34" s="102">
        <f t="shared" si="1"/>
        <v>104.5</v>
      </c>
      <c r="O34" s="102">
        <f t="shared" si="2"/>
        <v>389</v>
      </c>
      <c r="P34" s="102">
        <f t="shared" si="3"/>
        <v>214.5</v>
      </c>
      <c r="Q34" s="102">
        <f t="shared" si="4"/>
        <v>708</v>
      </c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</row>
    <row r="35" spans="1:33">
      <c r="A35" s="102">
        <v>2012</v>
      </c>
      <c r="B35" s="102">
        <v>21.7</v>
      </c>
      <c r="C35" s="102">
        <v>15.3</v>
      </c>
      <c r="D35" s="102">
        <v>62.5</v>
      </c>
      <c r="E35" s="102">
        <v>58.2</v>
      </c>
      <c r="F35" s="102">
        <v>214</v>
      </c>
      <c r="G35" s="102">
        <v>141.6</v>
      </c>
      <c r="H35" s="102">
        <v>210.2</v>
      </c>
      <c r="I35" s="102">
        <v>37.9</v>
      </c>
      <c r="J35" s="102">
        <v>120.8</v>
      </c>
      <c r="K35" s="102">
        <v>67.2</v>
      </c>
      <c r="L35" s="102">
        <v>42.9</v>
      </c>
      <c r="M35" s="102">
        <v>10</v>
      </c>
      <c r="N35" s="102">
        <f t="shared" si="1"/>
        <v>157.69999999999999</v>
      </c>
      <c r="O35" s="102">
        <f t="shared" si="2"/>
        <v>724.49999999999989</v>
      </c>
      <c r="P35" s="102">
        <f t="shared" si="3"/>
        <v>120.1</v>
      </c>
      <c r="Q35" s="102">
        <f t="shared" si="4"/>
        <v>1002.3</v>
      </c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</row>
    <row r="36" spans="1:33">
      <c r="A36" s="102">
        <v>2013</v>
      </c>
      <c r="B36" s="102">
        <v>2.8</v>
      </c>
      <c r="C36" s="102">
        <v>24.9</v>
      </c>
      <c r="D36" s="102">
        <v>58.9</v>
      </c>
      <c r="E36" s="102">
        <v>108.1</v>
      </c>
      <c r="F36" s="102">
        <v>156.69999999999999</v>
      </c>
      <c r="G36" s="102">
        <v>97.6</v>
      </c>
      <c r="H36" s="102">
        <v>3.7</v>
      </c>
      <c r="I36" s="102">
        <v>91.6</v>
      </c>
      <c r="J36" s="102">
        <v>170.2</v>
      </c>
      <c r="K36" s="102">
        <v>82.7</v>
      </c>
      <c r="L36" s="102">
        <v>41.2</v>
      </c>
      <c r="M36" s="102">
        <v>32.700000000000003</v>
      </c>
      <c r="N36" s="102">
        <f t="shared" si="1"/>
        <v>194.7</v>
      </c>
      <c r="O36" s="102">
        <f t="shared" si="2"/>
        <v>519.79999999999995</v>
      </c>
      <c r="P36" s="102">
        <f t="shared" si="3"/>
        <v>156.60000000000002</v>
      </c>
      <c r="Q36" s="102">
        <f t="shared" si="4"/>
        <v>871.10000000000014</v>
      </c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</row>
    <row r="37" spans="1:33">
      <c r="A37" s="102">
        <v>2014</v>
      </c>
      <c r="B37" s="128">
        <v>8.1</v>
      </c>
      <c r="C37" s="128">
        <v>36.700000000000003</v>
      </c>
      <c r="D37" s="128">
        <v>54.8</v>
      </c>
      <c r="E37" s="128">
        <v>93.1</v>
      </c>
      <c r="F37" s="128">
        <v>188.3</v>
      </c>
      <c r="G37" s="128">
        <v>95.5</v>
      </c>
      <c r="H37" s="128">
        <v>283.10000000000002</v>
      </c>
      <c r="I37" s="128">
        <v>150.9</v>
      </c>
      <c r="J37" s="128">
        <v>74.099999999999994</v>
      </c>
      <c r="K37" s="128">
        <v>119.6</v>
      </c>
      <c r="L37" s="128">
        <v>58.8</v>
      </c>
      <c r="M37" s="128">
        <v>5.2</v>
      </c>
      <c r="N37" s="102">
        <f t="shared" si="1"/>
        <v>192.7</v>
      </c>
      <c r="O37" s="102">
        <f t="shared" si="2"/>
        <v>791.90000000000009</v>
      </c>
      <c r="P37" s="102">
        <f t="shared" si="3"/>
        <v>183.59999999999997</v>
      </c>
      <c r="Q37" s="102">
        <f t="shared" si="4"/>
        <v>1168.2</v>
      </c>
    </row>
    <row r="38" spans="1:33">
      <c r="A38" s="102">
        <v>2015</v>
      </c>
      <c r="B38" s="128">
        <v>40.5</v>
      </c>
      <c r="C38" s="128">
        <v>31.1</v>
      </c>
      <c r="D38" s="128">
        <v>24.4</v>
      </c>
      <c r="E38" s="128">
        <v>115.2</v>
      </c>
      <c r="F38" s="128">
        <v>190.3</v>
      </c>
      <c r="G38" s="128">
        <v>275.8</v>
      </c>
      <c r="H38" s="128">
        <v>83</v>
      </c>
      <c r="I38" s="128">
        <v>108.4</v>
      </c>
      <c r="J38" s="128">
        <v>104.1</v>
      </c>
      <c r="K38" s="128">
        <v>77.2</v>
      </c>
      <c r="L38" s="128">
        <v>35.4</v>
      </c>
      <c r="M38" s="128">
        <v>68.400000000000006</v>
      </c>
      <c r="N38" s="102">
        <f t="shared" si="1"/>
        <v>211.2</v>
      </c>
      <c r="O38" s="102">
        <f t="shared" si="2"/>
        <v>761.6</v>
      </c>
      <c r="P38" s="102">
        <f t="shared" si="3"/>
        <v>181</v>
      </c>
      <c r="Q38" s="102">
        <f t="shared" si="4"/>
        <v>1153.8000000000002</v>
      </c>
    </row>
    <row r="39" spans="1:33" ht="13.5">
      <c r="A39" s="102">
        <v>2016</v>
      </c>
      <c r="B39" s="128">
        <v>31</v>
      </c>
      <c r="C39" s="128">
        <v>10.3</v>
      </c>
      <c r="D39" s="128">
        <v>99.4</v>
      </c>
      <c r="E39" s="128">
        <v>214.5</v>
      </c>
      <c r="F39" s="128">
        <v>136.1</v>
      </c>
      <c r="G39" s="128">
        <v>192.3</v>
      </c>
      <c r="H39" s="128">
        <v>127.9</v>
      </c>
      <c r="I39" s="128">
        <v>153.9</v>
      </c>
      <c r="J39" s="128">
        <v>17.600000000000001</v>
      </c>
      <c r="K39" s="128">
        <v>87.6</v>
      </c>
      <c r="L39" s="128">
        <v>21.7</v>
      </c>
      <c r="M39" s="128">
        <v>19.399999999999999</v>
      </c>
      <c r="N39" s="102">
        <f>SUM(B39:E39)</f>
        <v>355.2</v>
      </c>
      <c r="O39" s="102">
        <f>SUM(F39:J39)</f>
        <v>627.79999999999995</v>
      </c>
      <c r="P39" s="102">
        <f>SUM(K39:M39)</f>
        <v>128.69999999999999</v>
      </c>
      <c r="Q39" s="102">
        <f>SUM(B39:M39)</f>
        <v>1111.7</v>
      </c>
      <c r="R39" s="129">
        <f t="shared" ref="R39:AG39" si="5">100*(B39-B4)/B4</f>
        <v>9.7116685749973914</v>
      </c>
      <c r="S39" s="129">
        <f t="shared" si="5"/>
        <v>-67.456556082148495</v>
      </c>
      <c r="T39" s="129">
        <f t="shared" si="5"/>
        <v>97.279785184752782</v>
      </c>
      <c r="U39" s="129">
        <f t="shared" si="5"/>
        <v>129.23869994342115</v>
      </c>
      <c r="V39" s="129">
        <f t="shared" si="5"/>
        <v>-17.85048554030783</v>
      </c>
      <c r="W39" s="129">
        <f t="shared" si="5"/>
        <v>4.9503996918039057</v>
      </c>
      <c r="X39" s="129">
        <f t="shared" si="5"/>
        <v>-16.161869324644762</v>
      </c>
      <c r="Y39" s="129">
        <f t="shared" si="5"/>
        <v>24.850277969984006</v>
      </c>
      <c r="Z39" s="129">
        <f t="shared" si="5"/>
        <v>-81.035684857704268</v>
      </c>
      <c r="AA39" s="129">
        <f t="shared" si="5"/>
        <v>-2.9141404263641655</v>
      </c>
      <c r="AB39" s="129">
        <f t="shared" si="5"/>
        <v>-50.047393364928929</v>
      </c>
      <c r="AC39" s="129">
        <f t="shared" si="5"/>
        <v>-17.683763883689021</v>
      </c>
      <c r="AD39" s="129">
        <f t="shared" si="5"/>
        <v>74.23571335824451</v>
      </c>
      <c r="AE39" s="129">
        <f t="shared" si="5"/>
        <v>-12.505687384459023</v>
      </c>
      <c r="AF39" s="129">
        <f t="shared" si="5"/>
        <v>-18.149679205402098</v>
      </c>
      <c r="AG39" s="129">
        <f t="shared" si="5"/>
        <v>3.0657013920133007</v>
      </c>
    </row>
  </sheetData>
  <mergeCells count="6">
    <mergeCell ref="A1:A3"/>
    <mergeCell ref="B1:Q1"/>
    <mergeCell ref="B2:M2"/>
    <mergeCell ref="R1:AG1"/>
    <mergeCell ref="N2:Q2"/>
    <mergeCell ref="R2:AG2"/>
  </mergeCells>
  <phoneticPr fontId="2" type="noConversion"/>
  <pageMargins left="0.75" right="0.75" top="1" bottom="1" header="0.5" footer="0.5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>
  <sheetPr codeName="Sheet51"/>
  <dimension ref="A1:AG64"/>
  <sheetViews>
    <sheetView zoomScale="85" zoomScaleNormal="85" workbookViewId="0">
      <pane ySplit="5" topLeftCell="A6" activePane="bottomLeft" state="frozen"/>
      <selection pane="bottomLeft" activeCell="R66" sqref="R66"/>
    </sheetView>
  </sheetViews>
  <sheetFormatPr defaultRowHeight="12"/>
  <cols>
    <col min="1" max="39" width="7.125" style="102" customWidth="1"/>
    <col min="40" max="16384" width="9" style="102"/>
  </cols>
  <sheetData>
    <row r="1" spans="1:33" s="118" customFormat="1" ht="14.25" customHeight="1">
      <c r="A1" s="176" t="s">
        <v>53</v>
      </c>
      <c r="B1" s="176" t="s">
        <v>247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2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93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32</v>
      </c>
      <c r="O2" s="176"/>
      <c r="P2" s="176"/>
      <c r="Q2" s="176"/>
      <c r="R2" s="176" t="s">
        <v>38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 ht="24">
      <c r="A3" s="176"/>
      <c r="B3" s="138" t="s">
        <v>248</v>
      </c>
      <c r="C3" s="138" t="s">
        <v>249</v>
      </c>
      <c r="D3" s="138" t="s">
        <v>9</v>
      </c>
      <c r="E3" s="138" t="s">
        <v>10</v>
      </c>
      <c r="F3" s="138" t="s">
        <v>11</v>
      </c>
      <c r="G3" s="138" t="s">
        <v>12</v>
      </c>
      <c r="H3" s="138" t="s">
        <v>13</v>
      </c>
      <c r="I3" s="138" t="s">
        <v>14</v>
      </c>
      <c r="J3" s="138" t="s">
        <v>15</v>
      </c>
      <c r="K3" s="138" t="s">
        <v>16</v>
      </c>
      <c r="L3" s="138" t="s">
        <v>17</v>
      </c>
      <c r="M3" s="138" t="s">
        <v>18</v>
      </c>
      <c r="N3" s="138" t="s">
        <v>250</v>
      </c>
      <c r="O3" s="138" t="s">
        <v>251</v>
      </c>
      <c r="P3" s="138" t="s">
        <v>252</v>
      </c>
      <c r="Q3" s="138" t="s">
        <v>253</v>
      </c>
      <c r="R3" s="138" t="s">
        <v>248</v>
      </c>
      <c r="S3" s="138" t="s">
        <v>249</v>
      </c>
      <c r="T3" s="138" t="s">
        <v>254</v>
      </c>
      <c r="U3" s="138" t="s">
        <v>255</v>
      </c>
      <c r="V3" s="138" t="s">
        <v>256</v>
      </c>
      <c r="W3" s="138" t="s">
        <v>257</v>
      </c>
      <c r="X3" s="138" t="s">
        <v>25</v>
      </c>
      <c r="Y3" s="138" t="s">
        <v>26</v>
      </c>
      <c r="Z3" s="138" t="s">
        <v>27</v>
      </c>
      <c r="AA3" s="138" t="s">
        <v>258</v>
      </c>
      <c r="AB3" s="138" t="s">
        <v>259</v>
      </c>
      <c r="AC3" s="138" t="s">
        <v>260</v>
      </c>
      <c r="AD3" s="138" t="s">
        <v>230</v>
      </c>
      <c r="AE3" s="138" t="s">
        <v>42</v>
      </c>
      <c r="AF3" s="138" t="s">
        <v>231</v>
      </c>
      <c r="AG3" s="138" t="s">
        <v>66</v>
      </c>
    </row>
    <row r="4" spans="1:33" s="118" customFormat="1">
      <c r="A4" s="150" t="s">
        <v>261</v>
      </c>
      <c r="B4" s="150">
        <f t="shared" ref="B4:Q4" si="0">AVERAGE(B5:B63)</f>
        <v>24.210169491525409</v>
      </c>
      <c r="C4" s="150">
        <f t="shared" si="0"/>
        <v>29.220338983050851</v>
      </c>
      <c r="D4" s="150">
        <f t="shared" si="0"/>
        <v>50.313559322033896</v>
      </c>
      <c r="E4" s="150">
        <f t="shared" si="0"/>
        <v>104.56779661016954</v>
      </c>
      <c r="F4" s="150">
        <f t="shared" si="0"/>
        <v>165.62203389830506</v>
      </c>
      <c r="G4" s="150">
        <f t="shared" si="0"/>
        <v>173.99999999999991</v>
      </c>
      <c r="H4" s="150">
        <f t="shared" si="0"/>
        <v>130.19152542372885</v>
      </c>
      <c r="I4" s="150">
        <f t="shared" si="0"/>
        <v>101.79999999999998</v>
      </c>
      <c r="J4" s="150">
        <f t="shared" si="0"/>
        <v>82.371186440678002</v>
      </c>
      <c r="K4" s="150">
        <f t="shared" si="0"/>
        <v>85.081355932203365</v>
      </c>
      <c r="L4" s="150">
        <f t="shared" si="0"/>
        <v>46.972881355932188</v>
      </c>
      <c r="M4" s="150">
        <f t="shared" si="0"/>
        <v>22.262711864406771</v>
      </c>
      <c r="N4" s="150">
        <f t="shared" si="0"/>
        <v>208.31186440677965</v>
      </c>
      <c r="O4" s="150">
        <f t="shared" si="0"/>
        <v>653.98474576271224</v>
      </c>
      <c r="P4" s="150">
        <f t="shared" si="0"/>
        <v>154.31694915254238</v>
      </c>
      <c r="Q4" s="150">
        <f t="shared" si="0"/>
        <v>1016.6135593220339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1956</v>
      </c>
      <c r="B5" s="102">
        <v>25.1</v>
      </c>
      <c r="C5" s="102">
        <v>25.7</v>
      </c>
      <c r="D5" s="102">
        <v>27</v>
      </c>
      <c r="E5" s="102">
        <v>69.3</v>
      </c>
      <c r="F5" s="102">
        <v>193.5</v>
      </c>
      <c r="G5" s="102">
        <v>218.3</v>
      </c>
      <c r="H5" s="102">
        <v>123.9</v>
      </c>
      <c r="I5" s="102">
        <v>111.6</v>
      </c>
      <c r="J5" s="102">
        <v>82.9</v>
      </c>
      <c r="K5" s="102">
        <v>46.1</v>
      </c>
      <c r="L5" s="102">
        <v>67.900000000000006</v>
      </c>
      <c r="M5" s="102">
        <v>4.3</v>
      </c>
      <c r="N5" s="102">
        <f>SUM(B5:E5)</f>
        <v>147.1</v>
      </c>
      <c r="O5" s="102">
        <f>SUM(F5:J5)</f>
        <v>730.2</v>
      </c>
      <c r="P5" s="102">
        <f>SUM(K5:M5)</f>
        <v>118.3</v>
      </c>
      <c r="Q5" s="102">
        <f>SUM(B5:M5)</f>
        <v>995.6</v>
      </c>
    </row>
    <row r="6" spans="1:33">
      <c r="A6" s="102">
        <v>1957</v>
      </c>
      <c r="B6" s="102">
        <v>54.7</v>
      </c>
      <c r="C6" s="102">
        <v>41.7</v>
      </c>
      <c r="D6" s="102">
        <v>46.1</v>
      </c>
      <c r="E6" s="102">
        <v>121.1</v>
      </c>
      <c r="F6" s="102">
        <v>229.7</v>
      </c>
      <c r="G6" s="102">
        <v>203.4</v>
      </c>
      <c r="H6" s="102">
        <v>188.5</v>
      </c>
      <c r="I6" s="102">
        <v>127.6</v>
      </c>
      <c r="J6" s="102">
        <v>69.7</v>
      </c>
      <c r="K6" s="102">
        <v>59.7</v>
      </c>
      <c r="L6" s="102">
        <v>96.7</v>
      </c>
      <c r="M6" s="102">
        <v>42.6</v>
      </c>
      <c r="N6" s="102">
        <f t="shared" ref="N6:N63" si="1">SUM(B6:E6)</f>
        <v>263.60000000000002</v>
      </c>
      <c r="O6" s="102">
        <f t="shared" ref="O6:O63" si="2">SUM(F6:J6)</f>
        <v>818.90000000000009</v>
      </c>
      <c r="P6" s="102">
        <f t="shared" ref="P6:P63" si="3">SUM(K6:M6)</f>
        <v>199</v>
      </c>
      <c r="Q6" s="102">
        <f t="shared" ref="Q6:Q63" si="4">SUM(B6:M6)</f>
        <v>1281.5</v>
      </c>
    </row>
    <row r="7" spans="1:33">
      <c r="A7" s="102">
        <v>1958</v>
      </c>
      <c r="B7" s="102">
        <v>23.2</v>
      </c>
      <c r="C7" s="102">
        <v>32.200000000000003</v>
      </c>
      <c r="D7" s="102">
        <v>18.8</v>
      </c>
      <c r="E7" s="102">
        <v>73</v>
      </c>
      <c r="F7" s="102">
        <v>238.7</v>
      </c>
      <c r="G7" s="102">
        <v>97.3</v>
      </c>
      <c r="H7" s="102">
        <v>169.5</v>
      </c>
      <c r="I7" s="102">
        <v>103.4</v>
      </c>
      <c r="J7" s="102">
        <v>191.6</v>
      </c>
      <c r="K7" s="102">
        <v>77.599999999999994</v>
      </c>
      <c r="L7" s="102">
        <v>9.8000000000000007</v>
      </c>
      <c r="M7" s="102">
        <v>10</v>
      </c>
      <c r="N7" s="102">
        <f t="shared" si="1"/>
        <v>147.19999999999999</v>
      </c>
      <c r="O7" s="102">
        <f t="shared" si="2"/>
        <v>800.5</v>
      </c>
      <c r="P7" s="102">
        <f t="shared" si="3"/>
        <v>97.399999999999991</v>
      </c>
      <c r="Q7" s="102">
        <f t="shared" si="4"/>
        <v>1045.0999999999999</v>
      </c>
    </row>
    <row r="8" spans="1:33">
      <c r="A8" s="102">
        <v>1959</v>
      </c>
      <c r="B8" s="102">
        <v>24.3</v>
      </c>
      <c r="C8" s="102">
        <v>74.099999999999994</v>
      </c>
      <c r="D8" s="102">
        <v>90.4</v>
      </c>
      <c r="E8" s="102">
        <v>92.6</v>
      </c>
      <c r="F8" s="102">
        <v>263.2</v>
      </c>
      <c r="G8" s="102">
        <v>209.4</v>
      </c>
      <c r="H8" s="102">
        <v>98.1</v>
      </c>
      <c r="I8" s="102">
        <v>65.900000000000006</v>
      </c>
      <c r="J8" s="102">
        <v>142.5</v>
      </c>
      <c r="K8" s="102">
        <v>59.9</v>
      </c>
      <c r="L8" s="102">
        <v>53.3</v>
      </c>
      <c r="M8" s="102">
        <v>23.3</v>
      </c>
      <c r="N8" s="102">
        <f t="shared" si="1"/>
        <v>281.39999999999998</v>
      </c>
      <c r="O8" s="102">
        <f t="shared" si="2"/>
        <v>779.1</v>
      </c>
      <c r="P8" s="102">
        <f t="shared" si="3"/>
        <v>136.5</v>
      </c>
      <c r="Q8" s="102">
        <f t="shared" si="4"/>
        <v>1197</v>
      </c>
    </row>
    <row r="9" spans="1:33">
      <c r="A9" s="102">
        <v>1960</v>
      </c>
      <c r="B9" s="102">
        <v>11.5</v>
      </c>
      <c r="C9" s="102">
        <v>53.4</v>
      </c>
      <c r="D9" s="102">
        <v>36.4</v>
      </c>
      <c r="E9" s="102">
        <v>75.8</v>
      </c>
      <c r="F9" s="102">
        <v>232.3</v>
      </c>
      <c r="G9" s="102">
        <v>143.5</v>
      </c>
      <c r="H9" s="102">
        <v>127.2</v>
      </c>
      <c r="I9" s="102">
        <v>69</v>
      </c>
      <c r="J9" s="102">
        <v>15.7</v>
      </c>
      <c r="K9" s="102">
        <v>42</v>
      </c>
      <c r="L9" s="102">
        <v>40.700000000000003</v>
      </c>
      <c r="M9" s="102">
        <v>4.5999999999999996</v>
      </c>
      <c r="N9" s="102">
        <f t="shared" si="1"/>
        <v>177.10000000000002</v>
      </c>
      <c r="O9" s="102">
        <f t="shared" si="2"/>
        <v>587.70000000000005</v>
      </c>
      <c r="P9" s="102">
        <f t="shared" si="3"/>
        <v>87.3</v>
      </c>
      <c r="Q9" s="102">
        <f t="shared" si="4"/>
        <v>852.10000000000025</v>
      </c>
    </row>
    <row r="10" spans="1:33">
      <c r="A10" s="102">
        <v>1961</v>
      </c>
      <c r="B10" s="102">
        <v>6.6</v>
      </c>
      <c r="C10" s="102">
        <v>25.6</v>
      </c>
      <c r="D10" s="102">
        <v>79.5</v>
      </c>
      <c r="E10" s="102">
        <v>127.8</v>
      </c>
      <c r="F10" s="102">
        <v>171.4</v>
      </c>
      <c r="G10" s="102">
        <v>46.1</v>
      </c>
      <c r="H10" s="102">
        <v>90.3</v>
      </c>
      <c r="I10" s="102">
        <v>137.5</v>
      </c>
      <c r="J10" s="102">
        <v>80.7</v>
      </c>
      <c r="K10" s="102">
        <v>154.4</v>
      </c>
      <c r="L10" s="102">
        <v>82</v>
      </c>
      <c r="M10" s="102">
        <v>59.3</v>
      </c>
      <c r="N10" s="102">
        <f t="shared" si="1"/>
        <v>239.5</v>
      </c>
      <c r="O10" s="102">
        <f t="shared" si="2"/>
        <v>526</v>
      </c>
      <c r="P10" s="102">
        <f t="shared" si="3"/>
        <v>295.7</v>
      </c>
      <c r="Q10" s="102">
        <f t="shared" si="4"/>
        <v>1061.2</v>
      </c>
    </row>
    <row r="11" spans="1:33">
      <c r="A11" s="102">
        <v>1962</v>
      </c>
      <c r="B11" s="102">
        <v>20.6</v>
      </c>
      <c r="C11" s="102">
        <v>7.1</v>
      </c>
      <c r="D11" s="102">
        <v>51.7</v>
      </c>
      <c r="E11" s="102">
        <v>146.69999999999999</v>
      </c>
      <c r="F11" s="102">
        <v>148.9</v>
      </c>
      <c r="G11" s="102">
        <v>235.4</v>
      </c>
      <c r="H11" s="102">
        <v>78.400000000000006</v>
      </c>
      <c r="I11" s="102">
        <v>157.1</v>
      </c>
      <c r="J11" s="102">
        <v>25.4</v>
      </c>
      <c r="K11" s="102">
        <v>100.9</v>
      </c>
      <c r="L11" s="102">
        <v>19.3</v>
      </c>
      <c r="M11" s="102">
        <v>37.5</v>
      </c>
      <c r="N11" s="102">
        <f t="shared" si="1"/>
        <v>226.1</v>
      </c>
      <c r="O11" s="102">
        <f t="shared" si="2"/>
        <v>645.20000000000005</v>
      </c>
      <c r="P11" s="102">
        <f t="shared" si="3"/>
        <v>157.69999999999999</v>
      </c>
      <c r="Q11" s="102">
        <f t="shared" si="4"/>
        <v>1029</v>
      </c>
    </row>
    <row r="12" spans="1:33">
      <c r="A12" s="102">
        <v>1963</v>
      </c>
      <c r="B12" s="102">
        <v>5.2</v>
      </c>
      <c r="C12" s="102">
        <v>21.5</v>
      </c>
      <c r="D12" s="102">
        <v>24</v>
      </c>
      <c r="E12" s="102">
        <v>62.6</v>
      </c>
      <c r="F12" s="102">
        <v>135.80000000000001</v>
      </c>
      <c r="G12" s="102">
        <v>50.2</v>
      </c>
      <c r="H12" s="102">
        <v>239</v>
      </c>
      <c r="I12" s="102">
        <v>29.7</v>
      </c>
      <c r="J12" s="102">
        <v>51.4</v>
      </c>
      <c r="K12" s="102">
        <v>113.4</v>
      </c>
      <c r="L12" s="102">
        <v>211.1</v>
      </c>
      <c r="M12" s="102">
        <v>33.299999999999997</v>
      </c>
      <c r="N12" s="102">
        <f t="shared" si="1"/>
        <v>113.30000000000001</v>
      </c>
      <c r="O12" s="102">
        <f t="shared" si="2"/>
        <v>506.09999999999997</v>
      </c>
      <c r="P12" s="102">
        <f t="shared" si="3"/>
        <v>357.8</v>
      </c>
      <c r="Q12" s="102">
        <f t="shared" si="4"/>
        <v>977.19999999999993</v>
      </c>
    </row>
    <row r="13" spans="1:33">
      <c r="A13" s="102">
        <v>1964</v>
      </c>
      <c r="B13" s="102">
        <v>20.3</v>
      </c>
      <c r="C13" s="102">
        <v>30.3</v>
      </c>
      <c r="D13" s="102">
        <v>60.1</v>
      </c>
      <c r="E13" s="102">
        <v>257.39999999999998</v>
      </c>
      <c r="F13" s="102">
        <v>84.2</v>
      </c>
      <c r="G13" s="102">
        <v>149.5</v>
      </c>
      <c r="H13" s="102">
        <v>73</v>
      </c>
      <c r="I13" s="102">
        <v>69.2</v>
      </c>
      <c r="J13" s="102">
        <v>66.8</v>
      </c>
      <c r="K13" s="102">
        <v>107.3</v>
      </c>
      <c r="L13" s="102">
        <v>11.9</v>
      </c>
      <c r="M13" s="102">
        <v>25.1</v>
      </c>
      <c r="N13" s="102">
        <f t="shared" si="1"/>
        <v>368.09999999999997</v>
      </c>
      <c r="O13" s="102">
        <f t="shared" si="2"/>
        <v>442.7</v>
      </c>
      <c r="P13" s="102">
        <f t="shared" si="3"/>
        <v>144.30000000000001</v>
      </c>
      <c r="Q13" s="102">
        <f t="shared" si="4"/>
        <v>955.09999999999991</v>
      </c>
    </row>
    <row r="14" spans="1:33">
      <c r="A14" s="102">
        <v>1966</v>
      </c>
      <c r="B14" s="102">
        <v>6.3</v>
      </c>
      <c r="C14" s="102">
        <v>30.4</v>
      </c>
      <c r="D14" s="102">
        <v>23.6</v>
      </c>
      <c r="E14" s="102">
        <v>126</v>
      </c>
      <c r="F14" s="102">
        <v>156.4</v>
      </c>
      <c r="G14" s="102">
        <v>86.4</v>
      </c>
      <c r="H14" s="102">
        <v>138.80000000000001</v>
      </c>
      <c r="I14" s="102">
        <v>25.8</v>
      </c>
      <c r="J14" s="102">
        <v>43.5</v>
      </c>
      <c r="K14" s="102">
        <v>99.2</v>
      </c>
      <c r="L14" s="102">
        <v>5.3</v>
      </c>
      <c r="M14" s="102">
        <v>20.7</v>
      </c>
      <c r="N14" s="102">
        <f t="shared" si="1"/>
        <v>186.3</v>
      </c>
      <c r="O14" s="102">
        <f t="shared" si="2"/>
        <v>450.90000000000003</v>
      </c>
      <c r="P14" s="102">
        <f t="shared" si="3"/>
        <v>125.2</v>
      </c>
      <c r="Q14" s="102">
        <f t="shared" si="4"/>
        <v>762.40000000000009</v>
      </c>
    </row>
    <row r="15" spans="1:33">
      <c r="A15" s="102">
        <v>1967</v>
      </c>
      <c r="B15" s="102">
        <v>10.1</v>
      </c>
      <c r="C15" s="102">
        <v>57.6</v>
      </c>
      <c r="D15" s="102">
        <v>26.1</v>
      </c>
      <c r="E15" s="102">
        <v>140</v>
      </c>
      <c r="F15" s="102">
        <v>163.5</v>
      </c>
      <c r="G15" s="102">
        <v>235.1</v>
      </c>
      <c r="H15" s="102">
        <v>154.9</v>
      </c>
      <c r="I15" s="102">
        <v>244.7</v>
      </c>
      <c r="J15" s="102">
        <v>113.6</v>
      </c>
      <c r="K15" s="102">
        <v>53.9</v>
      </c>
      <c r="L15" s="102">
        <v>75.900000000000006</v>
      </c>
      <c r="M15" s="102">
        <v>22.9</v>
      </c>
      <c r="N15" s="102">
        <f t="shared" si="1"/>
        <v>233.8</v>
      </c>
      <c r="O15" s="102">
        <f t="shared" si="2"/>
        <v>911.80000000000007</v>
      </c>
      <c r="P15" s="102">
        <f t="shared" si="3"/>
        <v>152.70000000000002</v>
      </c>
      <c r="Q15" s="102">
        <f t="shared" si="4"/>
        <v>1298.3000000000002</v>
      </c>
    </row>
    <row r="16" spans="1:33">
      <c r="A16" s="102">
        <v>1968</v>
      </c>
      <c r="B16" s="102">
        <v>12.5</v>
      </c>
      <c r="C16" s="102">
        <v>25.7</v>
      </c>
      <c r="D16" s="102">
        <v>49.5</v>
      </c>
      <c r="E16" s="102">
        <v>105.1</v>
      </c>
      <c r="F16" s="102">
        <v>149.4</v>
      </c>
      <c r="G16" s="102">
        <v>220.5</v>
      </c>
      <c r="H16" s="102">
        <v>174.2</v>
      </c>
      <c r="I16" s="102">
        <v>128.4</v>
      </c>
      <c r="J16" s="102">
        <v>44.4</v>
      </c>
      <c r="K16" s="102">
        <v>48.4</v>
      </c>
      <c r="L16" s="102">
        <v>64.099999999999994</v>
      </c>
      <c r="M16" s="102">
        <v>23.1</v>
      </c>
      <c r="N16" s="102">
        <f t="shared" si="1"/>
        <v>192.8</v>
      </c>
      <c r="O16" s="102">
        <f t="shared" si="2"/>
        <v>716.89999999999986</v>
      </c>
      <c r="P16" s="102">
        <f t="shared" si="3"/>
        <v>135.6</v>
      </c>
      <c r="Q16" s="102">
        <f t="shared" si="4"/>
        <v>1045.3</v>
      </c>
    </row>
    <row r="17" spans="1:17">
      <c r="A17" s="102">
        <v>1969</v>
      </c>
      <c r="B17" s="102">
        <v>26.4</v>
      </c>
      <c r="C17" s="102">
        <v>4.7</v>
      </c>
      <c r="D17" s="102">
        <v>27.4</v>
      </c>
      <c r="E17" s="102">
        <v>30.4</v>
      </c>
      <c r="F17" s="102">
        <v>197.9</v>
      </c>
      <c r="G17" s="102">
        <v>202.7</v>
      </c>
      <c r="H17" s="102">
        <v>155.19999999999999</v>
      </c>
      <c r="I17" s="102">
        <v>53.9</v>
      </c>
      <c r="J17" s="102">
        <v>9.6</v>
      </c>
      <c r="K17" s="102">
        <v>196.7</v>
      </c>
      <c r="L17" s="102">
        <v>51.8</v>
      </c>
      <c r="M17" s="102">
        <v>0.4</v>
      </c>
      <c r="N17" s="102">
        <f t="shared" si="1"/>
        <v>88.9</v>
      </c>
      <c r="O17" s="102">
        <f t="shared" si="2"/>
        <v>619.29999999999995</v>
      </c>
      <c r="P17" s="102">
        <f t="shared" si="3"/>
        <v>248.9</v>
      </c>
      <c r="Q17" s="102">
        <f t="shared" si="4"/>
        <v>957.1</v>
      </c>
    </row>
    <row r="18" spans="1:17">
      <c r="A18" s="102">
        <v>1970</v>
      </c>
      <c r="B18" s="102">
        <v>31.5</v>
      </c>
      <c r="C18" s="102">
        <v>24.3</v>
      </c>
      <c r="D18" s="102">
        <v>77.8</v>
      </c>
      <c r="E18" s="102">
        <v>78.400000000000006</v>
      </c>
      <c r="F18" s="102">
        <v>143.80000000000001</v>
      </c>
      <c r="G18" s="102">
        <v>106.9</v>
      </c>
      <c r="H18" s="102">
        <v>146.80000000000001</v>
      </c>
      <c r="I18" s="102">
        <v>101</v>
      </c>
      <c r="J18" s="102">
        <v>79.8</v>
      </c>
      <c r="K18" s="102">
        <v>19</v>
      </c>
      <c r="L18" s="102">
        <v>49.7</v>
      </c>
      <c r="M18" s="102">
        <v>53.3</v>
      </c>
      <c r="N18" s="102">
        <f t="shared" si="1"/>
        <v>212</v>
      </c>
      <c r="O18" s="102">
        <f t="shared" si="2"/>
        <v>578.29999999999995</v>
      </c>
      <c r="P18" s="102">
        <f t="shared" si="3"/>
        <v>122</v>
      </c>
      <c r="Q18" s="102">
        <f t="shared" si="4"/>
        <v>912.3</v>
      </c>
    </row>
    <row r="19" spans="1:17">
      <c r="A19" s="102">
        <v>1971</v>
      </c>
      <c r="B19" s="102">
        <v>12.5</v>
      </c>
      <c r="C19" s="102">
        <v>25.3</v>
      </c>
      <c r="D19" s="102">
        <v>27.7</v>
      </c>
      <c r="E19" s="102">
        <v>99.3</v>
      </c>
      <c r="F19" s="102">
        <v>207.6</v>
      </c>
      <c r="G19" s="102">
        <v>289.39999999999998</v>
      </c>
      <c r="H19" s="102">
        <v>76.3</v>
      </c>
      <c r="I19" s="102">
        <v>205.9</v>
      </c>
      <c r="J19" s="102">
        <v>20.6</v>
      </c>
      <c r="K19" s="102">
        <v>77</v>
      </c>
      <c r="L19" s="102">
        <v>12.4</v>
      </c>
      <c r="M19" s="102">
        <v>48</v>
      </c>
      <c r="N19" s="102">
        <f t="shared" si="1"/>
        <v>164.8</v>
      </c>
      <c r="O19" s="102">
        <f t="shared" si="2"/>
        <v>799.8</v>
      </c>
      <c r="P19" s="102">
        <f t="shared" si="3"/>
        <v>137.4</v>
      </c>
      <c r="Q19" s="102">
        <f t="shared" si="4"/>
        <v>1102</v>
      </c>
    </row>
    <row r="20" spans="1:17">
      <c r="A20" s="102">
        <v>1972</v>
      </c>
      <c r="B20" s="102">
        <v>19.7</v>
      </c>
      <c r="C20" s="102">
        <v>23.2</v>
      </c>
      <c r="D20" s="102">
        <v>27</v>
      </c>
      <c r="E20" s="102">
        <v>129.80000000000001</v>
      </c>
      <c r="F20" s="102">
        <v>164</v>
      </c>
      <c r="G20" s="102">
        <v>168.1</v>
      </c>
      <c r="H20" s="102">
        <v>13.1</v>
      </c>
      <c r="I20" s="102">
        <v>50.6</v>
      </c>
      <c r="J20" s="102">
        <v>178.3</v>
      </c>
      <c r="K20" s="102">
        <v>148.69999999999999</v>
      </c>
      <c r="L20" s="102">
        <v>86.2</v>
      </c>
      <c r="M20" s="102">
        <v>33.200000000000003</v>
      </c>
      <c r="N20" s="102">
        <f t="shared" si="1"/>
        <v>199.70000000000002</v>
      </c>
      <c r="O20" s="102">
        <f t="shared" si="2"/>
        <v>574.10000000000014</v>
      </c>
      <c r="P20" s="102">
        <f t="shared" si="3"/>
        <v>268.09999999999997</v>
      </c>
      <c r="Q20" s="102">
        <f t="shared" si="4"/>
        <v>1041.9000000000003</v>
      </c>
    </row>
    <row r="21" spans="1:17">
      <c r="A21" s="102">
        <v>1973</v>
      </c>
      <c r="B21" s="102">
        <v>18.7</v>
      </c>
      <c r="C21" s="102">
        <v>36.799999999999997</v>
      </c>
      <c r="D21" s="102">
        <v>49.1</v>
      </c>
      <c r="E21" s="102">
        <v>111.4</v>
      </c>
      <c r="F21" s="102">
        <v>240.8</v>
      </c>
      <c r="G21" s="102">
        <v>174.2</v>
      </c>
      <c r="H21" s="102">
        <v>168.1</v>
      </c>
      <c r="I21" s="102">
        <v>203.9</v>
      </c>
      <c r="J21" s="102">
        <v>100</v>
      </c>
      <c r="K21" s="102">
        <v>44.4</v>
      </c>
      <c r="L21" s="102">
        <v>39.799999999999997</v>
      </c>
      <c r="M21" s="102">
        <v>6.7</v>
      </c>
      <c r="N21" s="102">
        <f t="shared" si="1"/>
        <v>216</v>
      </c>
      <c r="O21" s="102">
        <f t="shared" si="2"/>
        <v>887</v>
      </c>
      <c r="P21" s="102">
        <f t="shared" si="3"/>
        <v>90.899999999999991</v>
      </c>
      <c r="Q21" s="102">
        <f t="shared" si="4"/>
        <v>1193.9000000000001</v>
      </c>
    </row>
    <row r="22" spans="1:17">
      <c r="A22" s="102">
        <v>1974</v>
      </c>
      <c r="B22" s="102">
        <v>41.9</v>
      </c>
      <c r="C22" s="102">
        <v>4.5999999999999996</v>
      </c>
      <c r="D22" s="102">
        <v>45.9</v>
      </c>
      <c r="E22" s="102">
        <v>155.30000000000001</v>
      </c>
      <c r="F22" s="102">
        <v>172.7</v>
      </c>
      <c r="G22" s="102">
        <v>307.8</v>
      </c>
      <c r="H22" s="102">
        <v>104.4</v>
      </c>
      <c r="I22" s="102">
        <v>89.9</v>
      </c>
      <c r="J22" s="102">
        <v>49.4</v>
      </c>
      <c r="K22" s="102">
        <v>39.200000000000003</v>
      </c>
      <c r="L22" s="102">
        <v>9.1999999999999993</v>
      </c>
      <c r="M22" s="102">
        <v>19.2</v>
      </c>
      <c r="N22" s="102">
        <f t="shared" si="1"/>
        <v>247.70000000000002</v>
      </c>
      <c r="O22" s="102">
        <f t="shared" si="2"/>
        <v>724.19999999999993</v>
      </c>
      <c r="P22" s="102">
        <f t="shared" si="3"/>
        <v>67.600000000000009</v>
      </c>
      <c r="Q22" s="102">
        <f t="shared" si="4"/>
        <v>1039.5</v>
      </c>
    </row>
    <row r="23" spans="1:17">
      <c r="A23" s="102">
        <v>1975</v>
      </c>
      <c r="B23" s="102">
        <v>28</v>
      </c>
      <c r="C23" s="102">
        <v>13.2</v>
      </c>
      <c r="D23" s="102">
        <v>13.4</v>
      </c>
      <c r="E23" s="102">
        <v>183.8</v>
      </c>
      <c r="F23" s="102">
        <v>221.7</v>
      </c>
      <c r="G23" s="102">
        <v>142.6</v>
      </c>
      <c r="H23" s="102">
        <v>22.7</v>
      </c>
      <c r="I23" s="102">
        <v>81.7</v>
      </c>
      <c r="J23" s="102">
        <v>129</v>
      </c>
      <c r="K23" s="102">
        <v>30.5</v>
      </c>
      <c r="L23" s="102">
        <v>100.7</v>
      </c>
      <c r="M23" s="102">
        <v>3.2</v>
      </c>
      <c r="N23" s="102">
        <f t="shared" si="1"/>
        <v>238.4</v>
      </c>
      <c r="O23" s="102">
        <f t="shared" si="2"/>
        <v>597.69999999999993</v>
      </c>
      <c r="P23" s="102">
        <f t="shared" si="3"/>
        <v>134.39999999999998</v>
      </c>
      <c r="Q23" s="102">
        <f t="shared" si="4"/>
        <v>970.50000000000023</v>
      </c>
    </row>
    <row r="24" spans="1:17">
      <c r="A24" s="102">
        <v>1976</v>
      </c>
      <c r="B24" s="102">
        <v>37.6</v>
      </c>
      <c r="C24" s="102">
        <v>11.3</v>
      </c>
      <c r="D24" s="102">
        <v>39.6</v>
      </c>
      <c r="E24" s="102">
        <v>148.30000000000001</v>
      </c>
      <c r="F24" s="102">
        <v>202.2</v>
      </c>
      <c r="G24" s="102">
        <v>256.7</v>
      </c>
      <c r="H24" s="102">
        <v>135.6</v>
      </c>
      <c r="I24" s="102">
        <v>234</v>
      </c>
      <c r="J24" s="102">
        <v>41.2</v>
      </c>
      <c r="K24" s="102">
        <v>118.9</v>
      </c>
      <c r="L24" s="102">
        <v>69.5</v>
      </c>
      <c r="M24" s="102">
        <v>19.2</v>
      </c>
      <c r="N24" s="102">
        <f t="shared" si="1"/>
        <v>236.8</v>
      </c>
      <c r="O24" s="102">
        <f t="shared" si="2"/>
        <v>869.7</v>
      </c>
      <c r="P24" s="102">
        <f t="shared" si="3"/>
        <v>207.6</v>
      </c>
      <c r="Q24" s="102">
        <f t="shared" si="4"/>
        <v>1314.1000000000004</v>
      </c>
    </row>
    <row r="25" spans="1:17">
      <c r="A25" s="102">
        <v>1977</v>
      </c>
      <c r="B25" s="102">
        <v>23.1</v>
      </c>
      <c r="C25" s="102">
        <v>26.8</v>
      </c>
      <c r="D25" s="102">
        <v>42.4</v>
      </c>
      <c r="E25" s="102">
        <v>131.69999999999999</v>
      </c>
      <c r="F25" s="102">
        <v>233.9</v>
      </c>
      <c r="G25" s="102">
        <v>217.5</v>
      </c>
      <c r="H25" s="102">
        <v>108.4</v>
      </c>
      <c r="I25" s="102">
        <v>132.19999999999999</v>
      </c>
      <c r="J25" s="102">
        <v>109.2</v>
      </c>
      <c r="K25" s="102">
        <v>147.6</v>
      </c>
      <c r="L25" s="102">
        <v>40.1</v>
      </c>
      <c r="M25" s="102">
        <v>6.7</v>
      </c>
      <c r="N25" s="102">
        <f t="shared" si="1"/>
        <v>224</v>
      </c>
      <c r="O25" s="102">
        <f t="shared" si="2"/>
        <v>801.2</v>
      </c>
      <c r="P25" s="102">
        <f t="shared" si="3"/>
        <v>194.39999999999998</v>
      </c>
      <c r="Q25" s="102">
        <f t="shared" si="4"/>
        <v>1219.5999999999999</v>
      </c>
    </row>
    <row r="26" spans="1:17">
      <c r="A26" s="102">
        <v>1978</v>
      </c>
      <c r="B26" s="102">
        <v>46.7</v>
      </c>
      <c r="C26" s="102">
        <v>3.6</v>
      </c>
      <c r="D26" s="102">
        <v>35.5</v>
      </c>
      <c r="E26" s="102">
        <v>29.9</v>
      </c>
      <c r="F26" s="102">
        <v>229.3</v>
      </c>
      <c r="G26" s="102">
        <v>235.6</v>
      </c>
      <c r="H26" s="102">
        <v>30.3</v>
      </c>
      <c r="I26" s="102">
        <v>56.9</v>
      </c>
      <c r="J26" s="102">
        <v>136.80000000000001</v>
      </c>
      <c r="K26" s="102">
        <v>79.7</v>
      </c>
      <c r="L26" s="102">
        <v>98.5</v>
      </c>
      <c r="M26" s="102">
        <v>2.4</v>
      </c>
      <c r="N26" s="102">
        <f t="shared" si="1"/>
        <v>115.70000000000002</v>
      </c>
      <c r="O26" s="102">
        <f t="shared" si="2"/>
        <v>688.90000000000009</v>
      </c>
      <c r="P26" s="102">
        <f t="shared" si="3"/>
        <v>180.6</v>
      </c>
      <c r="Q26" s="102">
        <f t="shared" si="4"/>
        <v>985.19999999999993</v>
      </c>
    </row>
    <row r="27" spans="1:17">
      <c r="A27" s="102">
        <v>1979</v>
      </c>
      <c r="B27" s="102">
        <v>10.3</v>
      </c>
      <c r="C27" s="102">
        <v>39.4</v>
      </c>
      <c r="D27" s="102">
        <v>45.8</v>
      </c>
      <c r="E27" s="102">
        <v>77.599999999999994</v>
      </c>
      <c r="F27" s="102">
        <v>79.900000000000006</v>
      </c>
      <c r="G27" s="102">
        <v>247.8</v>
      </c>
      <c r="H27" s="102">
        <v>166</v>
      </c>
      <c r="I27" s="102">
        <v>111.5</v>
      </c>
      <c r="J27" s="102">
        <v>36.799999999999997</v>
      </c>
      <c r="K27" s="102">
        <v>36.4</v>
      </c>
      <c r="L27" s="102">
        <v>10.4</v>
      </c>
      <c r="M27" s="102">
        <v>13.8</v>
      </c>
      <c r="N27" s="102">
        <f t="shared" si="1"/>
        <v>173.1</v>
      </c>
      <c r="O27" s="102">
        <f t="shared" si="2"/>
        <v>642</v>
      </c>
      <c r="P27" s="102">
        <f t="shared" si="3"/>
        <v>60.599999999999994</v>
      </c>
      <c r="Q27" s="102">
        <f t="shared" si="4"/>
        <v>875.69999999999982</v>
      </c>
    </row>
    <row r="28" spans="1:17">
      <c r="A28" s="102">
        <v>1980</v>
      </c>
      <c r="B28" s="102">
        <v>38.5</v>
      </c>
      <c r="C28" s="102">
        <v>25.3</v>
      </c>
      <c r="D28" s="102">
        <v>68</v>
      </c>
      <c r="E28" s="102">
        <v>98.1</v>
      </c>
      <c r="F28" s="102">
        <v>203.7</v>
      </c>
      <c r="G28" s="102">
        <v>189.5</v>
      </c>
      <c r="H28" s="102">
        <v>213.7</v>
      </c>
      <c r="I28" s="102">
        <v>128.6</v>
      </c>
      <c r="J28" s="102">
        <v>28.7</v>
      </c>
      <c r="K28" s="102">
        <v>127.2</v>
      </c>
      <c r="L28" s="102">
        <v>54.9</v>
      </c>
      <c r="M28" s="102">
        <v>16.399999999999999</v>
      </c>
      <c r="N28" s="102">
        <f t="shared" si="1"/>
        <v>229.9</v>
      </c>
      <c r="O28" s="102">
        <f t="shared" si="2"/>
        <v>764.2</v>
      </c>
      <c r="P28" s="102">
        <f t="shared" si="3"/>
        <v>198.5</v>
      </c>
      <c r="Q28" s="102">
        <f t="shared" si="4"/>
        <v>1192.6000000000001</v>
      </c>
    </row>
    <row r="29" spans="1:17">
      <c r="A29" s="102">
        <v>1981</v>
      </c>
      <c r="B29" s="102">
        <v>34</v>
      </c>
      <c r="C29" s="102">
        <v>17.3</v>
      </c>
      <c r="D29" s="102">
        <v>44.2</v>
      </c>
      <c r="E29" s="102">
        <v>142.9</v>
      </c>
      <c r="F29" s="102">
        <v>189.6</v>
      </c>
      <c r="G29" s="102">
        <v>88.5</v>
      </c>
      <c r="H29" s="102">
        <v>58.1</v>
      </c>
      <c r="I29" s="102">
        <v>73</v>
      </c>
      <c r="J29" s="102">
        <v>97.9</v>
      </c>
      <c r="K29" s="102">
        <v>120.2</v>
      </c>
      <c r="L29" s="102">
        <v>84.1</v>
      </c>
      <c r="M29" s="102">
        <v>0.5</v>
      </c>
      <c r="N29" s="102">
        <f t="shared" si="1"/>
        <v>238.4</v>
      </c>
      <c r="O29" s="102">
        <f t="shared" si="2"/>
        <v>507.1</v>
      </c>
      <c r="P29" s="102">
        <f t="shared" si="3"/>
        <v>204.8</v>
      </c>
      <c r="Q29" s="102">
        <f t="shared" si="4"/>
        <v>950.30000000000007</v>
      </c>
    </row>
    <row r="30" spans="1:17">
      <c r="A30" s="102">
        <v>1982</v>
      </c>
      <c r="B30" s="102">
        <v>18.5</v>
      </c>
      <c r="C30" s="102">
        <v>79.099999999999994</v>
      </c>
      <c r="D30" s="102">
        <v>28.4</v>
      </c>
      <c r="E30" s="102">
        <v>79.3</v>
      </c>
      <c r="F30" s="102">
        <v>204</v>
      </c>
      <c r="G30" s="102">
        <v>171.2</v>
      </c>
      <c r="H30" s="102">
        <v>109.9</v>
      </c>
      <c r="I30" s="102">
        <v>103.7</v>
      </c>
      <c r="J30" s="102">
        <v>174.7</v>
      </c>
      <c r="K30" s="102">
        <v>125</v>
      </c>
      <c r="L30" s="102">
        <v>76.3</v>
      </c>
      <c r="M30" s="102">
        <v>22.3</v>
      </c>
      <c r="N30" s="102">
        <f t="shared" si="1"/>
        <v>205.3</v>
      </c>
      <c r="O30" s="102">
        <f t="shared" si="2"/>
        <v>763.5</v>
      </c>
      <c r="P30" s="102">
        <f t="shared" si="3"/>
        <v>223.60000000000002</v>
      </c>
      <c r="Q30" s="102">
        <f t="shared" si="4"/>
        <v>1192.3999999999999</v>
      </c>
    </row>
    <row r="31" spans="1:17">
      <c r="A31" s="102">
        <v>1983</v>
      </c>
      <c r="B31" s="102">
        <v>57.5</v>
      </c>
      <c r="C31" s="102">
        <v>80.400000000000006</v>
      </c>
      <c r="D31" s="102">
        <v>28.1</v>
      </c>
      <c r="E31" s="102">
        <v>84</v>
      </c>
      <c r="F31" s="102">
        <v>132.80000000000001</v>
      </c>
      <c r="G31" s="102">
        <v>145.69999999999999</v>
      </c>
      <c r="H31" s="102">
        <v>51.8</v>
      </c>
      <c r="I31" s="102">
        <v>50.7</v>
      </c>
      <c r="J31" s="102">
        <v>115.5</v>
      </c>
      <c r="K31" s="102">
        <v>73.7</v>
      </c>
      <c r="L31" s="102">
        <v>54.6</v>
      </c>
      <c r="M31" s="102">
        <v>31.2</v>
      </c>
      <c r="N31" s="102">
        <f t="shared" si="1"/>
        <v>250</v>
      </c>
      <c r="O31" s="102">
        <f t="shared" si="2"/>
        <v>496.5</v>
      </c>
      <c r="P31" s="102">
        <f t="shared" si="3"/>
        <v>159.5</v>
      </c>
      <c r="Q31" s="102">
        <f t="shared" si="4"/>
        <v>906.00000000000011</v>
      </c>
    </row>
    <row r="32" spans="1:17">
      <c r="A32" s="102">
        <v>1984</v>
      </c>
      <c r="B32" s="102">
        <v>19.3</v>
      </c>
      <c r="C32" s="102">
        <v>11.3</v>
      </c>
      <c r="D32" s="102">
        <v>40.1</v>
      </c>
      <c r="E32" s="102">
        <v>110.7</v>
      </c>
      <c r="F32" s="102">
        <v>230</v>
      </c>
      <c r="G32" s="102">
        <v>121.4</v>
      </c>
      <c r="H32" s="102">
        <v>124.6</v>
      </c>
      <c r="I32" s="102">
        <v>167.6</v>
      </c>
      <c r="J32" s="102">
        <v>55.4</v>
      </c>
      <c r="K32" s="102">
        <v>90.7</v>
      </c>
      <c r="L32" s="102">
        <v>19.600000000000001</v>
      </c>
      <c r="M32" s="102">
        <v>51</v>
      </c>
      <c r="N32" s="102">
        <f t="shared" si="1"/>
        <v>181.4</v>
      </c>
      <c r="O32" s="102">
        <f t="shared" si="2"/>
        <v>699</v>
      </c>
      <c r="P32" s="102">
        <f t="shared" si="3"/>
        <v>161.30000000000001</v>
      </c>
      <c r="Q32" s="102">
        <f t="shared" si="4"/>
        <v>1041.7</v>
      </c>
    </row>
    <row r="33" spans="1:17">
      <c r="A33" s="102">
        <v>1985</v>
      </c>
      <c r="B33" s="102">
        <v>10.199999999999999</v>
      </c>
      <c r="C33" s="102">
        <v>30.1</v>
      </c>
      <c r="D33" s="102">
        <v>44.2</v>
      </c>
      <c r="E33" s="102">
        <v>70.099999999999994</v>
      </c>
      <c r="F33" s="102">
        <v>137.30000000000001</v>
      </c>
      <c r="G33" s="102">
        <v>187.7</v>
      </c>
      <c r="H33" s="102">
        <v>57.9</v>
      </c>
      <c r="I33" s="102">
        <v>155.4</v>
      </c>
      <c r="J33" s="102">
        <v>39</v>
      </c>
      <c r="K33" s="102">
        <v>57.2</v>
      </c>
      <c r="L33" s="102">
        <v>67.3</v>
      </c>
      <c r="M33" s="102">
        <v>22.5</v>
      </c>
      <c r="N33" s="102">
        <f t="shared" si="1"/>
        <v>154.6</v>
      </c>
      <c r="O33" s="102">
        <f t="shared" si="2"/>
        <v>577.29999999999995</v>
      </c>
      <c r="P33" s="102">
        <f t="shared" si="3"/>
        <v>147</v>
      </c>
      <c r="Q33" s="102">
        <f t="shared" si="4"/>
        <v>878.9</v>
      </c>
    </row>
    <row r="34" spans="1:17">
      <c r="A34" s="102">
        <v>1986</v>
      </c>
      <c r="B34" s="102">
        <v>19</v>
      </c>
      <c r="C34" s="102">
        <v>13.6</v>
      </c>
      <c r="D34" s="102">
        <v>52.8</v>
      </c>
      <c r="E34" s="102">
        <v>93.9</v>
      </c>
      <c r="F34" s="102">
        <v>112.1</v>
      </c>
      <c r="G34" s="102">
        <v>179.2</v>
      </c>
      <c r="H34" s="102">
        <v>161</v>
      </c>
      <c r="I34" s="102">
        <v>78.599999999999994</v>
      </c>
      <c r="J34" s="102">
        <v>58.9</v>
      </c>
      <c r="K34" s="102">
        <v>89.2</v>
      </c>
      <c r="L34" s="102">
        <v>24.4</v>
      </c>
      <c r="M34" s="102">
        <v>3.4</v>
      </c>
      <c r="N34" s="102">
        <f t="shared" si="1"/>
        <v>179.3</v>
      </c>
      <c r="O34" s="102">
        <f t="shared" si="2"/>
        <v>589.79999999999995</v>
      </c>
      <c r="P34" s="102">
        <f t="shared" si="3"/>
        <v>117</v>
      </c>
      <c r="Q34" s="102">
        <f t="shared" si="4"/>
        <v>886.09999999999991</v>
      </c>
    </row>
    <row r="35" spans="1:17">
      <c r="A35" s="102">
        <v>1987</v>
      </c>
      <c r="B35" s="102">
        <v>26.5</v>
      </c>
      <c r="C35" s="102">
        <v>25.6</v>
      </c>
      <c r="D35" s="102">
        <v>46</v>
      </c>
      <c r="E35" s="102">
        <v>41.1</v>
      </c>
      <c r="F35" s="102">
        <v>139.30000000000001</v>
      </c>
      <c r="G35" s="102">
        <v>172.7</v>
      </c>
      <c r="H35" s="102">
        <v>149</v>
      </c>
      <c r="I35" s="102">
        <v>68.8</v>
      </c>
      <c r="J35" s="102">
        <v>95.8</v>
      </c>
      <c r="K35" s="102">
        <v>83.2</v>
      </c>
      <c r="L35" s="102">
        <v>72.099999999999994</v>
      </c>
      <c r="M35" s="102">
        <v>6.4</v>
      </c>
      <c r="N35" s="102">
        <f t="shared" si="1"/>
        <v>139.19999999999999</v>
      </c>
      <c r="O35" s="102">
        <f t="shared" si="2"/>
        <v>625.59999999999991</v>
      </c>
      <c r="P35" s="102">
        <f t="shared" si="3"/>
        <v>161.70000000000002</v>
      </c>
      <c r="Q35" s="102">
        <f t="shared" si="4"/>
        <v>926.5</v>
      </c>
    </row>
    <row r="36" spans="1:17">
      <c r="A36" s="102">
        <v>1988</v>
      </c>
      <c r="B36" s="102">
        <v>36.200000000000003</v>
      </c>
      <c r="C36" s="102">
        <v>28.1</v>
      </c>
      <c r="D36" s="102">
        <v>24.8</v>
      </c>
      <c r="E36" s="102">
        <v>49.8</v>
      </c>
      <c r="F36" s="102">
        <v>91.6</v>
      </c>
      <c r="G36" s="102">
        <v>102</v>
      </c>
      <c r="H36" s="102">
        <v>47.9</v>
      </c>
      <c r="I36" s="102">
        <v>239.5</v>
      </c>
      <c r="J36" s="102">
        <v>236.7</v>
      </c>
      <c r="K36" s="102">
        <v>58.4</v>
      </c>
      <c r="L36" s="102">
        <v>2.2000000000000002</v>
      </c>
      <c r="M36" s="102">
        <v>10.199999999999999</v>
      </c>
      <c r="N36" s="102">
        <f t="shared" si="1"/>
        <v>138.9</v>
      </c>
      <c r="O36" s="102">
        <f t="shared" si="2"/>
        <v>717.7</v>
      </c>
      <c r="P36" s="102">
        <f t="shared" si="3"/>
        <v>70.8</v>
      </c>
      <c r="Q36" s="102">
        <f t="shared" si="4"/>
        <v>927.4</v>
      </c>
    </row>
    <row r="37" spans="1:17">
      <c r="A37" s="102">
        <v>1989</v>
      </c>
      <c r="B37" s="102">
        <v>15.8</v>
      </c>
      <c r="C37" s="102">
        <v>31.2</v>
      </c>
      <c r="D37" s="102">
        <v>50.4</v>
      </c>
      <c r="E37" s="102">
        <v>109.4</v>
      </c>
      <c r="F37" s="102">
        <v>94.1</v>
      </c>
      <c r="G37" s="102">
        <v>187.8</v>
      </c>
      <c r="H37" s="102">
        <v>55.2</v>
      </c>
      <c r="I37" s="102">
        <v>88</v>
      </c>
      <c r="J37" s="102">
        <v>106.9</v>
      </c>
      <c r="K37" s="102">
        <v>31</v>
      </c>
      <c r="L37" s="102">
        <v>29.3</v>
      </c>
      <c r="M37" s="102">
        <v>20.5</v>
      </c>
      <c r="N37" s="102">
        <f t="shared" si="1"/>
        <v>206.8</v>
      </c>
      <c r="O37" s="102">
        <f t="shared" si="2"/>
        <v>532</v>
      </c>
      <c r="P37" s="102">
        <f t="shared" si="3"/>
        <v>80.8</v>
      </c>
      <c r="Q37" s="102">
        <f t="shared" si="4"/>
        <v>819.59999999999991</v>
      </c>
    </row>
    <row r="38" spans="1:17">
      <c r="A38" s="102">
        <v>1990</v>
      </c>
      <c r="B38" s="102">
        <v>28.5</v>
      </c>
      <c r="C38" s="102">
        <v>15.2</v>
      </c>
      <c r="D38" s="102">
        <v>102.2</v>
      </c>
      <c r="E38" s="102">
        <v>74.599999999999994</v>
      </c>
      <c r="F38" s="102">
        <v>155.80000000000001</v>
      </c>
      <c r="G38" s="102">
        <v>216.4</v>
      </c>
      <c r="H38" s="102">
        <v>125.7</v>
      </c>
      <c r="I38" s="102">
        <v>7.4</v>
      </c>
      <c r="J38" s="102">
        <v>161.9</v>
      </c>
      <c r="K38" s="102">
        <v>101.8</v>
      </c>
      <c r="L38" s="102">
        <v>32.1</v>
      </c>
      <c r="M38" s="102">
        <v>16.5</v>
      </c>
      <c r="N38" s="102">
        <f t="shared" si="1"/>
        <v>220.5</v>
      </c>
      <c r="O38" s="102">
        <f t="shared" si="2"/>
        <v>667.2</v>
      </c>
      <c r="P38" s="102">
        <f t="shared" si="3"/>
        <v>150.4</v>
      </c>
      <c r="Q38" s="102">
        <f t="shared" si="4"/>
        <v>1038.0999999999999</v>
      </c>
    </row>
    <row r="39" spans="1:17">
      <c r="A39" s="102">
        <v>1991</v>
      </c>
      <c r="B39" s="102">
        <v>54.3</v>
      </c>
      <c r="C39" s="102">
        <v>43.2</v>
      </c>
      <c r="D39" s="102">
        <v>90.5</v>
      </c>
      <c r="E39" s="102">
        <v>55.5</v>
      </c>
      <c r="F39" s="102">
        <v>124.2</v>
      </c>
      <c r="G39" s="102">
        <v>140.19999999999999</v>
      </c>
      <c r="H39" s="102">
        <v>338.8</v>
      </c>
      <c r="I39" s="102">
        <v>150.4</v>
      </c>
      <c r="J39" s="102">
        <v>38.9</v>
      </c>
      <c r="K39" s="102">
        <v>71.3</v>
      </c>
      <c r="L39" s="102">
        <v>69.5</v>
      </c>
      <c r="M39" s="102">
        <v>8.6999999999999993</v>
      </c>
      <c r="N39" s="102">
        <f t="shared" si="1"/>
        <v>243.5</v>
      </c>
      <c r="O39" s="102">
        <f t="shared" si="2"/>
        <v>792.5</v>
      </c>
      <c r="P39" s="102">
        <f t="shared" si="3"/>
        <v>149.5</v>
      </c>
      <c r="Q39" s="102">
        <f t="shared" si="4"/>
        <v>1185.5</v>
      </c>
    </row>
    <row r="40" spans="1:17">
      <c r="A40" s="102">
        <v>1992</v>
      </c>
      <c r="B40" s="102">
        <v>16.3</v>
      </c>
      <c r="C40" s="102">
        <v>30.5</v>
      </c>
      <c r="D40" s="102">
        <v>97.9</v>
      </c>
      <c r="E40" s="102">
        <v>128.5</v>
      </c>
      <c r="F40" s="102">
        <v>148.19999999999999</v>
      </c>
      <c r="G40" s="102">
        <v>145.5</v>
      </c>
      <c r="H40" s="102">
        <v>90</v>
      </c>
      <c r="I40" s="102">
        <v>16.5</v>
      </c>
      <c r="J40" s="102">
        <v>94.3</v>
      </c>
      <c r="K40" s="102">
        <v>31</v>
      </c>
      <c r="L40" s="102">
        <v>19.5</v>
      </c>
      <c r="M40" s="102">
        <v>33.299999999999997</v>
      </c>
      <c r="N40" s="102">
        <f t="shared" si="1"/>
        <v>273.2</v>
      </c>
      <c r="O40" s="102">
        <f t="shared" si="2"/>
        <v>494.5</v>
      </c>
      <c r="P40" s="102">
        <f t="shared" si="3"/>
        <v>83.8</v>
      </c>
      <c r="Q40" s="102">
        <f t="shared" si="4"/>
        <v>851.49999999999989</v>
      </c>
    </row>
    <row r="41" spans="1:17">
      <c r="A41" s="102">
        <v>1993</v>
      </c>
      <c r="B41" s="102">
        <v>33.799999999999997</v>
      </c>
      <c r="C41" s="102">
        <v>49.7</v>
      </c>
      <c r="D41" s="102">
        <v>17</v>
      </c>
      <c r="E41" s="102">
        <v>28.5</v>
      </c>
      <c r="F41" s="102">
        <v>152.1</v>
      </c>
      <c r="G41" s="102">
        <v>181.9</v>
      </c>
      <c r="H41" s="102">
        <v>160.69999999999999</v>
      </c>
      <c r="I41" s="102">
        <v>90.4</v>
      </c>
      <c r="J41" s="102">
        <v>49.8</v>
      </c>
      <c r="K41" s="102">
        <v>57.1</v>
      </c>
      <c r="L41" s="102">
        <v>31.1</v>
      </c>
      <c r="M41" s="102">
        <v>18.5</v>
      </c>
      <c r="N41" s="102">
        <f t="shared" si="1"/>
        <v>129</v>
      </c>
      <c r="O41" s="102">
        <f t="shared" si="2"/>
        <v>634.9</v>
      </c>
      <c r="P41" s="102">
        <f t="shared" si="3"/>
        <v>106.7</v>
      </c>
      <c r="Q41" s="102">
        <f t="shared" si="4"/>
        <v>870.6</v>
      </c>
    </row>
    <row r="42" spans="1:17">
      <c r="A42" s="102">
        <v>1994</v>
      </c>
      <c r="B42" s="102">
        <v>11.9</v>
      </c>
      <c r="C42" s="102">
        <v>45</v>
      </c>
      <c r="D42" s="102">
        <v>69.3</v>
      </c>
      <c r="E42" s="102">
        <v>137.5</v>
      </c>
      <c r="F42" s="102">
        <v>188.7</v>
      </c>
      <c r="G42" s="102">
        <v>44.4</v>
      </c>
      <c r="H42" s="102">
        <v>151.5</v>
      </c>
      <c r="I42" s="102">
        <v>55.3</v>
      </c>
      <c r="J42" s="102">
        <v>121.9</v>
      </c>
      <c r="K42" s="102">
        <v>219.7</v>
      </c>
      <c r="L42" s="102">
        <v>59.6</v>
      </c>
      <c r="M42" s="102">
        <v>34.5</v>
      </c>
      <c r="N42" s="102">
        <f t="shared" si="1"/>
        <v>263.7</v>
      </c>
      <c r="O42" s="102">
        <f t="shared" si="2"/>
        <v>561.80000000000007</v>
      </c>
      <c r="P42" s="102">
        <f t="shared" si="3"/>
        <v>313.8</v>
      </c>
      <c r="Q42" s="102">
        <f t="shared" si="4"/>
        <v>1139.2999999999997</v>
      </c>
    </row>
    <row r="43" spans="1:17">
      <c r="A43" s="102">
        <v>1995</v>
      </c>
      <c r="B43" s="102">
        <v>16.399999999999999</v>
      </c>
      <c r="C43" s="102">
        <v>45.6</v>
      </c>
      <c r="D43" s="102">
        <v>26</v>
      </c>
      <c r="E43" s="102">
        <v>68.099999999999994</v>
      </c>
      <c r="F43" s="102">
        <v>221.5</v>
      </c>
      <c r="G43" s="102">
        <v>311</v>
      </c>
      <c r="H43" s="102">
        <v>44.3</v>
      </c>
      <c r="I43" s="102">
        <v>89.3</v>
      </c>
      <c r="J43" s="102">
        <v>44.6</v>
      </c>
      <c r="K43" s="102">
        <v>117.9</v>
      </c>
      <c r="L43" s="102">
        <v>35.200000000000003</v>
      </c>
      <c r="M43" s="102">
        <v>2.2999999999999998</v>
      </c>
      <c r="N43" s="102">
        <f t="shared" si="1"/>
        <v>156.1</v>
      </c>
      <c r="O43" s="102">
        <f t="shared" si="2"/>
        <v>710.69999999999993</v>
      </c>
      <c r="P43" s="102">
        <f t="shared" si="3"/>
        <v>155.40000000000003</v>
      </c>
      <c r="Q43" s="102">
        <f t="shared" si="4"/>
        <v>1022.1999999999999</v>
      </c>
    </row>
    <row r="44" spans="1:17">
      <c r="A44" s="102">
        <v>1996</v>
      </c>
      <c r="B44" s="102">
        <v>12.3</v>
      </c>
      <c r="C44" s="102">
        <v>2.7</v>
      </c>
      <c r="D44" s="102">
        <v>74.2</v>
      </c>
      <c r="E44" s="102">
        <v>45.7</v>
      </c>
      <c r="F44" s="102">
        <v>158.4</v>
      </c>
      <c r="G44" s="102">
        <v>210.4</v>
      </c>
      <c r="H44" s="102">
        <v>299.60000000000002</v>
      </c>
      <c r="I44" s="102">
        <v>97.7</v>
      </c>
      <c r="J44" s="102">
        <v>4.3</v>
      </c>
      <c r="K44" s="102">
        <v>68.3</v>
      </c>
      <c r="L44" s="102">
        <v>30.7</v>
      </c>
      <c r="M44" s="102">
        <v>26</v>
      </c>
      <c r="N44" s="102">
        <f t="shared" si="1"/>
        <v>134.9</v>
      </c>
      <c r="O44" s="102">
        <f t="shared" si="2"/>
        <v>770.40000000000009</v>
      </c>
      <c r="P44" s="102">
        <f t="shared" si="3"/>
        <v>125</v>
      </c>
      <c r="Q44" s="102">
        <f t="shared" si="4"/>
        <v>1030.3000000000002</v>
      </c>
    </row>
    <row r="45" spans="1:17">
      <c r="A45" s="102">
        <v>1997</v>
      </c>
      <c r="B45" s="102">
        <v>56.3</v>
      </c>
      <c r="C45" s="102">
        <v>39.4</v>
      </c>
      <c r="D45" s="102">
        <v>79.2</v>
      </c>
      <c r="E45" s="102">
        <v>117.1</v>
      </c>
      <c r="F45" s="102">
        <v>170.7</v>
      </c>
      <c r="G45" s="102">
        <v>213.8</v>
      </c>
      <c r="H45" s="102">
        <v>164.1</v>
      </c>
      <c r="I45" s="102">
        <v>10.1</v>
      </c>
      <c r="J45" s="102">
        <v>147.69999999999999</v>
      </c>
      <c r="K45" s="102">
        <v>137</v>
      </c>
      <c r="L45" s="102">
        <v>30.2</v>
      </c>
      <c r="M45" s="102">
        <v>33.200000000000003</v>
      </c>
      <c r="N45" s="102">
        <f t="shared" si="1"/>
        <v>292</v>
      </c>
      <c r="O45" s="102">
        <f t="shared" si="2"/>
        <v>706.40000000000009</v>
      </c>
      <c r="P45" s="102">
        <f t="shared" si="3"/>
        <v>200.39999999999998</v>
      </c>
      <c r="Q45" s="102">
        <f t="shared" si="4"/>
        <v>1198.8000000000002</v>
      </c>
    </row>
    <row r="46" spans="1:17">
      <c r="A46" s="102">
        <v>1998</v>
      </c>
      <c r="B46" s="102">
        <v>24</v>
      </c>
      <c r="C46" s="102">
        <v>24.3</v>
      </c>
      <c r="D46" s="102">
        <v>32</v>
      </c>
      <c r="E46" s="102">
        <v>155.80000000000001</v>
      </c>
      <c r="F46" s="102">
        <v>117.6</v>
      </c>
      <c r="G46" s="102">
        <v>220.5</v>
      </c>
      <c r="H46" s="102">
        <v>147.30000000000001</v>
      </c>
      <c r="I46" s="102">
        <v>75.5</v>
      </c>
      <c r="J46" s="102">
        <v>34.5</v>
      </c>
      <c r="K46" s="102">
        <v>110.5</v>
      </c>
      <c r="L46" s="102">
        <v>19.7</v>
      </c>
      <c r="M46" s="102">
        <v>26</v>
      </c>
      <c r="N46" s="102">
        <f t="shared" si="1"/>
        <v>236.10000000000002</v>
      </c>
      <c r="O46" s="102">
        <f t="shared" si="2"/>
        <v>595.40000000000009</v>
      </c>
      <c r="P46" s="102">
        <f t="shared" si="3"/>
        <v>156.19999999999999</v>
      </c>
      <c r="Q46" s="102">
        <f t="shared" si="4"/>
        <v>987.7</v>
      </c>
    </row>
    <row r="47" spans="1:17">
      <c r="A47" s="102">
        <v>1999</v>
      </c>
      <c r="B47" s="102">
        <v>20.100000000000001</v>
      </c>
      <c r="C47" s="102">
        <v>10</v>
      </c>
      <c r="D47" s="102">
        <v>47.6</v>
      </c>
      <c r="E47" s="102">
        <v>132</v>
      </c>
      <c r="F47" s="102">
        <v>182.4</v>
      </c>
      <c r="G47" s="102">
        <v>217</v>
      </c>
      <c r="H47" s="102">
        <v>249.8</v>
      </c>
      <c r="I47" s="102">
        <v>157.5</v>
      </c>
      <c r="J47" s="102">
        <v>81.2</v>
      </c>
      <c r="K47" s="102">
        <v>64</v>
      </c>
      <c r="L47" s="102">
        <v>40</v>
      </c>
      <c r="M47" s="102">
        <v>0.5</v>
      </c>
      <c r="N47" s="102">
        <f t="shared" si="1"/>
        <v>209.7</v>
      </c>
      <c r="O47" s="102">
        <f t="shared" si="2"/>
        <v>887.90000000000009</v>
      </c>
      <c r="P47" s="102">
        <f t="shared" si="3"/>
        <v>104.5</v>
      </c>
      <c r="Q47" s="102">
        <f t="shared" si="4"/>
        <v>1202.1000000000001</v>
      </c>
    </row>
    <row r="48" spans="1:17">
      <c r="A48" s="102">
        <v>2000</v>
      </c>
      <c r="B48" s="102">
        <v>14.7</v>
      </c>
      <c r="C48" s="102">
        <v>14.4</v>
      </c>
      <c r="D48" s="102">
        <v>104.4</v>
      </c>
      <c r="E48" s="102">
        <v>94.6</v>
      </c>
      <c r="F48" s="102">
        <v>133.9</v>
      </c>
      <c r="G48" s="102">
        <v>289</v>
      </c>
      <c r="H48" s="102">
        <v>75</v>
      </c>
      <c r="I48" s="102">
        <v>91.6</v>
      </c>
      <c r="J48" s="102">
        <v>111.9</v>
      </c>
      <c r="K48" s="102">
        <v>66.7</v>
      </c>
      <c r="L48" s="102">
        <v>23.8</v>
      </c>
      <c r="M48" s="102">
        <v>15.5</v>
      </c>
      <c r="N48" s="102">
        <f t="shared" si="1"/>
        <v>228.1</v>
      </c>
      <c r="O48" s="102">
        <f t="shared" si="2"/>
        <v>701.4</v>
      </c>
      <c r="P48" s="102">
        <f t="shared" si="3"/>
        <v>106</v>
      </c>
      <c r="Q48" s="102">
        <f t="shared" si="4"/>
        <v>1035.5</v>
      </c>
    </row>
    <row r="49" spans="1:33">
      <c r="A49" s="102">
        <v>2001</v>
      </c>
      <c r="B49" s="102">
        <v>19.8</v>
      </c>
      <c r="C49" s="102">
        <v>13.6</v>
      </c>
      <c r="D49" s="102">
        <v>49.8</v>
      </c>
      <c r="E49" s="102">
        <v>105.2</v>
      </c>
      <c r="F49" s="102">
        <v>100.4</v>
      </c>
      <c r="G49" s="102">
        <v>128.30000000000001</v>
      </c>
      <c r="H49" s="102">
        <v>73.099999999999994</v>
      </c>
      <c r="I49" s="102">
        <v>104.7</v>
      </c>
      <c r="J49" s="102">
        <v>1.6</v>
      </c>
      <c r="K49" s="102">
        <v>93.5</v>
      </c>
      <c r="L49" s="102">
        <v>44.1</v>
      </c>
      <c r="M49" s="102">
        <v>13.3</v>
      </c>
      <c r="N49" s="102">
        <f t="shared" si="1"/>
        <v>188.39999999999998</v>
      </c>
      <c r="O49" s="102">
        <f t="shared" si="2"/>
        <v>408.1</v>
      </c>
      <c r="P49" s="102">
        <f t="shared" si="3"/>
        <v>150.9</v>
      </c>
      <c r="Q49" s="102">
        <f t="shared" si="4"/>
        <v>747.4</v>
      </c>
    </row>
    <row r="50" spans="1:33">
      <c r="A50" s="102">
        <v>2002</v>
      </c>
      <c r="B50" s="102">
        <v>15.4</v>
      </c>
      <c r="C50" s="102">
        <v>55.7</v>
      </c>
      <c r="D50" s="102">
        <v>41.2</v>
      </c>
      <c r="E50" s="102">
        <v>78.2</v>
      </c>
      <c r="F50" s="102">
        <v>256</v>
      </c>
      <c r="G50" s="102">
        <v>230.1</v>
      </c>
      <c r="H50" s="102">
        <v>158</v>
      </c>
      <c r="I50" s="102">
        <v>247.1</v>
      </c>
      <c r="J50" s="102">
        <v>27.2</v>
      </c>
      <c r="K50" s="102">
        <v>114.7</v>
      </c>
      <c r="L50" s="102">
        <v>19.8</v>
      </c>
      <c r="M50" s="102">
        <v>47.4</v>
      </c>
      <c r="N50" s="102">
        <f t="shared" si="1"/>
        <v>190.5</v>
      </c>
      <c r="O50" s="102">
        <f t="shared" si="2"/>
        <v>918.40000000000009</v>
      </c>
      <c r="P50" s="102">
        <f t="shared" si="3"/>
        <v>181.9</v>
      </c>
      <c r="Q50" s="102">
        <f t="shared" si="4"/>
        <v>1290.8000000000002</v>
      </c>
    </row>
    <row r="51" spans="1:33">
      <c r="A51" s="102">
        <v>2003</v>
      </c>
      <c r="B51" s="102">
        <v>38.1</v>
      </c>
      <c r="C51" s="102">
        <v>13</v>
      </c>
      <c r="D51" s="102">
        <v>51.8</v>
      </c>
      <c r="E51" s="102">
        <v>160.30000000000001</v>
      </c>
      <c r="F51" s="102">
        <v>221.6</v>
      </c>
      <c r="G51" s="102">
        <v>129.9</v>
      </c>
      <c r="H51" s="102">
        <v>97.5</v>
      </c>
      <c r="I51" s="102">
        <v>35.200000000000003</v>
      </c>
      <c r="J51" s="102">
        <v>74</v>
      </c>
      <c r="K51" s="102">
        <v>58.7</v>
      </c>
      <c r="L51" s="102">
        <v>13.4</v>
      </c>
      <c r="M51" s="102">
        <v>34.200000000000003</v>
      </c>
      <c r="N51" s="102">
        <f t="shared" si="1"/>
        <v>263.20000000000005</v>
      </c>
      <c r="O51" s="102">
        <f t="shared" si="2"/>
        <v>558.20000000000005</v>
      </c>
      <c r="P51" s="102">
        <f t="shared" si="3"/>
        <v>106.30000000000001</v>
      </c>
      <c r="Q51" s="102">
        <f t="shared" si="4"/>
        <v>927.70000000000016</v>
      </c>
    </row>
    <row r="52" spans="1:33">
      <c r="A52" s="102">
        <v>2004</v>
      </c>
      <c r="B52" s="102">
        <v>22.8</v>
      </c>
      <c r="C52" s="102">
        <v>54</v>
      </c>
      <c r="D52" s="102">
        <v>39.299999999999997</v>
      </c>
      <c r="E52" s="102">
        <v>105.2</v>
      </c>
      <c r="F52" s="102">
        <v>178.4</v>
      </c>
      <c r="G52" s="102">
        <v>99.5</v>
      </c>
      <c r="H52" s="102">
        <v>239.1</v>
      </c>
      <c r="I52" s="102">
        <v>42.7</v>
      </c>
      <c r="J52" s="102">
        <v>104.3</v>
      </c>
      <c r="K52" s="102">
        <v>31.5</v>
      </c>
      <c r="L52" s="102">
        <v>59.7</v>
      </c>
      <c r="M52" s="102">
        <v>26.4</v>
      </c>
      <c r="N52" s="102">
        <f t="shared" si="1"/>
        <v>221.3</v>
      </c>
      <c r="O52" s="102">
        <f t="shared" si="2"/>
        <v>664</v>
      </c>
      <c r="P52" s="102">
        <f t="shared" si="3"/>
        <v>117.6</v>
      </c>
      <c r="Q52" s="102">
        <f t="shared" si="4"/>
        <v>1002.9000000000001</v>
      </c>
    </row>
    <row r="53" spans="1:33">
      <c r="A53" s="102">
        <v>2005</v>
      </c>
      <c r="B53" s="103">
        <v>36.1</v>
      </c>
      <c r="C53" s="103">
        <v>32.1</v>
      </c>
      <c r="D53" s="103">
        <v>46.6</v>
      </c>
      <c r="E53" s="103">
        <v>67.599999999999994</v>
      </c>
      <c r="F53" s="103">
        <v>142.69999999999999</v>
      </c>
      <c r="G53" s="103">
        <v>88.4</v>
      </c>
      <c r="H53" s="103">
        <v>105.2</v>
      </c>
      <c r="I53" s="103">
        <v>79.400000000000006</v>
      </c>
      <c r="J53" s="103">
        <v>30</v>
      </c>
      <c r="K53" s="103">
        <v>53.7</v>
      </c>
      <c r="L53" s="103">
        <v>36.6</v>
      </c>
      <c r="M53" s="103">
        <v>19</v>
      </c>
      <c r="N53" s="102">
        <f t="shared" si="1"/>
        <v>182.4</v>
      </c>
      <c r="O53" s="102">
        <f t="shared" si="2"/>
        <v>445.70000000000005</v>
      </c>
      <c r="P53" s="102">
        <f t="shared" si="3"/>
        <v>109.30000000000001</v>
      </c>
      <c r="Q53" s="102">
        <f t="shared" si="4"/>
        <v>737.40000000000009</v>
      </c>
    </row>
    <row r="54" spans="1:33">
      <c r="A54" s="102">
        <v>2006</v>
      </c>
      <c r="B54" s="102">
        <v>12.1</v>
      </c>
      <c r="C54" s="102">
        <v>62.7</v>
      </c>
      <c r="D54" s="102">
        <v>42.3</v>
      </c>
      <c r="E54" s="102">
        <v>168.1</v>
      </c>
      <c r="F54" s="102">
        <v>99.3</v>
      </c>
      <c r="G54" s="102">
        <v>137.4</v>
      </c>
      <c r="H54" s="102">
        <v>84.1</v>
      </c>
      <c r="I54" s="102">
        <v>47.1</v>
      </c>
      <c r="J54" s="102">
        <v>80.8</v>
      </c>
      <c r="K54" s="102">
        <v>115.1</v>
      </c>
      <c r="L54" s="102">
        <v>52</v>
      </c>
      <c r="M54" s="102">
        <v>18.3</v>
      </c>
      <c r="N54" s="102">
        <f t="shared" si="1"/>
        <v>285.2</v>
      </c>
      <c r="O54" s="102">
        <f t="shared" si="2"/>
        <v>448.7</v>
      </c>
      <c r="P54" s="102">
        <f t="shared" si="3"/>
        <v>185.4</v>
      </c>
      <c r="Q54" s="102">
        <f t="shared" si="4"/>
        <v>919.3</v>
      </c>
    </row>
    <row r="55" spans="1:33">
      <c r="A55" s="102">
        <v>2007</v>
      </c>
      <c r="B55" s="102">
        <v>41.3</v>
      </c>
      <c r="C55" s="102">
        <v>18.399999999999999</v>
      </c>
      <c r="D55" s="102">
        <v>77.900000000000006</v>
      </c>
      <c r="E55" s="102">
        <v>134.1</v>
      </c>
      <c r="F55" s="102">
        <v>114.3</v>
      </c>
      <c r="G55" s="102">
        <v>225.8</v>
      </c>
      <c r="H55" s="102">
        <v>212</v>
      </c>
      <c r="I55" s="102">
        <v>90</v>
      </c>
      <c r="J55" s="102">
        <v>74.2</v>
      </c>
      <c r="K55" s="102">
        <v>2.6</v>
      </c>
      <c r="L55" s="102">
        <v>2.2000000000000002</v>
      </c>
      <c r="M55" s="102">
        <v>22.2</v>
      </c>
      <c r="N55" s="102">
        <f t="shared" si="1"/>
        <v>271.7</v>
      </c>
      <c r="O55" s="102">
        <f t="shared" si="2"/>
        <v>716.30000000000007</v>
      </c>
      <c r="P55" s="102">
        <f t="shared" si="3"/>
        <v>27</v>
      </c>
      <c r="Q55" s="102">
        <f t="shared" si="4"/>
        <v>1015.0000000000001</v>
      </c>
    </row>
    <row r="56" spans="1:33">
      <c r="A56" s="102">
        <v>2008</v>
      </c>
      <c r="B56" s="102">
        <v>28.2</v>
      </c>
      <c r="C56" s="102">
        <v>19.100000000000001</v>
      </c>
      <c r="D56" s="102">
        <v>94.2</v>
      </c>
      <c r="E56" s="102">
        <v>42.1</v>
      </c>
      <c r="F56" s="102">
        <v>112.1</v>
      </c>
      <c r="G56" s="102">
        <v>83.6</v>
      </c>
      <c r="H56" s="102">
        <v>175.9</v>
      </c>
      <c r="I56" s="102">
        <v>173.4</v>
      </c>
      <c r="J56" s="102">
        <v>34.799999999999997</v>
      </c>
      <c r="K56" s="102">
        <v>89.2</v>
      </c>
      <c r="L56" s="102">
        <v>104.1</v>
      </c>
      <c r="M56" s="102">
        <v>15.5</v>
      </c>
      <c r="N56" s="102">
        <f t="shared" si="1"/>
        <v>183.6</v>
      </c>
      <c r="O56" s="102">
        <f t="shared" si="2"/>
        <v>579.79999999999995</v>
      </c>
      <c r="P56" s="102">
        <f t="shared" si="3"/>
        <v>208.8</v>
      </c>
      <c r="Q56" s="102">
        <f t="shared" si="4"/>
        <v>972.19999999999993</v>
      </c>
    </row>
    <row r="57" spans="1:33">
      <c r="A57" s="102">
        <v>2009</v>
      </c>
      <c r="B57" s="102">
        <v>16.7</v>
      </c>
      <c r="C57" s="102">
        <v>65.3</v>
      </c>
      <c r="D57" s="102">
        <v>39</v>
      </c>
      <c r="E57" s="102">
        <v>219.3</v>
      </c>
      <c r="F57" s="102">
        <v>102.8</v>
      </c>
      <c r="G57" s="102">
        <v>169</v>
      </c>
      <c r="H57" s="102">
        <v>144.80000000000001</v>
      </c>
      <c r="I57" s="102">
        <v>18.7</v>
      </c>
      <c r="J57" s="102">
        <v>140.80000000000001</v>
      </c>
      <c r="K57" s="102">
        <v>27.9</v>
      </c>
      <c r="L57" s="102">
        <v>13.3</v>
      </c>
      <c r="M57" s="102">
        <v>17.100000000000001</v>
      </c>
      <c r="N57" s="102">
        <f t="shared" si="1"/>
        <v>340.3</v>
      </c>
      <c r="O57" s="102">
        <f t="shared" si="2"/>
        <v>576.1</v>
      </c>
      <c r="P57" s="102">
        <f t="shared" si="3"/>
        <v>58.300000000000004</v>
      </c>
      <c r="Q57" s="102">
        <f t="shared" si="4"/>
        <v>974.7</v>
      </c>
    </row>
    <row r="58" spans="1:33">
      <c r="A58" s="102">
        <v>2010</v>
      </c>
      <c r="B58" s="102">
        <v>5.0999999999999996</v>
      </c>
      <c r="C58" s="102">
        <v>5.3</v>
      </c>
      <c r="D58" s="102">
        <v>32.200000000000003</v>
      </c>
      <c r="E58" s="102">
        <v>135.4</v>
      </c>
      <c r="F58" s="102">
        <v>153.6</v>
      </c>
      <c r="G58" s="102">
        <v>196.4</v>
      </c>
      <c r="H58" s="102">
        <v>65</v>
      </c>
      <c r="I58" s="102">
        <v>191.4</v>
      </c>
      <c r="J58" s="102">
        <v>107.6</v>
      </c>
      <c r="K58" s="102">
        <v>107.9</v>
      </c>
      <c r="L58" s="102">
        <v>27</v>
      </c>
      <c r="M58" s="102">
        <v>52.4</v>
      </c>
      <c r="N58" s="102">
        <f t="shared" si="1"/>
        <v>178</v>
      </c>
      <c r="O58" s="102">
        <f t="shared" si="2"/>
        <v>714</v>
      </c>
      <c r="P58" s="102">
        <f t="shared" si="3"/>
        <v>187.3</v>
      </c>
      <c r="Q58" s="102">
        <f t="shared" si="4"/>
        <v>1079.3000000000002</v>
      </c>
    </row>
    <row r="59" spans="1:33">
      <c r="A59" s="102">
        <v>2011</v>
      </c>
      <c r="B59" s="102">
        <v>25.7</v>
      </c>
      <c r="C59" s="102">
        <v>8.5</v>
      </c>
      <c r="D59" s="102">
        <v>27.8</v>
      </c>
      <c r="E59" s="102">
        <v>36.6</v>
      </c>
      <c r="F59" s="102">
        <v>119.6</v>
      </c>
      <c r="G59" s="102">
        <v>245.9</v>
      </c>
      <c r="H59" s="102">
        <v>0.7</v>
      </c>
      <c r="I59" s="102">
        <v>19.2</v>
      </c>
      <c r="J59" s="102">
        <v>84.5</v>
      </c>
      <c r="K59" s="102">
        <v>180.7</v>
      </c>
      <c r="L59" s="102">
        <v>23</v>
      </c>
      <c r="M59" s="102">
        <v>10.3</v>
      </c>
      <c r="N59" s="102">
        <f t="shared" si="1"/>
        <v>98.6</v>
      </c>
      <c r="O59" s="102">
        <f t="shared" si="2"/>
        <v>469.9</v>
      </c>
      <c r="P59" s="102">
        <f t="shared" si="3"/>
        <v>214</v>
      </c>
      <c r="Q59" s="102">
        <f t="shared" si="4"/>
        <v>782.5</v>
      </c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</row>
    <row r="60" spans="1:33">
      <c r="A60" s="102">
        <v>2012</v>
      </c>
      <c r="B60" s="102">
        <v>30.6</v>
      </c>
      <c r="C60" s="102">
        <v>13.4</v>
      </c>
      <c r="D60" s="102">
        <v>61</v>
      </c>
      <c r="E60" s="102">
        <v>96.3</v>
      </c>
      <c r="F60" s="102">
        <v>148.30000000000001</v>
      </c>
      <c r="G60" s="102">
        <v>133</v>
      </c>
      <c r="H60" s="102">
        <v>221.5</v>
      </c>
      <c r="I60" s="102">
        <v>29.4</v>
      </c>
      <c r="J60" s="102">
        <v>84.1</v>
      </c>
      <c r="K60" s="102">
        <v>86.7</v>
      </c>
      <c r="L60" s="102">
        <v>52.3</v>
      </c>
      <c r="M60" s="102">
        <v>27.5</v>
      </c>
      <c r="N60" s="102">
        <f t="shared" si="1"/>
        <v>201.3</v>
      </c>
      <c r="O60" s="102">
        <f t="shared" si="2"/>
        <v>616.30000000000007</v>
      </c>
      <c r="P60" s="102">
        <f t="shared" si="3"/>
        <v>166.5</v>
      </c>
      <c r="Q60" s="102">
        <f t="shared" si="4"/>
        <v>984.1</v>
      </c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  <c r="AD60" s="104"/>
      <c r="AE60" s="104"/>
      <c r="AF60" s="104"/>
      <c r="AG60" s="104"/>
    </row>
    <row r="61" spans="1:33">
      <c r="A61" s="102">
        <v>2013</v>
      </c>
      <c r="B61" s="102">
        <v>7.3</v>
      </c>
      <c r="C61" s="102">
        <v>18.899999999999999</v>
      </c>
      <c r="D61" s="102">
        <v>120.1</v>
      </c>
      <c r="E61" s="102">
        <v>123.1</v>
      </c>
      <c r="F61" s="102">
        <v>150.4</v>
      </c>
      <c r="G61" s="102">
        <v>64.400000000000006</v>
      </c>
      <c r="H61" s="102">
        <v>5.5</v>
      </c>
      <c r="I61" s="102">
        <v>119.1</v>
      </c>
      <c r="J61" s="102">
        <v>166.5</v>
      </c>
      <c r="K61" s="102">
        <v>73.7</v>
      </c>
      <c r="L61" s="102">
        <v>33.6</v>
      </c>
      <c r="M61" s="102">
        <v>26.1</v>
      </c>
      <c r="N61" s="102">
        <f t="shared" si="1"/>
        <v>269.39999999999998</v>
      </c>
      <c r="O61" s="102">
        <f t="shared" si="2"/>
        <v>505.9</v>
      </c>
      <c r="P61" s="102">
        <f t="shared" si="3"/>
        <v>133.4</v>
      </c>
      <c r="Q61" s="102">
        <f t="shared" si="4"/>
        <v>908.7</v>
      </c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  <c r="AD61" s="104"/>
      <c r="AE61" s="104"/>
      <c r="AF61" s="104"/>
      <c r="AG61" s="104"/>
    </row>
    <row r="62" spans="1:33">
      <c r="A62" s="102">
        <v>2014</v>
      </c>
      <c r="B62" s="128">
        <v>8.3000000000000007</v>
      </c>
      <c r="C62" s="128">
        <v>32.299999999999997</v>
      </c>
      <c r="D62" s="128">
        <v>69.599999999999994</v>
      </c>
      <c r="E62" s="128">
        <v>117.8</v>
      </c>
      <c r="F62" s="128">
        <v>143.1</v>
      </c>
      <c r="G62" s="128">
        <v>88</v>
      </c>
      <c r="H62" s="128">
        <v>278.8</v>
      </c>
      <c r="I62" s="128">
        <v>87.9</v>
      </c>
      <c r="J62" s="128">
        <v>42.5</v>
      </c>
      <c r="K62" s="128">
        <v>96.5</v>
      </c>
      <c r="L62" s="128">
        <v>64.5</v>
      </c>
      <c r="M62" s="128">
        <v>3.6</v>
      </c>
      <c r="N62" s="102">
        <f t="shared" si="1"/>
        <v>228</v>
      </c>
      <c r="O62" s="102">
        <f t="shared" si="2"/>
        <v>640.29999999999995</v>
      </c>
      <c r="P62" s="102">
        <f t="shared" si="3"/>
        <v>164.6</v>
      </c>
      <c r="Q62" s="102">
        <f t="shared" si="4"/>
        <v>1032.9000000000001</v>
      </c>
    </row>
    <row r="63" spans="1:33">
      <c r="A63" s="102">
        <v>2015</v>
      </c>
      <c r="B63" s="128">
        <v>40</v>
      </c>
      <c r="C63" s="128">
        <v>11.2</v>
      </c>
      <c r="D63" s="128">
        <v>43.6</v>
      </c>
      <c r="E63" s="128">
        <v>89.7</v>
      </c>
      <c r="F63" s="128">
        <v>180.3</v>
      </c>
      <c r="G63" s="128">
        <v>266.10000000000002</v>
      </c>
      <c r="H63" s="128">
        <v>161.5</v>
      </c>
      <c r="I63" s="128">
        <v>133.9</v>
      </c>
      <c r="J63" s="128">
        <v>87.6</v>
      </c>
      <c r="K63" s="128">
        <v>85.4</v>
      </c>
      <c r="L63" s="128">
        <v>43.3</v>
      </c>
      <c r="M63" s="128">
        <v>68</v>
      </c>
      <c r="N63" s="102">
        <f t="shared" si="1"/>
        <v>184.5</v>
      </c>
      <c r="O63" s="102">
        <f t="shared" si="2"/>
        <v>829.40000000000009</v>
      </c>
      <c r="P63" s="102">
        <f t="shared" si="3"/>
        <v>196.7</v>
      </c>
      <c r="Q63" s="102">
        <f t="shared" si="4"/>
        <v>1210.6000000000001</v>
      </c>
    </row>
    <row r="64" spans="1:33" ht="13.5">
      <c r="A64" s="102">
        <v>2016</v>
      </c>
      <c r="B64" s="128">
        <v>34.299999999999997</v>
      </c>
      <c r="C64" s="128">
        <v>15.2</v>
      </c>
      <c r="D64" s="128">
        <v>87.4</v>
      </c>
      <c r="E64" s="128">
        <v>203</v>
      </c>
      <c r="F64" s="128">
        <v>130</v>
      </c>
      <c r="G64" s="128">
        <v>136</v>
      </c>
      <c r="H64" s="128">
        <v>65</v>
      </c>
      <c r="I64" s="128">
        <v>151.5</v>
      </c>
      <c r="J64" s="128">
        <v>12.8</v>
      </c>
      <c r="K64" s="128">
        <v>74.7</v>
      </c>
      <c r="L64" s="128">
        <v>65.3</v>
      </c>
      <c r="M64" s="128">
        <v>38.5</v>
      </c>
      <c r="N64" s="102">
        <f>SUM(B64:E64)</f>
        <v>339.9</v>
      </c>
      <c r="O64" s="102">
        <f>SUM(F64:J64)</f>
        <v>495.3</v>
      </c>
      <c r="P64" s="102">
        <f>SUM(K64:M64)</f>
        <v>178.5</v>
      </c>
      <c r="Q64" s="102">
        <f>SUM(B64:M64)</f>
        <v>1013.6999999999999</v>
      </c>
      <c r="R64" s="129">
        <f t="shared" ref="R64:AG64" si="5">100*(B64-B4)/B4</f>
        <v>41.676001120134487</v>
      </c>
      <c r="S64" s="129">
        <f t="shared" si="5"/>
        <v>-47.981438515081216</v>
      </c>
      <c r="T64" s="129">
        <f t="shared" si="5"/>
        <v>73.710628263432739</v>
      </c>
      <c r="U64" s="129">
        <f t="shared" si="5"/>
        <v>94.132425642272381</v>
      </c>
      <c r="V64" s="129">
        <f t="shared" si="5"/>
        <v>-21.508028285763981</v>
      </c>
      <c r="W64" s="129">
        <f t="shared" si="5"/>
        <v>-21.839080459770077</v>
      </c>
      <c r="X64" s="129">
        <f t="shared" si="5"/>
        <v>-50.073555257573595</v>
      </c>
      <c r="Y64" s="129">
        <f t="shared" si="5"/>
        <v>48.821218074656215</v>
      </c>
      <c r="Z64" s="129">
        <f t="shared" si="5"/>
        <v>-84.460585608757384</v>
      </c>
      <c r="AA64" s="129">
        <f t="shared" si="5"/>
        <v>-12.201681341886102</v>
      </c>
      <c r="AB64" s="129">
        <f t="shared" si="5"/>
        <v>39.016381612181611</v>
      </c>
      <c r="AC64" s="129">
        <f t="shared" si="5"/>
        <v>72.934906737723708</v>
      </c>
      <c r="AD64" s="129">
        <f t="shared" si="5"/>
        <v>63.168814684631904</v>
      </c>
      <c r="AE64" s="129">
        <f t="shared" si="5"/>
        <v>-24.264288546615187</v>
      </c>
      <c r="AF64" s="129">
        <f t="shared" si="5"/>
        <v>15.671027051962168</v>
      </c>
      <c r="AG64" s="129">
        <f t="shared" si="5"/>
        <v>-0.28659457621015555</v>
      </c>
    </row>
  </sheetData>
  <mergeCells count="6">
    <mergeCell ref="A1:A3"/>
    <mergeCell ref="B1:Q1"/>
    <mergeCell ref="B2:M2"/>
    <mergeCell ref="R1:AG1"/>
    <mergeCell ref="N2:Q2"/>
    <mergeCell ref="R2:AG2"/>
  </mergeCells>
  <phoneticPr fontId="2" type="noConversion"/>
  <pageMargins left="0.75" right="0.75" top="1" bottom="1" header="0.5" footer="0.5"/>
  <headerFooter alignWithMargins="0"/>
</worksheet>
</file>

<file path=xl/worksheets/sheet52.xml><?xml version="1.0" encoding="utf-8"?>
<worksheet xmlns="http://schemas.openxmlformats.org/spreadsheetml/2006/main" xmlns:r="http://schemas.openxmlformats.org/officeDocument/2006/relationships">
  <sheetPr codeName="Sheet52">
    <tabColor rgb="FFC00000"/>
  </sheetPr>
  <dimension ref="A1:AK50"/>
  <sheetViews>
    <sheetView topLeftCell="A4" zoomScale="70" workbookViewId="0">
      <selection activeCell="Z47" sqref="Z47"/>
    </sheetView>
  </sheetViews>
  <sheetFormatPr defaultRowHeight="14.25"/>
  <cols>
    <col min="1" max="37" width="7.125" style="2" customWidth="1"/>
  </cols>
  <sheetData>
    <row r="1" spans="1:31" ht="14.25" customHeight="1">
      <c r="A1" s="163" t="s">
        <v>0</v>
      </c>
      <c r="B1" s="164" t="s">
        <v>1</v>
      </c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6"/>
      <c r="O1" s="166"/>
      <c r="P1" s="167"/>
      <c r="Q1" s="168" t="s">
        <v>2</v>
      </c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</row>
    <row r="2" spans="1:31">
      <c r="A2" s="163"/>
      <c r="B2" s="163" t="s">
        <v>3</v>
      </c>
      <c r="C2" s="163"/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69" t="s">
        <v>32</v>
      </c>
      <c r="O2" s="170"/>
      <c r="P2" s="171"/>
      <c r="Q2" s="168" t="s">
        <v>6</v>
      </c>
      <c r="R2" s="165"/>
      <c r="S2" s="165"/>
      <c r="T2" s="165"/>
      <c r="U2" s="165"/>
      <c r="V2" s="165"/>
      <c r="W2" s="165"/>
      <c r="X2" s="165"/>
      <c r="Y2" s="165"/>
      <c r="Z2" s="165"/>
      <c r="AA2" s="165"/>
      <c r="AB2" s="165"/>
      <c r="AC2" s="165"/>
      <c r="AD2" s="165"/>
      <c r="AE2" s="172"/>
    </row>
    <row r="3" spans="1:31">
      <c r="A3" s="163"/>
      <c r="B3" s="1" t="s">
        <v>7</v>
      </c>
      <c r="C3" s="1" t="s">
        <v>8</v>
      </c>
      <c r="D3" s="1" t="s">
        <v>9</v>
      </c>
      <c r="E3" s="1" t="s">
        <v>10</v>
      </c>
      <c r="F3" s="1" t="s">
        <v>11</v>
      </c>
      <c r="G3" s="1" t="s">
        <v>12</v>
      </c>
      <c r="H3" s="1" t="s">
        <v>13</v>
      </c>
      <c r="I3" s="1" t="s">
        <v>14</v>
      </c>
      <c r="J3" s="1" t="s">
        <v>15</v>
      </c>
      <c r="K3" s="1" t="s">
        <v>16</v>
      </c>
      <c r="L3" s="1" t="s">
        <v>17</v>
      </c>
      <c r="M3" s="1" t="s">
        <v>18</v>
      </c>
      <c r="N3" s="3" t="s">
        <v>31</v>
      </c>
      <c r="O3" s="3" t="s">
        <v>4</v>
      </c>
      <c r="P3" s="3" t="s">
        <v>5</v>
      </c>
      <c r="Q3" s="4" t="s">
        <v>19</v>
      </c>
      <c r="R3" s="5" t="s">
        <v>20</v>
      </c>
      <c r="S3" s="5" t="s">
        <v>21</v>
      </c>
      <c r="T3" s="5" t="s">
        <v>22</v>
      </c>
      <c r="U3" s="1" t="s">
        <v>23</v>
      </c>
      <c r="V3" s="1" t="s">
        <v>24</v>
      </c>
      <c r="W3" s="1" t="s">
        <v>25</v>
      </c>
      <c r="X3" s="1" t="s">
        <v>26</v>
      </c>
      <c r="Y3" s="1" t="s">
        <v>27</v>
      </c>
      <c r="Z3" s="6" t="s">
        <v>28</v>
      </c>
      <c r="AA3" s="6" t="s">
        <v>29</v>
      </c>
      <c r="AB3" s="6" t="s">
        <v>30</v>
      </c>
      <c r="AC3" s="1" t="s">
        <v>31</v>
      </c>
      <c r="AD3" s="1" t="s">
        <v>4</v>
      </c>
      <c r="AE3" s="1" t="s">
        <v>5</v>
      </c>
    </row>
    <row r="4" spans="1:31">
      <c r="A4" s="147" t="s">
        <v>261</v>
      </c>
      <c r="B4" s="147">
        <f t="shared" ref="B4:Q4" si="0">AVERAGE(B5:B45)</f>
        <v>36.151219512195127</v>
      </c>
      <c r="C4" s="147">
        <f t="shared" si="0"/>
        <v>41.146341463414636</v>
      </c>
      <c r="D4" s="147">
        <f t="shared" si="0"/>
        <v>68.563414634146341</v>
      </c>
      <c r="E4" s="147">
        <f t="shared" si="0"/>
        <v>140.80975609756101</v>
      </c>
      <c r="F4" s="147">
        <f t="shared" si="0"/>
        <v>216.53170731707314</v>
      </c>
      <c r="G4" s="147">
        <f t="shared" si="0"/>
        <v>229.27073170731703</v>
      </c>
      <c r="H4" s="147">
        <f t="shared" si="0"/>
        <v>201.87073170731705</v>
      </c>
      <c r="I4" s="147">
        <f t="shared" si="0"/>
        <v>163.89999999999998</v>
      </c>
      <c r="J4" s="147">
        <f t="shared" si="0"/>
        <v>75.678048780487799</v>
      </c>
      <c r="K4" s="147">
        <f t="shared" si="0"/>
        <v>92.59999999999998</v>
      </c>
      <c r="L4" s="147">
        <f t="shared" si="0"/>
        <v>66.624390243902425</v>
      </c>
      <c r="M4" s="147">
        <f t="shared" si="0"/>
        <v>26.046341463414635</v>
      </c>
      <c r="N4" s="153">
        <f t="shared" si="0"/>
        <v>470.22500000000008</v>
      </c>
      <c r="O4" s="153">
        <f t="shared" si="0"/>
        <v>887.25121951219523</v>
      </c>
      <c r="P4" s="153">
        <f t="shared" si="0"/>
        <v>1363.325</v>
      </c>
      <c r="Q4" s="154" t="e">
        <f t="shared" si="0"/>
        <v>#DIV/0!</v>
      </c>
      <c r="R4" s="154"/>
      <c r="S4" s="154"/>
      <c r="T4" s="154"/>
      <c r="U4" s="153"/>
      <c r="V4" s="153"/>
      <c r="W4" s="153"/>
      <c r="X4" s="153"/>
      <c r="Y4" s="153"/>
      <c r="Z4" s="25"/>
      <c r="AA4" s="25"/>
      <c r="AB4" s="25"/>
      <c r="AC4" s="153"/>
      <c r="AD4" s="153"/>
      <c r="AE4" s="153"/>
    </row>
    <row r="5" spans="1:31">
      <c r="A5" s="7">
        <v>1960</v>
      </c>
      <c r="B5" s="7">
        <v>23.5</v>
      </c>
      <c r="C5" s="7">
        <v>37.9</v>
      </c>
      <c r="D5" s="7">
        <v>102.9</v>
      </c>
      <c r="E5" s="7">
        <v>181.7</v>
      </c>
      <c r="F5" s="7">
        <v>236.7</v>
      </c>
      <c r="G5" s="7">
        <v>114.3</v>
      </c>
      <c r="H5" s="7">
        <v>206.3</v>
      </c>
      <c r="I5" s="7">
        <v>73.099999999999994</v>
      </c>
      <c r="J5" s="7">
        <v>22.9</v>
      </c>
      <c r="K5" s="7">
        <v>40.299999999999997</v>
      </c>
      <c r="L5" s="7">
        <v>81.5</v>
      </c>
      <c r="M5" s="7">
        <v>8.1999999999999993</v>
      </c>
      <c r="O5" s="2">
        <f t="shared" ref="O5:O48" si="1">SUM(F5:J5)</f>
        <v>653.29999999999995</v>
      </c>
    </row>
    <row r="6" spans="1:31">
      <c r="A6" s="7">
        <v>1961</v>
      </c>
      <c r="B6" s="7">
        <v>13</v>
      </c>
      <c r="C6" s="7">
        <v>70.400000000000006</v>
      </c>
      <c r="D6" s="7">
        <v>74.599999999999994</v>
      </c>
      <c r="E6" s="7">
        <v>209.3</v>
      </c>
      <c r="F6" s="7">
        <v>129.19999999999999</v>
      </c>
      <c r="G6" s="7">
        <v>55.6</v>
      </c>
      <c r="H6" s="7">
        <v>119.2</v>
      </c>
      <c r="I6" s="7">
        <v>93.1</v>
      </c>
      <c r="J6" s="7">
        <v>43.3</v>
      </c>
      <c r="K6" s="7">
        <v>145</v>
      </c>
      <c r="L6" s="7">
        <v>148.80000000000001</v>
      </c>
      <c r="M6" s="7">
        <v>38.4</v>
      </c>
      <c r="N6" s="2">
        <f>K5+L5+M5+B6+C6+D6+E6</f>
        <v>497.3</v>
      </c>
      <c r="O6" s="2">
        <f t="shared" si="1"/>
        <v>440.40000000000003</v>
      </c>
      <c r="P6" s="2">
        <f>SUM(N6:O6)</f>
        <v>937.7</v>
      </c>
    </row>
    <row r="7" spans="1:31">
      <c r="A7" s="7">
        <v>1962</v>
      </c>
      <c r="B7" s="7">
        <v>13.6</v>
      </c>
      <c r="C7" s="7">
        <v>20.9</v>
      </c>
      <c r="D7" s="7">
        <v>78.7</v>
      </c>
      <c r="E7" s="7">
        <v>98.9</v>
      </c>
      <c r="F7" s="7">
        <v>325.89999999999998</v>
      </c>
      <c r="G7" s="7">
        <v>238.6</v>
      </c>
      <c r="H7" s="7">
        <v>107.5</v>
      </c>
      <c r="I7" s="7">
        <v>290.10000000000002</v>
      </c>
      <c r="J7" s="7">
        <v>66</v>
      </c>
      <c r="K7" s="7">
        <v>84.4</v>
      </c>
      <c r="L7" s="7">
        <v>38.200000000000003</v>
      </c>
      <c r="M7" s="7">
        <v>28.8</v>
      </c>
      <c r="N7" s="2">
        <f t="shared" ref="N7:N48" si="2">K6+L6+M6+B7+C7+D7+E7</f>
        <v>544.29999999999995</v>
      </c>
      <c r="O7" s="2">
        <f t="shared" si="1"/>
        <v>1028.0999999999999</v>
      </c>
      <c r="P7" s="2">
        <f t="shared" ref="P7:P48" si="3">SUM(N7:O7)</f>
        <v>1572.3999999999999</v>
      </c>
    </row>
    <row r="8" spans="1:31">
      <c r="A8" s="7">
        <v>1963</v>
      </c>
      <c r="B8" s="7">
        <v>5.9</v>
      </c>
      <c r="C8" s="7">
        <v>40.5</v>
      </c>
      <c r="D8" s="7">
        <v>106.9</v>
      </c>
      <c r="E8" s="7">
        <v>89.1</v>
      </c>
      <c r="F8" s="7">
        <v>354.4</v>
      </c>
      <c r="G8" s="7">
        <v>164.7</v>
      </c>
      <c r="H8" s="7">
        <v>220.7</v>
      </c>
      <c r="I8" s="7">
        <v>22.4</v>
      </c>
      <c r="J8" s="7">
        <v>25.7</v>
      </c>
      <c r="K8" s="7">
        <v>67.8</v>
      </c>
      <c r="L8" s="7">
        <v>263.10000000000002</v>
      </c>
      <c r="M8" s="7">
        <v>30.3</v>
      </c>
      <c r="N8" s="2">
        <f t="shared" si="2"/>
        <v>393.80000000000007</v>
      </c>
      <c r="O8" s="2">
        <f t="shared" si="1"/>
        <v>787.9</v>
      </c>
      <c r="P8" s="2">
        <f t="shared" si="3"/>
        <v>1181.7</v>
      </c>
    </row>
    <row r="9" spans="1:31">
      <c r="A9" s="7">
        <v>1964</v>
      </c>
      <c r="B9" s="7">
        <v>4.5</v>
      </c>
      <c r="C9" s="7">
        <v>5</v>
      </c>
      <c r="D9" s="7">
        <v>69.099999999999994</v>
      </c>
      <c r="E9" s="7">
        <v>283.2</v>
      </c>
      <c r="F9" s="7">
        <v>120.9</v>
      </c>
      <c r="G9" s="7">
        <v>284.5</v>
      </c>
      <c r="H9" s="7">
        <v>88.1</v>
      </c>
      <c r="I9" s="7">
        <v>161.6</v>
      </c>
      <c r="J9" s="7">
        <v>30.5</v>
      </c>
      <c r="K9" s="7">
        <v>94.3</v>
      </c>
      <c r="L9" s="7">
        <v>27.4</v>
      </c>
      <c r="M9" s="7">
        <v>25.3</v>
      </c>
      <c r="N9" s="2">
        <f t="shared" si="2"/>
        <v>723</v>
      </c>
      <c r="O9" s="2">
        <f t="shared" si="1"/>
        <v>685.6</v>
      </c>
      <c r="P9" s="2">
        <f t="shared" si="3"/>
        <v>1408.6</v>
      </c>
    </row>
    <row r="10" spans="1:31">
      <c r="A10" s="7">
        <v>1965</v>
      </c>
      <c r="B10" s="7">
        <v>28.1</v>
      </c>
      <c r="C10" s="7">
        <v>45.9</v>
      </c>
      <c r="D10" s="7">
        <v>102.9</v>
      </c>
      <c r="E10" s="7">
        <v>140.6</v>
      </c>
      <c r="F10" s="7">
        <v>228.8</v>
      </c>
      <c r="G10" s="7">
        <v>138</v>
      </c>
      <c r="H10" s="7">
        <v>235.2</v>
      </c>
      <c r="I10" s="7">
        <v>251.7</v>
      </c>
      <c r="J10" s="7">
        <v>47.2</v>
      </c>
      <c r="K10" s="7">
        <v>255.6</v>
      </c>
      <c r="L10" s="7">
        <v>91.3</v>
      </c>
      <c r="M10" s="7">
        <v>32.4</v>
      </c>
      <c r="N10" s="2">
        <f t="shared" si="2"/>
        <v>464.5</v>
      </c>
      <c r="O10" s="2">
        <f t="shared" si="1"/>
        <v>900.90000000000009</v>
      </c>
      <c r="P10" s="2">
        <f t="shared" si="3"/>
        <v>1365.4</v>
      </c>
    </row>
    <row r="11" spans="1:31">
      <c r="A11" s="7">
        <v>1966</v>
      </c>
      <c r="B11" s="7">
        <v>3.1</v>
      </c>
      <c r="C11" s="7">
        <v>4.5</v>
      </c>
      <c r="D11" s="7">
        <v>18.899999999999999</v>
      </c>
      <c r="E11" s="7">
        <v>127.2</v>
      </c>
      <c r="F11" s="7">
        <v>231.3</v>
      </c>
      <c r="G11" s="7">
        <v>177.7</v>
      </c>
      <c r="H11" s="7">
        <v>394.7</v>
      </c>
      <c r="I11" s="7">
        <v>46.4</v>
      </c>
      <c r="J11" s="7">
        <v>26.8</v>
      </c>
      <c r="K11" s="7">
        <v>151.6</v>
      </c>
      <c r="L11" s="7">
        <v>11.4</v>
      </c>
      <c r="M11" s="7">
        <v>21.4</v>
      </c>
      <c r="N11" s="2">
        <f t="shared" si="2"/>
        <v>533</v>
      </c>
      <c r="O11" s="2">
        <f t="shared" si="1"/>
        <v>876.9</v>
      </c>
      <c r="P11" s="2">
        <f t="shared" si="3"/>
        <v>1409.9</v>
      </c>
    </row>
    <row r="12" spans="1:31">
      <c r="A12" s="7">
        <v>1967</v>
      </c>
      <c r="B12" s="7">
        <v>26.9</v>
      </c>
      <c r="C12" s="7">
        <v>58.9</v>
      </c>
      <c r="D12" s="7">
        <v>38.200000000000003</v>
      </c>
      <c r="E12" s="7">
        <v>124.8</v>
      </c>
      <c r="F12" s="7">
        <v>162.30000000000001</v>
      </c>
      <c r="G12" s="7">
        <v>327.39999999999998</v>
      </c>
      <c r="H12" s="7">
        <v>188.7</v>
      </c>
      <c r="I12" s="7">
        <v>319.8</v>
      </c>
      <c r="J12" s="7">
        <v>140.5</v>
      </c>
      <c r="K12" s="7">
        <v>70.099999999999994</v>
      </c>
      <c r="L12" s="7">
        <v>97.7</v>
      </c>
      <c r="M12" s="7">
        <v>27.8</v>
      </c>
      <c r="N12" s="2">
        <f t="shared" si="2"/>
        <v>433.2</v>
      </c>
      <c r="O12" s="2">
        <f t="shared" si="1"/>
        <v>1138.7</v>
      </c>
      <c r="P12" s="2">
        <f t="shared" si="3"/>
        <v>1571.9</v>
      </c>
    </row>
    <row r="13" spans="1:31">
      <c r="A13" s="7">
        <v>1968</v>
      </c>
      <c r="B13" s="7">
        <v>34.9</v>
      </c>
      <c r="C13" s="7">
        <v>18.2</v>
      </c>
      <c r="D13" s="7">
        <v>78.7</v>
      </c>
      <c r="E13" s="7">
        <v>234.6</v>
      </c>
      <c r="F13" s="7">
        <v>143.5</v>
      </c>
      <c r="G13" s="7">
        <v>368.4</v>
      </c>
      <c r="H13" s="7">
        <v>264.7</v>
      </c>
      <c r="I13" s="7">
        <v>150.4</v>
      </c>
      <c r="J13" s="7">
        <v>79.7</v>
      </c>
      <c r="K13" s="7">
        <v>28.2</v>
      </c>
      <c r="L13" s="7">
        <v>101.9</v>
      </c>
      <c r="M13" s="7">
        <v>67.599999999999994</v>
      </c>
      <c r="N13" s="2">
        <f t="shared" si="2"/>
        <v>562</v>
      </c>
      <c r="O13" s="2">
        <f t="shared" si="1"/>
        <v>1006.6999999999999</v>
      </c>
      <c r="P13" s="2">
        <f t="shared" si="3"/>
        <v>1568.6999999999998</v>
      </c>
    </row>
    <row r="14" spans="1:31">
      <c r="A14" s="7">
        <v>1969</v>
      </c>
      <c r="B14" s="7">
        <v>38.5</v>
      </c>
      <c r="C14" s="7">
        <v>1</v>
      </c>
      <c r="D14" s="7">
        <v>85.8</v>
      </c>
      <c r="E14" s="7">
        <v>125.1</v>
      </c>
      <c r="F14" s="7">
        <v>180.5</v>
      </c>
      <c r="G14" s="7">
        <v>374.2</v>
      </c>
      <c r="H14" s="7">
        <v>263.39999999999998</v>
      </c>
      <c r="I14" s="7">
        <v>231.3</v>
      </c>
      <c r="J14" s="7">
        <v>3.7</v>
      </c>
      <c r="K14" s="7">
        <v>107.9</v>
      </c>
      <c r="L14" s="7">
        <v>82.2</v>
      </c>
      <c r="M14" s="7">
        <v>1.9</v>
      </c>
      <c r="N14" s="2">
        <f t="shared" si="2"/>
        <v>448.1</v>
      </c>
      <c r="O14" s="2">
        <f t="shared" si="1"/>
        <v>1053.1000000000001</v>
      </c>
      <c r="P14" s="2">
        <f t="shared" si="3"/>
        <v>1501.2000000000003</v>
      </c>
    </row>
    <row r="15" spans="1:31">
      <c r="A15" s="7">
        <v>1970</v>
      </c>
      <c r="B15" s="7">
        <v>38.200000000000003</v>
      </c>
      <c r="C15" s="7">
        <v>50.4</v>
      </c>
      <c r="D15" s="7">
        <v>102.5</v>
      </c>
      <c r="E15" s="7">
        <v>140.5</v>
      </c>
      <c r="F15" s="7">
        <v>239.6</v>
      </c>
      <c r="G15" s="7">
        <v>162.9</v>
      </c>
      <c r="H15" s="7">
        <v>400.9</v>
      </c>
      <c r="I15" s="7">
        <v>177.2</v>
      </c>
      <c r="J15" s="7">
        <v>85.2</v>
      </c>
      <c r="K15" s="7">
        <v>11</v>
      </c>
      <c r="L15" s="7">
        <v>34.6</v>
      </c>
      <c r="M15" s="7">
        <v>59.7</v>
      </c>
      <c r="N15" s="2">
        <f t="shared" si="2"/>
        <v>523.6</v>
      </c>
      <c r="O15" s="2">
        <f t="shared" si="1"/>
        <v>1065.8</v>
      </c>
      <c r="P15" s="2">
        <f t="shared" si="3"/>
        <v>1589.4</v>
      </c>
    </row>
    <row r="16" spans="1:31">
      <c r="A16" s="7">
        <v>1971</v>
      </c>
      <c r="B16" s="7">
        <v>31.3</v>
      </c>
      <c r="C16" s="7">
        <v>38.200000000000003</v>
      </c>
      <c r="D16" s="7">
        <v>47.6</v>
      </c>
      <c r="E16" s="7">
        <v>148.4</v>
      </c>
      <c r="F16" s="7">
        <v>228</v>
      </c>
      <c r="G16" s="7">
        <v>244.8</v>
      </c>
      <c r="H16" s="7">
        <v>127.7</v>
      </c>
      <c r="I16" s="7">
        <v>263.10000000000002</v>
      </c>
      <c r="J16" s="7">
        <v>20.6</v>
      </c>
      <c r="K16" s="7">
        <v>82.6</v>
      </c>
      <c r="L16" s="7">
        <v>18.7</v>
      </c>
      <c r="M16" s="7">
        <v>38.200000000000003</v>
      </c>
      <c r="N16" s="2">
        <f t="shared" si="2"/>
        <v>370.8</v>
      </c>
      <c r="O16" s="2">
        <f t="shared" si="1"/>
        <v>884.2</v>
      </c>
      <c r="P16" s="2">
        <f t="shared" si="3"/>
        <v>1255</v>
      </c>
    </row>
    <row r="17" spans="1:16">
      <c r="A17" s="7">
        <v>1972</v>
      </c>
      <c r="B17" s="7">
        <v>13.6</v>
      </c>
      <c r="C17" s="7">
        <v>47.4</v>
      </c>
      <c r="D17" s="7">
        <v>114.4</v>
      </c>
      <c r="E17" s="7">
        <v>197.9</v>
      </c>
      <c r="F17" s="7">
        <v>281</v>
      </c>
      <c r="G17" s="7">
        <v>182</v>
      </c>
      <c r="H17" s="7">
        <v>8.1999999999999993</v>
      </c>
      <c r="I17" s="7">
        <v>29.7</v>
      </c>
      <c r="J17" s="7">
        <v>219.2</v>
      </c>
      <c r="K17" s="7">
        <v>170.3</v>
      </c>
      <c r="L17" s="7">
        <v>100.6</v>
      </c>
      <c r="M17" s="7">
        <v>47.7</v>
      </c>
      <c r="N17" s="2">
        <f t="shared" si="2"/>
        <v>512.79999999999995</v>
      </c>
      <c r="O17" s="2">
        <f t="shared" si="1"/>
        <v>720.09999999999991</v>
      </c>
      <c r="P17" s="2">
        <f t="shared" si="3"/>
        <v>1232.8999999999999</v>
      </c>
    </row>
    <row r="18" spans="1:16">
      <c r="A18" s="7">
        <v>1973</v>
      </c>
      <c r="B18" s="7">
        <v>42.1</v>
      </c>
      <c r="C18" s="7">
        <v>39.4</v>
      </c>
      <c r="D18" s="7">
        <v>63</v>
      </c>
      <c r="E18" s="7">
        <v>119.8</v>
      </c>
      <c r="F18" s="7">
        <v>224</v>
      </c>
      <c r="G18" s="7">
        <v>264.7</v>
      </c>
      <c r="H18" s="7">
        <v>157.1</v>
      </c>
      <c r="I18" s="7">
        <v>300.8</v>
      </c>
      <c r="J18" s="7">
        <v>190.9</v>
      </c>
      <c r="K18" s="7">
        <v>53.7</v>
      </c>
      <c r="L18" s="7">
        <v>51.2</v>
      </c>
      <c r="M18" s="7">
        <v>2</v>
      </c>
      <c r="N18" s="2">
        <f t="shared" si="2"/>
        <v>582.9</v>
      </c>
      <c r="O18" s="2">
        <f t="shared" si="1"/>
        <v>1137.5</v>
      </c>
      <c r="P18" s="2">
        <f t="shared" si="3"/>
        <v>1720.4</v>
      </c>
    </row>
    <row r="19" spans="1:16" ht="15">
      <c r="A19" s="7">
        <v>1974</v>
      </c>
      <c r="B19" s="7">
        <v>61.6</v>
      </c>
      <c r="C19" s="7">
        <v>13.8</v>
      </c>
      <c r="D19" s="7">
        <v>70.900000000000006</v>
      </c>
      <c r="E19" s="7">
        <v>295.39999999999998</v>
      </c>
      <c r="F19" s="7">
        <v>116.1</v>
      </c>
      <c r="G19" s="7">
        <v>243.9</v>
      </c>
      <c r="H19" s="7">
        <v>193.6</v>
      </c>
      <c r="I19" s="7">
        <v>192</v>
      </c>
      <c r="J19" s="7">
        <v>71</v>
      </c>
      <c r="K19" s="7">
        <v>29</v>
      </c>
      <c r="L19" s="8">
        <v>17.100000000000001</v>
      </c>
      <c r="M19" s="8">
        <v>26.5</v>
      </c>
      <c r="N19" s="2">
        <f t="shared" si="2"/>
        <v>548.6</v>
      </c>
      <c r="O19" s="2">
        <f t="shared" si="1"/>
        <v>816.6</v>
      </c>
      <c r="P19" s="2">
        <f t="shared" si="3"/>
        <v>1365.2</v>
      </c>
    </row>
    <row r="20" spans="1:16" ht="15">
      <c r="A20" s="7">
        <v>1975</v>
      </c>
      <c r="B20" s="7">
        <v>25.7</v>
      </c>
      <c r="C20" s="7">
        <v>31.4</v>
      </c>
      <c r="D20" s="7">
        <v>42.3</v>
      </c>
      <c r="E20" s="7">
        <v>236.2</v>
      </c>
      <c r="F20" s="7">
        <v>290.39999999999998</v>
      </c>
      <c r="G20" s="7">
        <v>127</v>
      </c>
      <c r="H20" s="7">
        <v>66.5</v>
      </c>
      <c r="I20" s="7">
        <v>183.6</v>
      </c>
      <c r="J20" s="7">
        <v>16.2</v>
      </c>
      <c r="K20" s="7">
        <v>32.6</v>
      </c>
      <c r="L20" s="8">
        <v>51.9</v>
      </c>
      <c r="M20" s="8">
        <v>1.1000000000000001</v>
      </c>
      <c r="N20" s="2">
        <f t="shared" si="2"/>
        <v>408.2</v>
      </c>
      <c r="O20" s="2">
        <f t="shared" si="1"/>
        <v>683.7</v>
      </c>
      <c r="P20" s="2">
        <f t="shared" si="3"/>
        <v>1091.9000000000001</v>
      </c>
    </row>
    <row r="21" spans="1:16" ht="15">
      <c r="A21" s="7">
        <v>1976</v>
      </c>
      <c r="B21" s="7">
        <v>28.9</v>
      </c>
      <c r="C21" s="7">
        <v>27.4</v>
      </c>
      <c r="D21" s="7">
        <v>47</v>
      </c>
      <c r="E21" s="7">
        <v>220.8</v>
      </c>
      <c r="F21" s="7">
        <v>196.3</v>
      </c>
      <c r="G21" s="7">
        <v>258.7</v>
      </c>
      <c r="H21" s="7">
        <v>95.9</v>
      </c>
      <c r="I21" s="7">
        <v>114.2</v>
      </c>
      <c r="J21" s="7">
        <v>43.4</v>
      </c>
      <c r="K21" s="7">
        <v>133.69999999999999</v>
      </c>
      <c r="L21" s="8">
        <v>63.5</v>
      </c>
      <c r="M21" s="8">
        <v>16.2</v>
      </c>
      <c r="N21" s="2">
        <f t="shared" si="2"/>
        <v>409.70000000000005</v>
      </c>
      <c r="O21" s="2">
        <f t="shared" si="1"/>
        <v>708.5</v>
      </c>
      <c r="P21" s="2">
        <f t="shared" si="3"/>
        <v>1118.2</v>
      </c>
    </row>
    <row r="22" spans="1:16" ht="15">
      <c r="A22" s="7">
        <v>1977</v>
      </c>
      <c r="B22" s="7">
        <v>12.3</v>
      </c>
      <c r="C22" s="7">
        <v>26</v>
      </c>
      <c r="D22" s="7">
        <v>41.2</v>
      </c>
      <c r="E22" s="7">
        <v>188.1</v>
      </c>
      <c r="F22" s="7">
        <v>318.2</v>
      </c>
      <c r="G22" s="7">
        <v>346.8</v>
      </c>
      <c r="H22" s="7">
        <v>127.5</v>
      </c>
      <c r="I22" s="7">
        <v>130.4</v>
      </c>
      <c r="J22" s="7">
        <v>73.5</v>
      </c>
      <c r="K22" s="7">
        <v>193.2</v>
      </c>
      <c r="L22" s="8">
        <v>58.1</v>
      </c>
      <c r="M22" s="8">
        <v>11.3</v>
      </c>
      <c r="N22" s="2">
        <f t="shared" si="2"/>
        <v>481</v>
      </c>
      <c r="O22" s="2">
        <f t="shared" si="1"/>
        <v>996.4</v>
      </c>
      <c r="P22" s="2">
        <f t="shared" si="3"/>
        <v>1477.4</v>
      </c>
    </row>
    <row r="23" spans="1:16" ht="15">
      <c r="A23" s="7">
        <v>1978</v>
      </c>
      <c r="B23" s="7">
        <v>34.5</v>
      </c>
      <c r="C23" s="7">
        <v>3.2</v>
      </c>
      <c r="D23" s="7">
        <v>45.8</v>
      </c>
      <c r="E23" s="7">
        <v>73.2</v>
      </c>
      <c r="F23" s="7">
        <v>323.8</v>
      </c>
      <c r="G23" s="7">
        <v>138.6</v>
      </c>
      <c r="H23" s="7">
        <v>99.3</v>
      </c>
      <c r="I23" s="7">
        <v>141.5</v>
      </c>
      <c r="J23" s="7">
        <v>106</v>
      </c>
      <c r="K23" s="7">
        <v>119.2</v>
      </c>
      <c r="L23" s="8">
        <v>153.4</v>
      </c>
      <c r="M23" s="8">
        <v>17.899999999999999</v>
      </c>
      <c r="N23" s="2">
        <f t="shared" si="2"/>
        <v>419.29999999999995</v>
      </c>
      <c r="O23" s="2">
        <f t="shared" si="1"/>
        <v>809.19999999999993</v>
      </c>
      <c r="P23" s="2">
        <f t="shared" si="3"/>
        <v>1228.5</v>
      </c>
    </row>
    <row r="24" spans="1:16" ht="15">
      <c r="A24" s="7">
        <v>1979</v>
      </c>
      <c r="B24" s="7">
        <v>37.4</v>
      </c>
      <c r="C24" s="7">
        <v>40.1</v>
      </c>
      <c r="D24" s="7">
        <v>22</v>
      </c>
      <c r="E24" s="7">
        <v>81.099999999999994</v>
      </c>
      <c r="F24" s="7">
        <v>235.1</v>
      </c>
      <c r="G24" s="7">
        <v>484.8</v>
      </c>
      <c r="H24" s="7">
        <v>242.1</v>
      </c>
      <c r="I24" s="7">
        <v>273.2</v>
      </c>
      <c r="J24" s="7">
        <v>143.9</v>
      </c>
      <c r="K24" s="7">
        <v>30.8</v>
      </c>
      <c r="L24" s="8">
        <v>6</v>
      </c>
      <c r="M24" s="8">
        <v>10</v>
      </c>
      <c r="N24" s="2">
        <f t="shared" si="2"/>
        <v>471.1</v>
      </c>
      <c r="O24" s="2">
        <f t="shared" si="1"/>
        <v>1379.1000000000001</v>
      </c>
      <c r="P24" s="2">
        <f t="shared" si="3"/>
        <v>1850.2000000000003</v>
      </c>
    </row>
    <row r="25" spans="1:16" ht="15">
      <c r="A25" s="7">
        <v>1980</v>
      </c>
      <c r="B25" s="7">
        <v>69.099999999999994</v>
      </c>
      <c r="C25" s="7">
        <v>46</v>
      </c>
      <c r="D25" s="7">
        <v>51.2</v>
      </c>
      <c r="E25" s="7">
        <v>135.5</v>
      </c>
      <c r="F25" s="7">
        <v>272.3</v>
      </c>
      <c r="G25" s="7">
        <v>117.8</v>
      </c>
      <c r="H25" s="7">
        <v>269.8</v>
      </c>
      <c r="I25" s="7">
        <v>272.2</v>
      </c>
      <c r="J25" s="7">
        <v>28.6</v>
      </c>
      <c r="K25" s="7">
        <v>110.8</v>
      </c>
      <c r="L25" s="8">
        <v>64.099999999999994</v>
      </c>
      <c r="M25" s="8">
        <v>33.5</v>
      </c>
      <c r="N25" s="2">
        <f t="shared" si="2"/>
        <v>348.59999999999997</v>
      </c>
      <c r="O25" s="2">
        <f t="shared" si="1"/>
        <v>960.70000000000016</v>
      </c>
      <c r="P25" s="2">
        <f t="shared" si="3"/>
        <v>1309.3000000000002</v>
      </c>
    </row>
    <row r="26" spans="1:16" ht="15">
      <c r="A26" s="7">
        <v>1981</v>
      </c>
      <c r="B26" s="7">
        <v>33.4</v>
      </c>
      <c r="C26" s="7">
        <v>51.4</v>
      </c>
      <c r="D26" s="7">
        <v>57.7</v>
      </c>
      <c r="E26" s="7">
        <v>228.6</v>
      </c>
      <c r="F26" s="7">
        <v>217.2</v>
      </c>
      <c r="G26" s="7">
        <v>223.1</v>
      </c>
      <c r="H26" s="7">
        <v>113.6</v>
      </c>
      <c r="I26" s="7">
        <v>27.9</v>
      </c>
      <c r="J26" s="7">
        <v>43.1</v>
      </c>
      <c r="K26" s="7">
        <v>75.8</v>
      </c>
      <c r="L26" s="8">
        <v>138.6</v>
      </c>
      <c r="M26" s="8">
        <v>1</v>
      </c>
      <c r="N26" s="2">
        <f t="shared" si="2"/>
        <v>579.5</v>
      </c>
      <c r="O26" s="2">
        <f t="shared" si="1"/>
        <v>624.9</v>
      </c>
      <c r="P26" s="2">
        <f t="shared" si="3"/>
        <v>1204.4000000000001</v>
      </c>
    </row>
    <row r="27" spans="1:16" ht="15">
      <c r="A27" s="7">
        <v>1982</v>
      </c>
      <c r="B27" s="7">
        <v>35.4</v>
      </c>
      <c r="C27" s="7">
        <v>93.4</v>
      </c>
      <c r="D27" s="7">
        <v>35.6</v>
      </c>
      <c r="E27" s="7">
        <v>123.1</v>
      </c>
      <c r="F27" s="7">
        <v>132</v>
      </c>
      <c r="G27" s="7">
        <v>227.9</v>
      </c>
      <c r="H27" s="7">
        <v>107.8</v>
      </c>
      <c r="I27" s="7">
        <v>92.2</v>
      </c>
      <c r="J27" s="7">
        <v>127</v>
      </c>
      <c r="K27" s="7">
        <v>142.4</v>
      </c>
      <c r="L27" s="8">
        <v>144.80000000000001</v>
      </c>
      <c r="M27" s="8">
        <v>28.1</v>
      </c>
      <c r="N27" s="2">
        <f t="shared" si="2"/>
        <v>502.9</v>
      </c>
      <c r="O27" s="2">
        <f t="shared" si="1"/>
        <v>686.9</v>
      </c>
      <c r="P27" s="2">
        <f t="shared" si="3"/>
        <v>1189.8</v>
      </c>
    </row>
    <row r="28" spans="1:16" ht="15">
      <c r="A28" s="7">
        <v>1983</v>
      </c>
      <c r="B28" s="7">
        <v>65.7</v>
      </c>
      <c r="C28" s="7">
        <v>67.400000000000006</v>
      </c>
      <c r="D28" s="7">
        <v>40.799999999999997</v>
      </c>
      <c r="E28" s="7">
        <v>187.7</v>
      </c>
      <c r="F28" s="7">
        <v>174.5</v>
      </c>
      <c r="G28" s="7">
        <v>318.5</v>
      </c>
      <c r="H28" s="7">
        <v>101.8</v>
      </c>
      <c r="I28" s="7">
        <v>176.7</v>
      </c>
      <c r="J28" s="7">
        <v>57.3</v>
      </c>
      <c r="K28" s="7">
        <v>82.2</v>
      </c>
      <c r="L28" s="8">
        <v>78</v>
      </c>
      <c r="M28" s="8">
        <v>41.4</v>
      </c>
      <c r="N28" s="2">
        <f t="shared" si="2"/>
        <v>676.90000000000009</v>
      </c>
      <c r="O28" s="2">
        <f t="shared" si="1"/>
        <v>828.8</v>
      </c>
      <c r="P28" s="2">
        <f t="shared" si="3"/>
        <v>1505.7</v>
      </c>
    </row>
    <row r="29" spans="1:16" ht="15">
      <c r="A29" s="7">
        <v>1984</v>
      </c>
      <c r="B29" s="7">
        <v>23.8</v>
      </c>
      <c r="C29" s="7">
        <v>16</v>
      </c>
      <c r="D29" s="7">
        <v>22.6</v>
      </c>
      <c r="E29" s="7">
        <v>77.3</v>
      </c>
      <c r="F29" s="7">
        <v>406.7</v>
      </c>
      <c r="G29" s="7">
        <v>73.099999999999994</v>
      </c>
      <c r="H29" s="7">
        <v>176.3</v>
      </c>
      <c r="I29" s="7">
        <v>263.8</v>
      </c>
      <c r="J29" s="7">
        <v>69.099999999999994</v>
      </c>
      <c r="K29" s="7">
        <v>110.2</v>
      </c>
      <c r="L29" s="8">
        <v>31.5</v>
      </c>
      <c r="M29" s="8">
        <v>56.8</v>
      </c>
      <c r="N29" s="2">
        <f t="shared" si="2"/>
        <v>341.3</v>
      </c>
      <c r="O29" s="2">
        <f t="shared" si="1"/>
        <v>988.99999999999989</v>
      </c>
      <c r="P29" s="2">
        <f t="shared" si="3"/>
        <v>1330.3</v>
      </c>
    </row>
    <row r="30" spans="1:16">
      <c r="A30" s="7">
        <v>1985</v>
      </c>
      <c r="B30" s="9">
        <v>19.399999999999999</v>
      </c>
      <c r="C30" s="9">
        <v>88.6</v>
      </c>
      <c r="D30" s="9">
        <v>66.900000000000006</v>
      </c>
      <c r="E30" s="9">
        <v>139.6</v>
      </c>
      <c r="F30" s="9">
        <v>274.10000000000002</v>
      </c>
      <c r="G30" s="9">
        <v>119.7</v>
      </c>
      <c r="H30" s="9">
        <v>73.599999999999994</v>
      </c>
      <c r="I30" s="9">
        <v>245.5</v>
      </c>
      <c r="J30" s="9">
        <v>60.1</v>
      </c>
      <c r="K30" s="9">
        <v>16.2</v>
      </c>
      <c r="L30" s="9">
        <v>62.3</v>
      </c>
      <c r="M30" s="9">
        <v>30.6</v>
      </c>
      <c r="N30" s="2">
        <f t="shared" si="2"/>
        <v>513</v>
      </c>
      <c r="O30" s="2">
        <f t="shared" si="1"/>
        <v>773</v>
      </c>
      <c r="P30" s="2">
        <f t="shared" si="3"/>
        <v>1286</v>
      </c>
    </row>
    <row r="31" spans="1:16">
      <c r="A31" s="7">
        <v>1986</v>
      </c>
      <c r="B31" s="9">
        <v>30</v>
      </c>
      <c r="C31" s="9">
        <v>8.6999999999999993</v>
      </c>
      <c r="D31" s="9">
        <v>50.2</v>
      </c>
      <c r="E31" s="9">
        <v>93.3</v>
      </c>
      <c r="F31" s="9">
        <v>91</v>
      </c>
      <c r="G31" s="9">
        <v>226.7</v>
      </c>
      <c r="H31" s="9">
        <v>275.89999999999998</v>
      </c>
      <c r="I31" s="9">
        <v>96.2</v>
      </c>
      <c r="J31" s="9">
        <v>30.6</v>
      </c>
      <c r="K31" s="9">
        <v>72.5</v>
      </c>
      <c r="L31" s="9">
        <v>26.5</v>
      </c>
      <c r="M31" s="9">
        <v>7.3</v>
      </c>
      <c r="N31" s="2">
        <f t="shared" si="2"/>
        <v>291.3</v>
      </c>
      <c r="O31" s="2">
        <f t="shared" si="1"/>
        <v>720.4</v>
      </c>
      <c r="P31" s="2">
        <f t="shared" si="3"/>
        <v>1011.7</v>
      </c>
    </row>
    <row r="32" spans="1:16">
      <c r="A32" s="7">
        <v>1987</v>
      </c>
      <c r="B32" s="7">
        <v>40.799999999999997</v>
      </c>
      <c r="C32" s="7">
        <v>33</v>
      </c>
      <c r="D32" s="7">
        <v>85.2</v>
      </c>
      <c r="E32" s="7">
        <v>85.3</v>
      </c>
      <c r="F32" s="7">
        <v>156.80000000000001</v>
      </c>
      <c r="G32" s="7">
        <v>317.2</v>
      </c>
      <c r="H32" s="7">
        <v>122.8</v>
      </c>
      <c r="I32" s="7">
        <v>47.5</v>
      </c>
      <c r="J32" s="7">
        <v>47.1</v>
      </c>
      <c r="K32" s="7">
        <v>72.8</v>
      </c>
      <c r="L32" s="7">
        <v>105.9</v>
      </c>
      <c r="M32" s="7">
        <v>3.2</v>
      </c>
      <c r="N32" s="2">
        <f t="shared" si="2"/>
        <v>350.6</v>
      </c>
      <c r="O32" s="2">
        <f t="shared" si="1"/>
        <v>691.4</v>
      </c>
      <c r="P32" s="2">
        <f t="shared" si="3"/>
        <v>1042</v>
      </c>
    </row>
    <row r="33" spans="1:16">
      <c r="A33" s="7">
        <v>1988</v>
      </c>
      <c r="B33" s="7">
        <v>28.1</v>
      </c>
      <c r="C33" s="7">
        <v>58.2</v>
      </c>
      <c r="D33" s="7">
        <v>29.5</v>
      </c>
      <c r="E33" s="7">
        <v>96.6</v>
      </c>
      <c r="F33" s="7">
        <v>124.9</v>
      </c>
      <c r="G33" s="7">
        <v>172.2</v>
      </c>
      <c r="H33" s="7">
        <v>63.4</v>
      </c>
      <c r="I33" s="7">
        <v>412.9</v>
      </c>
      <c r="J33" s="7">
        <v>100</v>
      </c>
      <c r="K33" s="7">
        <v>42.5</v>
      </c>
      <c r="L33" s="7">
        <v>5.4</v>
      </c>
      <c r="M33" s="7">
        <v>12.7</v>
      </c>
      <c r="N33" s="2">
        <f t="shared" si="2"/>
        <v>394.29999999999995</v>
      </c>
      <c r="O33" s="2">
        <f t="shared" si="1"/>
        <v>873.4</v>
      </c>
      <c r="P33" s="2">
        <f t="shared" si="3"/>
        <v>1267.6999999999998</v>
      </c>
    </row>
    <row r="34" spans="1:16">
      <c r="A34" s="7">
        <v>1989</v>
      </c>
      <c r="B34" s="7">
        <v>42.2</v>
      </c>
      <c r="C34" s="7">
        <v>27.3</v>
      </c>
      <c r="D34" s="7">
        <v>16.2</v>
      </c>
      <c r="E34" s="7">
        <v>86.1</v>
      </c>
      <c r="F34" s="7">
        <v>127</v>
      </c>
      <c r="G34" s="7">
        <v>129.30000000000001</v>
      </c>
      <c r="H34" s="7">
        <v>129.4</v>
      </c>
      <c r="I34" s="7">
        <v>60.8</v>
      </c>
      <c r="J34" s="7">
        <v>109.7</v>
      </c>
      <c r="K34" s="7">
        <v>49.2</v>
      </c>
      <c r="L34" s="7">
        <v>49.3</v>
      </c>
      <c r="M34" s="7">
        <v>47.5</v>
      </c>
      <c r="N34" s="2">
        <f t="shared" si="2"/>
        <v>232.39999999999998</v>
      </c>
      <c r="O34" s="2">
        <f t="shared" si="1"/>
        <v>556.20000000000005</v>
      </c>
      <c r="P34" s="2">
        <f t="shared" si="3"/>
        <v>788.6</v>
      </c>
    </row>
    <row r="35" spans="1:16">
      <c r="A35" s="7">
        <v>1990</v>
      </c>
      <c r="B35" s="7">
        <v>86.5</v>
      </c>
      <c r="C35" s="7">
        <v>74.900000000000006</v>
      </c>
      <c r="D35" s="7">
        <v>130.4</v>
      </c>
      <c r="E35" s="7">
        <v>82.6</v>
      </c>
      <c r="F35" s="7">
        <v>249.5</v>
      </c>
      <c r="G35" s="7">
        <v>259.2</v>
      </c>
      <c r="H35" s="7">
        <v>143.80000000000001</v>
      </c>
      <c r="I35" s="7">
        <v>35.299999999999997</v>
      </c>
      <c r="J35" s="7">
        <v>104.8</v>
      </c>
      <c r="K35" s="7">
        <v>101.2</v>
      </c>
      <c r="L35" s="7">
        <v>44.6</v>
      </c>
      <c r="M35" s="7">
        <v>34.1</v>
      </c>
      <c r="N35" s="2">
        <f t="shared" si="2"/>
        <v>520.4</v>
      </c>
      <c r="O35" s="2">
        <f t="shared" si="1"/>
        <v>792.59999999999991</v>
      </c>
      <c r="P35" s="2">
        <f t="shared" si="3"/>
        <v>1313</v>
      </c>
    </row>
    <row r="36" spans="1:16">
      <c r="A36" s="7">
        <v>1991</v>
      </c>
      <c r="B36" s="7">
        <v>95.6</v>
      </c>
      <c r="C36" s="7">
        <v>58.2</v>
      </c>
      <c r="D36" s="7">
        <v>139.1</v>
      </c>
      <c r="E36" s="7">
        <v>93.1</v>
      </c>
      <c r="F36" s="7">
        <v>249.8</v>
      </c>
      <c r="G36" s="7">
        <v>208.4</v>
      </c>
      <c r="H36" s="7">
        <v>241.9</v>
      </c>
      <c r="I36" s="7">
        <v>130.80000000000001</v>
      </c>
      <c r="J36" s="7">
        <v>65.2</v>
      </c>
      <c r="K36" s="7">
        <v>105.2</v>
      </c>
      <c r="L36" s="7">
        <v>62.6</v>
      </c>
      <c r="M36" s="7">
        <v>18.600000000000001</v>
      </c>
      <c r="N36" s="2">
        <f t="shared" si="2"/>
        <v>565.9</v>
      </c>
      <c r="O36" s="2">
        <f t="shared" si="1"/>
        <v>896.10000000000014</v>
      </c>
      <c r="P36" s="2">
        <f t="shared" si="3"/>
        <v>1462</v>
      </c>
    </row>
    <row r="37" spans="1:16">
      <c r="A37" s="7">
        <v>1992</v>
      </c>
      <c r="B37" s="7">
        <v>42.5</v>
      </c>
      <c r="C37" s="7">
        <v>86.1</v>
      </c>
      <c r="D37" s="7">
        <v>71</v>
      </c>
      <c r="E37" s="7">
        <v>100.1</v>
      </c>
      <c r="F37" s="7">
        <v>229.4</v>
      </c>
      <c r="G37" s="7">
        <v>255.5</v>
      </c>
      <c r="H37" s="7">
        <v>131.30000000000001</v>
      </c>
      <c r="I37" s="7">
        <v>11.5</v>
      </c>
      <c r="J37" s="7">
        <v>35.5</v>
      </c>
      <c r="K37" s="7">
        <v>40.799999999999997</v>
      </c>
      <c r="L37" s="7">
        <v>8.6999999999999993</v>
      </c>
      <c r="M37" s="7">
        <v>45.1</v>
      </c>
      <c r="N37" s="2">
        <f t="shared" si="2"/>
        <v>486.1</v>
      </c>
      <c r="O37" s="2">
        <f t="shared" si="1"/>
        <v>663.2</v>
      </c>
      <c r="P37" s="2">
        <f t="shared" si="3"/>
        <v>1149.3000000000002</v>
      </c>
    </row>
    <row r="38" spans="1:16">
      <c r="A38" s="7">
        <v>1993</v>
      </c>
      <c r="B38" s="7">
        <v>44.9</v>
      </c>
      <c r="C38" s="7">
        <v>56.8</v>
      </c>
      <c r="D38" s="7">
        <v>46.6</v>
      </c>
      <c r="E38" s="7">
        <v>109.6</v>
      </c>
      <c r="F38" s="7">
        <v>224.1</v>
      </c>
      <c r="G38" s="7">
        <v>338</v>
      </c>
      <c r="H38" s="7">
        <v>790.9</v>
      </c>
      <c r="I38" s="7">
        <v>205.6</v>
      </c>
      <c r="J38" s="7">
        <v>105.4</v>
      </c>
      <c r="K38" s="7">
        <v>77.2</v>
      </c>
      <c r="L38" s="7">
        <v>76.2</v>
      </c>
      <c r="M38" s="7">
        <v>22.5</v>
      </c>
      <c r="N38" s="2">
        <f t="shared" si="2"/>
        <v>352.5</v>
      </c>
      <c r="O38" s="2">
        <f t="shared" si="1"/>
        <v>1664</v>
      </c>
      <c r="P38" s="2">
        <f t="shared" si="3"/>
        <v>2016.5</v>
      </c>
    </row>
    <row r="39" spans="1:16">
      <c r="A39" s="7">
        <v>1994</v>
      </c>
      <c r="B39" s="7">
        <v>14.2</v>
      </c>
      <c r="C39" s="7">
        <v>13.5</v>
      </c>
      <c r="D39" s="7">
        <v>85.8</v>
      </c>
      <c r="E39" s="7">
        <v>116.7</v>
      </c>
      <c r="F39" s="7">
        <v>256.60000000000002</v>
      </c>
      <c r="G39" s="7">
        <v>82.9</v>
      </c>
      <c r="H39" s="7">
        <v>198.8</v>
      </c>
      <c r="I39" s="7">
        <v>335.2</v>
      </c>
      <c r="J39" s="7">
        <v>168.8</v>
      </c>
      <c r="K39" s="7">
        <v>207.8</v>
      </c>
      <c r="L39" s="7">
        <v>61.1</v>
      </c>
      <c r="M39" s="7">
        <v>32.799999999999997</v>
      </c>
      <c r="N39" s="2">
        <f t="shared" si="2"/>
        <v>406.09999999999997</v>
      </c>
      <c r="O39" s="2">
        <f t="shared" si="1"/>
        <v>1042.3</v>
      </c>
      <c r="P39" s="2">
        <f t="shared" si="3"/>
        <v>1448.3999999999999</v>
      </c>
    </row>
    <row r="40" spans="1:16">
      <c r="A40" s="7">
        <v>1995</v>
      </c>
      <c r="B40" s="7">
        <v>26.5</v>
      </c>
      <c r="C40" s="7">
        <v>95.2</v>
      </c>
      <c r="D40" s="7">
        <v>45.1</v>
      </c>
      <c r="E40" s="7">
        <v>96</v>
      </c>
      <c r="F40" s="7">
        <v>224.1</v>
      </c>
      <c r="G40" s="7">
        <v>296.3</v>
      </c>
      <c r="H40" s="7">
        <v>165.7</v>
      </c>
      <c r="I40" s="7">
        <v>127.5</v>
      </c>
      <c r="J40" s="7">
        <v>71.8</v>
      </c>
      <c r="K40" s="7">
        <v>40</v>
      </c>
      <c r="L40" s="7">
        <v>46</v>
      </c>
      <c r="M40" s="7">
        <v>10</v>
      </c>
      <c r="N40" s="2">
        <f t="shared" si="2"/>
        <v>564.5</v>
      </c>
      <c r="O40" s="2">
        <f t="shared" si="1"/>
        <v>885.39999999999986</v>
      </c>
      <c r="P40" s="2">
        <f t="shared" si="3"/>
        <v>1449.8999999999999</v>
      </c>
    </row>
    <row r="41" spans="1:16">
      <c r="A41" s="7">
        <v>1996</v>
      </c>
      <c r="B41" s="7">
        <v>47.5</v>
      </c>
      <c r="C41" s="7">
        <v>7</v>
      </c>
      <c r="D41" s="7">
        <v>96.7</v>
      </c>
      <c r="E41" s="7">
        <v>86.2</v>
      </c>
      <c r="F41" s="7">
        <v>169</v>
      </c>
      <c r="G41" s="7">
        <v>211.2</v>
      </c>
      <c r="H41" s="7">
        <v>644.4</v>
      </c>
      <c r="I41" s="7">
        <v>139.30000000000001</v>
      </c>
      <c r="J41" s="7">
        <v>4.8</v>
      </c>
      <c r="K41" s="7">
        <v>60</v>
      </c>
      <c r="L41" s="7">
        <v>43.8</v>
      </c>
      <c r="M41" s="7">
        <v>12.8</v>
      </c>
      <c r="N41" s="2">
        <f t="shared" si="2"/>
        <v>333.4</v>
      </c>
      <c r="O41" s="2">
        <f t="shared" si="1"/>
        <v>1168.6999999999998</v>
      </c>
      <c r="P41" s="2">
        <f t="shared" si="3"/>
        <v>1502.1</v>
      </c>
    </row>
    <row r="42" spans="1:16">
      <c r="A42" s="7">
        <v>1997</v>
      </c>
      <c r="B42" s="7">
        <v>65.900000000000006</v>
      </c>
      <c r="C42" s="7">
        <v>92.6</v>
      </c>
      <c r="D42" s="7">
        <v>92.3</v>
      </c>
      <c r="E42" s="7">
        <v>211.7</v>
      </c>
      <c r="F42" s="7">
        <v>186.3</v>
      </c>
      <c r="G42" s="7">
        <v>276.89999999999998</v>
      </c>
      <c r="H42" s="7">
        <v>232.1</v>
      </c>
      <c r="I42" s="7">
        <v>42.7</v>
      </c>
      <c r="J42" s="7">
        <v>89.1</v>
      </c>
      <c r="K42" s="7">
        <v>186.3</v>
      </c>
      <c r="L42" s="7">
        <v>71.400000000000006</v>
      </c>
      <c r="M42" s="7">
        <v>67.7</v>
      </c>
      <c r="N42" s="2">
        <f t="shared" si="2"/>
        <v>579.1</v>
      </c>
      <c r="O42" s="2">
        <f t="shared" si="1"/>
        <v>827.1</v>
      </c>
      <c r="P42" s="2">
        <f t="shared" si="3"/>
        <v>1406.2</v>
      </c>
    </row>
    <row r="43" spans="1:16">
      <c r="A43" s="7">
        <v>1998</v>
      </c>
      <c r="B43" s="7">
        <v>84.3</v>
      </c>
      <c r="C43" s="7">
        <v>46</v>
      </c>
      <c r="D43" s="7">
        <v>115</v>
      </c>
      <c r="E43" s="7">
        <v>80.7</v>
      </c>
      <c r="F43" s="7">
        <v>185.9</v>
      </c>
      <c r="G43" s="7">
        <v>390</v>
      </c>
      <c r="H43" s="7">
        <v>405</v>
      </c>
      <c r="I43" s="7">
        <v>138</v>
      </c>
      <c r="J43" s="7">
        <v>18.7</v>
      </c>
      <c r="K43" s="7">
        <v>104.5</v>
      </c>
      <c r="L43" s="7">
        <v>13.2</v>
      </c>
      <c r="M43" s="7">
        <v>12.3</v>
      </c>
      <c r="N43" s="2">
        <f t="shared" si="2"/>
        <v>651.40000000000009</v>
      </c>
      <c r="O43" s="2">
        <f t="shared" si="1"/>
        <v>1137.6000000000001</v>
      </c>
      <c r="P43" s="2">
        <f t="shared" si="3"/>
        <v>1789.0000000000002</v>
      </c>
    </row>
    <row r="44" spans="1:16">
      <c r="A44" s="7">
        <v>1999</v>
      </c>
      <c r="B44" s="7">
        <v>35.200000000000003</v>
      </c>
      <c r="C44" s="7">
        <v>18.5</v>
      </c>
      <c r="D44" s="7">
        <v>42.6</v>
      </c>
      <c r="E44" s="7">
        <v>92.6</v>
      </c>
      <c r="F44" s="7">
        <v>151.30000000000001</v>
      </c>
      <c r="G44" s="7">
        <v>188.3</v>
      </c>
      <c r="H44" s="7">
        <v>181.9</v>
      </c>
      <c r="I44" s="7">
        <v>239.2</v>
      </c>
      <c r="J44" s="7">
        <v>55.5</v>
      </c>
      <c r="K44" s="7">
        <v>87.7</v>
      </c>
      <c r="L44" s="7">
        <v>47.9</v>
      </c>
      <c r="M44" s="7">
        <v>3.7</v>
      </c>
      <c r="N44" s="2">
        <f t="shared" si="2"/>
        <v>318.89999999999998</v>
      </c>
      <c r="O44" s="2">
        <f t="shared" si="1"/>
        <v>816.2</v>
      </c>
      <c r="P44" s="2">
        <f t="shared" si="3"/>
        <v>1135.0999999999999</v>
      </c>
    </row>
    <row r="45" spans="1:16">
      <c r="A45" s="7">
        <v>2000</v>
      </c>
      <c r="B45" s="7">
        <v>33.6</v>
      </c>
      <c r="C45" s="7">
        <v>27.7</v>
      </c>
      <c r="D45" s="7">
        <v>137.19999999999999</v>
      </c>
      <c r="E45" s="7">
        <v>134.9</v>
      </c>
      <c r="F45" s="7">
        <v>209.3</v>
      </c>
      <c r="G45" s="7">
        <v>270.3</v>
      </c>
      <c r="H45" s="7">
        <v>99.2</v>
      </c>
      <c r="I45" s="7">
        <v>173.5</v>
      </c>
      <c r="J45" s="7">
        <v>254.4</v>
      </c>
      <c r="K45" s="7">
        <v>110</v>
      </c>
      <c r="L45" s="7">
        <v>51.1</v>
      </c>
      <c r="M45" s="7">
        <v>33.5</v>
      </c>
      <c r="N45" s="2">
        <f t="shared" si="2"/>
        <v>472.69999999999993</v>
      </c>
      <c r="O45" s="2">
        <f t="shared" si="1"/>
        <v>1006.7</v>
      </c>
      <c r="P45" s="2">
        <f t="shared" si="3"/>
        <v>1479.4</v>
      </c>
    </row>
    <row r="46" spans="1:16">
      <c r="A46" s="7">
        <v>2001</v>
      </c>
      <c r="B46" s="7">
        <v>76.5</v>
      </c>
      <c r="C46" s="7">
        <v>58.6</v>
      </c>
      <c r="D46" s="7">
        <v>53.2</v>
      </c>
      <c r="E46" s="7">
        <v>180.8</v>
      </c>
      <c r="F46" s="7">
        <v>130</v>
      </c>
      <c r="G46" s="7">
        <v>142.4</v>
      </c>
      <c r="H46" s="7">
        <v>168.1</v>
      </c>
      <c r="I46" s="7">
        <v>108.1</v>
      </c>
      <c r="J46" s="7">
        <v>1.8</v>
      </c>
      <c r="K46" s="7">
        <v>104.7</v>
      </c>
      <c r="L46" s="7">
        <v>61.4</v>
      </c>
      <c r="M46" s="7">
        <v>21.4</v>
      </c>
      <c r="N46" s="2">
        <f t="shared" si="2"/>
        <v>563.70000000000005</v>
      </c>
      <c r="O46" s="2">
        <f t="shared" si="1"/>
        <v>550.4</v>
      </c>
      <c r="P46" s="2">
        <f t="shared" si="3"/>
        <v>1114.0999999999999</v>
      </c>
    </row>
    <row r="47" spans="1:16">
      <c r="A47" s="7">
        <v>2002</v>
      </c>
      <c r="B47" s="7">
        <v>22.9</v>
      </c>
      <c r="C47" s="7">
        <v>73.400000000000006</v>
      </c>
      <c r="D47" s="7">
        <v>69.099999999999994</v>
      </c>
      <c r="E47" s="7">
        <v>186.5</v>
      </c>
      <c r="F47" s="7">
        <v>320.39999999999998</v>
      </c>
      <c r="G47" s="7">
        <v>315.60000000000002</v>
      </c>
      <c r="H47" s="7">
        <v>241.9</v>
      </c>
      <c r="I47" s="7">
        <v>221.6</v>
      </c>
      <c r="J47" s="7">
        <v>54</v>
      </c>
      <c r="K47" s="7">
        <v>223.7</v>
      </c>
      <c r="L47" s="7">
        <v>4</v>
      </c>
      <c r="M47" s="7">
        <v>83.5</v>
      </c>
      <c r="N47" s="2">
        <f t="shared" si="2"/>
        <v>539.4</v>
      </c>
      <c r="O47" s="2">
        <f t="shared" si="1"/>
        <v>1153.5</v>
      </c>
      <c r="P47" s="2">
        <f t="shared" si="3"/>
        <v>1692.9</v>
      </c>
    </row>
    <row r="48" spans="1:16">
      <c r="A48" s="7">
        <v>2003</v>
      </c>
      <c r="B48" s="7">
        <v>59.9</v>
      </c>
      <c r="C48" s="7">
        <v>12.2</v>
      </c>
      <c r="D48" s="7">
        <v>41.1</v>
      </c>
      <c r="E48" s="7">
        <v>192.5</v>
      </c>
      <c r="F48" s="7">
        <v>210.3</v>
      </c>
      <c r="G48" s="7">
        <v>233.3</v>
      </c>
      <c r="H48" s="7">
        <v>58.2</v>
      </c>
      <c r="I48" s="7">
        <v>17.600000000000001</v>
      </c>
      <c r="J48" s="7">
        <v>121.3</v>
      </c>
      <c r="K48" s="7">
        <v>52.7</v>
      </c>
      <c r="L48" s="7">
        <v>9.8000000000000007</v>
      </c>
      <c r="M48" s="7">
        <v>31.5</v>
      </c>
      <c r="N48" s="2">
        <f t="shared" si="2"/>
        <v>616.9</v>
      </c>
      <c r="O48" s="2">
        <f t="shared" si="1"/>
        <v>640.69999999999993</v>
      </c>
      <c r="P48" s="2">
        <f t="shared" si="3"/>
        <v>1257.5999999999999</v>
      </c>
    </row>
    <row r="49" spans="1:33">
      <c r="A49" s="7">
        <v>2005</v>
      </c>
      <c r="B49" s="1">
        <v>62.9</v>
      </c>
      <c r="C49" s="1">
        <v>66.900000000000006</v>
      </c>
      <c r="D49" s="1">
        <v>61</v>
      </c>
      <c r="E49" s="1">
        <v>76.7</v>
      </c>
      <c r="F49" s="1">
        <v>153.30000000000001</v>
      </c>
      <c r="G49" s="1">
        <v>158.4</v>
      </c>
      <c r="H49" s="1">
        <v>131.9</v>
      </c>
      <c r="I49" s="1">
        <v>107.3</v>
      </c>
      <c r="J49" s="1">
        <v>15.3</v>
      </c>
      <c r="N49" s="2">
        <f>SUM(B49:E49)</f>
        <v>267.5</v>
      </c>
      <c r="O49" s="2">
        <f>SUM(F49:J49)</f>
        <v>566.19999999999993</v>
      </c>
      <c r="P49" s="2">
        <f>SUM(K49:M49)</f>
        <v>0</v>
      </c>
      <c r="Q49" s="2">
        <f>SUM(B49:M49)</f>
        <v>833.69999999999993</v>
      </c>
      <c r="R49" s="2">
        <f t="shared" ref="R49:AG49" si="4">100*(B49-B4)/B4</f>
        <v>73.991364188368607</v>
      </c>
      <c r="S49" s="2">
        <f t="shared" si="4"/>
        <v>62.59039715471252</v>
      </c>
      <c r="T49" s="2">
        <f t="shared" si="4"/>
        <v>-11.031268898296039</v>
      </c>
      <c r="U49" s="2">
        <f t="shared" si="4"/>
        <v>-45.529342479041098</v>
      </c>
      <c r="V49" s="2">
        <f t="shared" si="4"/>
        <v>-29.202054563067414</v>
      </c>
      <c r="W49" s="2">
        <f t="shared" si="4"/>
        <v>-30.911373283262925</v>
      </c>
      <c r="X49" s="2">
        <f t="shared" si="4"/>
        <v>-34.661157224497678</v>
      </c>
      <c r="Y49" s="2">
        <f t="shared" si="4"/>
        <v>-34.533251982916404</v>
      </c>
      <c r="Z49" s="2">
        <f t="shared" si="4"/>
        <v>-79.782776846719102</v>
      </c>
      <c r="AA49" s="2">
        <f t="shared" si="4"/>
        <v>-100</v>
      </c>
      <c r="AB49" s="2">
        <f t="shared" si="4"/>
        <v>-100</v>
      </c>
      <c r="AC49" s="2">
        <f t="shared" si="4"/>
        <v>-100</v>
      </c>
      <c r="AD49" s="2">
        <f t="shared" si="4"/>
        <v>-43.112339837311936</v>
      </c>
      <c r="AE49" s="2">
        <f t="shared" si="4"/>
        <v>-36.184928513111217</v>
      </c>
      <c r="AF49" s="2">
        <f t="shared" si="4"/>
        <v>-100</v>
      </c>
      <c r="AG49" s="2" t="e">
        <f t="shared" si="4"/>
        <v>#DIV/0!</v>
      </c>
    </row>
    <row r="50" spans="1:33">
      <c r="B50" s="2">
        <f t="shared" ref="B50:P50" si="5">AVERAGE(B5:B49)</f>
        <v>37.875555555555565</v>
      </c>
      <c r="C50" s="2">
        <f t="shared" si="5"/>
        <v>42.18</v>
      </c>
      <c r="D50" s="2">
        <f t="shared" si="5"/>
        <v>67.455555555555549</v>
      </c>
      <c r="E50" s="2">
        <f t="shared" si="5"/>
        <v>142.43777777777782</v>
      </c>
      <c r="F50" s="2">
        <f t="shared" si="5"/>
        <v>215.37333333333328</v>
      </c>
      <c r="G50" s="2">
        <f t="shared" si="5"/>
        <v>227.77333333333328</v>
      </c>
      <c r="H50" s="2">
        <f t="shared" si="5"/>
        <v>197.26222222222219</v>
      </c>
      <c r="I50" s="2">
        <f t="shared" si="5"/>
        <v>159.43333333333337</v>
      </c>
      <c r="J50" s="2">
        <f t="shared" si="5"/>
        <v>73.226666666666674</v>
      </c>
      <c r="K50" s="2">
        <f t="shared" si="5"/>
        <v>94.947727272727249</v>
      </c>
      <c r="L50" s="2">
        <f t="shared" si="5"/>
        <v>63.790909090909082</v>
      </c>
      <c r="M50" s="2">
        <f t="shared" si="5"/>
        <v>27.37045454545455</v>
      </c>
      <c r="N50" s="2">
        <f t="shared" si="5"/>
        <v>472.64772727272742</v>
      </c>
      <c r="O50" s="2">
        <f t="shared" si="5"/>
        <v>873.06888888888886</v>
      </c>
      <c r="P50" s="2">
        <f t="shared" si="5"/>
        <v>1331.7636363636364</v>
      </c>
    </row>
  </sheetData>
  <mergeCells count="6">
    <mergeCell ref="A1:A3"/>
    <mergeCell ref="B1:P1"/>
    <mergeCell ref="B2:M2"/>
    <mergeCell ref="Q1:AE1"/>
    <mergeCell ref="N2:P2"/>
    <mergeCell ref="Q2:AE2"/>
  </mergeCells>
  <phoneticPr fontId="2" type="noConversion"/>
  <pageMargins left="0.75" right="0.75" top="1" bottom="1" header="0.5" footer="0.5"/>
  <headerFooter alignWithMargins="0"/>
</worksheet>
</file>

<file path=xl/worksheets/sheet53.xml><?xml version="1.0" encoding="utf-8"?>
<worksheet xmlns="http://schemas.openxmlformats.org/spreadsheetml/2006/main" xmlns:r="http://schemas.openxmlformats.org/officeDocument/2006/relationships">
  <sheetPr codeName="Sheet53"/>
  <dimension ref="A1:AH56"/>
  <sheetViews>
    <sheetView zoomScale="70" zoomScaleNormal="70" workbookViewId="0">
      <pane ySplit="5" topLeftCell="A6" activePane="bottomLeft" state="frozen"/>
      <selection pane="bottomLeft" activeCell="R56" sqref="R56"/>
    </sheetView>
  </sheetViews>
  <sheetFormatPr defaultRowHeight="12"/>
  <cols>
    <col min="1" max="37" width="7.125" style="102" customWidth="1"/>
    <col min="38" max="16384" width="9" style="102"/>
  </cols>
  <sheetData>
    <row r="1" spans="1:33" s="118" customFormat="1" ht="14.25" customHeight="1">
      <c r="A1" s="176" t="s">
        <v>172</v>
      </c>
      <c r="B1" s="176" t="s">
        <v>180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181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173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174</v>
      </c>
      <c r="O2" s="176"/>
      <c r="P2" s="176"/>
      <c r="Q2" s="176"/>
      <c r="R2" s="176" t="s">
        <v>175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 ht="24">
      <c r="A3" s="176"/>
      <c r="B3" s="124" t="s">
        <v>182</v>
      </c>
      <c r="C3" s="124" t="s">
        <v>183</v>
      </c>
      <c r="D3" s="124" t="s">
        <v>9</v>
      </c>
      <c r="E3" s="124" t="s">
        <v>10</v>
      </c>
      <c r="F3" s="124" t="s">
        <v>11</v>
      </c>
      <c r="G3" s="124" t="s">
        <v>12</v>
      </c>
      <c r="H3" s="124" t="s">
        <v>13</v>
      </c>
      <c r="I3" s="124" t="s">
        <v>14</v>
      </c>
      <c r="J3" s="124" t="s">
        <v>15</v>
      </c>
      <c r="K3" s="124" t="s">
        <v>16</v>
      </c>
      <c r="L3" s="124" t="s">
        <v>17</v>
      </c>
      <c r="M3" s="124" t="s">
        <v>18</v>
      </c>
      <c r="N3" s="124" t="s">
        <v>184</v>
      </c>
      <c r="O3" s="124" t="s">
        <v>185</v>
      </c>
      <c r="P3" s="124" t="s">
        <v>186</v>
      </c>
      <c r="Q3" s="124" t="s">
        <v>187</v>
      </c>
      <c r="R3" s="124" t="s">
        <v>182</v>
      </c>
      <c r="S3" s="124" t="s">
        <v>183</v>
      </c>
      <c r="T3" s="124" t="s">
        <v>188</v>
      </c>
      <c r="U3" s="124" t="s">
        <v>189</v>
      </c>
      <c r="V3" s="124" t="s">
        <v>190</v>
      </c>
      <c r="W3" s="124" t="s">
        <v>191</v>
      </c>
      <c r="X3" s="124" t="s">
        <v>25</v>
      </c>
      <c r="Y3" s="124" t="s">
        <v>26</v>
      </c>
      <c r="Z3" s="124" t="s">
        <v>27</v>
      </c>
      <c r="AA3" s="124" t="s">
        <v>192</v>
      </c>
      <c r="AB3" s="124" t="s">
        <v>193</v>
      </c>
      <c r="AC3" s="124" t="s">
        <v>194</v>
      </c>
      <c r="AD3" s="124" t="s">
        <v>176</v>
      </c>
      <c r="AE3" s="124" t="s">
        <v>177</v>
      </c>
      <c r="AF3" s="124" t="s">
        <v>178</v>
      </c>
      <c r="AG3" s="124" t="s">
        <v>179</v>
      </c>
    </row>
    <row r="4" spans="1:33" s="118" customFormat="1">
      <c r="A4" s="150" t="s">
        <v>261</v>
      </c>
      <c r="B4" s="150">
        <f t="shared" ref="B4:Q4" si="0">AVERAGE(B5:B55)</f>
        <v>41.027450980392167</v>
      </c>
      <c r="C4" s="150">
        <f t="shared" si="0"/>
        <v>41.727450980392163</v>
      </c>
      <c r="D4" s="150">
        <f t="shared" si="0"/>
        <v>72.964705882352931</v>
      </c>
      <c r="E4" s="150">
        <f t="shared" si="0"/>
        <v>117.67058823529412</v>
      </c>
      <c r="F4" s="150">
        <f t="shared" si="0"/>
        <v>187.31372549019611</v>
      </c>
      <c r="G4" s="150">
        <f t="shared" si="0"/>
        <v>182.50392156862742</v>
      </c>
      <c r="H4" s="150">
        <f t="shared" si="0"/>
        <v>144.56901960784316</v>
      </c>
      <c r="I4" s="150">
        <f t="shared" si="0"/>
        <v>128.07450980392159</v>
      </c>
      <c r="J4" s="150">
        <f t="shared" si="0"/>
        <v>80.543137254901964</v>
      </c>
      <c r="K4" s="150">
        <f t="shared" si="0"/>
        <v>87.162745098039238</v>
      </c>
      <c r="L4" s="150">
        <f t="shared" si="0"/>
        <v>58.656862745098046</v>
      </c>
      <c r="M4" s="150">
        <f t="shared" si="0"/>
        <v>32.792156862745095</v>
      </c>
      <c r="N4" s="150">
        <f t="shared" si="0"/>
        <v>273.39019607843142</v>
      </c>
      <c r="O4" s="150">
        <f t="shared" si="0"/>
        <v>723.00431372549008</v>
      </c>
      <c r="P4" s="150">
        <f t="shared" si="0"/>
        <v>178.61176470588239</v>
      </c>
      <c r="Q4" s="150">
        <f t="shared" si="0"/>
        <v>1175.0062745098039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1965</v>
      </c>
      <c r="B5" s="102">
        <v>29.5</v>
      </c>
      <c r="C5" s="102">
        <v>38.700000000000003</v>
      </c>
      <c r="D5" s="102">
        <v>123.19999999999999</v>
      </c>
      <c r="E5" s="102">
        <v>128.4</v>
      </c>
      <c r="F5" s="102">
        <v>351.8</v>
      </c>
      <c r="G5" s="102">
        <v>132.1</v>
      </c>
      <c r="H5" s="102">
        <v>117.3</v>
      </c>
      <c r="I5" s="102">
        <v>133.9</v>
      </c>
      <c r="J5" s="102">
        <v>55</v>
      </c>
      <c r="K5" s="102">
        <v>175.79999999999998</v>
      </c>
      <c r="L5" s="102">
        <v>81.5</v>
      </c>
      <c r="M5" s="102">
        <v>50.199999999999996</v>
      </c>
      <c r="N5" s="102">
        <f>SUM(B5:E5)</f>
        <v>319.79999999999995</v>
      </c>
      <c r="O5" s="102">
        <f>SUM(F5:J5)</f>
        <v>790.09999999999991</v>
      </c>
      <c r="P5" s="102">
        <f>SUM(K5:M5)</f>
        <v>307.49999999999994</v>
      </c>
      <c r="Q5" s="102">
        <f>SUM(B5:M5)</f>
        <v>1417.3999999999999</v>
      </c>
    </row>
    <row r="6" spans="1:33">
      <c r="A6" s="102">
        <v>1966</v>
      </c>
      <c r="B6" s="102">
        <v>19.7</v>
      </c>
      <c r="C6" s="102">
        <v>32.799999999999997</v>
      </c>
      <c r="D6" s="102">
        <v>30.7</v>
      </c>
      <c r="E6" s="102">
        <v>135</v>
      </c>
      <c r="F6" s="102">
        <v>222.9</v>
      </c>
      <c r="G6" s="102">
        <v>76.400000000000006</v>
      </c>
      <c r="H6" s="102">
        <v>228.9</v>
      </c>
      <c r="I6" s="102">
        <v>8.9</v>
      </c>
      <c r="J6" s="102">
        <v>16.399999999999999</v>
      </c>
      <c r="K6" s="102">
        <v>146.4</v>
      </c>
      <c r="L6" s="102">
        <v>15.5</v>
      </c>
      <c r="M6" s="102">
        <v>34</v>
      </c>
      <c r="N6" s="102">
        <f t="shared" ref="N6:N53" si="1">SUM(B6:E6)</f>
        <v>218.2</v>
      </c>
      <c r="O6" s="102">
        <f t="shared" ref="O6:O55" si="2">SUM(F6:J6)</f>
        <v>553.5</v>
      </c>
      <c r="P6" s="102">
        <f t="shared" ref="P6:P55" si="3">SUM(K6:M6)</f>
        <v>195.9</v>
      </c>
      <c r="Q6" s="102">
        <f t="shared" ref="Q6:Q55" si="4">SUM(B6:M6)</f>
        <v>967.59999999999991</v>
      </c>
    </row>
    <row r="7" spans="1:33">
      <c r="A7" s="102">
        <v>1967</v>
      </c>
      <c r="B7" s="102">
        <v>22.2</v>
      </c>
      <c r="C7" s="102">
        <v>53.8</v>
      </c>
      <c r="D7" s="102">
        <v>55.300000000000004</v>
      </c>
      <c r="E7" s="102">
        <v>157.19999999999999</v>
      </c>
      <c r="F7" s="102">
        <v>259.10000000000002</v>
      </c>
      <c r="G7" s="102">
        <v>220.60000000000002</v>
      </c>
      <c r="H7" s="102">
        <v>121.8</v>
      </c>
      <c r="I7" s="102">
        <v>269.39999999999998</v>
      </c>
      <c r="J7" s="102">
        <v>140.4</v>
      </c>
      <c r="K7" s="102">
        <v>64</v>
      </c>
      <c r="L7" s="102">
        <v>112.1</v>
      </c>
      <c r="M7" s="102">
        <v>37.700000000000003</v>
      </c>
      <c r="N7" s="102">
        <f t="shared" si="1"/>
        <v>288.5</v>
      </c>
      <c r="O7" s="102">
        <f t="shared" si="2"/>
        <v>1011.3</v>
      </c>
      <c r="P7" s="102">
        <f t="shared" si="3"/>
        <v>213.8</v>
      </c>
      <c r="Q7" s="102">
        <f t="shared" si="4"/>
        <v>1513.6000000000001</v>
      </c>
    </row>
    <row r="8" spans="1:33">
      <c r="A8" s="102">
        <v>1968</v>
      </c>
      <c r="B8" s="102">
        <v>23.3</v>
      </c>
      <c r="C8" s="102">
        <v>33.299999999999997</v>
      </c>
      <c r="D8" s="102">
        <v>80.3</v>
      </c>
      <c r="E8" s="102">
        <v>147.30000000000001</v>
      </c>
      <c r="F8" s="102">
        <v>165.4</v>
      </c>
      <c r="G8" s="102">
        <v>298.5</v>
      </c>
      <c r="H8" s="102">
        <v>185.7</v>
      </c>
      <c r="I8" s="102">
        <v>150.30000000000001</v>
      </c>
      <c r="J8" s="102">
        <v>80.099999999999994</v>
      </c>
      <c r="K8" s="102">
        <v>59.1</v>
      </c>
      <c r="L8" s="102">
        <v>60.5</v>
      </c>
      <c r="M8" s="102">
        <v>36.5</v>
      </c>
      <c r="N8" s="102">
        <f t="shared" si="1"/>
        <v>284.2</v>
      </c>
      <c r="O8" s="102">
        <f t="shared" si="2"/>
        <v>879.99999999999989</v>
      </c>
      <c r="P8" s="102">
        <f t="shared" si="3"/>
        <v>156.1</v>
      </c>
      <c r="Q8" s="102">
        <f t="shared" si="4"/>
        <v>1320.2999999999997</v>
      </c>
    </row>
    <row r="9" spans="1:33">
      <c r="A9" s="102">
        <v>1969</v>
      </c>
      <c r="B9" s="102">
        <v>29.8</v>
      </c>
      <c r="C9" s="102">
        <v>9.1999999999999993</v>
      </c>
      <c r="D9" s="102">
        <v>42</v>
      </c>
      <c r="E9" s="102">
        <v>53.900000000000006</v>
      </c>
      <c r="F9" s="102">
        <v>211.6</v>
      </c>
      <c r="G9" s="102">
        <v>246.9</v>
      </c>
      <c r="H9" s="102">
        <v>159.50000000000003</v>
      </c>
      <c r="I9" s="102">
        <v>236</v>
      </c>
      <c r="J9" s="102">
        <v>3.8000000000000003</v>
      </c>
      <c r="K9" s="102">
        <v>106.30000000000001</v>
      </c>
      <c r="L9" s="102">
        <v>56.6</v>
      </c>
      <c r="M9" s="102">
        <v>6.5</v>
      </c>
      <c r="N9" s="102">
        <f t="shared" si="1"/>
        <v>134.9</v>
      </c>
      <c r="O9" s="102">
        <f t="shared" si="2"/>
        <v>857.8</v>
      </c>
      <c r="P9" s="102">
        <f t="shared" si="3"/>
        <v>169.4</v>
      </c>
      <c r="Q9" s="102">
        <f t="shared" si="4"/>
        <v>1162.0999999999999</v>
      </c>
    </row>
    <row r="10" spans="1:33">
      <c r="A10" s="102">
        <v>1970</v>
      </c>
      <c r="B10" s="102">
        <v>49.3</v>
      </c>
      <c r="C10" s="102">
        <v>45</v>
      </c>
      <c r="D10" s="102">
        <v>126.2</v>
      </c>
      <c r="E10" s="102">
        <v>122.9</v>
      </c>
      <c r="F10" s="102">
        <v>146.19999999999999</v>
      </c>
      <c r="G10" s="102">
        <v>128.9</v>
      </c>
      <c r="H10" s="102">
        <v>195.7</v>
      </c>
      <c r="I10" s="102">
        <v>93.5</v>
      </c>
      <c r="J10" s="102">
        <v>161</v>
      </c>
      <c r="K10" s="102">
        <v>19.2</v>
      </c>
      <c r="L10" s="102">
        <v>42.5</v>
      </c>
      <c r="M10" s="102">
        <v>73.7</v>
      </c>
      <c r="N10" s="102">
        <f t="shared" si="1"/>
        <v>343.4</v>
      </c>
      <c r="O10" s="102">
        <f t="shared" si="2"/>
        <v>725.3</v>
      </c>
      <c r="P10" s="102">
        <f t="shared" si="3"/>
        <v>135.4</v>
      </c>
      <c r="Q10" s="102">
        <f t="shared" si="4"/>
        <v>1204.1000000000001</v>
      </c>
    </row>
    <row r="11" spans="1:33">
      <c r="A11" s="102">
        <v>1971</v>
      </c>
      <c r="B11" s="102">
        <v>25.2</v>
      </c>
      <c r="C11" s="102">
        <v>27.200000000000003</v>
      </c>
      <c r="D11" s="102">
        <v>48</v>
      </c>
      <c r="E11" s="102">
        <v>113.5</v>
      </c>
      <c r="F11" s="102">
        <v>296.5</v>
      </c>
      <c r="G11" s="102">
        <v>324.60000000000002</v>
      </c>
      <c r="H11" s="102">
        <v>63.6</v>
      </c>
      <c r="I11" s="102">
        <v>216.5</v>
      </c>
      <c r="J11" s="102">
        <v>18.2</v>
      </c>
      <c r="K11" s="102">
        <v>73</v>
      </c>
      <c r="L11" s="102">
        <v>25.9</v>
      </c>
      <c r="M11" s="102">
        <v>33</v>
      </c>
      <c r="N11" s="102">
        <f t="shared" si="1"/>
        <v>213.9</v>
      </c>
      <c r="O11" s="102">
        <f t="shared" si="2"/>
        <v>919.40000000000009</v>
      </c>
      <c r="P11" s="102">
        <f t="shared" si="3"/>
        <v>131.9</v>
      </c>
      <c r="Q11" s="102">
        <f t="shared" si="4"/>
        <v>1265.2</v>
      </c>
    </row>
    <row r="12" spans="1:33">
      <c r="A12" s="102">
        <v>1972</v>
      </c>
      <c r="B12" s="102">
        <v>21.599999999999998</v>
      </c>
      <c r="C12" s="102">
        <v>38.700000000000003</v>
      </c>
      <c r="D12" s="102">
        <v>45.7</v>
      </c>
      <c r="E12" s="102">
        <v>160.5</v>
      </c>
      <c r="F12" s="102">
        <v>170</v>
      </c>
      <c r="G12" s="102">
        <v>241.40000000000003</v>
      </c>
      <c r="H12" s="102">
        <v>56.400000000000006</v>
      </c>
      <c r="I12" s="102">
        <v>66.7</v>
      </c>
      <c r="J12" s="102">
        <v>165</v>
      </c>
      <c r="K12" s="102">
        <v>143.19999999999999</v>
      </c>
      <c r="L12" s="102">
        <v>105.39999999999999</v>
      </c>
      <c r="M12" s="102">
        <v>38.700000000000003</v>
      </c>
      <c r="N12" s="102">
        <f t="shared" si="1"/>
        <v>266.5</v>
      </c>
      <c r="O12" s="102">
        <f t="shared" si="2"/>
        <v>699.50000000000011</v>
      </c>
      <c r="P12" s="102">
        <f t="shared" si="3"/>
        <v>287.29999999999995</v>
      </c>
      <c r="Q12" s="102">
        <f t="shared" si="4"/>
        <v>1253.3000000000002</v>
      </c>
    </row>
    <row r="13" spans="1:33">
      <c r="A13" s="102">
        <v>1973</v>
      </c>
      <c r="B13" s="102">
        <v>36</v>
      </c>
      <c r="C13" s="102">
        <v>67.3</v>
      </c>
      <c r="D13" s="102">
        <v>67.400000000000006</v>
      </c>
      <c r="E13" s="102">
        <v>124.49999999999999</v>
      </c>
      <c r="F13" s="102">
        <v>141.19999999999999</v>
      </c>
      <c r="G13" s="102">
        <v>222.79999999999998</v>
      </c>
      <c r="H13" s="102">
        <v>120.6</v>
      </c>
      <c r="I13" s="102">
        <v>158.30000000000001</v>
      </c>
      <c r="J13" s="102">
        <v>221.99999999999997</v>
      </c>
      <c r="K13" s="102">
        <v>75.900000000000006</v>
      </c>
      <c r="L13" s="102">
        <v>50.499999999999993</v>
      </c>
      <c r="M13" s="102">
        <v>5.4999999999999991</v>
      </c>
      <c r="N13" s="102">
        <f t="shared" si="1"/>
        <v>295.2</v>
      </c>
      <c r="O13" s="102">
        <f t="shared" si="2"/>
        <v>864.90000000000009</v>
      </c>
      <c r="P13" s="102">
        <f t="shared" si="3"/>
        <v>131.9</v>
      </c>
      <c r="Q13" s="102">
        <f t="shared" si="4"/>
        <v>1292</v>
      </c>
    </row>
    <row r="14" spans="1:33">
      <c r="A14" s="102">
        <v>1974</v>
      </c>
      <c r="B14" s="102">
        <v>70.7</v>
      </c>
      <c r="C14" s="102">
        <v>14.8</v>
      </c>
      <c r="D14" s="102">
        <v>64.7</v>
      </c>
      <c r="E14" s="102">
        <v>171</v>
      </c>
      <c r="F14" s="102">
        <v>161.30000000000001</v>
      </c>
      <c r="G14" s="102">
        <v>310.7</v>
      </c>
      <c r="H14" s="102">
        <v>177.39999999999998</v>
      </c>
      <c r="I14" s="102">
        <v>105.2</v>
      </c>
      <c r="J14" s="102">
        <v>57.8</v>
      </c>
      <c r="K14" s="102">
        <v>21.6</v>
      </c>
      <c r="L14" s="102">
        <v>19.399999999999999</v>
      </c>
      <c r="M14" s="102">
        <v>42.8</v>
      </c>
      <c r="N14" s="102">
        <f t="shared" si="1"/>
        <v>321.2</v>
      </c>
      <c r="O14" s="102">
        <f t="shared" si="2"/>
        <v>812.4</v>
      </c>
      <c r="P14" s="102">
        <f t="shared" si="3"/>
        <v>83.8</v>
      </c>
      <c r="Q14" s="102">
        <f t="shared" si="4"/>
        <v>1217.3999999999999</v>
      </c>
    </row>
    <row r="15" spans="1:33">
      <c r="A15" s="102">
        <v>1975</v>
      </c>
      <c r="B15" s="102">
        <v>31.5</v>
      </c>
      <c r="C15" s="102">
        <v>31.7</v>
      </c>
      <c r="D15" s="102">
        <v>56.1</v>
      </c>
      <c r="E15" s="102">
        <v>167.79999999999998</v>
      </c>
      <c r="F15" s="102">
        <v>273.40000000000003</v>
      </c>
      <c r="G15" s="102">
        <v>74.8</v>
      </c>
      <c r="H15" s="102">
        <v>93.199999999999989</v>
      </c>
      <c r="I15" s="102">
        <v>160.10000000000002</v>
      </c>
      <c r="J15" s="102">
        <v>132.80000000000001</v>
      </c>
      <c r="K15" s="102">
        <v>38.200000000000003</v>
      </c>
      <c r="L15" s="102">
        <v>105.89999999999999</v>
      </c>
      <c r="M15" s="102">
        <v>11.9</v>
      </c>
      <c r="N15" s="102">
        <f t="shared" si="1"/>
        <v>287.10000000000002</v>
      </c>
      <c r="O15" s="102">
        <f t="shared" si="2"/>
        <v>734.3</v>
      </c>
      <c r="P15" s="102">
        <f t="shared" si="3"/>
        <v>156</v>
      </c>
      <c r="Q15" s="102">
        <f t="shared" si="4"/>
        <v>1177.4000000000003</v>
      </c>
    </row>
    <row r="16" spans="1:33">
      <c r="A16" s="102">
        <v>1976</v>
      </c>
      <c r="B16" s="102">
        <v>59.099999999999994</v>
      </c>
      <c r="C16" s="102">
        <v>18.200000000000003</v>
      </c>
      <c r="D16" s="102">
        <v>60.400000000000006</v>
      </c>
      <c r="E16" s="102">
        <v>160</v>
      </c>
      <c r="F16" s="102">
        <v>170.2</v>
      </c>
      <c r="G16" s="102">
        <v>209.1</v>
      </c>
      <c r="H16" s="102">
        <v>100</v>
      </c>
      <c r="I16" s="102">
        <v>148.29999999999998</v>
      </c>
      <c r="J16" s="102">
        <v>28.300000000000004</v>
      </c>
      <c r="K16" s="102">
        <v>130.5</v>
      </c>
      <c r="L16" s="102">
        <v>87.100000000000009</v>
      </c>
      <c r="M16" s="102">
        <v>26.2</v>
      </c>
      <c r="N16" s="102">
        <f t="shared" si="1"/>
        <v>297.7</v>
      </c>
      <c r="O16" s="102">
        <f t="shared" si="2"/>
        <v>655.89999999999986</v>
      </c>
      <c r="P16" s="102">
        <f t="shared" si="3"/>
        <v>243.8</v>
      </c>
      <c r="Q16" s="102">
        <f t="shared" si="4"/>
        <v>1197.3999999999999</v>
      </c>
    </row>
    <row r="17" spans="1:17">
      <c r="A17" s="102">
        <v>1977</v>
      </c>
      <c r="B17" s="102">
        <v>35.9</v>
      </c>
      <c r="C17" s="102">
        <v>34.400000000000006</v>
      </c>
      <c r="D17" s="102">
        <v>48.8</v>
      </c>
      <c r="E17" s="102">
        <v>200.10000000000002</v>
      </c>
      <c r="F17" s="102">
        <v>310</v>
      </c>
      <c r="G17" s="102">
        <v>155.19999999999999</v>
      </c>
      <c r="H17" s="102">
        <v>91.4</v>
      </c>
      <c r="I17" s="102">
        <v>98.3</v>
      </c>
      <c r="J17" s="102">
        <v>55.5</v>
      </c>
      <c r="K17" s="102">
        <v>194.6</v>
      </c>
      <c r="L17" s="102">
        <v>41.7</v>
      </c>
      <c r="M17" s="102">
        <v>16.600000000000001</v>
      </c>
      <c r="N17" s="102">
        <f t="shared" si="1"/>
        <v>319.20000000000005</v>
      </c>
      <c r="O17" s="102">
        <f t="shared" si="2"/>
        <v>710.4</v>
      </c>
      <c r="P17" s="102">
        <f t="shared" si="3"/>
        <v>252.9</v>
      </c>
      <c r="Q17" s="102">
        <f t="shared" si="4"/>
        <v>1282.4999999999998</v>
      </c>
    </row>
    <row r="18" spans="1:17">
      <c r="A18" s="102">
        <v>1978</v>
      </c>
      <c r="B18" s="102">
        <v>39.1</v>
      </c>
      <c r="C18" s="102">
        <v>7</v>
      </c>
      <c r="D18" s="102">
        <v>58.5</v>
      </c>
      <c r="E18" s="102">
        <v>61.5</v>
      </c>
      <c r="F18" s="102">
        <v>250.7</v>
      </c>
      <c r="G18" s="102">
        <v>99.899999999999991</v>
      </c>
      <c r="H18" s="102">
        <v>97.699999999999989</v>
      </c>
      <c r="I18" s="102">
        <v>77.2</v>
      </c>
      <c r="J18" s="102">
        <v>116.39999999999999</v>
      </c>
      <c r="K18" s="102">
        <v>110.6</v>
      </c>
      <c r="L18" s="102">
        <v>107.30000000000001</v>
      </c>
      <c r="M18" s="102">
        <v>7.4</v>
      </c>
      <c r="N18" s="102">
        <f t="shared" si="1"/>
        <v>166.1</v>
      </c>
      <c r="O18" s="102">
        <f t="shared" si="2"/>
        <v>641.9</v>
      </c>
      <c r="P18" s="102">
        <f t="shared" si="3"/>
        <v>225.3</v>
      </c>
      <c r="Q18" s="102">
        <f t="shared" si="4"/>
        <v>1033.3</v>
      </c>
    </row>
    <row r="19" spans="1:17">
      <c r="A19" s="102">
        <v>1979</v>
      </c>
      <c r="B19" s="102">
        <v>29.5</v>
      </c>
      <c r="C19" s="102">
        <v>58.9</v>
      </c>
      <c r="D19" s="102">
        <v>68.099999999999994</v>
      </c>
      <c r="E19" s="102">
        <v>117.6</v>
      </c>
      <c r="F19" s="102">
        <v>145.20000000000002</v>
      </c>
      <c r="G19" s="102">
        <v>304.10000000000002</v>
      </c>
      <c r="H19" s="102">
        <v>244.7</v>
      </c>
      <c r="I19" s="102">
        <v>148.80000000000001</v>
      </c>
      <c r="J19" s="102">
        <v>74.5</v>
      </c>
      <c r="K19" s="102">
        <v>26.1</v>
      </c>
      <c r="L19" s="102">
        <v>9.4</v>
      </c>
      <c r="M19" s="102">
        <v>23.6</v>
      </c>
      <c r="N19" s="102">
        <f t="shared" si="1"/>
        <v>274.10000000000002</v>
      </c>
      <c r="O19" s="102">
        <f t="shared" si="2"/>
        <v>917.3</v>
      </c>
      <c r="P19" s="102">
        <f t="shared" si="3"/>
        <v>59.1</v>
      </c>
      <c r="Q19" s="102">
        <f t="shared" si="4"/>
        <v>1250.5</v>
      </c>
    </row>
    <row r="20" spans="1:17">
      <c r="A20" s="102">
        <v>1980</v>
      </c>
      <c r="B20" s="102">
        <v>58.7</v>
      </c>
      <c r="C20" s="102">
        <v>49.5</v>
      </c>
      <c r="D20" s="102">
        <v>69.400000000000006</v>
      </c>
      <c r="E20" s="102">
        <v>141.69999999999999</v>
      </c>
      <c r="F20" s="102">
        <v>218</v>
      </c>
      <c r="G20" s="102">
        <v>91</v>
      </c>
      <c r="H20" s="102">
        <v>282.2</v>
      </c>
      <c r="I20" s="102">
        <v>165.00000000000003</v>
      </c>
      <c r="J20" s="102">
        <v>25.2</v>
      </c>
      <c r="K20" s="102">
        <v>140.1</v>
      </c>
      <c r="L20" s="102">
        <v>28</v>
      </c>
      <c r="M20" s="102">
        <v>20.799999999999997</v>
      </c>
      <c r="N20" s="102">
        <f t="shared" si="1"/>
        <v>319.3</v>
      </c>
      <c r="O20" s="102">
        <f t="shared" si="2"/>
        <v>781.40000000000009</v>
      </c>
      <c r="P20" s="102">
        <f t="shared" si="3"/>
        <v>188.89999999999998</v>
      </c>
      <c r="Q20" s="102">
        <f t="shared" si="4"/>
        <v>1289.5999999999999</v>
      </c>
    </row>
    <row r="21" spans="1:17">
      <c r="A21" s="102">
        <v>1981</v>
      </c>
      <c r="B21" s="102">
        <v>30.2</v>
      </c>
      <c r="C21" s="102">
        <v>21.1</v>
      </c>
      <c r="D21" s="102">
        <v>34</v>
      </c>
      <c r="E21" s="102">
        <v>162.30000000000001</v>
      </c>
      <c r="F21" s="102">
        <v>262.20000000000005</v>
      </c>
      <c r="G21" s="102">
        <v>116.5</v>
      </c>
      <c r="H21" s="102">
        <v>64.3</v>
      </c>
      <c r="I21" s="102">
        <v>56.900000000000006</v>
      </c>
      <c r="J21" s="102">
        <v>39.900000000000006</v>
      </c>
      <c r="K21" s="102">
        <v>98.2</v>
      </c>
      <c r="L21" s="102">
        <v>123.5</v>
      </c>
      <c r="M21" s="102">
        <v>0.60000000000000009</v>
      </c>
      <c r="N21" s="102">
        <f t="shared" si="1"/>
        <v>247.60000000000002</v>
      </c>
      <c r="O21" s="102">
        <f t="shared" si="2"/>
        <v>539.80000000000007</v>
      </c>
      <c r="P21" s="102">
        <f t="shared" si="3"/>
        <v>222.29999999999998</v>
      </c>
      <c r="Q21" s="102">
        <f t="shared" si="4"/>
        <v>1009.7</v>
      </c>
    </row>
    <row r="22" spans="1:17">
      <c r="A22" s="102">
        <v>1982</v>
      </c>
      <c r="B22" s="102">
        <v>36.5</v>
      </c>
      <c r="C22" s="102">
        <v>104.1</v>
      </c>
      <c r="D22" s="102">
        <v>71.7</v>
      </c>
      <c r="E22" s="102">
        <v>103.3</v>
      </c>
      <c r="F22" s="102">
        <v>229.7</v>
      </c>
      <c r="G22" s="102">
        <v>157.19999999999999</v>
      </c>
      <c r="H22" s="102">
        <v>112.8</v>
      </c>
      <c r="I22" s="102">
        <v>210.1</v>
      </c>
      <c r="J22" s="102">
        <v>136.9</v>
      </c>
      <c r="K22" s="102">
        <v>98.7</v>
      </c>
      <c r="L22" s="102">
        <v>118.6</v>
      </c>
      <c r="M22" s="102">
        <v>34</v>
      </c>
      <c r="N22" s="102">
        <f t="shared" si="1"/>
        <v>315.60000000000002</v>
      </c>
      <c r="O22" s="102">
        <f t="shared" si="2"/>
        <v>846.69999999999993</v>
      </c>
      <c r="P22" s="102">
        <f t="shared" si="3"/>
        <v>251.3</v>
      </c>
      <c r="Q22" s="102">
        <f t="shared" si="4"/>
        <v>1413.6</v>
      </c>
    </row>
    <row r="23" spans="1:17">
      <c r="A23" s="102">
        <v>1983</v>
      </c>
      <c r="B23" s="102">
        <v>109.8</v>
      </c>
      <c r="C23" s="102">
        <v>63.7</v>
      </c>
      <c r="D23" s="102">
        <v>50.3</v>
      </c>
      <c r="E23" s="102">
        <v>181.79999999999998</v>
      </c>
      <c r="F23" s="102">
        <v>92.8</v>
      </c>
      <c r="G23" s="102">
        <v>139.80000000000001</v>
      </c>
      <c r="H23" s="102">
        <v>42.7</v>
      </c>
      <c r="I23" s="102">
        <v>147.69999999999999</v>
      </c>
      <c r="J23" s="102">
        <v>54.5</v>
      </c>
      <c r="K23" s="102">
        <v>71.400000000000006</v>
      </c>
      <c r="L23" s="102">
        <v>61.599999999999994</v>
      </c>
      <c r="M23" s="102">
        <v>55.7</v>
      </c>
      <c r="N23" s="102">
        <f t="shared" si="1"/>
        <v>405.6</v>
      </c>
      <c r="O23" s="102">
        <f t="shared" si="2"/>
        <v>477.5</v>
      </c>
      <c r="P23" s="102">
        <f t="shared" si="3"/>
        <v>188.7</v>
      </c>
      <c r="Q23" s="102">
        <f t="shared" si="4"/>
        <v>1071.8000000000002</v>
      </c>
    </row>
    <row r="24" spans="1:17">
      <c r="A24" s="102">
        <v>1984</v>
      </c>
      <c r="B24" s="102">
        <v>33.5</v>
      </c>
      <c r="C24" s="102">
        <v>27.299999999999997</v>
      </c>
      <c r="D24" s="102">
        <v>61.099999999999994</v>
      </c>
      <c r="E24" s="102">
        <v>107.69999999999999</v>
      </c>
      <c r="F24" s="102">
        <v>275.89999999999998</v>
      </c>
      <c r="G24" s="102">
        <v>110.20000000000002</v>
      </c>
      <c r="H24" s="102">
        <v>43.1</v>
      </c>
      <c r="I24" s="102">
        <v>134.5</v>
      </c>
      <c r="J24" s="102">
        <v>41.5</v>
      </c>
      <c r="K24" s="102">
        <v>91</v>
      </c>
      <c r="L24" s="102">
        <v>17.2</v>
      </c>
      <c r="M24" s="102">
        <v>58.7</v>
      </c>
      <c r="N24" s="102">
        <f t="shared" si="1"/>
        <v>229.59999999999997</v>
      </c>
      <c r="O24" s="102">
        <f t="shared" si="2"/>
        <v>605.20000000000005</v>
      </c>
      <c r="P24" s="102">
        <f t="shared" si="3"/>
        <v>166.9</v>
      </c>
      <c r="Q24" s="102">
        <f t="shared" si="4"/>
        <v>1001.7</v>
      </c>
    </row>
    <row r="25" spans="1:17">
      <c r="A25" s="102">
        <v>1985</v>
      </c>
      <c r="B25" s="102">
        <v>20.7</v>
      </c>
      <c r="C25" s="102">
        <v>67.3</v>
      </c>
      <c r="D25" s="102">
        <v>77.300000000000011</v>
      </c>
      <c r="E25" s="102">
        <v>82</v>
      </c>
      <c r="F25" s="102">
        <v>175.5</v>
      </c>
      <c r="G25" s="102">
        <v>75.400000000000006</v>
      </c>
      <c r="H25" s="102">
        <v>158.5</v>
      </c>
      <c r="I25" s="102">
        <v>97.8</v>
      </c>
      <c r="J25" s="102">
        <v>18.8</v>
      </c>
      <c r="K25" s="102">
        <v>42.699999999999996</v>
      </c>
      <c r="L25" s="102">
        <v>110.1</v>
      </c>
      <c r="M25" s="102">
        <v>36.099999999999994</v>
      </c>
      <c r="N25" s="102">
        <f t="shared" si="1"/>
        <v>247.3</v>
      </c>
      <c r="O25" s="102">
        <f t="shared" si="2"/>
        <v>526</v>
      </c>
      <c r="P25" s="102">
        <f t="shared" si="3"/>
        <v>188.89999999999998</v>
      </c>
      <c r="Q25" s="102">
        <f t="shared" si="4"/>
        <v>962.2</v>
      </c>
    </row>
    <row r="26" spans="1:17">
      <c r="A26" s="102">
        <v>1986</v>
      </c>
      <c r="B26" s="102">
        <v>30.4</v>
      </c>
      <c r="C26" s="102">
        <v>46.9</v>
      </c>
      <c r="D26" s="102">
        <v>88</v>
      </c>
      <c r="E26" s="102">
        <v>49.199999999999996</v>
      </c>
      <c r="F26" s="102">
        <v>90</v>
      </c>
      <c r="G26" s="102">
        <v>191.89999999999998</v>
      </c>
      <c r="H26" s="102">
        <v>284.39999999999998</v>
      </c>
      <c r="I26" s="102">
        <v>154.10000000000002</v>
      </c>
      <c r="J26" s="102">
        <v>14.3</v>
      </c>
      <c r="K26" s="102">
        <v>90.7</v>
      </c>
      <c r="L26" s="102">
        <v>24.6</v>
      </c>
      <c r="M26" s="102">
        <v>10.5</v>
      </c>
      <c r="N26" s="102">
        <f t="shared" si="1"/>
        <v>214.5</v>
      </c>
      <c r="O26" s="102">
        <f t="shared" si="2"/>
        <v>734.69999999999993</v>
      </c>
      <c r="P26" s="102">
        <f t="shared" si="3"/>
        <v>125.80000000000001</v>
      </c>
      <c r="Q26" s="102">
        <f t="shared" si="4"/>
        <v>1074.9999999999998</v>
      </c>
    </row>
    <row r="27" spans="1:17">
      <c r="A27" s="102">
        <v>1987</v>
      </c>
      <c r="B27" s="102">
        <v>49.3</v>
      </c>
      <c r="C27" s="102">
        <v>33</v>
      </c>
      <c r="D27" s="102">
        <v>62.400000000000006</v>
      </c>
      <c r="E27" s="102">
        <v>47.5</v>
      </c>
      <c r="F27" s="102">
        <v>175.6</v>
      </c>
      <c r="G27" s="102">
        <v>327.29999999999995</v>
      </c>
      <c r="H27" s="102">
        <v>82.4</v>
      </c>
      <c r="I27" s="102">
        <v>66.8</v>
      </c>
      <c r="J27" s="102">
        <v>93.9</v>
      </c>
      <c r="K27" s="102">
        <v>102.5</v>
      </c>
      <c r="L27" s="102">
        <v>97.699999999999989</v>
      </c>
      <c r="M27" s="102">
        <v>9.6</v>
      </c>
      <c r="N27" s="102">
        <f t="shared" si="1"/>
        <v>192.2</v>
      </c>
      <c r="O27" s="102">
        <f t="shared" si="2"/>
        <v>745.99999999999989</v>
      </c>
      <c r="P27" s="102">
        <f t="shared" si="3"/>
        <v>209.79999999999998</v>
      </c>
      <c r="Q27" s="102">
        <f t="shared" si="4"/>
        <v>1147.9999999999998</v>
      </c>
    </row>
    <row r="28" spans="1:17">
      <c r="A28" s="102">
        <v>1988</v>
      </c>
      <c r="B28" s="102">
        <v>33.9</v>
      </c>
      <c r="C28" s="102">
        <v>56.9</v>
      </c>
      <c r="D28" s="102">
        <v>39.599999999999994</v>
      </c>
      <c r="E28" s="102">
        <v>61.3</v>
      </c>
      <c r="F28" s="102">
        <v>117.8</v>
      </c>
      <c r="G28" s="102">
        <v>154.9</v>
      </c>
      <c r="H28" s="102">
        <v>59.2</v>
      </c>
      <c r="I28" s="102">
        <v>210.7</v>
      </c>
      <c r="J28" s="102">
        <v>109.5</v>
      </c>
      <c r="K28" s="102">
        <v>55</v>
      </c>
      <c r="L28" s="102">
        <v>1.9</v>
      </c>
      <c r="M28" s="102">
        <v>12.1</v>
      </c>
      <c r="N28" s="102">
        <f t="shared" si="1"/>
        <v>191.7</v>
      </c>
      <c r="O28" s="102">
        <f t="shared" si="2"/>
        <v>652.09999999999991</v>
      </c>
      <c r="P28" s="102">
        <f t="shared" si="3"/>
        <v>69</v>
      </c>
      <c r="Q28" s="102">
        <f t="shared" si="4"/>
        <v>912.8</v>
      </c>
    </row>
    <row r="29" spans="1:17">
      <c r="A29" s="102">
        <v>1989</v>
      </c>
      <c r="B29" s="102">
        <v>51.2</v>
      </c>
      <c r="C29" s="102">
        <v>46.5</v>
      </c>
      <c r="D29" s="102">
        <v>53.499999999999993</v>
      </c>
      <c r="E29" s="102">
        <v>113.9</v>
      </c>
      <c r="F29" s="102">
        <v>114.30000000000001</v>
      </c>
      <c r="G29" s="102">
        <v>184</v>
      </c>
      <c r="H29" s="102">
        <v>92.100000000000009</v>
      </c>
      <c r="I29" s="102">
        <v>78</v>
      </c>
      <c r="J29" s="102">
        <v>111.5</v>
      </c>
      <c r="K29" s="102">
        <v>45.6</v>
      </c>
      <c r="L29" s="102">
        <v>40.4</v>
      </c>
      <c r="M29" s="102">
        <v>37.299999999999997</v>
      </c>
      <c r="N29" s="102">
        <f t="shared" si="1"/>
        <v>265.10000000000002</v>
      </c>
      <c r="O29" s="102">
        <f t="shared" si="2"/>
        <v>579.90000000000009</v>
      </c>
      <c r="P29" s="102">
        <f t="shared" si="3"/>
        <v>123.3</v>
      </c>
      <c r="Q29" s="102">
        <f t="shared" si="4"/>
        <v>968.30000000000007</v>
      </c>
    </row>
    <row r="30" spans="1:17">
      <c r="A30" s="102">
        <v>1990</v>
      </c>
      <c r="B30" s="102">
        <v>72.2</v>
      </c>
      <c r="C30" s="102">
        <v>60.900000000000006</v>
      </c>
      <c r="D30" s="102">
        <v>106.19999999999999</v>
      </c>
      <c r="E30" s="102">
        <v>76.300000000000011</v>
      </c>
      <c r="F30" s="102">
        <v>180.2</v>
      </c>
      <c r="G30" s="102">
        <v>153.9</v>
      </c>
      <c r="H30" s="102">
        <v>94.800000000000011</v>
      </c>
      <c r="I30" s="102">
        <v>27.5</v>
      </c>
      <c r="J30" s="102">
        <v>133.30000000000001</v>
      </c>
      <c r="K30" s="102">
        <v>126.9</v>
      </c>
      <c r="L30" s="102">
        <v>41.7</v>
      </c>
      <c r="M30" s="102">
        <v>20.100000000000001</v>
      </c>
      <c r="N30" s="102">
        <f t="shared" si="1"/>
        <v>315.60000000000002</v>
      </c>
      <c r="O30" s="102">
        <f t="shared" si="2"/>
        <v>589.70000000000005</v>
      </c>
      <c r="P30" s="102">
        <f t="shared" si="3"/>
        <v>188.70000000000002</v>
      </c>
      <c r="Q30" s="102">
        <f t="shared" si="4"/>
        <v>1094</v>
      </c>
    </row>
    <row r="31" spans="1:17">
      <c r="A31" s="102">
        <v>1991</v>
      </c>
      <c r="B31" s="102">
        <v>100.9</v>
      </c>
      <c r="C31" s="102">
        <v>31.7</v>
      </c>
      <c r="D31" s="102">
        <v>104.3</v>
      </c>
      <c r="E31" s="102">
        <v>78.3</v>
      </c>
      <c r="F31" s="102">
        <v>101.5</v>
      </c>
      <c r="G31" s="102">
        <v>144.69999999999999</v>
      </c>
      <c r="H31" s="102">
        <v>291.60000000000002</v>
      </c>
      <c r="I31" s="102">
        <v>203</v>
      </c>
      <c r="J31" s="102">
        <v>57.099999999999994</v>
      </c>
      <c r="K31" s="102">
        <v>79.899999999999991</v>
      </c>
      <c r="L31" s="102">
        <v>87</v>
      </c>
      <c r="M31" s="102">
        <v>32.200000000000003</v>
      </c>
      <c r="N31" s="102">
        <f t="shared" si="1"/>
        <v>315.2</v>
      </c>
      <c r="O31" s="102">
        <f t="shared" si="2"/>
        <v>797.9</v>
      </c>
      <c r="P31" s="102">
        <f t="shared" si="3"/>
        <v>199.09999999999997</v>
      </c>
      <c r="Q31" s="102">
        <f t="shared" si="4"/>
        <v>1312.2</v>
      </c>
    </row>
    <row r="32" spans="1:17">
      <c r="A32" s="102">
        <v>1992</v>
      </c>
      <c r="B32" s="102">
        <v>27.900000000000002</v>
      </c>
      <c r="C32" s="102">
        <v>56.899999999999991</v>
      </c>
      <c r="D32" s="102">
        <v>124.4</v>
      </c>
      <c r="E32" s="102">
        <v>122.80000000000001</v>
      </c>
      <c r="F32" s="102">
        <v>204.3</v>
      </c>
      <c r="G32" s="102">
        <v>167.39999999999998</v>
      </c>
      <c r="H32" s="102">
        <v>128.1</v>
      </c>
      <c r="I32" s="102">
        <v>39.800000000000004</v>
      </c>
      <c r="J32" s="102">
        <v>111.89999999999999</v>
      </c>
      <c r="K32" s="102">
        <v>38</v>
      </c>
      <c r="L32" s="102">
        <v>9.6999999999999993</v>
      </c>
      <c r="M32" s="102">
        <v>59.8</v>
      </c>
      <c r="N32" s="102">
        <f t="shared" si="1"/>
        <v>332</v>
      </c>
      <c r="O32" s="102">
        <f t="shared" si="2"/>
        <v>651.49999999999989</v>
      </c>
      <c r="P32" s="102">
        <f t="shared" si="3"/>
        <v>107.5</v>
      </c>
      <c r="Q32" s="102">
        <f t="shared" si="4"/>
        <v>1090.9999999999998</v>
      </c>
    </row>
    <row r="33" spans="1:17">
      <c r="A33" s="102">
        <v>1993</v>
      </c>
      <c r="B33" s="102">
        <v>54.2</v>
      </c>
      <c r="C33" s="102">
        <v>57.2</v>
      </c>
      <c r="D33" s="102">
        <v>53.800000000000004</v>
      </c>
      <c r="E33" s="102">
        <v>51.3</v>
      </c>
      <c r="F33" s="102">
        <v>241.39999999999998</v>
      </c>
      <c r="G33" s="102">
        <v>107.4</v>
      </c>
      <c r="H33" s="102">
        <v>369.09999999999997</v>
      </c>
      <c r="I33" s="102">
        <v>123.80000000000001</v>
      </c>
      <c r="J33" s="102">
        <v>59.599999999999994</v>
      </c>
      <c r="K33" s="102">
        <v>86.3</v>
      </c>
      <c r="L33" s="102">
        <v>50.7</v>
      </c>
      <c r="M33" s="102">
        <v>43.099999999999994</v>
      </c>
      <c r="N33" s="102">
        <f t="shared" si="1"/>
        <v>216.5</v>
      </c>
      <c r="O33" s="102">
        <f t="shared" si="2"/>
        <v>901.29999999999984</v>
      </c>
      <c r="P33" s="102">
        <f t="shared" si="3"/>
        <v>180.1</v>
      </c>
      <c r="Q33" s="102">
        <f t="shared" si="4"/>
        <v>1297.8999999999996</v>
      </c>
    </row>
    <row r="34" spans="1:17">
      <c r="A34" s="102">
        <v>1994</v>
      </c>
      <c r="B34" s="102">
        <v>27.2</v>
      </c>
      <c r="C34" s="102">
        <v>43.1</v>
      </c>
      <c r="D34" s="102">
        <v>92.2</v>
      </c>
      <c r="E34" s="102">
        <v>143.80000000000001</v>
      </c>
      <c r="F34" s="102">
        <v>149.4</v>
      </c>
      <c r="G34" s="102">
        <v>151</v>
      </c>
      <c r="H34" s="102">
        <v>225.5</v>
      </c>
      <c r="I34" s="102">
        <v>95.3</v>
      </c>
      <c r="J34" s="102">
        <v>117.69999999999999</v>
      </c>
      <c r="K34" s="102">
        <v>229.2</v>
      </c>
      <c r="L34" s="102">
        <v>74</v>
      </c>
      <c r="M34" s="102">
        <v>58.8</v>
      </c>
      <c r="N34" s="102">
        <f t="shared" si="1"/>
        <v>306.3</v>
      </c>
      <c r="O34" s="102">
        <f t="shared" si="2"/>
        <v>738.89999999999986</v>
      </c>
      <c r="P34" s="102">
        <f t="shared" si="3"/>
        <v>362</v>
      </c>
      <c r="Q34" s="102">
        <f t="shared" si="4"/>
        <v>1407.2</v>
      </c>
    </row>
    <row r="35" spans="1:17">
      <c r="A35" s="102">
        <v>1995</v>
      </c>
      <c r="B35" s="102">
        <v>48.9</v>
      </c>
      <c r="C35" s="102">
        <v>66.599999999999994</v>
      </c>
      <c r="D35" s="102">
        <v>81.7</v>
      </c>
      <c r="E35" s="102">
        <v>72.599999999999994</v>
      </c>
      <c r="F35" s="102">
        <v>210.20000000000002</v>
      </c>
      <c r="G35" s="102">
        <v>284.39999999999998</v>
      </c>
      <c r="H35" s="102">
        <v>35.900000000000006</v>
      </c>
      <c r="I35" s="102">
        <v>79.399999999999991</v>
      </c>
      <c r="J35" s="102">
        <v>100.8</v>
      </c>
      <c r="K35" s="102">
        <v>31.1</v>
      </c>
      <c r="L35" s="102">
        <v>58</v>
      </c>
      <c r="M35" s="102">
        <v>9.1</v>
      </c>
      <c r="N35" s="102">
        <f t="shared" si="1"/>
        <v>269.79999999999995</v>
      </c>
      <c r="O35" s="102">
        <f t="shared" si="2"/>
        <v>710.69999999999993</v>
      </c>
      <c r="P35" s="102">
        <f t="shared" si="3"/>
        <v>98.199999999999989</v>
      </c>
      <c r="Q35" s="102">
        <f t="shared" si="4"/>
        <v>1078.6999999999998</v>
      </c>
    </row>
    <row r="36" spans="1:17">
      <c r="A36" s="102">
        <v>1996</v>
      </c>
      <c r="B36" s="102">
        <v>34.4</v>
      </c>
      <c r="C36" s="102">
        <v>9.6999999999999993</v>
      </c>
      <c r="D36" s="102">
        <v>111.9</v>
      </c>
      <c r="E36" s="102">
        <v>61.9</v>
      </c>
      <c r="F36" s="102">
        <v>126.30000000000001</v>
      </c>
      <c r="G36" s="102">
        <v>123.5</v>
      </c>
      <c r="H36" s="102">
        <v>296.8</v>
      </c>
      <c r="I36" s="102">
        <v>139.9</v>
      </c>
      <c r="J36" s="102">
        <v>17</v>
      </c>
      <c r="K36" s="102">
        <v>101.5</v>
      </c>
      <c r="L36" s="102">
        <v>36.4</v>
      </c>
      <c r="M36" s="102">
        <v>25.900000000000002</v>
      </c>
      <c r="N36" s="102">
        <f t="shared" si="1"/>
        <v>217.9</v>
      </c>
      <c r="O36" s="102">
        <f t="shared" si="2"/>
        <v>703.5</v>
      </c>
      <c r="P36" s="102">
        <f t="shared" si="3"/>
        <v>163.80000000000001</v>
      </c>
      <c r="Q36" s="102">
        <f t="shared" si="4"/>
        <v>1085.2</v>
      </c>
    </row>
    <row r="37" spans="1:17">
      <c r="A37" s="102">
        <v>1997</v>
      </c>
      <c r="B37" s="102">
        <v>59.7</v>
      </c>
      <c r="C37" s="102">
        <v>78</v>
      </c>
      <c r="D37" s="102">
        <v>97.7</v>
      </c>
      <c r="E37" s="102">
        <v>146.69999999999999</v>
      </c>
      <c r="F37" s="102">
        <v>122.30000000000001</v>
      </c>
      <c r="G37" s="102">
        <v>148.80000000000001</v>
      </c>
      <c r="H37" s="102">
        <v>248.29999999999998</v>
      </c>
      <c r="I37" s="102">
        <v>14.7</v>
      </c>
      <c r="J37" s="102">
        <v>128.9</v>
      </c>
      <c r="K37" s="102">
        <v>225.8</v>
      </c>
      <c r="L37" s="102">
        <v>53.300000000000004</v>
      </c>
      <c r="M37" s="102">
        <v>43.5</v>
      </c>
      <c r="N37" s="102">
        <f t="shared" si="1"/>
        <v>382.09999999999997</v>
      </c>
      <c r="O37" s="102">
        <f t="shared" si="2"/>
        <v>663</v>
      </c>
      <c r="P37" s="102">
        <f t="shared" si="3"/>
        <v>322.60000000000002</v>
      </c>
      <c r="Q37" s="102">
        <f t="shared" si="4"/>
        <v>1367.7</v>
      </c>
    </row>
    <row r="38" spans="1:17">
      <c r="A38" s="102">
        <v>1998</v>
      </c>
      <c r="B38" s="102">
        <v>57.7</v>
      </c>
      <c r="C38" s="102">
        <v>41.9</v>
      </c>
      <c r="D38" s="102">
        <v>73.5</v>
      </c>
      <c r="E38" s="102">
        <v>118.9</v>
      </c>
      <c r="F38" s="102">
        <v>118.3</v>
      </c>
      <c r="G38" s="102">
        <v>137.69999999999999</v>
      </c>
      <c r="H38" s="102">
        <v>146.20000000000002</v>
      </c>
      <c r="I38" s="102">
        <v>80.599999999999994</v>
      </c>
      <c r="J38" s="102">
        <v>24</v>
      </c>
      <c r="K38" s="102">
        <v>85.2</v>
      </c>
      <c r="L38" s="102">
        <v>21.8</v>
      </c>
      <c r="M38" s="102">
        <v>26.4</v>
      </c>
      <c r="N38" s="102">
        <f t="shared" si="1"/>
        <v>292</v>
      </c>
      <c r="O38" s="102">
        <f t="shared" si="2"/>
        <v>506.80000000000007</v>
      </c>
      <c r="P38" s="102">
        <f t="shared" si="3"/>
        <v>133.4</v>
      </c>
      <c r="Q38" s="102">
        <f t="shared" si="4"/>
        <v>932.2</v>
      </c>
    </row>
    <row r="39" spans="1:17">
      <c r="A39" s="102">
        <v>1999</v>
      </c>
      <c r="B39" s="102">
        <v>36.5</v>
      </c>
      <c r="C39" s="102">
        <v>17.100000000000001</v>
      </c>
      <c r="D39" s="102">
        <v>67.2</v>
      </c>
      <c r="E39" s="102">
        <v>98.1</v>
      </c>
      <c r="F39" s="102">
        <v>212.20000000000002</v>
      </c>
      <c r="G39" s="102">
        <v>234.4</v>
      </c>
      <c r="H39" s="102">
        <v>206.3</v>
      </c>
      <c r="I39" s="102">
        <v>193.39999999999998</v>
      </c>
      <c r="J39" s="102">
        <v>46.1</v>
      </c>
      <c r="K39" s="102">
        <v>72.400000000000006</v>
      </c>
      <c r="L39" s="102">
        <v>46.2</v>
      </c>
      <c r="M39" s="102">
        <v>1.5</v>
      </c>
      <c r="N39" s="102">
        <f t="shared" si="1"/>
        <v>218.9</v>
      </c>
      <c r="O39" s="102">
        <f t="shared" si="2"/>
        <v>892.40000000000009</v>
      </c>
      <c r="P39" s="102">
        <f t="shared" si="3"/>
        <v>120.10000000000001</v>
      </c>
      <c r="Q39" s="102">
        <f t="shared" si="4"/>
        <v>1231.3999999999999</v>
      </c>
    </row>
    <row r="40" spans="1:17">
      <c r="A40" s="102">
        <v>2000</v>
      </c>
      <c r="B40" s="102">
        <v>38</v>
      </c>
      <c r="C40" s="102">
        <v>35.700000000000003</v>
      </c>
      <c r="D40" s="102">
        <v>133.20000000000002</v>
      </c>
      <c r="E40" s="102">
        <v>107.4</v>
      </c>
      <c r="F40" s="102">
        <v>126.6</v>
      </c>
      <c r="G40" s="102">
        <v>198.2</v>
      </c>
      <c r="H40" s="102">
        <v>118.4</v>
      </c>
      <c r="I40" s="102">
        <v>197.1</v>
      </c>
      <c r="J40" s="102">
        <v>174</v>
      </c>
      <c r="K40" s="102">
        <v>116.8</v>
      </c>
      <c r="L40" s="102">
        <v>42.9</v>
      </c>
      <c r="M40" s="102">
        <v>25</v>
      </c>
      <c r="N40" s="102">
        <f t="shared" si="1"/>
        <v>314.30000000000007</v>
      </c>
      <c r="O40" s="102">
        <f t="shared" si="2"/>
        <v>814.3</v>
      </c>
      <c r="P40" s="102">
        <f t="shared" si="3"/>
        <v>184.7</v>
      </c>
      <c r="Q40" s="102">
        <f t="shared" si="4"/>
        <v>1313.3000000000002</v>
      </c>
    </row>
    <row r="41" spans="1:17">
      <c r="A41" s="102">
        <v>2001</v>
      </c>
      <c r="B41" s="102">
        <v>45.7</v>
      </c>
      <c r="C41" s="102">
        <v>46</v>
      </c>
      <c r="D41" s="102">
        <v>73.199999999999989</v>
      </c>
      <c r="E41" s="102">
        <v>145.89999999999998</v>
      </c>
      <c r="F41" s="102">
        <v>120.9</v>
      </c>
      <c r="G41" s="102">
        <v>309.7</v>
      </c>
      <c r="H41" s="102">
        <v>142.5</v>
      </c>
      <c r="I41" s="102">
        <v>185.1</v>
      </c>
      <c r="J41" s="102">
        <v>18.599999999999998</v>
      </c>
      <c r="K41" s="102">
        <v>91.3</v>
      </c>
      <c r="L41" s="102">
        <v>75.899999999999991</v>
      </c>
      <c r="M41" s="102">
        <v>23.3</v>
      </c>
      <c r="N41" s="102">
        <f t="shared" si="1"/>
        <v>310.79999999999995</v>
      </c>
      <c r="O41" s="102">
        <f t="shared" si="2"/>
        <v>776.80000000000007</v>
      </c>
      <c r="P41" s="102">
        <f t="shared" si="3"/>
        <v>190.5</v>
      </c>
      <c r="Q41" s="102">
        <f t="shared" si="4"/>
        <v>1278.0999999999997</v>
      </c>
    </row>
    <row r="42" spans="1:17">
      <c r="A42" s="102">
        <v>2002</v>
      </c>
      <c r="B42" s="102">
        <v>21.9</v>
      </c>
      <c r="C42" s="102">
        <v>32.1</v>
      </c>
      <c r="D42" s="102">
        <v>54.800000000000004</v>
      </c>
      <c r="E42" s="102">
        <v>160.30000000000001</v>
      </c>
      <c r="F42" s="102">
        <v>288.09999999999997</v>
      </c>
      <c r="G42" s="102">
        <v>179.7</v>
      </c>
      <c r="H42" s="102">
        <v>200.60000000000002</v>
      </c>
      <c r="I42" s="102">
        <v>244</v>
      </c>
      <c r="J42" s="102">
        <v>53.400000000000006</v>
      </c>
      <c r="K42" s="102">
        <v>96.7</v>
      </c>
      <c r="L42" s="102">
        <v>12.4</v>
      </c>
      <c r="M42" s="102">
        <v>85.5</v>
      </c>
      <c r="N42" s="102">
        <f t="shared" si="1"/>
        <v>269.10000000000002</v>
      </c>
      <c r="O42" s="102">
        <f t="shared" si="2"/>
        <v>965.8</v>
      </c>
      <c r="P42" s="102">
        <f t="shared" si="3"/>
        <v>194.60000000000002</v>
      </c>
      <c r="Q42" s="102">
        <f t="shared" si="4"/>
        <v>1429.5000000000002</v>
      </c>
    </row>
    <row r="43" spans="1:17">
      <c r="A43" s="102">
        <v>2003</v>
      </c>
      <c r="B43" s="102">
        <v>43.1</v>
      </c>
      <c r="C43" s="102">
        <v>29.5</v>
      </c>
      <c r="D43" s="102">
        <v>83.4</v>
      </c>
      <c r="E43" s="102">
        <v>145.80000000000001</v>
      </c>
      <c r="F43" s="102">
        <v>184.8</v>
      </c>
      <c r="G43" s="102">
        <v>166.3</v>
      </c>
      <c r="H43" s="102">
        <v>67.319999999999993</v>
      </c>
      <c r="I43" s="102">
        <v>65.8</v>
      </c>
      <c r="J43" s="102">
        <v>119.3</v>
      </c>
      <c r="K43" s="102">
        <v>42.5</v>
      </c>
      <c r="L43" s="102">
        <v>16.100000000000001</v>
      </c>
      <c r="M43" s="102">
        <v>28.3</v>
      </c>
      <c r="N43" s="102">
        <f t="shared" si="1"/>
        <v>301.8</v>
      </c>
      <c r="O43" s="102">
        <f t="shared" si="2"/>
        <v>603.52</v>
      </c>
      <c r="P43" s="102">
        <f t="shared" si="3"/>
        <v>86.9</v>
      </c>
      <c r="Q43" s="102">
        <f t="shared" si="4"/>
        <v>992.21999999999991</v>
      </c>
    </row>
    <row r="44" spans="1:17">
      <c r="A44" s="102">
        <v>2004</v>
      </c>
      <c r="B44" s="103">
        <v>38.200000000000003</v>
      </c>
      <c r="C44" s="103">
        <v>75.8</v>
      </c>
      <c r="D44" s="103">
        <v>72.7</v>
      </c>
      <c r="E44" s="103">
        <v>83.9</v>
      </c>
      <c r="F44" s="103">
        <v>177.7</v>
      </c>
      <c r="G44" s="103">
        <v>74.599999999999994</v>
      </c>
      <c r="H44" s="103">
        <v>374.4</v>
      </c>
      <c r="I44" s="103">
        <v>171.2</v>
      </c>
      <c r="J44" s="103">
        <v>66.3</v>
      </c>
      <c r="K44" s="103">
        <v>36.1</v>
      </c>
      <c r="L44" s="103">
        <v>87</v>
      </c>
      <c r="M44" s="103">
        <v>56.8</v>
      </c>
      <c r="N44" s="102">
        <f t="shared" si="1"/>
        <v>270.60000000000002</v>
      </c>
      <c r="O44" s="102">
        <f t="shared" si="2"/>
        <v>864.19999999999982</v>
      </c>
      <c r="P44" s="102">
        <f t="shared" si="3"/>
        <v>179.89999999999998</v>
      </c>
      <c r="Q44" s="102">
        <f t="shared" si="4"/>
        <v>1314.6999999999998</v>
      </c>
    </row>
    <row r="45" spans="1:17">
      <c r="A45" s="102">
        <v>2005</v>
      </c>
      <c r="B45" s="103">
        <v>65.5</v>
      </c>
      <c r="C45" s="103">
        <v>44</v>
      </c>
      <c r="D45" s="103">
        <v>55.5</v>
      </c>
      <c r="E45" s="103">
        <v>104.7</v>
      </c>
      <c r="F45" s="103">
        <v>200.6</v>
      </c>
      <c r="G45" s="103">
        <v>66.599999999999994</v>
      </c>
      <c r="H45" s="103">
        <v>56.7</v>
      </c>
      <c r="I45" s="103">
        <v>99.2</v>
      </c>
      <c r="J45" s="103">
        <v>7.6</v>
      </c>
      <c r="K45" s="102">
        <v>34.299999999999997</v>
      </c>
      <c r="L45" s="102">
        <v>51.8</v>
      </c>
      <c r="M45" s="102">
        <v>34.799999999999997</v>
      </c>
      <c r="N45" s="102">
        <f t="shared" si="1"/>
        <v>269.7</v>
      </c>
      <c r="O45" s="102">
        <f t="shared" si="2"/>
        <v>430.7</v>
      </c>
      <c r="P45" s="102">
        <f t="shared" si="3"/>
        <v>120.89999999999999</v>
      </c>
      <c r="Q45" s="102">
        <f t="shared" si="4"/>
        <v>821.3</v>
      </c>
    </row>
    <row r="46" spans="1:17">
      <c r="A46" s="102">
        <v>2006</v>
      </c>
      <c r="B46" s="102">
        <v>28.8</v>
      </c>
      <c r="C46" s="102">
        <v>80.400000000000006</v>
      </c>
      <c r="D46" s="102">
        <v>71</v>
      </c>
      <c r="E46" s="102">
        <v>109.5</v>
      </c>
      <c r="F46" s="102">
        <v>112</v>
      </c>
      <c r="G46" s="102">
        <v>133.1</v>
      </c>
      <c r="H46" s="102">
        <v>80.099999999999994</v>
      </c>
      <c r="I46" s="102">
        <v>104.7</v>
      </c>
      <c r="J46" s="102">
        <v>58.5</v>
      </c>
      <c r="K46" s="102">
        <v>49.5</v>
      </c>
      <c r="L46" s="102">
        <v>42.9</v>
      </c>
      <c r="M46" s="102">
        <v>18.5</v>
      </c>
      <c r="N46" s="102">
        <f t="shared" si="1"/>
        <v>289.7</v>
      </c>
      <c r="O46" s="102">
        <f t="shared" si="2"/>
        <v>488.4</v>
      </c>
      <c r="P46" s="102">
        <f t="shared" si="3"/>
        <v>110.9</v>
      </c>
      <c r="Q46" s="102">
        <f t="shared" si="4"/>
        <v>889</v>
      </c>
    </row>
    <row r="47" spans="1:17">
      <c r="A47" s="102">
        <v>2007</v>
      </c>
      <c r="B47" s="102">
        <v>53.1</v>
      </c>
      <c r="C47" s="102">
        <v>30.6</v>
      </c>
      <c r="D47" s="102">
        <v>74.8</v>
      </c>
      <c r="E47" s="102">
        <v>136.5</v>
      </c>
      <c r="F47" s="102">
        <v>120.2</v>
      </c>
      <c r="G47" s="102">
        <v>303.10000000000002</v>
      </c>
      <c r="H47" s="102">
        <v>155.80000000000001</v>
      </c>
      <c r="I47" s="102">
        <v>89.6</v>
      </c>
      <c r="J47" s="102">
        <v>86.5</v>
      </c>
      <c r="K47" s="102">
        <v>8.5</v>
      </c>
      <c r="L47" s="102">
        <v>0.7</v>
      </c>
      <c r="M47" s="102">
        <v>28.7</v>
      </c>
      <c r="N47" s="102">
        <f t="shared" si="1"/>
        <v>295</v>
      </c>
      <c r="O47" s="102">
        <f t="shared" si="2"/>
        <v>755.2</v>
      </c>
      <c r="P47" s="102">
        <f t="shared" si="3"/>
        <v>37.9</v>
      </c>
      <c r="Q47" s="102">
        <f t="shared" si="4"/>
        <v>1088.0999999999999</v>
      </c>
    </row>
    <row r="48" spans="1:17">
      <c r="A48" s="102">
        <v>2008</v>
      </c>
      <c r="B48" s="102">
        <v>44.4</v>
      </c>
      <c r="C48" s="102">
        <v>18.899999999999999</v>
      </c>
      <c r="D48" s="102">
        <v>110.1</v>
      </c>
      <c r="E48" s="102">
        <v>69.2</v>
      </c>
      <c r="F48" s="102">
        <v>116.1</v>
      </c>
      <c r="G48" s="102">
        <v>114.4</v>
      </c>
      <c r="H48" s="102">
        <v>144.30000000000001</v>
      </c>
      <c r="I48" s="102">
        <v>145.80000000000001</v>
      </c>
      <c r="J48" s="102">
        <v>12.3</v>
      </c>
      <c r="K48" s="102">
        <v>107.4</v>
      </c>
      <c r="L48" s="102">
        <v>212</v>
      </c>
      <c r="M48" s="102">
        <v>12.6</v>
      </c>
      <c r="N48" s="102">
        <f t="shared" si="1"/>
        <v>242.59999999999997</v>
      </c>
      <c r="O48" s="102">
        <f t="shared" si="2"/>
        <v>532.9</v>
      </c>
      <c r="P48" s="102">
        <f t="shared" si="3"/>
        <v>332</v>
      </c>
      <c r="Q48" s="102">
        <f t="shared" si="4"/>
        <v>1107.4999999999995</v>
      </c>
    </row>
    <row r="49" spans="1:34">
      <c r="A49" s="102">
        <v>2009</v>
      </c>
      <c r="B49" s="102">
        <v>27.8</v>
      </c>
      <c r="C49" s="102">
        <v>71</v>
      </c>
      <c r="D49" s="102">
        <v>78.8</v>
      </c>
      <c r="E49" s="102">
        <v>279.60000000000002</v>
      </c>
      <c r="F49" s="102">
        <v>166.4</v>
      </c>
      <c r="G49" s="102">
        <v>186</v>
      </c>
      <c r="H49" s="102">
        <v>137.6</v>
      </c>
      <c r="I49" s="102">
        <v>28</v>
      </c>
      <c r="J49" s="102">
        <v>24.8</v>
      </c>
      <c r="K49" s="102">
        <v>40.299999999999997</v>
      </c>
      <c r="L49" s="102">
        <v>44.7</v>
      </c>
      <c r="M49" s="102">
        <v>35.6</v>
      </c>
      <c r="N49" s="102">
        <f t="shared" si="1"/>
        <v>457.20000000000005</v>
      </c>
      <c r="O49" s="102">
        <f t="shared" si="2"/>
        <v>542.79999999999995</v>
      </c>
      <c r="P49" s="102">
        <f t="shared" si="3"/>
        <v>120.6</v>
      </c>
      <c r="Q49" s="102">
        <f t="shared" si="4"/>
        <v>1120.5999999999999</v>
      </c>
    </row>
    <row r="50" spans="1:34">
      <c r="A50" s="102">
        <v>2010</v>
      </c>
      <c r="B50" s="102">
        <v>10.8</v>
      </c>
      <c r="C50" s="102">
        <v>9.3000000000000007</v>
      </c>
      <c r="D50" s="102">
        <v>56.499999999999993</v>
      </c>
      <c r="E50" s="102">
        <v>118.00000000000001</v>
      </c>
      <c r="F50" s="102">
        <v>198.1</v>
      </c>
      <c r="G50" s="102">
        <v>231.5</v>
      </c>
      <c r="H50" s="102">
        <v>37.700000000000003</v>
      </c>
      <c r="I50" s="102">
        <v>89.199999999999989</v>
      </c>
      <c r="J50" s="102">
        <v>96.199999999999989</v>
      </c>
      <c r="K50" s="102">
        <v>95.899999999999991</v>
      </c>
      <c r="L50" s="102">
        <v>31.6</v>
      </c>
      <c r="M50" s="102">
        <v>80.600000000000009</v>
      </c>
      <c r="N50" s="102">
        <f t="shared" si="1"/>
        <v>194.60000000000002</v>
      </c>
      <c r="O50" s="102">
        <f t="shared" si="2"/>
        <v>652.70000000000005</v>
      </c>
      <c r="P50" s="102">
        <f t="shared" si="3"/>
        <v>208.10000000000002</v>
      </c>
      <c r="Q50" s="102">
        <f t="shared" si="4"/>
        <v>1055.4000000000001</v>
      </c>
    </row>
    <row r="51" spans="1:34">
      <c r="A51" s="102">
        <v>2011</v>
      </c>
      <c r="B51" s="102">
        <v>48.4</v>
      </c>
      <c r="C51" s="102">
        <v>14</v>
      </c>
      <c r="D51" s="102">
        <v>45.9</v>
      </c>
      <c r="E51" s="102">
        <v>29</v>
      </c>
      <c r="F51" s="102">
        <v>164.7</v>
      </c>
      <c r="G51" s="102">
        <v>212.4</v>
      </c>
      <c r="H51" s="102">
        <v>4.7</v>
      </c>
      <c r="I51" s="102">
        <v>61.2</v>
      </c>
      <c r="J51" s="102">
        <v>87.2</v>
      </c>
      <c r="K51" s="102">
        <v>131.30000000000001</v>
      </c>
      <c r="L51" s="102">
        <v>64.400000000000006</v>
      </c>
      <c r="M51" s="102">
        <v>15.8</v>
      </c>
      <c r="N51" s="102">
        <f t="shared" si="1"/>
        <v>137.30000000000001</v>
      </c>
      <c r="O51" s="102">
        <f t="shared" si="2"/>
        <v>530.20000000000005</v>
      </c>
      <c r="P51" s="102">
        <f t="shared" si="3"/>
        <v>211.50000000000003</v>
      </c>
      <c r="Q51" s="102">
        <f t="shared" si="4"/>
        <v>879.00000000000011</v>
      </c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</row>
    <row r="52" spans="1:34">
      <c r="A52" s="102">
        <v>2012</v>
      </c>
      <c r="B52" s="102">
        <v>62.6</v>
      </c>
      <c r="C52" s="102">
        <v>36.4</v>
      </c>
      <c r="D52" s="102">
        <v>68.400000000000006</v>
      </c>
      <c r="E52" s="102">
        <v>99.9</v>
      </c>
      <c r="F52" s="102">
        <v>272.7</v>
      </c>
      <c r="G52" s="102">
        <v>165.2</v>
      </c>
      <c r="H52" s="102">
        <v>141.69999999999999</v>
      </c>
      <c r="I52" s="102">
        <v>156.6</v>
      </c>
      <c r="J52" s="102">
        <v>132.69999999999999</v>
      </c>
      <c r="K52" s="102">
        <v>66.400000000000006</v>
      </c>
      <c r="L52" s="102">
        <v>67.3</v>
      </c>
      <c r="M52" s="102">
        <v>35</v>
      </c>
      <c r="N52" s="102">
        <f t="shared" si="1"/>
        <v>267.3</v>
      </c>
      <c r="O52" s="102">
        <f t="shared" si="2"/>
        <v>868.89999999999986</v>
      </c>
      <c r="P52" s="102">
        <f t="shared" si="3"/>
        <v>168.7</v>
      </c>
      <c r="Q52" s="102">
        <f t="shared" si="4"/>
        <v>1304.9000000000001</v>
      </c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  <c r="AD52" s="104"/>
      <c r="AE52" s="104"/>
      <c r="AF52" s="104"/>
      <c r="AG52" s="104"/>
    </row>
    <row r="53" spans="1:34">
      <c r="A53" s="102">
        <v>2013</v>
      </c>
      <c r="B53" s="102">
        <v>17</v>
      </c>
      <c r="C53" s="102">
        <v>35.200000000000003</v>
      </c>
      <c r="D53" s="102">
        <v>125.5</v>
      </c>
      <c r="E53" s="102">
        <v>160.9</v>
      </c>
      <c r="F53" s="102">
        <v>232</v>
      </c>
      <c r="G53" s="102">
        <v>228.6</v>
      </c>
      <c r="H53" s="102">
        <v>1.3</v>
      </c>
      <c r="I53" s="102">
        <v>102.4</v>
      </c>
      <c r="J53" s="102">
        <v>195.7</v>
      </c>
      <c r="K53" s="102">
        <v>59.8</v>
      </c>
      <c r="L53" s="102">
        <v>71.7</v>
      </c>
      <c r="M53" s="102">
        <v>43.2</v>
      </c>
      <c r="N53" s="102">
        <f t="shared" si="1"/>
        <v>338.6</v>
      </c>
      <c r="O53" s="102">
        <f t="shared" si="2"/>
        <v>760</v>
      </c>
      <c r="P53" s="102">
        <f t="shared" si="3"/>
        <v>174.7</v>
      </c>
      <c r="Q53" s="102">
        <f t="shared" si="4"/>
        <v>1273.3</v>
      </c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  <c r="AD53" s="104"/>
      <c r="AE53" s="104"/>
      <c r="AF53" s="104"/>
      <c r="AG53" s="104"/>
    </row>
    <row r="54" spans="1:34">
      <c r="A54" s="102">
        <v>2014</v>
      </c>
      <c r="B54" s="128">
        <v>8.8000000000000007</v>
      </c>
      <c r="C54" s="128">
        <v>46.9</v>
      </c>
      <c r="D54" s="128">
        <v>84.1</v>
      </c>
      <c r="E54" s="128">
        <v>127.6</v>
      </c>
      <c r="F54" s="128">
        <v>196.4</v>
      </c>
      <c r="G54" s="128">
        <v>201.9</v>
      </c>
      <c r="H54" s="128">
        <v>306.60000000000002</v>
      </c>
      <c r="I54" s="128">
        <v>174</v>
      </c>
      <c r="J54" s="128">
        <v>88.7</v>
      </c>
      <c r="K54" s="128">
        <v>88.5</v>
      </c>
      <c r="L54" s="128">
        <v>82.6</v>
      </c>
      <c r="M54" s="128">
        <v>7.2</v>
      </c>
      <c r="N54" s="102">
        <f>SUM(B54:E54)</f>
        <v>267.39999999999998</v>
      </c>
      <c r="O54" s="102">
        <f>SUM(F54:J54)</f>
        <v>967.60000000000014</v>
      </c>
      <c r="P54" s="102">
        <f>SUM(K54:M54)</f>
        <v>178.29999999999998</v>
      </c>
      <c r="Q54" s="102">
        <f>SUM(B54:M54)</f>
        <v>1413.3</v>
      </c>
    </row>
    <row r="55" spans="1:34">
      <c r="A55" s="102">
        <v>2015</v>
      </c>
      <c r="B55" s="128">
        <v>42.1</v>
      </c>
      <c r="C55" s="128">
        <v>31.9</v>
      </c>
      <c r="D55" s="128">
        <v>37.700000000000003</v>
      </c>
      <c r="E55" s="128">
        <v>80.400000000000006</v>
      </c>
      <c r="F55" s="128">
        <v>182.3</v>
      </c>
      <c r="G55" s="128">
        <v>289</v>
      </c>
      <c r="H55" s="128">
        <v>85.1</v>
      </c>
      <c r="I55" s="128">
        <v>227.5</v>
      </c>
      <c r="J55" s="128">
        <v>116.3</v>
      </c>
      <c r="K55" s="128">
        <v>83.3</v>
      </c>
      <c r="L55" s="128">
        <v>63.8</v>
      </c>
      <c r="M55" s="128">
        <v>101.4</v>
      </c>
      <c r="N55" s="102">
        <f>SUM(B55:E55)</f>
        <v>192.10000000000002</v>
      </c>
      <c r="O55" s="102">
        <f t="shared" si="2"/>
        <v>900.19999999999993</v>
      </c>
      <c r="P55" s="102">
        <f t="shared" si="3"/>
        <v>248.5</v>
      </c>
      <c r="Q55" s="102">
        <f t="shared" si="4"/>
        <v>1340.8000000000002</v>
      </c>
    </row>
    <row r="56" spans="1:34" ht="13.5">
      <c r="A56" s="102">
        <v>2016</v>
      </c>
      <c r="B56" s="128">
        <v>84.8</v>
      </c>
      <c r="C56" s="128">
        <v>24.3</v>
      </c>
      <c r="D56" s="128">
        <v>132.1</v>
      </c>
      <c r="E56" s="128">
        <v>228.6</v>
      </c>
      <c r="F56" s="128">
        <v>145.9</v>
      </c>
      <c r="G56" s="128">
        <v>146.80000000000001</v>
      </c>
      <c r="H56" s="128">
        <v>130.1</v>
      </c>
      <c r="I56" s="128">
        <v>215.7</v>
      </c>
      <c r="J56" s="128">
        <v>14.6</v>
      </c>
      <c r="K56" s="128">
        <v>111.5</v>
      </c>
      <c r="L56" s="128">
        <v>68.099999999999994</v>
      </c>
      <c r="M56" s="128">
        <v>41.8</v>
      </c>
      <c r="N56" s="102">
        <f>SUM(B56:E56)</f>
        <v>469.79999999999995</v>
      </c>
      <c r="O56" s="102">
        <f>SUM(F56:J56)</f>
        <v>653.1</v>
      </c>
      <c r="P56" s="102">
        <f>SUM(K56:M56)</f>
        <v>221.39999999999998</v>
      </c>
      <c r="Q56" s="102">
        <f>SUM(B56:M56)</f>
        <v>1344.2999999999997</v>
      </c>
      <c r="R56" s="129">
        <f t="shared" ref="R56:AG56" si="5">100*(B56-B4)/B4</f>
        <v>106.69088128464915</v>
      </c>
      <c r="S56" s="129">
        <f t="shared" si="5"/>
        <v>-41.76495465438655</v>
      </c>
      <c r="T56" s="129">
        <f t="shared" si="5"/>
        <v>81.046436633344101</v>
      </c>
      <c r="U56" s="129">
        <f t="shared" si="5"/>
        <v>94.27114577084582</v>
      </c>
      <c r="V56" s="129">
        <f t="shared" si="5"/>
        <v>-22.109285041348276</v>
      </c>
      <c r="W56" s="129">
        <f t="shared" si="5"/>
        <v>-19.563372261675795</v>
      </c>
      <c r="X56" s="129">
        <f t="shared" si="5"/>
        <v>-10.008381911347064</v>
      </c>
      <c r="Y56" s="129">
        <f t="shared" si="5"/>
        <v>68.41758780121863</v>
      </c>
      <c r="Z56" s="129">
        <f t="shared" si="5"/>
        <v>-81.873067653431363</v>
      </c>
      <c r="AA56" s="129">
        <f t="shared" si="5"/>
        <v>27.921625087170685</v>
      </c>
      <c r="AB56" s="129">
        <f t="shared" si="5"/>
        <v>16.098947016546862</v>
      </c>
      <c r="AC56" s="129">
        <f t="shared" si="5"/>
        <v>27.469504903133224</v>
      </c>
      <c r="AD56" s="129">
        <f t="shared" si="5"/>
        <v>71.842299665062455</v>
      </c>
      <c r="AE56" s="129">
        <f t="shared" si="5"/>
        <v>-9.6685887481483679</v>
      </c>
      <c r="AF56" s="129">
        <f t="shared" si="5"/>
        <v>23.956000526939757</v>
      </c>
      <c r="AG56" s="129">
        <f t="shared" si="5"/>
        <v>14.407899699158863</v>
      </c>
      <c r="AH56" s="129"/>
    </row>
  </sheetData>
  <mergeCells count="6">
    <mergeCell ref="A1:A3"/>
    <mergeCell ref="B1:Q1"/>
    <mergeCell ref="B2:M2"/>
    <mergeCell ref="R1:AG1"/>
    <mergeCell ref="N2:Q2"/>
    <mergeCell ref="R2:AG2"/>
  </mergeCells>
  <phoneticPr fontId="2" type="noConversion"/>
  <pageMargins left="0.75" right="0.75" top="1" bottom="1" header="0.5" footer="0.5"/>
  <pageSetup paperSize="9" orientation="portrait" horizontalDpi="200" verticalDpi="200" copies="0" r:id="rId1"/>
  <headerFooter alignWithMargins="0"/>
</worksheet>
</file>

<file path=xl/worksheets/sheet54.xml><?xml version="1.0" encoding="utf-8"?>
<worksheet xmlns="http://schemas.openxmlformats.org/spreadsheetml/2006/main" xmlns:r="http://schemas.openxmlformats.org/officeDocument/2006/relationships">
  <sheetPr codeName="Sheet54"/>
  <dimension ref="A1:AG61"/>
  <sheetViews>
    <sheetView zoomScale="85" zoomScaleNormal="85" workbookViewId="0">
      <pane ySplit="5" topLeftCell="A6" activePane="bottomLeft" state="frozen"/>
      <selection pane="bottomLeft" activeCell="A62" sqref="A62"/>
    </sheetView>
  </sheetViews>
  <sheetFormatPr defaultRowHeight="12"/>
  <cols>
    <col min="1" max="36" width="7.125" style="102" customWidth="1"/>
    <col min="37" max="16384" width="9" style="102"/>
  </cols>
  <sheetData>
    <row r="1" spans="1:33" s="118" customFormat="1" ht="14.25" customHeight="1">
      <c r="A1" s="176" t="s">
        <v>53</v>
      </c>
      <c r="B1" s="176" t="s">
        <v>247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2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93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32</v>
      </c>
      <c r="O2" s="176"/>
      <c r="P2" s="176"/>
      <c r="Q2" s="176"/>
      <c r="R2" s="176" t="s">
        <v>38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 ht="24">
      <c r="A3" s="176"/>
      <c r="B3" s="138" t="s">
        <v>248</v>
      </c>
      <c r="C3" s="138" t="s">
        <v>249</v>
      </c>
      <c r="D3" s="138" t="s">
        <v>9</v>
      </c>
      <c r="E3" s="138" t="s">
        <v>10</v>
      </c>
      <c r="F3" s="138" t="s">
        <v>11</v>
      </c>
      <c r="G3" s="138" t="s">
        <v>12</v>
      </c>
      <c r="H3" s="138" t="s">
        <v>13</v>
      </c>
      <c r="I3" s="138" t="s">
        <v>14</v>
      </c>
      <c r="J3" s="138" t="s">
        <v>15</v>
      </c>
      <c r="K3" s="138" t="s">
        <v>16</v>
      </c>
      <c r="L3" s="138" t="s">
        <v>17</v>
      </c>
      <c r="M3" s="138" t="s">
        <v>18</v>
      </c>
      <c r="N3" s="138" t="s">
        <v>250</v>
      </c>
      <c r="O3" s="138" t="s">
        <v>251</v>
      </c>
      <c r="P3" s="138" t="s">
        <v>252</v>
      </c>
      <c r="Q3" s="138" t="s">
        <v>253</v>
      </c>
      <c r="R3" s="138" t="s">
        <v>248</v>
      </c>
      <c r="S3" s="138" t="s">
        <v>249</v>
      </c>
      <c r="T3" s="138" t="s">
        <v>254</v>
      </c>
      <c r="U3" s="138" t="s">
        <v>255</v>
      </c>
      <c r="V3" s="138" t="s">
        <v>256</v>
      </c>
      <c r="W3" s="138" t="s">
        <v>257</v>
      </c>
      <c r="X3" s="138" t="s">
        <v>25</v>
      </c>
      <c r="Y3" s="138" t="s">
        <v>26</v>
      </c>
      <c r="Z3" s="138" t="s">
        <v>27</v>
      </c>
      <c r="AA3" s="138" t="s">
        <v>258</v>
      </c>
      <c r="AB3" s="138" t="s">
        <v>259</v>
      </c>
      <c r="AC3" s="138" t="s">
        <v>260</v>
      </c>
      <c r="AD3" s="138" t="s">
        <v>230</v>
      </c>
      <c r="AE3" s="138" t="s">
        <v>42</v>
      </c>
      <c r="AF3" s="138" t="s">
        <v>231</v>
      </c>
      <c r="AG3" s="138" t="s">
        <v>66</v>
      </c>
    </row>
    <row r="4" spans="1:33" s="118" customFormat="1">
      <c r="A4" s="150" t="s">
        <v>261</v>
      </c>
      <c r="B4" s="150">
        <f t="shared" ref="B4:Q4" si="0">AVERAGE(B5:B60)</f>
        <v>35.746428571428581</v>
      </c>
      <c r="C4" s="150">
        <f t="shared" si="0"/>
        <v>38.512499999999996</v>
      </c>
      <c r="D4" s="150">
        <f t="shared" si="0"/>
        <v>61.644642857142863</v>
      </c>
      <c r="E4" s="150">
        <f t="shared" si="0"/>
        <v>126.54642857142855</v>
      </c>
      <c r="F4" s="150">
        <f t="shared" si="0"/>
        <v>209.16964285714286</v>
      </c>
      <c r="G4" s="150">
        <f t="shared" si="0"/>
        <v>212.98214285714289</v>
      </c>
      <c r="H4" s="150">
        <f t="shared" si="0"/>
        <v>150.36964285714288</v>
      </c>
      <c r="I4" s="150">
        <f t="shared" si="0"/>
        <v>130.98571428571429</v>
      </c>
      <c r="J4" s="150">
        <f t="shared" si="0"/>
        <v>84.091071428571453</v>
      </c>
      <c r="K4" s="150">
        <f t="shared" si="0"/>
        <v>99.171428571428564</v>
      </c>
      <c r="L4" s="150">
        <f t="shared" si="0"/>
        <v>60.908928571428589</v>
      </c>
      <c r="M4" s="150">
        <f t="shared" si="0"/>
        <v>30.419642857142865</v>
      </c>
      <c r="N4" s="150">
        <f t="shared" si="0"/>
        <v>262.45</v>
      </c>
      <c r="O4" s="150">
        <f t="shared" si="0"/>
        <v>787.59821428571433</v>
      </c>
      <c r="P4" s="150">
        <f t="shared" si="0"/>
        <v>190.49999999999997</v>
      </c>
      <c r="Q4" s="150">
        <f t="shared" si="0"/>
        <v>1240.5482142857143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1960</v>
      </c>
      <c r="B5" s="102">
        <v>21.2</v>
      </c>
      <c r="C5" s="102">
        <v>36.700000000000003</v>
      </c>
      <c r="D5" s="102">
        <v>60</v>
      </c>
      <c r="E5" s="102">
        <v>67.5</v>
      </c>
      <c r="F5" s="102">
        <v>135.80000000000001</v>
      </c>
      <c r="G5" s="102">
        <v>77.5</v>
      </c>
      <c r="H5" s="102">
        <v>123.3</v>
      </c>
      <c r="I5" s="102">
        <v>59.6</v>
      </c>
      <c r="J5" s="102">
        <v>29.7</v>
      </c>
      <c r="K5" s="102">
        <v>51.6</v>
      </c>
      <c r="L5" s="102">
        <v>61.7</v>
      </c>
      <c r="M5" s="102">
        <v>5.0999999999999996</v>
      </c>
      <c r="N5" s="102">
        <f>SUM(B5:E5)</f>
        <v>185.4</v>
      </c>
      <c r="O5" s="102">
        <f>SUM(F5:J5)</f>
        <v>425.90000000000003</v>
      </c>
      <c r="P5" s="102">
        <f>SUM(K5:M5)</f>
        <v>118.4</v>
      </c>
      <c r="Q5" s="102">
        <f>SUM(B5:M5)</f>
        <v>729.70000000000016</v>
      </c>
    </row>
    <row r="6" spans="1:33">
      <c r="A6" s="102">
        <v>1961</v>
      </c>
      <c r="B6" s="102">
        <v>17.2</v>
      </c>
      <c r="C6" s="102">
        <v>35.1</v>
      </c>
      <c r="D6" s="102">
        <v>72.400000000000006</v>
      </c>
      <c r="E6" s="102">
        <v>166.7</v>
      </c>
      <c r="F6" s="102">
        <v>136.9</v>
      </c>
      <c r="G6" s="102">
        <v>61</v>
      </c>
      <c r="H6" s="102">
        <v>99.1</v>
      </c>
      <c r="I6" s="102">
        <v>99.5</v>
      </c>
      <c r="J6" s="102">
        <v>82.3</v>
      </c>
      <c r="K6" s="102">
        <v>201.1</v>
      </c>
      <c r="L6" s="102">
        <v>93.4</v>
      </c>
      <c r="M6" s="102">
        <v>36.700000000000003</v>
      </c>
      <c r="N6" s="102">
        <f t="shared" ref="N6:N60" si="1">SUM(B6:E6)</f>
        <v>291.39999999999998</v>
      </c>
      <c r="O6" s="102">
        <f t="shared" ref="O6:O60" si="2">SUM(F6:J6)</f>
        <v>478.8</v>
      </c>
      <c r="P6" s="102">
        <f t="shared" ref="P6:P60" si="3">SUM(K6:M6)</f>
        <v>331.2</v>
      </c>
      <c r="Q6" s="102">
        <f t="shared" ref="Q6:Q60" si="4">SUM(B6:M6)</f>
        <v>1101.4000000000001</v>
      </c>
    </row>
    <row r="7" spans="1:33">
      <c r="A7" s="102">
        <v>1962</v>
      </c>
      <c r="B7" s="102">
        <v>24.4</v>
      </c>
      <c r="C7" s="102">
        <v>9.3000000000000007</v>
      </c>
      <c r="D7" s="102">
        <v>42.2</v>
      </c>
      <c r="E7" s="102">
        <v>95.7</v>
      </c>
      <c r="F7" s="102">
        <v>268.2</v>
      </c>
      <c r="G7" s="102">
        <v>76.400000000000006</v>
      </c>
      <c r="H7" s="102">
        <v>111.6</v>
      </c>
      <c r="I7" s="102">
        <v>145.6</v>
      </c>
      <c r="J7" s="102">
        <v>45.2</v>
      </c>
      <c r="K7" s="102">
        <v>84.4</v>
      </c>
      <c r="L7" s="102">
        <v>48.2</v>
      </c>
      <c r="M7" s="102">
        <v>29.3</v>
      </c>
      <c r="N7" s="102">
        <f t="shared" si="1"/>
        <v>171.60000000000002</v>
      </c>
      <c r="O7" s="102">
        <f t="shared" si="2"/>
        <v>647.00000000000011</v>
      </c>
      <c r="P7" s="102">
        <f t="shared" si="3"/>
        <v>161.90000000000003</v>
      </c>
      <c r="Q7" s="102">
        <f t="shared" si="4"/>
        <v>980.50000000000011</v>
      </c>
    </row>
    <row r="8" spans="1:33">
      <c r="A8" s="102">
        <v>1963</v>
      </c>
      <c r="B8" s="102">
        <v>4.5</v>
      </c>
      <c r="C8" s="102">
        <v>30.3</v>
      </c>
      <c r="D8" s="102">
        <v>51.9</v>
      </c>
      <c r="E8" s="102">
        <v>41.6</v>
      </c>
      <c r="F8" s="102">
        <v>227.1</v>
      </c>
      <c r="G8" s="102">
        <v>55.5</v>
      </c>
      <c r="H8" s="102">
        <v>273.7</v>
      </c>
      <c r="I8" s="102">
        <v>68.5</v>
      </c>
      <c r="J8" s="102">
        <v>86.7</v>
      </c>
      <c r="K8" s="102">
        <v>91.6</v>
      </c>
      <c r="L8" s="102">
        <v>234</v>
      </c>
      <c r="M8" s="102">
        <v>42.3</v>
      </c>
      <c r="N8" s="102">
        <f t="shared" si="1"/>
        <v>128.29999999999998</v>
      </c>
      <c r="O8" s="102">
        <f t="shared" si="2"/>
        <v>711.5</v>
      </c>
      <c r="P8" s="102">
        <f t="shared" si="3"/>
        <v>367.90000000000003</v>
      </c>
      <c r="Q8" s="102">
        <f t="shared" si="4"/>
        <v>1207.7</v>
      </c>
    </row>
    <row r="9" spans="1:33">
      <c r="A9" s="102">
        <v>1964</v>
      </c>
      <c r="B9" s="102">
        <v>31.2</v>
      </c>
      <c r="C9" s="102">
        <v>53.8</v>
      </c>
      <c r="D9" s="102">
        <v>52.8</v>
      </c>
      <c r="E9" s="102">
        <v>375.5</v>
      </c>
      <c r="F9" s="102">
        <v>132</v>
      </c>
      <c r="G9" s="102">
        <v>170.8</v>
      </c>
      <c r="H9" s="102">
        <v>139</v>
      </c>
      <c r="I9" s="102">
        <v>201.4</v>
      </c>
      <c r="J9" s="102">
        <v>62.8</v>
      </c>
      <c r="K9" s="102">
        <v>131.6</v>
      </c>
      <c r="L9" s="102">
        <v>36.299999999999997</v>
      </c>
      <c r="M9" s="102">
        <v>36.1</v>
      </c>
      <c r="N9" s="102">
        <f t="shared" si="1"/>
        <v>513.29999999999995</v>
      </c>
      <c r="O9" s="102">
        <f t="shared" si="2"/>
        <v>706</v>
      </c>
      <c r="P9" s="102">
        <f t="shared" si="3"/>
        <v>203.99999999999997</v>
      </c>
      <c r="Q9" s="102">
        <f t="shared" si="4"/>
        <v>1423.2999999999997</v>
      </c>
    </row>
    <row r="10" spans="1:33">
      <c r="A10" s="102">
        <v>1965</v>
      </c>
      <c r="B10" s="102">
        <v>41.4</v>
      </c>
      <c r="C10" s="102">
        <v>49.7</v>
      </c>
      <c r="D10" s="102">
        <v>84.9</v>
      </c>
      <c r="E10" s="102">
        <v>140.6</v>
      </c>
      <c r="F10" s="102">
        <v>182.3</v>
      </c>
      <c r="G10" s="102">
        <v>247.3</v>
      </c>
      <c r="H10" s="102">
        <v>114.4</v>
      </c>
      <c r="I10" s="102">
        <v>188.7</v>
      </c>
      <c r="J10" s="102">
        <v>52.6</v>
      </c>
      <c r="K10" s="102">
        <v>294.89999999999998</v>
      </c>
      <c r="L10" s="102">
        <v>63.7</v>
      </c>
      <c r="M10" s="102">
        <v>59</v>
      </c>
      <c r="N10" s="102">
        <f t="shared" si="1"/>
        <v>316.60000000000002</v>
      </c>
      <c r="O10" s="102">
        <f t="shared" si="2"/>
        <v>785.30000000000007</v>
      </c>
      <c r="P10" s="102">
        <f t="shared" si="3"/>
        <v>417.59999999999997</v>
      </c>
      <c r="Q10" s="102">
        <f t="shared" si="4"/>
        <v>1519.4999999999998</v>
      </c>
    </row>
    <row r="11" spans="1:33">
      <c r="A11" s="102">
        <v>1966</v>
      </c>
      <c r="B11" s="102">
        <v>21</v>
      </c>
      <c r="C11" s="102">
        <v>31.7</v>
      </c>
      <c r="D11" s="102">
        <v>17.7</v>
      </c>
      <c r="E11" s="102">
        <v>191.8</v>
      </c>
      <c r="F11" s="102">
        <v>251.2</v>
      </c>
      <c r="G11" s="102">
        <v>142.69999999999999</v>
      </c>
      <c r="H11" s="102">
        <v>190.8</v>
      </c>
      <c r="I11" s="102">
        <v>36.1</v>
      </c>
      <c r="J11" s="102">
        <v>24.1</v>
      </c>
      <c r="K11" s="102">
        <v>143.9</v>
      </c>
      <c r="L11" s="102">
        <v>19</v>
      </c>
      <c r="M11" s="102">
        <v>35</v>
      </c>
      <c r="N11" s="102">
        <f t="shared" si="1"/>
        <v>262.20000000000005</v>
      </c>
      <c r="O11" s="102">
        <f t="shared" si="2"/>
        <v>644.90000000000009</v>
      </c>
      <c r="P11" s="102">
        <f t="shared" si="3"/>
        <v>197.9</v>
      </c>
      <c r="Q11" s="102">
        <f t="shared" si="4"/>
        <v>1105.0000000000002</v>
      </c>
    </row>
    <row r="12" spans="1:33">
      <c r="A12" s="102">
        <v>1967</v>
      </c>
      <c r="B12" s="102">
        <v>19.600000000000001</v>
      </c>
      <c r="C12" s="102">
        <v>56.2</v>
      </c>
      <c r="D12" s="102">
        <v>56.2</v>
      </c>
      <c r="E12" s="102">
        <v>139.30000000000001</v>
      </c>
      <c r="F12" s="102">
        <v>199.2</v>
      </c>
      <c r="G12" s="102">
        <v>252.3</v>
      </c>
      <c r="H12" s="102">
        <v>94.3</v>
      </c>
      <c r="I12" s="102">
        <v>259.7</v>
      </c>
      <c r="J12" s="102">
        <v>151.9</v>
      </c>
      <c r="K12" s="102">
        <v>67.5</v>
      </c>
      <c r="L12" s="102">
        <v>108.1</v>
      </c>
      <c r="M12" s="102">
        <v>43</v>
      </c>
      <c r="N12" s="102">
        <f t="shared" si="1"/>
        <v>271.3</v>
      </c>
      <c r="O12" s="102">
        <f t="shared" si="2"/>
        <v>957.4</v>
      </c>
      <c r="P12" s="102">
        <f t="shared" si="3"/>
        <v>218.6</v>
      </c>
      <c r="Q12" s="102">
        <f t="shared" si="4"/>
        <v>1447.3</v>
      </c>
    </row>
    <row r="13" spans="1:33">
      <c r="A13" s="102">
        <v>1968</v>
      </c>
      <c r="B13" s="102">
        <v>32.799999999999997</v>
      </c>
      <c r="C13" s="102">
        <v>23.1</v>
      </c>
      <c r="D13" s="102">
        <v>44.7</v>
      </c>
      <c r="E13" s="102">
        <v>155.30000000000001</v>
      </c>
      <c r="F13" s="102">
        <v>157.9</v>
      </c>
      <c r="G13" s="102">
        <v>245.5</v>
      </c>
      <c r="H13" s="102">
        <v>211.8</v>
      </c>
      <c r="I13" s="102">
        <v>124.3</v>
      </c>
      <c r="J13" s="102">
        <v>20</v>
      </c>
      <c r="K13" s="102">
        <v>27.1</v>
      </c>
      <c r="L13" s="102">
        <v>69.3</v>
      </c>
      <c r="M13" s="102">
        <v>47.9</v>
      </c>
      <c r="N13" s="102">
        <f t="shared" si="1"/>
        <v>255.9</v>
      </c>
      <c r="O13" s="102">
        <f t="shared" si="2"/>
        <v>759.5</v>
      </c>
      <c r="P13" s="102">
        <f t="shared" si="3"/>
        <v>144.30000000000001</v>
      </c>
      <c r="Q13" s="102">
        <f t="shared" si="4"/>
        <v>1159.6999999999998</v>
      </c>
    </row>
    <row r="14" spans="1:33">
      <c r="A14" s="102">
        <v>1969</v>
      </c>
      <c r="B14" s="102">
        <v>25.3</v>
      </c>
      <c r="C14" s="102">
        <v>8.6999999999999993</v>
      </c>
      <c r="D14" s="102">
        <v>53</v>
      </c>
      <c r="E14" s="102">
        <v>50.8</v>
      </c>
      <c r="F14" s="102">
        <v>186.1</v>
      </c>
      <c r="G14" s="102">
        <v>349.9</v>
      </c>
      <c r="H14" s="102">
        <v>191</v>
      </c>
      <c r="I14" s="102">
        <v>253.1</v>
      </c>
      <c r="J14" s="102">
        <v>2.2000000000000002</v>
      </c>
      <c r="K14" s="102">
        <v>123.8</v>
      </c>
      <c r="L14" s="102">
        <v>68</v>
      </c>
      <c r="M14" s="102">
        <v>6.1</v>
      </c>
      <c r="N14" s="102">
        <f t="shared" si="1"/>
        <v>137.80000000000001</v>
      </c>
      <c r="O14" s="102">
        <f t="shared" si="2"/>
        <v>982.30000000000007</v>
      </c>
      <c r="P14" s="102">
        <f t="shared" si="3"/>
        <v>197.9</v>
      </c>
      <c r="Q14" s="102">
        <f t="shared" si="4"/>
        <v>1317.9999999999998</v>
      </c>
    </row>
    <row r="15" spans="1:33">
      <c r="A15" s="102">
        <v>1970</v>
      </c>
      <c r="B15" s="102">
        <v>30.9</v>
      </c>
      <c r="C15" s="102">
        <v>51</v>
      </c>
      <c r="D15" s="102">
        <v>112.9</v>
      </c>
      <c r="E15" s="102">
        <v>185.4</v>
      </c>
      <c r="F15" s="102">
        <v>197.1</v>
      </c>
      <c r="G15" s="102">
        <v>162.19999999999999</v>
      </c>
      <c r="H15" s="102">
        <v>475.3</v>
      </c>
      <c r="I15" s="102">
        <v>158.69999999999999</v>
      </c>
      <c r="J15" s="102">
        <v>102.5</v>
      </c>
      <c r="K15" s="102">
        <v>24</v>
      </c>
      <c r="L15" s="102">
        <v>50.5</v>
      </c>
      <c r="M15" s="102">
        <v>74.2</v>
      </c>
      <c r="N15" s="102">
        <f t="shared" si="1"/>
        <v>380.20000000000005</v>
      </c>
      <c r="O15" s="102">
        <f t="shared" si="2"/>
        <v>1095.8</v>
      </c>
      <c r="P15" s="102">
        <f t="shared" si="3"/>
        <v>148.69999999999999</v>
      </c>
      <c r="Q15" s="102">
        <f t="shared" si="4"/>
        <v>1624.7</v>
      </c>
    </row>
    <row r="16" spans="1:33">
      <c r="A16" s="102">
        <v>1971</v>
      </c>
      <c r="B16" s="102">
        <v>30.9</v>
      </c>
      <c r="C16" s="102">
        <v>22.5</v>
      </c>
      <c r="D16" s="102">
        <v>45.1</v>
      </c>
      <c r="E16" s="102">
        <v>146.30000000000001</v>
      </c>
      <c r="F16" s="102">
        <v>214.7</v>
      </c>
      <c r="G16" s="102">
        <v>361.2</v>
      </c>
      <c r="H16" s="102">
        <v>94.8</v>
      </c>
      <c r="I16" s="102">
        <v>298.60000000000002</v>
      </c>
      <c r="J16" s="102">
        <v>58.9</v>
      </c>
      <c r="K16" s="102">
        <v>93.4</v>
      </c>
      <c r="L16" s="102">
        <v>18.399999999999999</v>
      </c>
      <c r="M16" s="102">
        <v>39.1</v>
      </c>
      <c r="N16" s="102">
        <f t="shared" si="1"/>
        <v>244.8</v>
      </c>
      <c r="O16" s="102">
        <f t="shared" si="2"/>
        <v>1028.2</v>
      </c>
      <c r="P16" s="102">
        <f t="shared" si="3"/>
        <v>150.9</v>
      </c>
      <c r="Q16" s="102">
        <f t="shared" si="4"/>
        <v>1423.9</v>
      </c>
    </row>
    <row r="17" spans="1:17">
      <c r="A17" s="102">
        <v>1972</v>
      </c>
      <c r="B17" s="102">
        <v>16</v>
      </c>
      <c r="C17" s="102">
        <v>47</v>
      </c>
      <c r="D17" s="102">
        <v>81.3</v>
      </c>
      <c r="E17" s="102">
        <v>145</v>
      </c>
      <c r="F17" s="102">
        <v>262.2</v>
      </c>
      <c r="G17" s="102">
        <v>147.19999999999999</v>
      </c>
      <c r="H17" s="102">
        <v>19.399999999999999</v>
      </c>
      <c r="I17" s="102">
        <v>74.8</v>
      </c>
      <c r="J17" s="102">
        <v>226.1</v>
      </c>
      <c r="K17" s="102">
        <v>175.1</v>
      </c>
      <c r="L17" s="102">
        <v>107.8</v>
      </c>
      <c r="M17" s="102">
        <v>51.4</v>
      </c>
      <c r="N17" s="102">
        <f t="shared" si="1"/>
        <v>289.3</v>
      </c>
      <c r="O17" s="102">
        <f t="shared" si="2"/>
        <v>729.69999999999993</v>
      </c>
      <c r="P17" s="102">
        <f t="shared" si="3"/>
        <v>334.29999999999995</v>
      </c>
      <c r="Q17" s="102">
        <f t="shared" si="4"/>
        <v>1353.3</v>
      </c>
    </row>
    <row r="18" spans="1:17">
      <c r="A18" s="102">
        <v>1973</v>
      </c>
      <c r="B18" s="102">
        <v>33.5</v>
      </c>
      <c r="C18" s="102">
        <v>36.4</v>
      </c>
      <c r="D18" s="102">
        <v>65.900000000000006</v>
      </c>
      <c r="E18" s="102">
        <v>193.1</v>
      </c>
      <c r="F18" s="102">
        <v>243.5</v>
      </c>
      <c r="G18" s="102">
        <v>307.5</v>
      </c>
      <c r="H18" s="102">
        <v>225</v>
      </c>
      <c r="I18" s="102">
        <v>152.30000000000001</v>
      </c>
      <c r="J18" s="102">
        <v>196.8</v>
      </c>
      <c r="K18" s="102">
        <v>59.4</v>
      </c>
      <c r="L18" s="102">
        <v>42.4</v>
      </c>
      <c r="M18" s="102">
        <v>3.5</v>
      </c>
      <c r="N18" s="102">
        <f t="shared" si="1"/>
        <v>328.9</v>
      </c>
      <c r="O18" s="102">
        <f t="shared" si="2"/>
        <v>1125.0999999999999</v>
      </c>
      <c r="P18" s="102">
        <f t="shared" si="3"/>
        <v>105.3</v>
      </c>
      <c r="Q18" s="102">
        <f t="shared" si="4"/>
        <v>1559.3000000000002</v>
      </c>
    </row>
    <row r="19" spans="1:17">
      <c r="A19" s="102">
        <v>1974</v>
      </c>
      <c r="B19" s="102">
        <v>56.1</v>
      </c>
      <c r="C19" s="102">
        <v>10.7</v>
      </c>
      <c r="D19" s="102">
        <v>64.5</v>
      </c>
      <c r="E19" s="102">
        <v>213.9</v>
      </c>
      <c r="F19" s="102">
        <v>163.4</v>
      </c>
      <c r="G19" s="102">
        <v>348.5</v>
      </c>
      <c r="H19" s="102">
        <v>190.8</v>
      </c>
      <c r="I19" s="102">
        <v>76.900000000000006</v>
      </c>
      <c r="J19" s="102">
        <v>49</v>
      </c>
      <c r="K19" s="102">
        <v>68.400000000000006</v>
      </c>
      <c r="L19" s="102">
        <v>19.399999999999999</v>
      </c>
      <c r="M19" s="102">
        <v>31.5</v>
      </c>
      <c r="N19" s="102">
        <f t="shared" si="1"/>
        <v>345.20000000000005</v>
      </c>
      <c r="O19" s="102">
        <f t="shared" si="2"/>
        <v>828.6</v>
      </c>
      <c r="P19" s="102">
        <f t="shared" si="3"/>
        <v>119.30000000000001</v>
      </c>
      <c r="Q19" s="102">
        <f t="shared" si="4"/>
        <v>1293.1000000000004</v>
      </c>
    </row>
    <row r="20" spans="1:17">
      <c r="A20" s="102">
        <v>1975</v>
      </c>
      <c r="B20" s="102">
        <v>38.5</v>
      </c>
      <c r="C20" s="102">
        <v>43.2</v>
      </c>
      <c r="D20" s="102">
        <v>61.4</v>
      </c>
      <c r="E20" s="102">
        <v>302.2</v>
      </c>
      <c r="F20" s="102">
        <v>313.10000000000002</v>
      </c>
      <c r="G20" s="102">
        <v>86.6</v>
      </c>
      <c r="H20" s="102">
        <v>96.1</v>
      </c>
      <c r="I20" s="102">
        <v>183.9</v>
      </c>
      <c r="J20" s="102">
        <v>55.7</v>
      </c>
      <c r="K20" s="102">
        <v>39.200000000000003</v>
      </c>
      <c r="L20" s="102">
        <v>99.6</v>
      </c>
      <c r="M20" s="102">
        <v>5.7</v>
      </c>
      <c r="N20" s="102">
        <f t="shared" si="1"/>
        <v>445.29999999999995</v>
      </c>
      <c r="O20" s="102">
        <f t="shared" si="2"/>
        <v>735.40000000000009</v>
      </c>
      <c r="P20" s="102">
        <f t="shared" si="3"/>
        <v>144.5</v>
      </c>
      <c r="Q20" s="102">
        <f t="shared" si="4"/>
        <v>1325.2</v>
      </c>
    </row>
    <row r="21" spans="1:17">
      <c r="A21" s="102">
        <v>1976</v>
      </c>
      <c r="B21" s="102">
        <v>47.4</v>
      </c>
      <c r="C21" s="102">
        <v>30.9</v>
      </c>
      <c r="D21" s="102">
        <v>61.6</v>
      </c>
      <c r="E21" s="102">
        <v>170.6</v>
      </c>
      <c r="F21" s="102">
        <v>224.1</v>
      </c>
      <c r="G21" s="102">
        <v>228.2</v>
      </c>
      <c r="H21" s="102">
        <v>81.3</v>
      </c>
      <c r="I21" s="102">
        <v>101.9</v>
      </c>
      <c r="J21" s="102">
        <v>46.8</v>
      </c>
      <c r="K21" s="102">
        <v>145.1</v>
      </c>
      <c r="L21" s="102">
        <v>91.1</v>
      </c>
      <c r="M21" s="102">
        <v>22.4</v>
      </c>
      <c r="N21" s="102">
        <f t="shared" si="1"/>
        <v>310.5</v>
      </c>
      <c r="O21" s="102">
        <f t="shared" si="2"/>
        <v>682.29999999999984</v>
      </c>
      <c r="P21" s="102">
        <f t="shared" si="3"/>
        <v>258.59999999999997</v>
      </c>
      <c r="Q21" s="102">
        <f t="shared" si="4"/>
        <v>1251.3999999999999</v>
      </c>
    </row>
    <row r="22" spans="1:17">
      <c r="A22" s="102">
        <v>1977</v>
      </c>
      <c r="B22" s="102">
        <v>23.5</v>
      </c>
      <c r="C22" s="102">
        <v>27.9</v>
      </c>
      <c r="D22" s="102">
        <v>65</v>
      </c>
      <c r="E22" s="102">
        <v>153.5</v>
      </c>
      <c r="F22" s="102">
        <v>249.4</v>
      </c>
      <c r="G22" s="102">
        <v>291</v>
      </c>
      <c r="H22" s="102">
        <v>112.4</v>
      </c>
      <c r="I22" s="102">
        <v>157.1</v>
      </c>
      <c r="J22" s="102">
        <v>76</v>
      </c>
      <c r="K22" s="102">
        <v>212.7</v>
      </c>
      <c r="L22" s="102">
        <v>47.4</v>
      </c>
      <c r="M22" s="102">
        <v>13.2</v>
      </c>
      <c r="N22" s="102">
        <f t="shared" si="1"/>
        <v>269.89999999999998</v>
      </c>
      <c r="O22" s="102">
        <f t="shared" si="2"/>
        <v>885.9</v>
      </c>
      <c r="P22" s="102">
        <f t="shared" si="3"/>
        <v>273.29999999999995</v>
      </c>
      <c r="Q22" s="102">
        <f t="shared" si="4"/>
        <v>1429.1000000000001</v>
      </c>
    </row>
    <row r="23" spans="1:17">
      <c r="A23" s="102">
        <v>1978</v>
      </c>
      <c r="B23" s="102">
        <v>47.1</v>
      </c>
      <c r="C23" s="102">
        <v>7.4</v>
      </c>
      <c r="D23" s="102">
        <v>38.299999999999997</v>
      </c>
      <c r="E23" s="102">
        <v>55.4</v>
      </c>
      <c r="F23" s="102">
        <v>318.2</v>
      </c>
      <c r="G23" s="102">
        <v>93.8</v>
      </c>
      <c r="H23" s="102">
        <v>17.899999999999999</v>
      </c>
      <c r="I23" s="102">
        <v>130.6</v>
      </c>
      <c r="J23" s="102">
        <v>172.4</v>
      </c>
      <c r="K23" s="102">
        <v>145.6</v>
      </c>
      <c r="L23" s="102">
        <v>103.8</v>
      </c>
      <c r="M23" s="102">
        <v>14.9</v>
      </c>
      <c r="N23" s="102">
        <f t="shared" si="1"/>
        <v>148.19999999999999</v>
      </c>
      <c r="O23" s="102">
        <f t="shared" si="2"/>
        <v>732.9</v>
      </c>
      <c r="P23" s="102">
        <f t="shared" si="3"/>
        <v>264.29999999999995</v>
      </c>
      <c r="Q23" s="102">
        <f t="shared" si="4"/>
        <v>1145.3999999999999</v>
      </c>
    </row>
    <row r="24" spans="1:17">
      <c r="A24" s="102">
        <v>1979</v>
      </c>
      <c r="B24" s="102">
        <v>30.4</v>
      </c>
      <c r="C24" s="102">
        <v>34</v>
      </c>
      <c r="D24" s="102">
        <v>23.3</v>
      </c>
      <c r="E24" s="102">
        <v>100.5</v>
      </c>
      <c r="F24" s="102">
        <v>230.4</v>
      </c>
      <c r="G24" s="102">
        <v>319.5</v>
      </c>
      <c r="H24" s="102">
        <v>361.6</v>
      </c>
      <c r="I24" s="102">
        <v>170</v>
      </c>
      <c r="J24" s="102">
        <v>52.1</v>
      </c>
      <c r="K24" s="102">
        <v>34.799999999999997</v>
      </c>
      <c r="L24" s="102">
        <v>7.9</v>
      </c>
      <c r="M24" s="102">
        <v>14</v>
      </c>
      <c r="N24" s="102">
        <f t="shared" si="1"/>
        <v>188.2</v>
      </c>
      <c r="O24" s="102">
        <f t="shared" si="2"/>
        <v>1133.5999999999999</v>
      </c>
      <c r="P24" s="102">
        <f t="shared" si="3"/>
        <v>56.699999999999996</v>
      </c>
      <c r="Q24" s="102">
        <f t="shared" si="4"/>
        <v>1378.5</v>
      </c>
    </row>
    <row r="25" spans="1:17">
      <c r="A25" s="102">
        <v>1980</v>
      </c>
      <c r="B25" s="102">
        <v>36.700000000000003</v>
      </c>
      <c r="C25" s="102">
        <v>48.3</v>
      </c>
      <c r="D25" s="102">
        <v>52.7</v>
      </c>
      <c r="E25" s="102">
        <v>100.9</v>
      </c>
      <c r="F25" s="102">
        <v>283.8</v>
      </c>
      <c r="G25" s="102">
        <v>138.6</v>
      </c>
      <c r="H25" s="102">
        <v>211.5</v>
      </c>
      <c r="I25" s="102">
        <v>130.69999999999999</v>
      </c>
      <c r="J25" s="102">
        <v>64.400000000000006</v>
      </c>
      <c r="K25" s="102">
        <v>128.5</v>
      </c>
      <c r="L25" s="102">
        <v>57.6</v>
      </c>
      <c r="M25" s="102">
        <v>44.4</v>
      </c>
      <c r="N25" s="102">
        <f t="shared" si="1"/>
        <v>238.6</v>
      </c>
      <c r="O25" s="102">
        <f t="shared" si="2"/>
        <v>828.99999999999989</v>
      </c>
      <c r="P25" s="102">
        <f t="shared" si="3"/>
        <v>230.5</v>
      </c>
      <c r="Q25" s="102">
        <f t="shared" si="4"/>
        <v>1298.1000000000001</v>
      </c>
    </row>
    <row r="26" spans="1:17">
      <c r="A26" s="102">
        <v>1981</v>
      </c>
      <c r="B26" s="102">
        <v>29.3</v>
      </c>
      <c r="C26" s="102">
        <v>26.1</v>
      </c>
      <c r="D26" s="102">
        <v>51.9</v>
      </c>
      <c r="E26" s="102">
        <v>227.6</v>
      </c>
      <c r="F26" s="102">
        <v>234.9</v>
      </c>
      <c r="G26" s="102">
        <v>106.4</v>
      </c>
      <c r="H26" s="102">
        <v>113.5</v>
      </c>
      <c r="I26" s="102">
        <v>43.4</v>
      </c>
      <c r="J26" s="102">
        <v>76.900000000000006</v>
      </c>
      <c r="K26" s="102">
        <v>76.900000000000006</v>
      </c>
      <c r="L26" s="102">
        <v>147</v>
      </c>
      <c r="M26" s="102">
        <v>0.2</v>
      </c>
      <c r="N26" s="102">
        <f t="shared" si="1"/>
        <v>334.9</v>
      </c>
      <c r="O26" s="102">
        <f t="shared" si="2"/>
        <v>575.1</v>
      </c>
      <c r="P26" s="102">
        <f t="shared" si="3"/>
        <v>224.1</v>
      </c>
      <c r="Q26" s="102">
        <f t="shared" si="4"/>
        <v>1134.0999999999999</v>
      </c>
    </row>
    <row r="27" spans="1:17">
      <c r="A27" s="102">
        <v>1982</v>
      </c>
      <c r="B27" s="102">
        <v>32.299999999999997</v>
      </c>
      <c r="C27" s="102">
        <v>98.8</v>
      </c>
      <c r="D27" s="102">
        <v>32.799999999999997</v>
      </c>
      <c r="E27" s="102">
        <v>150.9</v>
      </c>
      <c r="F27" s="102">
        <v>159.80000000000001</v>
      </c>
      <c r="G27" s="102">
        <v>256.7</v>
      </c>
      <c r="H27" s="102">
        <v>152.6</v>
      </c>
      <c r="I27" s="102">
        <v>77</v>
      </c>
      <c r="J27" s="102">
        <v>242.1</v>
      </c>
      <c r="K27" s="102">
        <v>156.5</v>
      </c>
      <c r="L27" s="102">
        <v>102.9</v>
      </c>
      <c r="M27" s="102">
        <v>30.6</v>
      </c>
      <c r="N27" s="102">
        <f t="shared" si="1"/>
        <v>314.79999999999995</v>
      </c>
      <c r="O27" s="102">
        <f t="shared" si="2"/>
        <v>888.2</v>
      </c>
      <c r="P27" s="102">
        <f t="shared" si="3"/>
        <v>290</v>
      </c>
      <c r="Q27" s="102">
        <f t="shared" si="4"/>
        <v>1493</v>
      </c>
    </row>
    <row r="28" spans="1:17">
      <c r="A28" s="102">
        <v>1983</v>
      </c>
      <c r="B28" s="102">
        <v>84.4</v>
      </c>
      <c r="C28" s="102">
        <v>58</v>
      </c>
      <c r="D28" s="102">
        <v>43.9</v>
      </c>
      <c r="E28" s="102">
        <v>128</v>
      </c>
      <c r="F28" s="102">
        <v>176</v>
      </c>
      <c r="G28" s="102">
        <v>295.10000000000002</v>
      </c>
      <c r="H28" s="102">
        <v>110.6</v>
      </c>
      <c r="I28" s="102">
        <v>63.9</v>
      </c>
      <c r="J28" s="102">
        <v>82.3</v>
      </c>
      <c r="K28" s="102">
        <v>80.900000000000006</v>
      </c>
      <c r="L28" s="102">
        <v>61.7</v>
      </c>
      <c r="M28" s="102">
        <v>38.9</v>
      </c>
      <c r="N28" s="102">
        <f t="shared" si="1"/>
        <v>314.3</v>
      </c>
      <c r="O28" s="102">
        <f t="shared" si="2"/>
        <v>727.9</v>
      </c>
      <c r="P28" s="102">
        <f t="shared" si="3"/>
        <v>181.50000000000003</v>
      </c>
      <c r="Q28" s="102">
        <f t="shared" si="4"/>
        <v>1223.7000000000003</v>
      </c>
    </row>
    <row r="29" spans="1:17">
      <c r="A29" s="102">
        <v>1984</v>
      </c>
      <c r="B29" s="102">
        <v>26.8</v>
      </c>
      <c r="C29" s="102">
        <v>32.4</v>
      </c>
      <c r="D29" s="102">
        <v>41.3</v>
      </c>
      <c r="E29" s="102">
        <v>100</v>
      </c>
      <c r="F29" s="102">
        <v>266.89999999999998</v>
      </c>
      <c r="G29" s="102">
        <v>166.6</v>
      </c>
      <c r="H29" s="102">
        <v>37.700000000000003</v>
      </c>
      <c r="I29" s="102">
        <v>224.3</v>
      </c>
      <c r="J29" s="102">
        <v>94.8</v>
      </c>
      <c r="K29" s="102">
        <v>119</v>
      </c>
      <c r="L29" s="102">
        <v>21.7</v>
      </c>
      <c r="M29" s="102">
        <v>49.8</v>
      </c>
      <c r="N29" s="102">
        <f t="shared" si="1"/>
        <v>200.5</v>
      </c>
      <c r="O29" s="102">
        <f t="shared" si="2"/>
        <v>790.3</v>
      </c>
      <c r="P29" s="102">
        <f t="shared" si="3"/>
        <v>190.5</v>
      </c>
      <c r="Q29" s="102">
        <f t="shared" si="4"/>
        <v>1181.3</v>
      </c>
    </row>
    <row r="30" spans="1:17">
      <c r="A30" s="102">
        <v>1985</v>
      </c>
      <c r="B30" s="102">
        <v>15</v>
      </c>
      <c r="C30" s="102">
        <v>69.599999999999994</v>
      </c>
      <c r="D30" s="102">
        <v>53.6</v>
      </c>
      <c r="E30" s="102">
        <v>88</v>
      </c>
      <c r="F30" s="102">
        <v>245.7</v>
      </c>
      <c r="G30" s="102">
        <v>235.6</v>
      </c>
      <c r="H30" s="102">
        <v>125.3</v>
      </c>
      <c r="I30" s="102">
        <v>109.1</v>
      </c>
      <c r="J30" s="102">
        <v>53.5</v>
      </c>
      <c r="K30" s="102">
        <v>44.5</v>
      </c>
      <c r="L30" s="102">
        <v>65.900000000000006</v>
      </c>
      <c r="M30" s="102">
        <v>29.1</v>
      </c>
      <c r="N30" s="102">
        <f t="shared" si="1"/>
        <v>226.2</v>
      </c>
      <c r="O30" s="102">
        <f t="shared" si="2"/>
        <v>769.19999999999993</v>
      </c>
      <c r="P30" s="102">
        <f t="shared" si="3"/>
        <v>139.5</v>
      </c>
      <c r="Q30" s="102">
        <f t="shared" si="4"/>
        <v>1134.9000000000001</v>
      </c>
    </row>
    <row r="31" spans="1:17">
      <c r="A31" s="102">
        <v>1986</v>
      </c>
      <c r="B31" s="102">
        <v>26.6</v>
      </c>
      <c r="C31" s="102">
        <v>23</v>
      </c>
      <c r="D31" s="102">
        <v>56.5</v>
      </c>
      <c r="E31" s="102">
        <v>78.5</v>
      </c>
      <c r="F31" s="102">
        <v>95.4</v>
      </c>
      <c r="G31" s="102">
        <v>192.1</v>
      </c>
      <c r="H31" s="102">
        <v>191.1</v>
      </c>
      <c r="I31" s="102">
        <v>75.3</v>
      </c>
      <c r="J31" s="102">
        <v>31.4</v>
      </c>
      <c r="K31" s="102">
        <v>93.3</v>
      </c>
      <c r="L31" s="102">
        <v>24.4</v>
      </c>
      <c r="M31" s="102">
        <v>9.4</v>
      </c>
      <c r="N31" s="102">
        <f t="shared" si="1"/>
        <v>184.6</v>
      </c>
      <c r="O31" s="102">
        <f t="shared" si="2"/>
        <v>585.29999999999995</v>
      </c>
      <c r="P31" s="102">
        <f t="shared" si="3"/>
        <v>127.1</v>
      </c>
      <c r="Q31" s="102">
        <f t="shared" si="4"/>
        <v>896.99999999999989</v>
      </c>
    </row>
    <row r="32" spans="1:17">
      <c r="A32" s="102">
        <v>1987</v>
      </c>
      <c r="B32" s="102">
        <v>41.6</v>
      </c>
      <c r="C32" s="102">
        <v>30.7</v>
      </c>
      <c r="D32" s="102">
        <v>55.4</v>
      </c>
      <c r="E32" s="102">
        <v>64.7</v>
      </c>
      <c r="F32" s="102">
        <v>150</v>
      </c>
      <c r="G32" s="102">
        <v>184.2</v>
      </c>
      <c r="H32" s="102">
        <v>123.6</v>
      </c>
      <c r="I32" s="102">
        <v>71.599999999999994</v>
      </c>
      <c r="J32" s="102">
        <v>66.099999999999994</v>
      </c>
      <c r="K32" s="102">
        <v>139.69999999999999</v>
      </c>
      <c r="L32" s="102">
        <v>87.4</v>
      </c>
      <c r="M32" s="102">
        <v>6.3</v>
      </c>
      <c r="N32" s="102">
        <f t="shared" si="1"/>
        <v>192.39999999999998</v>
      </c>
      <c r="O32" s="102">
        <f t="shared" si="2"/>
        <v>595.5</v>
      </c>
      <c r="P32" s="102">
        <f t="shared" si="3"/>
        <v>233.4</v>
      </c>
      <c r="Q32" s="102">
        <f t="shared" si="4"/>
        <v>1021.2999999999998</v>
      </c>
    </row>
    <row r="33" spans="1:17">
      <c r="A33" s="102">
        <v>1988</v>
      </c>
      <c r="B33" s="102">
        <v>22.5</v>
      </c>
      <c r="C33" s="102">
        <v>51</v>
      </c>
      <c r="D33" s="102">
        <v>26.3</v>
      </c>
      <c r="E33" s="102">
        <v>98.4</v>
      </c>
      <c r="F33" s="102">
        <v>153.1</v>
      </c>
      <c r="G33" s="102">
        <v>208.2</v>
      </c>
      <c r="H33" s="102">
        <v>71.900000000000006</v>
      </c>
      <c r="I33" s="102">
        <v>268.39999999999998</v>
      </c>
      <c r="J33" s="102">
        <v>194.8</v>
      </c>
      <c r="K33" s="102">
        <v>72.8</v>
      </c>
      <c r="L33" s="102">
        <v>8.1</v>
      </c>
      <c r="M33" s="102">
        <v>8.1999999999999993</v>
      </c>
      <c r="N33" s="102">
        <f t="shared" si="1"/>
        <v>198.2</v>
      </c>
      <c r="O33" s="102">
        <f t="shared" si="2"/>
        <v>896.39999999999986</v>
      </c>
      <c r="P33" s="102">
        <f t="shared" si="3"/>
        <v>89.1</v>
      </c>
      <c r="Q33" s="102">
        <f t="shared" si="4"/>
        <v>1183.6999999999998</v>
      </c>
    </row>
    <row r="34" spans="1:17">
      <c r="A34" s="102">
        <v>1989</v>
      </c>
      <c r="B34" s="102">
        <v>30.1</v>
      </c>
      <c r="C34" s="102">
        <v>42.6</v>
      </c>
      <c r="D34" s="102">
        <v>46.7</v>
      </c>
      <c r="E34" s="102">
        <v>89.9</v>
      </c>
      <c r="F34" s="102">
        <v>74.8</v>
      </c>
      <c r="G34" s="102">
        <v>207.9</v>
      </c>
      <c r="H34" s="102">
        <v>64.400000000000006</v>
      </c>
      <c r="I34" s="102">
        <v>82.3</v>
      </c>
      <c r="J34" s="102">
        <v>135.1</v>
      </c>
      <c r="K34" s="102">
        <v>69.5</v>
      </c>
      <c r="L34" s="102">
        <v>27.8</v>
      </c>
      <c r="M34" s="102">
        <v>34.5</v>
      </c>
      <c r="N34" s="102">
        <f t="shared" si="1"/>
        <v>209.3</v>
      </c>
      <c r="O34" s="102">
        <f t="shared" si="2"/>
        <v>564.5</v>
      </c>
      <c r="P34" s="102">
        <f t="shared" si="3"/>
        <v>131.80000000000001</v>
      </c>
      <c r="Q34" s="102">
        <f t="shared" si="4"/>
        <v>905.59999999999991</v>
      </c>
    </row>
    <row r="35" spans="1:17">
      <c r="A35" s="102">
        <v>1990</v>
      </c>
      <c r="B35" s="102">
        <v>73.2</v>
      </c>
      <c r="C35" s="102">
        <v>62.6</v>
      </c>
      <c r="D35" s="102">
        <v>107</v>
      </c>
      <c r="E35" s="102">
        <v>84.7</v>
      </c>
      <c r="F35" s="102">
        <v>201.8</v>
      </c>
      <c r="G35" s="102">
        <v>245.1</v>
      </c>
      <c r="H35" s="102">
        <v>87.8</v>
      </c>
      <c r="I35" s="102">
        <v>40.6</v>
      </c>
      <c r="J35" s="102">
        <v>211</v>
      </c>
      <c r="K35" s="102">
        <v>73.2</v>
      </c>
      <c r="L35" s="102">
        <v>53.4</v>
      </c>
      <c r="M35" s="102">
        <v>37.1</v>
      </c>
      <c r="N35" s="102">
        <f t="shared" si="1"/>
        <v>327.5</v>
      </c>
      <c r="O35" s="102">
        <f t="shared" si="2"/>
        <v>786.3</v>
      </c>
      <c r="P35" s="102">
        <f t="shared" si="3"/>
        <v>163.69999999999999</v>
      </c>
      <c r="Q35" s="102">
        <f t="shared" si="4"/>
        <v>1277.5</v>
      </c>
    </row>
    <row r="36" spans="1:17">
      <c r="A36" s="102">
        <v>1991</v>
      </c>
      <c r="B36" s="102">
        <v>78.3</v>
      </c>
      <c r="C36" s="102">
        <v>46</v>
      </c>
      <c r="D36" s="102">
        <v>118.7</v>
      </c>
      <c r="E36" s="102">
        <v>74.3</v>
      </c>
      <c r="F36" s="102">
        <v>219.6</v>
      </c>
      <c r="G36" s="102">
        <v>217.2</v>
      </c>
      <c r="H36" s="102">
        <v>215.1</v>
      </c>
      <c r="I36" s="102">
        <v>182.8</v>
      </c>
      <c r="J36" s="102">
        <v>20</v>
      </c>
      <c r="K36" s="102">
        <v>104.5</v>
      </c>
      <c r="L36" s="102">
        <v>75.099999999999994</v>
      </c>
      <c r="M36" s="102">
        <v>39.1</v>
      </c>
      <c r="N36" s="102">
        <f t="shared" si="1"/>
        <v>317.3</v>
      </c>
      <c r="O36" s="102">
        <f t="shared" si="2"/>
        <v>854.7</v>
      </c>
      <c r="P36" s="102">
        <f t="shared" si="3"/>
        <v>218.7</v>
      </c>
      <c r="Q36" s="102">
        <f t="shared" si="4"/>
        <v>1390.6999999999998</v>
      </c>
    </row>
    <row r="37" spans="1:17">
      <c r="A37" s="102">
        <v>1992</v>
      </c>
      <c r="B37" s="102">
        <v>56.4</v>
      </c>
      <c r="C37" s="102">
        <v>65.099999999999994</v>
      </c>
      <c r="D37" s="102">
        <v>71.7</v>
      </c>
      <c r="E37" s="102">
        <v>139.19999999999999</v>
      </c>
      <c r="F37" s="102">
        <v>200.3</v>
      </c>
      <c r="G37" s="102">
        <v>307.3</v>
      </c>
      <c r="H37" s="102">
        <v>120.8</v>
      </c>
      <c r="I37" s="102">
        <v>20.6</v>
      </c>
      <c r="J37" s="102">
        <v>53.6</v>
      </c>
      <c r="K37" s="102">
        <v>47.6</v>
      </c>
      <c r="L37" s="102">
        <v>23.7</v>
      </c>
      <c r="M37" s="102">
        <v>32.200000000000003</v>
      </c>
      <c r="N37" s="102">
        <f t="shared" si="1"/>
        <v>332.4</v>
      </c>
      <c r="O37" s="102">
        <f t="shared" si="2"/>
        <v>702.6</v>
      </c>
      <c r="P37" s="102">
        <f t="shared" si="3"/>
        <v>103.5</v>
      </c>
      <c r="Q37" s="102">
        <f t="shared" si="4"/>
        <v>1138.5</v>
      </c>
    </row>
    <row r="38" spans="1:17">
      <c r="A38" s="102">
        <v>1993</v>
      </c>
      <c r="B38" s="102">
        <v>52.9</v>
      </c>
      <c r="C38" s="102">
        <v>51.9</v>
      </c>
      <c r="D38" s="102">
        <v>50.3</v>
      </c>
      <c r="E38" s="102">
        <v>82.3</v>
      </c>
      <c r="F38" s="102">
        <v>408.1</v>
      </c>
      <c r="G38" s="102">
        <v>138.4</v>
      </c>
      <c r="H38" s="102">
        <v>340</v>
      </c>
      <c r="I38" s="102">
        <v>154.4</v>
      </c>
      <c r="J38" s="102">
        <v>96.9</v>
      </c>
      <c r="K38" s="102">
        <v>64.2</v>
      </c>
      <c r="L38" s="102">
        <v>38.799999999999997</v>
      </c>
      <c r="M38" s="102">
        <v>26</v>
      </c>
      <c r="N38" s="102">
        <f t="shared" si="1"/>
        <v>237.39999999999998</v>
      </c>
      <c r="O38" s="102">
        <f t="shared" si="2"/>
        <v>1137.8000000000002</v>
      </c>
      <c r="P38" s="102">
        <f t="shared" si="3"/>
        <v>129</v>
      </c>
      <c r="Q38" s="102">
        <f t="shared" si="4"/>
        <v>1504.2000000000003</v>
      </c>
    </row>
    <row r="39" spans="1:17">
      <c r="A39" s="102">
        <v>1994</v>
      </c>
      <c r="B39" s="102">
        <v>26.7</v>
      </c>
      <c r="C39" s="102">
        <v>34.200000000000003</v>
      </c>
      <c r="D39" s="102">
        <v>91.6</v>
      </c>
      <c r="E39" s="102">
        <v>93</v>
      </c>
      <c r="F39" s="102">
        <v>258.2</v>
      </c>
      <c r="G39" s="102">
        <v>104.6</v>
      </c>
      <c r="H39" s="102">
        <v>154.19999999999999</v>
      </c>
      <c r="I39" s="102">
        <v>189.4</v>
      </c>
      <c r="J39" s="102">
        <v>85.1</v>
      </c>
      <c r="K39" s="102">
        <v>207.5</v>
      </c>
      <c r="L39" s="102">
        <v>80.8</v>
      </c>
      <c r="M39" s="102">
        <v>37.700000000000003</v>
      </c>
      <c r="N39" s="102">
        <f t="shared" si="1"/>
        <v>245.5</v>
      </c>
      <c r="O39" s="102">
        <f t="shared" si="2"/>
        <v>791.5</v>
      </c>
      <c r="P39" s="102">
        <f t="shared" si="3"/>
        <v>326</v>
      </c>
      <c r="Q39" s="102">
        <f t="shared" si="4"/>
        <v>1363</v>
      </c>
    </row>
    <row r="40" spans="1:17">
      <c r="A40" s="102">
        <v>1995</v>
      </c>
      <c r="B40" s="102">
        <v>49.4</v>
      </c>
      <c r="C40" s="102">
        <v>77.8</v>
      </c>
      <c r="D40" s="102">
        <v>26.6</v>
      </c>
      <c r="E40" s="102">
        <v>84.2</v>
      </c>
      <c r="F40" s="102">
        <v>218.4</v>
      </c>
      <c r="G40" s="102">
        <v>288.3</v>
      </c>
      <c r="H40" s="102">
        <v>79.599999999999994</v>
      </c>
      <c r="I40" s="102">
        <v>47.5</v>
      </c>
      <c r="J40" s="102">
        <v>89.1</v>
      </c>
      <c r="K40" s="102">
        <v>35.299999999999997</v>
      </c>
      <c r="L40" s="102">
        <v>52.8</v>
      </c>
      <c r="M40" s="102">
        <v>8.3000000000000007</v>
      </c>
      <c r="N40" s="102">
        <f t="shared" si="1"/>
        <v>238</v>
      </c>
      <c r="O40" s="102">
        <f t="shared" si="2"/>
        <v>722.90000000000009</v>
      </c>
      <c r="P40" s="102">
        <f t="shared" si="3"/>
        <v>96.399999999999991</v>
      </c>
      <c r="Q40" s="102">
        <f t="shared" si="4"/>
        <v>1057.3</v>
      </c>
    </row>
    <row r="41" spans="1:17">
      <c r="A41" s="102">
        <v>1996</v>
      </c>
      <c r="B41" s="102">
        <v>41.4</v>
      </c>
      <c r="C41" s="102">
        <v>12</v>
      </c>
      <c r="D41" s="102">
        <v>122.9</v>
      </c>
      <c r="E41" s="102">
        <v>94.8</v>
      </c>
      <c r="F41" s="102">
        <v>192.8</v>
      </c>
      <c r="G41" s="102">
        <v>350.3</v>
      </c>
      <c r="H41" s="102">
        <v>345.1</v>
      </c>
      <c r="I41" s="102">
        <v>117.6</v>
      </c>
      <c r="J41" s="102">
        <v>11.8</v>
      </c>
      <c r="K41" s="102">
        <v>54.4</v>
      </c>
      <c r="L41" s="102">
        <v>63.8</v>
      </c>
      <c r="M41" s="102">
        <v>22.9</v>
      </c>
      <c r="N41" s="102">
        <f t="shared" si="1"/>
        <v>271.10000000000002</v>
      </c>
      <c r="O41" s="102">
        <f t="shared" si="2"/>
        <v>1017.6</v>
      </c>
      <c r="P41" s="102">
        <f t="shared" si="3"/>
        <v>141.1</v>
      </c>
      <c r="Q41" s="102">
        <f t="shared" si="4"/>
        <v>1429.8000000000002</v>
      </c>
    </row>
    <row r="42" spans="1:17">
      <c r="A42" s="102">
        <v>1997</v>
      </c>
      <c r="B42" s="102">
        <v>61.8</v>
      </c>
      <c r="C42" s="102">
        <v>76.7</v>
      </c>
      <c r="D42" s="102">
        <v>47.9</v>
      </c>
      <c r="E42" s="102">
        <v>154.1</v>
      </c>
      <c r="F42" s="102">
        <v>105.1</v>
      </c>
      <c r="G42" s="102">
        <v>189.2</v>
      </c>
      <c r="H42" s="102">
        <v>127.1</v>
      </c>
      <c r="I42" s="102">
        <v>48</v>
      </c>
      <c r="J42" s="102">
        <v>162</v>
      </c>
      <c r="K42" s="102">
        <v>245.9</v>
      </c>
      <c r="L42" s="102">
        <v>55.8</v>
      </c>
      <c r="M42" s="102">
        <v>43.4</v>
      </c>
      <c r="N42" s="102">
        <f t="shared" si="1"/>
        <v>340.5</v>
      </c>
      <c r="O42" s="102">
        <f t="shared" si="2"/>
        <v>631.4</v>
      </c>
      <c r="P42" s="102">
        <f t="shared" si="3"/>
        <v>345.09999999999997</v>
      </c>
      <c r="Q42" s="102">
        <f t="shared" si="4"/>
        <v>1317</v>
      </c>
    </row>
    <row r="43" spans="1:17">
      <c r="A43" s="102">
        <v>1998</v>
      </c>
      <c r="B43" s="102">
        <v>58.2</v>
      </c>
      <c r="C43" s="102">
        <v>37.200000000000003</v>
      </c>
      <c r="D43" s="102">
        <v>45.8</v>
      </c>
      <c r="E43" s="102">
        <v>123.5</v>
      </c>
      <c r="F43" s="102">
        <v>184.6</v>
      </c>
      <c r="G43" s="102">
        <v>293.89999999999998</v>
      </c>
      <c r="H43" s="102">
        <v>289</v>
      </c>
      <c r="I43" s="102">
        <v>70.900000000000006</v>
      </c>
      <c r="J43" s="102">
        <v>38.6</v>
      </c>
      <c r="K43" s="102">
        <v>135.5</v>
      </c>
      <c r="L43" s="102">
        <v>21.2</v>
      </c>
      <c r="M43" s="102">
        <v>22.7</v>
      </c>
      <c r="N43" s="102">
        <f t="shared" si="1"/>
        <v>264.7</v>
      </c>
      <c r="O43" s="102">
        <f t="shared" si="2"/>
        <v>877</v>
      </c>
      <c r="P43" s="102">
        <f t="shared" si="3"/>
        <v>179.39999999999998</v>
      </c>
      <c r="Q43" s="102">
        <f t="shared" si="4"/>
        <v>1321.1</v>
      </c>
    </row>
    <row r="44" spans="1:17">
      <c r="A44" s="102">
        <v>1999</v>
      </c>
      <c r="B44" s="102">
        <v>30.5</v>
      </c>
      <c r="C44" s="102">
        <v>22.3</v>
      </c>
      <c r="D44" s="102">
        <v>41.6</v>
      </c>
      <c r="E44" s="102">
        <v>95.5</v>
      </c>
      <c r="F44" s="102">
        <v>179.3</v>
      </c>
      <c r="G44" s="102">
        <v>302.89999999999998</v>
      </c>
      <c r="H44" s="102">
        <v>135.4</v>
      </c>
      <c r="I44" s="102">
        <v>248.4</v>
      </c>
      <c r="J44" s="102">
        <v>83.6</v>
      </c>
      <c r="K44" s="102">
        <v>83.8</v>
      </c>
      <c r="L44" s="102">
        <v>57.1</v>
      </c>
      <c r="M44" s="102">
        <v>3.1</v>
      </c>
      <c r="N44" s="102">
        <f t="shared" si="1"/>
        <v>189.9</v>
      </c>
      <c r="O44" s="102">
        <f t="shared" si="2"/>
        <v>949.6</v>
      </c>
      <c r="P44" s="102">
        <f t="shared" si="3"/>
        <v>144</v>
      </c>
      <c r="Q44" s="102">
        <f t="shared" si="4"/>
        <v>1283.4999999999998</v>
      </c>
    </row>
    <row r="45" spans="1:17">
      <c r="A45" s="102">
        <v>2000</v>
      </c>
      <c r="B45" s="102">
        <v>43.1</v>
      </c>
      <c r="C45" s="102">
        <v>33.200000000000003</v>
      </c>
      <c r="D45" s="102">
        <v>113.3</v>
      </c>
      <c r="E45" s="102">
        <v>135</v>
      </c>
      <c r="F45" s="102">
        <v>225.1</v>
      </c>
      <c r="G45" s="102">
        <v>263.8</v>
      </c>
      <c r="H45" s="102">
        <v>46.2</v>
      </c>
      <c r="I45" s="102">
        <v>223</v>
      </c>
      <c r="J45" s="102">
        <v>107.8</v>
      </c>
      <c r="K45" s="102">
        <v>111.7</v>
      </c>
      <c r="L45" s="102">
        <v>37.700000000000003</v>
      </c>
      <c r="M45" s="102">
        <v>31.5</v>
      </c>
      <c r="N45" s="102">
        <f t="shared" si="1"/>
        <v>324.60000000000002</v>
      </c>
      <c r="O45" s="102">
        <f t="shared" si="2"/>
        <v>865.9</v>
      </c>
      <c r="P45" s="102">
        <f t="shared" si="3"/>
        <v>180.9</v>
      </c>
      <c r="Q45" s="102">
        <f t="shared" si="4"/>
        <v>1371.4</v>
      </c>
    </row>
    <row r="46" spans="1:17">
      <c r="A46" s="102">
        <v>2001</v>
      </c>
      <c r="B46" s="102">
        <v>30.4</v>
      </c>
      <c r="C46" s="102">
        <v>37.200000000000003</v>
      </c>
      <c r="D46" s="102">
        <v>64.099999999999994</v>
      </c>
      <c r="E46" s="102">
        <v>173.3</v>
      </c>
      <c r="F46" s="102">
        <v>150.5</v>
      </c>
      <c r="G46" s="102">
        <v>239.3</v>
      </c>
      <c r="H46" s="102">
        <v>201.9</v>
      </c>
      <c r="I46" s="102">
        <v>48.3</v>
      </c>
      <c r="J46" s="102">
        <v>16.100000000000001</v>
      </c>
      <c r="K46" s="102">
        <v>92</v>
      </c>
      <c r="L46" s="102">
        <v>77</v>
      </c>
      <c r="M46" s="102">
        <v>24.7</v>
      </c>
      <c r="N46" s="102">
        <f t="shared" si="1"/>
        <v>305</v>
      </c>
      <c r="O46" s="102">
        <f t="shared" si="2"/>
        <v>656.1</v>
      </c>
      <c r="P46" s="102">
        <f t="shared" si="3"/>
        <v>193.7</v>
      </c>
      <c r="Q46" s="102">
        <f t="shared" si="4"/>
        <v>1154.8</v>
      </c>
    </row>
    <row r="47" spans="1:17">
      <c r="A47" s="102">
        <v>2002</v>
      </c>
      <c r="B47" s="102">
        <v>22</v>
      </c>
      <c r="C47" s="102">
        <v>36</v>
      </c>
      <c r="D47" s="102">
        <v>59.1</v>
      </c>
      <c r="E47" s="102">
        <v>136.30000000000001</v>
      </c>
      <c r="F47" s="102">
        <v>237.7</v>
      </c>
      <c r="G47" s="102">
        <v>145.80000000000001</v>
      </c>
      <c r="H47" s="102">
        <v>99.5</v>
      </c>
      <c r="I47" s="102">
        <v>289.8</v>
      </c>
      <c r="J47" s="102">
        <v>32.5</v>
      </c>
      <c r="K47" s="102">
        <v>185.2</v>
      </c>
      <c r="L47" s="102">
        <v>6.7</v>
      </c>
      <c r="M47" s="102">
        <v>89.3</v>
      </c>
      <c r="N47" s="102">
        <f t="shared" si="1"/>
        <v>253.4</v>
      </c>
      <c r="O47" s="102">
        <f t="shared" si="2"/>
        <v>805.3</v>
      </c>
      <c r="P47" s="102">
        <f t="shared" si="3"/>
        <v>281.2</v>
      </c>
      <c r="Q47" s="102">
        <f t="shared" si="4"/>
        <v>1339.9</v>
      </c>
    </row>
    <row r="48" spans="1:17">
      <c r="A48" s="102">
        <v>2003</v>
      </c>
      <c r="B48" s="102">
        <v>54.5</v>
      </c>
      <c r="C48" s="102">
        <v>12.3</v>
      </c>
      <c r="D48" s="102">
        <v>39.200000000000003</v>
      </c>
      <c r="E48" s="102">
        <v>186.4</v>
      </c>
      <c r="F48" s="102">
        <v>208.5</v>
      </c>
      <c r="G48" s="102">
        <v>153</v>
      </c>
      <c r="H48" s="102">
        <v>83.4</v>
      </c>
      <c r="I48" s="102">
        <v>46.4</v>
      </c>
      <c r="J48" s="102">
        <v>99</v>
      </c>
      <c r="K48" s="102">
        <v>55.5</v>
      </c>
      <c r="L48" s="102">
        <v>14.5</v>
      </c>
      <c r="M48" s="102">
        <v>25.9</v>
      </c>
      <c r="N48" s="102">
        <f t="shared" si="1"/>
        <v>292.39999999999998</v>
      </c>
      <c r="O48" s="102">
        <f t="shared" si="2"/>
        <v>590.29999999999995</v>
      </c>
      <c r="P48" s="102">
        <f t="shared" si="3"/>
        <v>95.9</v>
      </c>
      <c r="Q48" s="102">
        <f t="shared" si="4"/>
        <v>978.59999999999991</v>
      </c>
    </row>
    <row r="49" spans="1:33">
      <c r="A49" s="102">
        <v>2004</v>
      </c>
      <c r="B49" s="103">
        <v>57.4</v>
      </c>
      <c r="C49" s="103">
        <v>59.8</v>
      </c>
      <c r="D49" s="103">
        <v>53.1</v>
      </c>
      <c r="E49" s="103">
        <v>154.69999999999999</v>
      </c>
      <c r="F49" s="103">
        <v>259.7</v>
      </c>
      <c r="G49" s="103">
        <v>139</v>
      </c>
      <c r="H49" s="103">
        <v>437.2</v>
      </c>
      <c r="I49" s="103">
        <v>59.7</v>
      </c>
      <c r="J49" s="103">
        <v>94.1</v>
      </c>
      <c r="K49" s="103">
        <v>20.6</v>
      </c>
      <c r="L49" s="103">
        <v>78.8</v>
      </c>
      <c r="M49" s="103">
        <v>27</v>
      </c>
      <c r="N49" s="102">
        <f t="shared" si="1"/>
        <v>325</v>
      </c>
      <c r="O49" s="102">
        <f t="shared" si="2"/>
        <v>989.7</v>
      </c>
      <c r="P49" s="102">
        <f t="shared" si="3"/>
        <v>126.4</v>
      </c>
      <c r="Q49" s="102">
        <f t="shared" si="4"/>
        <v>1441.1</v>
      </c>
    </row>
    <row r="50" spans="1:33">
      <c r="A50" s="102">
        <v>2005</v>
      </c>
      <c r="B50" s="103">
        <v>62.1</v>
      </c>
      <c r="C50" s="103">
        <v>52.6</v>
      </c>
      <c r="D50" s="103">
        <v>47.9</v>
      </c>
      <c r="E50" s="103">
        <v>82.9</v>
      </c>
      <c r="F50" s="103">
        <v>233.8</v>
      </c>
      <c r="G50" s="103">
        <v>105.1</v>
      </c>
      <c r="H50" s="103">
        <v>44.8</v>
      </c>
      <c r="I50" s="103">
        <v>89.6</v>
      </c>
      <c r="J50" s="103">
        <v>11.8</v>
      </c>
      <c r="K50" s="103">
        <v>45.9</v>
      </c>
      <c r="L50" s="103">
        <v>41.1</v>
      </c>
      <c r="M50" s="103">
        <v>30.4</v>
      </c>
      <c r="N50" s="102">
        <f t="shared" si="1"/>
        <v>245.5</v>
      </c>
      <c r="O50" s="102">
        <f t="shared" si="2"/>
        <v>485.09999999999997</v>
      </c>
      <c r="P50" s="102">
        <f t="shared" si="3"/>
        <v>117.4</v>
      </c>
      <c r="Q50" s="102">
        <f t="shared" si="4"/>
        <v>847.99999999999989</v>
      </c>
    </row>
    <row r="51" spans="1:33">
      <c r="A51" s="102">
        <v>2006</v>
      </c>
      <c r="B51" s="102">
        <v>17.5</v>
      </c>
      <c r="C51" s="102">
        <v>62.2</v>
      </c>
      <c r="D51" s="102">
        <v>71.2</v>
      </c>
      <c r="E51" s="102">
        <v>148.69999999999999</v>
      </c>
      <c r="F51" s="102">
        <v>210.3</v>
      </c>
      <c r="G51" s="102">
        <v>210</v>
      </c>
      <c r="H51" s="102">
        <v>100.1</v>
      </c>
      <c r="I51" s="102">
        <v>105</v>
      </c>
      <c r="J51" s="102">
        <v>72.5</v>
      </c>
      <c r="K51" s="102">
        <v>87.6</v>
      </c>
      <c r="L51" s="102">
        <v>48.9</v>
      </c>
      <c r="M51" s="102">
        <v>23.4</v>
      </c>
      <c r="N51" s="102">
        <f t="shared" si="1"/>
        <v>299.60000000000002</v>
      </c>
      <c r="O51" s="102">
        <f t="shared" si="2"/>
        <v>697.9</v>
      </c>
      <c r="P51" s="102">
        <f t="shared" si="3"/>
        <v>159.9</v>
      </c>
      <c r="Q51" s="102">
        <f t="shared" si="4"/>
        <v>1157.4000000000003</v>
      </c>
    </row>
    <row r="52" spans="1:33">
      <c r="A52" s="102">
        <v>2007</v>
      </c>
      <c r="B52" s="102">
        <v>53.4</v>
      </c>
      <c r="C52" s="102">
        <v>21.4</v>
      </c>
      <c r="D52" s="102">
        <v>68.099999999999994</v>
      </c>
      <c r="E52" s="102">
        <v>124.5</v>
      </c>
      <c r="F52" s="102">
        <v>203.3</v>
      </c>
      <c r="G52" s="102">
        <v>379.6</v>
      </c>
      <c r="H52" s="102">
        <v>223.2</v>
      </c>
      <c r="I52" s="102">
        <v>176.5</v>
      </c>
      <c r="J52" s="102">
        <v>58.8</v>
      </c>
      <c r="K52" s="102">
        <v>5.0999999999999996</v>
      </c>
      <c r="L52" s="102">
        <v>0.5</v>
      </c>
      <c r="M52" s="102">
        <v>20.6</v>
      </c>
      <c r="N52" s="102">
        <f t="shared" si="1"/>
        <v>267.39999999999998</v>
      </c>
      <c r="O52" s="102">
        <f t="shared" si="2"/>
        <v>1041.4000000000001</v>
      </c>
      <c r="P52" s="102">
        <f t="shared" si="3"/>
        <v>26.200000000000003</v>
      </c>
      <c r="Q52" s="102">
        <f t="shared" si="4"/>
        <v>1334.9999999999998</v>
      </c>
    </row>
    <row r="53" spans="1:33">
      <c r="A53" s="102">
        <v>2008</v>
      </c>
      <c r="B53" s="102">
        <v>10.7</v>
      </c>
      <c r="C53" s="102">
        <v>24.4</v>
      </c>
      <c r="D53" s="102">
        <v>97.4</v>
      </c>
      <c r="E53" s="102">
        <v>80.7</v>
      </c>
      <c r="F53" s="102">
        <v>222</v>
      </c>
      <c r="G53" s="102">
        <v>149.80000000000001</v>
      </c>
      <c r="H53" s="102">
        <v>174.4</v>
      </c>
      <c r="I53" s="102">
        <v>220.7</v>
      </c>
      <c r="J53" s="102">
        <v>38.4</v>
      </c>
      <c r="K53" s="102">
        <v>106.3</v>
      </c>
      <c r="L53" s="102">
        <v>169.1</v>
      </c>
      <c r="M53" s="102">
        <v>13.9</v>
      </c>
      <c r="N53" s="102">
        <f t="shared" si="1"/>
        <v>213.2</v>
      </c>
      <c r="O53" s="102">
        <f t="shared" si="2"/>
        <v>805.30000000000007</v>
      </c>
      <c r="P53" s="102">
        <f t="shared" si="3"/>
        <v>289.29999999999995</v>
      </c>
      <c r="Q53" s="102">
        <f t="shared" si="4"/>
        <v>1307.8</v>
      </c>
    </row>
    <row r="54" spans="1:33">
      <c r="A54" s="102">
        <v>2009</v>
      </c>
      <c r="B54" s="102">
        <v>13.4</v>
      </c>
      <c r="C54" s="102">
        <v>55.1</v>
      </c>
      <c r="D54" s="102">
        <v>66.3</v>
      </c>
      <c r="E54" s="102">
        <v>160.1</v>
      </c>
      <c r="F54" s="102">
        <v>121</v>
      </c>
      <c r="G54" s="102">
        <v>304.7</v>
      </c>
      <c r="H54" s="102">
        <v>125.4</v>
      </c>
      <c r="I54" s="102">
        <v>52.7</v>
      </c>
      <c r="J54" s="102">
        <v>30.2</v>
      </c>
      <c r="K54" s="102">
        <v>43.6</v>
      </c>
      <c r="L54" s="102">
        <v>29.4</v>
      </c>
      <c r="M54" s="102">
        <v>35.299999999999997</v>
      </c>
      <c r="N54" s="102">
        <f t="shared" si="1"/>
        <v>294.89999999999998</v>
      </c>
      <c r="O54" s="102">
        <f t="shared" si="2"/>
        <v>634.00000000000011</v>
      </c>
      <c r="P54" s="102">
        <f t="shared" si="3"/>
        <v>108.3</v>
      </c>
      <c r="Q54" s="102">
        <f t="shared" si="4"/>
        <v>1037.2</v>
      </c>
    </row>
    <row r="55" spans="1:33">
      <c r="A55" s="102">
        <v>2010</v>
      </c>
      <c r="B55" s="102">
        <v>15.3</v>
      </c>
      <c r="C55" s="102">
        <v>13.499999999999998</v>
      </c>
      <c r="D55" s="102">
        <v>46.300000000000004</v>
      </c>
      <c r="E55" s="102">
        <v>94</v>
      </c>
      <c r="F55" s="102">
        <v>116.80000000000001</v>
      </c>
      <c r="G55" s="102">
        <v>255.7</v>
      </c>
      <c r="H55" s="102">
        <v>115.19999999999999</v>
      </c>
      <c r="I55" s="102">
        <v>56.100000000000009</v>
      </c>
      <c r="J55" s="102">
        <v>93.100000000000009</v>
      </c>
      <c r="K55" s="102">
        <v>127.4</v>
      </c>
      <c r="L55" s="102">
        <v>35.400000000000006</v>
      </c>
      <c r="M55" s="102">
        <v>72.100000000000009</v>
      </c>
      <c r="N55" s="102">
        <f t="shared" si="1"/>
        <v>169.1</v>
      </c>
      <c r="O55" s="102">
        <f t="shared" si="2"/>
        <v>636.9</v>
      </c>
      <c r="P55" s="102">
        <f t="shared" si="3"/>
        <v>234.90000000000003</v>
      </c>
      <c r="Q55" s="102">
        <f t="shared" si="4"/>
        <v>1040.8999999999999</v>
      </c>
    </row>
    <row r="56" spans="1:33">
      <c r="A56" s="102">
        <v>2011</v>
      </c>
      <c r="B56" s="102">
        <v>31.8</v>
      </c>
      <c r="C56" s="102">
        <v>22.9</v>
      </c>
      <c r="D56" s="102">
        <v>55.8</v>
      </c>
      <c r="E56" s="102">
        <v>36.1</v>
      </c>
      <c r="F56" s="102">
        <v>197.2</v>
      </c>
      <c r="G56" s="102">
        <v>275</v>
      </c>
      <c r="H56" s="102">
        <v>12.6</v>
      </c>
      <c r="I56" s="102">
        <v>34.799999999999997</v>
      </c>
      <c r="J56" s="102">
        <v>87.6</v>
      </c>
      <c r="K56" s="102">
        <v>139.9</v>
      </c>
      <c r="L56" s="102">
        <v>46.3</v>
      </c>
      <c r="M56" s="102">
        <v>17.3</v>
      </c>
      <c r="N56" s="102">
        <f t="shared" si="1"/>
        <v>146.6</v>
      </c>
      <c r="O56" s="102">
        <f t="shared" si="2"/>
        <v>607.20000000000005</v>
      </c>
      <c r="P56" s="102">
        <f t="shared" si="3"/>
        <v>203.5</v>
      </c>
      <c r="Q56" s="102">
        <f t="shared" si="4"/>
        <v>957.29999999999984</v>
      </c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</row>
    <row r="57" spans="1:33">
      <c r="A57" s="102">
        <v>2012</v>
      </c>
      <c r="B57" s="102">
        <v>56</v>
      </c>
      <c r="C57" s="102">
        <v>19.8</v>
      </c>
      <c r="D57" s="102">
        <v>62.1</v>
      </c>
      <c r="E57" s="102">
        <v>92.2</v>
      </c>
      <c r="F57" s="102">
        <v>265.2</v>
      </c>
      <c r="G57" s="102">
        <v>241.5</v>
      </c>
      <c r="H57" s="102">
        <v>152.6</v>
      </c>
      <c r="I57" s="102">
        <v>217.3</v>
      </c>
      <c r="J57" s="102">
        <v>56.5</v>
      </c>
      <c r="K57" s="102">
        <v>34.9</v>
      </c>
      <c r="L57" s="102">
        <v>67.099999999999994</v>
      </c>
      <c r="M57" s="102">
        <v>13.2</v>
      </c>
      <c r="N57" s="102">
        <f t="shared" si="1"/>
        <v>230.10000000000002</v>
      </c>
      <c r="O57" s="102">
        <f t="shared" si="2"/>
        <v>933.09999999999991</v>
      </c>
      <c r="P57" s="102">
        <f t="shared" si="3"/>
        <v>115.2</v>
      </c>
      <c r="Q57" s="102">
        <f t="shared" si="4"/>
        <v>1278.4000000000001</v>
      </c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</row>
    <row r="58" spans="1:33">
      <c r="A58" s="102">
        <v>2013</v>
      </c>
      <c r="B58" s="102">
        <v>10.3</v>
      </c>
      <c r="C58" s="102">
        <v>15.3</v>
      </c>
      <c r="D58" s="102">
        <v>150.30000000000001</v>
      </c>
      <c r="E58" s="102">
        <v>108.9</v>
      </c>
      <c r="F58" s="102">
        <v>261.5</v>
      </c>
      <c r="G58" s="102">
        <v>125.7</v>
      </c>
      <c r="H58" s="102">
        <v>23</v>
      </c>
      <c r="I58" s="102">
        <v>72.2</v>
      </c>
      <c r="J58" s="102">
        <v>148.30000000000001</v>
      </c>
      <c r="K58" s="102">
        <v>56.4</v>
      </c>
      <c r="L58" s="102">
        <v>54.2</v>
      </c>
      <c r="M58" s="102">
        <v>52.2</v>
      </c>
      <c r="N58" s="102">
        <f t="shared" si="1"/>
        <v>284.8</v>
      </c>
      <c r="O58" s="102">
        <f t="shared" si="2"/>
        <v>630.70000000000005</v>
      </c>
      <c r="P58" s="102">
        <f t="shared" si="3"/>
        <v>162.80000000000001</v>
      </c>
      <c r="Q58" s="102">
        <f t="shared" si="4"/>
        <v>1078.3</v>
      </c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</row>
    <row r="59" spans="1:33">
      <c r="A59" s="102">
        <v>2014</v>
      </c>
      <c r="B59" s="128">
        <v>12.1</v>
      </c>
      <c r="C59" s="128">
        <v>40</v>
      </c>
      <c r="D59" s="128">
        <v>95.1</v>
      </c>
      <c r="E59" s="128">
        <v>73.400000000000006</v>
      </c>
      <c r="F59" s="128">
        <v>190.7</v>
      </c>
      <c r="G59" s="128">
        <v>206.7</v>
      </c>
      <c r="H59" s="128">
        <v>179</v>
      </c>
      <c r="I59" s="128">
        <v>84.3</v>
      </c>
      <c r="J59" s="128">
        <v>123.5</v>
      </c>
      <c r="K59" s="128">
        <v>88.4</v>
      </c>
      <c r="L59" s="128">
        <v>90.8</v>
      </c>
      <c r="M59" s="128">
        <v>10.4</v>
      </c>
      <c r="N59" s="102">
        <f t="shared" si="1"/>
        <v>220.6</v>
      </c>
      <c r="O59" s="102">
        <f t="shared" si="2"/>
        <v>784.19999999999993</v>
      </c>
      <c r="P59" s="102">
        <f t="shared" si="3"/>
        <v>189.6</v>
      </c>
      <c r="Q59" s="102">
        <f t="shared" si="4"/>
        <v>1194.4000000000001</v>
      </c>
    </row>
    <row r="60" spans="1:33">
      <c r="A60" s="102">
        <v>2015</v>
      </c>
      <c r="B60" s="128">
        <v>44.8</v>
      </c>
      <c r="C60" s="128">
        <v>39.1</v>
      </c>
      <c r="D60" s="128">
        <v>22.5</v>
      </c>
      <c r="E60" s="128">
        <v>56.2</v>
      </c>
      <c r="F60" s="128">
        <v>308.8</v>
      </c>
      <c r="G60" s="128">
        <v>279.10000000000002</v>
      </c>
      <c r="H60" s="128">
        <v>82.3</v>
      </c>
      <c r="I60" s="128">
        <v>351.3</v>
      </c>
      <c r="J60" s="128">
        <v>152</v>
      </c>
      <c r="K60" s="128">
        <v>104.4</v>
      </c>
      <c r="L60" s="128">
        <v>96.4</v>
      </c>
      <c r="M60" s="128">
        <v>82</v>
      </c>
      <c r="N60" s="102">
        <f t="shared" si="1"/>
        <v>162.60000000000002</v>
      </c>
      <c r="O60" s="102">
        <f t="shared" si="2"/>
        <v>1173.5</v>
      </c>
      <c r="P60" s="102">
        <f t="shared" si="3"/>
        <v>282.8</v>
      </c>
      <c r="Q60" s="102">
        <f t="shared" si="4"/>
        <v>1618.9</v>
      </c>
    </row>
    <row r="61" spans="1:33" ht="13.5">
      <c r="A61" s="102">
        <v>2016</v>
      </c>
      <c r="B61" s="128">
        <v>59.4</v>
      </c>
      <c r="C61" s="128">
        <v>12.5</v>
      </c>
      <c r="D61" s="128">
        <v>114.9</v>
      </c>
      <c r="E61" s="128">
        <v>235.7</v>
      </c>
      <c r="F61" s="128">
        <v>164.8</v>
      </c>
      <c r="G61" s="128">
        <v>364.9</v>
      </c>
      <c r="H61" s="128">
        <v>315.5</v>
      </c>
      <c r="I61" s="128">
        <v>171.3</v>
      </c>
      <c r="J61" s="128">
        <v>33.5</v>
      </c>
      <c r="K61" s="128">
        <v>95.1</v>
      </c>
      <c r="L61" s="128">
        <v>63.5</v>
      </c>
      <c r="M61" s="128">
        <v>38.200000000000003</v>
      </c>
      <c r="N61" s="102">
        <f>SUM(B61:E61)</f>
        <v>422.5</v>
      </c>
      <c r="O61" s="102">
        <f>SUM(F61:J61)</f>
        <v>1050</v>
      </c>
      <c r="P61" s="102">
        <f>SUM(K61:M61)</f>
        <v>196.8</v>
      </c>
      <c r="Q61" s="102">
        <f>SUM(B61:M61)</f>
        <v>1669.2999999999997</v>
      </c>
      <c r="R61" s="129">
        <f t="shared" ref="R61:AG61" si="5">100*(B61-B4)/B4</f>
        <v>66.170446598061702</v>
      </c>
      <c r="S61" s="129">
        <f t="shared" si="5"/>
        <v>-67.543005517689053</v>
      </c>
      <c r="T61" s="129">
        <f t="shared" si="5"/>
        <v>86.390892500217262</v>
      </c>
      <c r="U61" s="129">
        <f t="shared" si="5"/>
        <v>86.255750289278367</v>
      </c>
      <c r="V61" s="129">
        <f t="shared" si="5"/>
        <v>-21.212276433175393</v>
      </c>
      <c r="W61" s="129">
        <f t="shared" si="5"/>
        <v>71.328917581956873</v>
      </c>
      <c r="X61" s="129">
        <f t="shared" si="5"/>
        <v>109.81628605697861</v>
      </c>
      <c r="Y61" s="129">
        <f t="shared" si="5"/>
        <v>30.777620242120186</v>
      </c>
      <c r="Z61" s="129">
        <f t="shared" si="5"/>
        <v>-60.162239069036552</v>
      </c>
      <c r="AA61" s="129">
        <f t="shared" si="5"/>
        <v>-4.1054451166810697</v>
      </c>
      <c r="AB61" s="129">
        <f t="shared" si="5"/>
        <v>4.2540092057814345</v>
      </c>
      <c r="AC61" s="129">
        <f t="shared" si="5"/>
        <v>25.576753742295249</v>
      </c>
      <c r="AD61" s="129">
        <f t="shared" si="5"/>
        <v>60.983044389407517</v>
      </c>
      <c r="AE61" s="129">
        <f t="shared" si="5"/>
        <v>33.316706533198797</v>
      </c>
      <c r="AF61" s="129">
        <f t="shared" si="5"/>
        <v>3.3070866141732496</v>
      </c>
      <c r="AG61" s="129">
        <f t="shared" si="5"/>
        <v>34.561476996777039</v>
      </c>
    </row>
  </sheetData>
  <mergeCells count="6">
    <mergeCell ref="A1:A3"/>
    <mergeCell ref="B1:Q1"/>
    <mergeCell ref="B2:M2"/>
    <mergeCell ref="R1:AG1"/>
    <mergeCell ref="N2:Q2"/>
    <mergeCell ref="R2:AG2"/>
  </mergeCells>
  <phoneticPr fontId="2" type="noConversion"/>
  <pageMargins left="0.75" right="0.75" top="1" bottom="1" header="0.5" footer="0.5"/>
  <pageSetup paperSize="9" orientation="portrait" horizontalDpi="200" verticalDpi="200" copies="0" r:id="rId1"/>
  <headerFooter alignWithMargins="0"/>
</worksheet>
</file>

<file path=xl/worksheets/sheet55.xml><?xml version="1.0" encoding="utf-8"?>
<worksheet xmlns="http://schemas.openxmlformats.org/spreadsheetml/2006/main" xmlns:r="http://schemas.openxmlformats.org/officeDocument/2006/relationships">
  <sheetPr codeName="Sheet55"/>
  <dimension ref="A1:AG64"/>
  <sheetViews>
    <sheetView zoomScale="85" zoomScaleNormal="85" workbookViewId="0">
      <pane ySplit="5" topLeftCell="A6" activePane="bottomLeft" state="frozen"/>
      <selection pane="bottomLeft" activeCell="AG64" sqref="AG64"/>
    </sheetView>
  </sheetViews>
  <sheetFormatPr defaultRowHeight="12"/>
  <cols>
    <col min="1" max="33" width="7.125" style="102" customWidth="1"/>
    <col min="34" max="16384" width="9" style="102"/>
  </cols>
  <sheetData>
    <row r="1" spans="1:33" s="118" customFormat="1" ht="14.25" customHeight="1">
      <c r="A1" s="176" t="s">
        <v>172</v>
      </c>
      <c r="B1" s="176" t="s">
        <v>180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181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173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174</v>
      </c>
      <c r="O2" s="176"/>
      <c r="P2" s="176"/>
      <c r="Q2" s="176"/>
      <c r="R2" s="176" t="s">
        <v>175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 ht="24">
      <c r="A3" s="176"/>
      <c r="B3" s="124" t="s">
        <v>182</v>
      </c>
      <c r="C3" s="124" t="s">
        <v>183</v>
      </c>
      <c r="D3" s="124" t="s">
        <v>9</v>
      </c>
      <c r="E3" s="124" t="s">
        <v>10</v>
      </c>
      <c r="F3" s="124" t="s">
        <v>11</v>
      </c>
      <c r="G3" s="124" t="s">
        <v>12</v>
      </c>
      <c r="H3" s="124" t="s">
        <v>13</v>
      </c>
      <c r="I3" s="124" t="s">
        <v>14</v>
      </c>
      <c r="J3" s="124" t="s">
        <v>15</v>
      </c>
      <c r="K3" s="124" t="s">
        <v>16</v>
      </c>
      <c r="L3" s="124" t="s">
        <v>17</v>
      </c>
      <c r="M3" s="124" t="s">
        <v>18</v>
      </c>
      <c r="N3" s="124" t="s">
        <v>184</v>
      </c>
      <c r="O3" s="124" t="s">
        <v>185</v>
      </c>
      <c r="P3" s="124" t="s">
        <v>186</v>
      </c>
      <c r="Q3" s="124" t="s">
        <v>187</v>
      </c>
      <c r="R3" s="124" t="s">
        <v>182</v>
      </c>
      <c r="S3" s="124" t="s">
        <v>183</v>
      </c>
      <c r="T3" s="124" t="s">
        <v>188</v>
      </c>
      <c r="U3" s="124" t="s">
        <v>189</v>
      </c>
      <c r="V3" s="124" t="s">
        <v>190</v>
      </c>
      <c r="W3" s="124" t="s">
        <v>191</v>
      </c>
      <c r="X3" s="124" t="s">
        <v>25</v>
      </c>
      <c r="Y3" s="124" t="s">
        <v>26</v>
      </c>
      <c r="Z3" s="124" t="s">
        <v>27</v>
      </c>
      <c r="AA3" s="124" t="s">
        <v>192</v>
      </c>
      <c r="AB3" s="124" t="s">
        <v>193</v>
      </c>
      <c r="AC3" s="124" t="s">
        <v>194</v>
      </c>
      <c r="AD3" s="124" t="s">
        <v>176</v>
      </c>
      <c r="AE3" s="124" t="s">
        <v>177</v>
      </c>
      <c r="AF3" s="124" t="s">
        <v>178</v>
      </c>
      <c r="AG3" s="124" t="s">
        <v>179</v>
      </c>
    </row>
    <row r="4" spans="1:33" s="118" customFormat="1">
      <c r="A4" s="150" t="s">
        <v>261</v>
      </c>
      <c r="B4" s="150">
        <f t="shared" ref="B4:Q4" si="0">AVERAGE(B5:B63)</f>
        <v>38.425423728813563</v>
      </c>
      <c r="C4" s="150">
        <f t="shared" si="0"/>
        <v>42.008474576271176</v>
      </c>
      <c r="D4" s="150">
        <f t="shared" si="0"/>
        <v>65.771186440677951</v>
      </c>
      <c r="E4" s="150">
        <f t="shared" si="0"/>
        <v>113.39152542372879</v>
      </c>
      <c r="F4" s="150">
        <f t="shared" si="0"/>
        <v>197.50000000000006</v>
      </c>
      <c r="G4" s="150">
        <f t="shared" si="0"/>
        <v>219.59830508474573</v>
      </c>
      <c r="H4" s="150">
        <f t="shared" si="0"/>
        <v>166.70508474576272</v>
      </c>
      <c r="I4" s="150">
        <f t="shared" si="0"/>
        <v>128.22203389830503</v>
      </c>
      <c r="J4" s="150">
        <f t="shared" si="0"/>
        <v>76.045762711864384</v>
      </c>
      <c r="K4" s="150">
        <f t="shared" si="0"/>
        <v>84.718644067796632</v>
      </c>
      <c r="L4" s="150">
        <f t="shared" si="0"/>
        <v>55.713559322033909</v>
      </c>
      <c r="M4" s="150">
        <f t="shared" si="0"/>
        <v>29.928813559322041</v>
      </c>
      <c r="N4" s="150">
        <f t="shared" si="0"/>
        <v>259.59661016949144</v>
      </c>
      <c r="O4" s="150">
        <f t="shared" si="0"/>
        <v>788.07118644067816</v>
      </c>
      <c r="P4" s="150">
        <f t="shared" si="0"/>
        <v>170.36101694915257</v>
      </c>
      <c r="Q4" s="150">
        <f t="shared" si="0"/>
        <v>1218.0288135593223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3">
        <v>1957</v>
      </c>
      <c r="B5" s="103">
        <v>45</v>
      </c>
      <c r="C5" s="103">
        <v>25.9</v>
      </c>
      <c r="D5" s="103">
        <v>77.400000000000006</v>
      </c>
      <c r="E5" s="103">
        <v>97.1</v>
      </c>
      <c r="F5" s="103">
        <v>163.69999999999999</v>
      </c>
      <c r="G5" s="103">
        <v>229.2</v>
      </c>
      <c r="H5" s="103">
        <v>89</v>
      </c>
      <c r="I5" s="103">
        <v>117</v>
      </c>
      <c r="J5" s="103">
        <v>93</v>
      </c>
      <c r="K5" s="103">
        <v>51.6</v>
      </c>
      <c r="L5" s="103">
        <v>80.5</v>
      </c>
      <c r="M5" s="103">
        <v>22.9</v>
      </c>
      <c r="N5" s="102">
        <f>SUM(B5:E5)</f>
        <v>245.4</v>
      </c>
      <c r="O5" s="102">
        <f>SUM(F5:J5)</f>
        <v>691.9</v>
      </c>
      <c r="P5" s="102">
        <f>SUM(K5:M5)</f>
        <v>155</v>
      </c>
      <c r="Q5" s="102">
        <f>SUM(B5:M5)</f>
        <v>1092.3000000000002</v>
      </c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</row>
    <row r="6" spans="1:33">
      <c r="A6" s="102">
        <v>1958</v>
      </c>
      <c r="B6" s="102">
        <v>51.2</v>
      </c>
      <c r="C6" s="102">
        <v>35.6</v>
      </c>
      <c r="D6" s="102">
        <v>10.1</v>
      </c>
      <c r="E6" s="102">
        <v>98.9</v>
      </c>
      <c r="F6" s="102">
        <v>130.1</v>
      </c>
      <c r="G6" s="102">
        <v>145.80000000000001</v>
      </c>
      <c r="H6" s="102">
        <v>257.8</v>
      </c>
      <c r="I6" s="102">
        <v>95.7</v>
      </c>
      <c r="J6" s="102">
        <v>140.80000000000001</v>
      </c>
      <c r="K6" s="102">
        <v>81.5</v>
      </c>
      <c r="L6" s="102">
        <v>7</v>
      </c>
      <c r="M6" s="102">
        <v>10.8</v>
      </c>
      <c r="N6" s="102">
        <f t="shared" ref="N6:N63" si="1">SUM(B6:E6)</f>
        <v>195.8</v>
      </c>
      <c r="O6" s="102">
        <f t="shared" ref="O6:O63" si="2">SUM(F6:J6)</f>
        <v>770.2</v>
      </c>
      <c r="P6" s="102">
        <f t="shared" ref="P6:P63" si="3">SUM(K6:M6)</f>
        <v>99.3</v>
      </c>
      <c r="Q6" s="102">
        <f t="shared" ref="Q6:Q63" si="4">SUM(B6:M6)</f>
        <v>1065.3</v>
      </c>
    </row>
    <row r="7" spans="1:33">
      <c r="A7" s="102">
        <v>1959</v>
      </c>
      <c r="B7" s="102">
        <v>47.3</v>
      </c>
      <c r="C7" s="102">
        <v>84.7</v>
      </c>
      <c r="D7" s="102">
        <v>106</v>
      </c>
      <c r="E7" s="102">
        <v>155.80000000000001</v>
      </c>
      <c r="F7" s="102">
        <v>249.6</v>
      </c>
      <c r="G7" s="102">
        <v>244.9</v>
      </c>
      <c r="H7" s="102">
        <v>171.4</v>
      </c>
      <c r="I7" s="102">
        <v>98.3</v>
      </c>
      <c r="J7" s="102">
        <v>148.4</v>
      </c>
      <c r="K7" s="102">
        <v>43.2</v>
      </c>
      <c r="L7" s="102">
        <v>88.6</v>
      </c>
      <c r="M7" s="102">
        <v>55</v>
      </c>
      <c r="N7" s="102">
        <f t="shared" si="1"/>
        <v>393.8</v>
      </c>
      <c r="O7" s="102">
        <f t="shared" si="2"/>
        <v>912.59999999999991</v>
      </c>
      <c r="P7" s="102">
        <f t="shared" si="3"/>
        <v>186.8</v>
      </c>
      <c r="Q7" s="102">
        <f t="shared" si="4"/>
        <v>1493.2</v>
      </c>
    </row>
    <row r="8" spans="1:33">
      <c r="A8" s="102">
        <v>1960</v>
      </c>
      <c r="B8" s="102">
        <v>26.4</v>
      </c>
      <c r="C8" s="102">
        <v>64.7</v>
      </c>
      <c r="D8" s="102">
        <v>89.1</v>
      </c>
      <c r="E8" s="102">
        <v>63.9</v>
      </c>
      <c r="F8" s="102">
        <v>257.5</v>
      </c>
      <c r="G8" s="102">
        <v>126.5</v>
      </c>
      <c r="H8" s="102">
        <v>165.1</v>
      </c>
      <c r="I8" s="102">
        <v>37.1</v>
      </c>
      <c r="J8" s="102">
        <v>29.7</v>
      </c>
      <c r="K8" s="102">
        <v>58.2</v>
      </c>
      <c r="L8" s="102">
        <v>99.1</v>
      </c>
      <c r="M8" s="102">
        <v>6.8</v>
      </c>
      <c r="N8" s="102">
        <f t="shared" si="1"/>
        <v>244.1</v>
      </c>
      <c r="O8" s="102">
        <f t="shared" si="2"/>
        <v>615.90000000000009</v>
      </c>
      <c r="P8" s="102">
        <f t="shared" si="3"/>
        <v>164.10000000000002</v>
      </c>
      <c r="Q8" s="102">
        <f t="shared" si="4"/>
        <v>1024.1000000000001</v>
      </c>
    </row>
    <row r="9" spans="1:33">
      <c r="A9" s="102">
        <v>1961</v>
      </c>
      <c r="B9" s="102">
        <v>14.5</v>
      </c>
      <c r="C9" s="102">
        <v>64.5</v>
      </c>
      <c r="D9" s="102">
        <v>44.3</v>
      </c>
      <c r="E9" s="102">
        <v>254.5</v>
      </c>
      <c r="F9" s="102">
        <v>202</v>
      </c>
      <c r="G9" s="102">
        <v>184.6</v>
      </c>
      <c r="H9" s="102">
        <v>187.5</v>
      </c>
      <c r="I9" s="102">
        <v>159.4</v>
      </c>
      <c r="J9" s="102">
        <v>68.599999999999994</v>
      </c>
      <c r="K9" s="102">
        <v>102.1</v>
      </c>
      <c r="L9" s="102">
        <v>70.3</v>
      </c>
      <c r="M9" s="102">
        <v>65</v>
      </c>
      <c r="N9" s="102">
        <f t="shared" si="1"/>
        <v>377.8</v>
      </c>
      <c r="O9" s="102">
        <f t="shared" si="2"/>
        <v>802.1</v>
      </c>
      <c r="P9" s="102">
        <f t="shared" si="3"/>
        <v>237.39999999999998</v>
      </c>
      <c r="Q9" s="102">
        <f t="shared" si="4"/>
        <v>1417.2999999999997</v>
      </c>
    </row>
    <row r="10" spans="1:33">
      <c r="A10" s="102">
        <v>1962</v>
      </c>
      <c r="B10" s="102">
        <v>23.2</v>
      </c>
      <c r="C10" s="102">
        <v>18</v>
      </c>
      <c r="D10" s="102">
        <v>29.3</v>
      </c>
      <c r="E10" s="102">
        <v>69</v>
      </c>
      <c r="F10" s="102">
        <v>229.6</v>
      </c>
      <c r="G10" s="102">
        <v>331.4</v>
      </c>
      <c r="H10" s="102">
        <v>42.3</v>
      </c>
      <c r="I10" s="102">
        <v>138.69999999999999</v>
      </c>
      <c r="J10" s="102">
        <v>46.9</v>
      </c>
      <c r="K10" s="102">
        <v>57.5</v>
      </c>
      <c r="L10" s="102">
        <v>21.8</v>
      </c>
      <c r="M10" s="102">
        <v>12.1</v>
      </c>
      <c r="N10" s="102">
        <f t="shared" si="1"/>
        <v>139.5</v>
      </c>
      <c r="O10" s="102">
        <f t="shared" si="2"/>
        <v>788.9</v>
      </c>
      <c r="P10" s="102">
        <f t="shared" si="3"/>
        <v>91.399999999999991</v>
      </c>
      <c r="Q10" s="102">
        <f t="shared" si="4"/>
        <v>1019.8</v>
      </c>
    </row>
    <row r="11" spans="1:33">
      <c r="A11" s="102">
        <v>1963</v>
      </c>
      <c r="B11" s="102">
        <v>2.1</v>
      </c>
      <c r="C11" s="102">
        <v>60.3</v>
      </c>
      <c r="D11" s="102">
        <v>44.5</v>
      </c>
      <c r="E11" s="102">
        <v>39</v>
      </c>
      <c r="F11" s="102">
        <v>171.3</v>
      </c>
      <c r="G11" s="102">
        <v>110</v>
      </c>
      <c r="H11" s="102">
        <v>184.3</v>
      </c>
      <c r="I11" s="102">
        <v>27</v>
      </c>
      <c r="J11" s="102">
        <v>44.1</v>
      </c>
      <c r="K11" s="102">
        <v>69.5</v>
      </c>
      <c r="L11" s="102">
        <v>189.7</v>
      </c>
      <c r="M11" s="102">
        <v>75</v>
      </c>
      <c r="N11" s="102">
        <f t="shared" si="1"/>
        <v>145.9</v>
      </c>
      <c r="O11" s="102">
        <f t="shared" si="2"/>
        <v>536.70000000000005</v>
      </c>
      <c r="P11" s="102">
        <f t="shared" si="3"/>
        <v>334.2</v>
      </c>
      <c r="Q11" s="102">
        <f t="shared" si="4"/>
        <v>1016.8</v>
      </c>
    </row>
    <row r="12" spans="1:33">
      <c r="A12" s="102">
        <v>1964</v>
      </c>
      <c r="B12" s="102">
        <v>26.5</v>
      </c>
      <c r="C12" s="102">
        <v>54.9</v>
      </c>
      <c r="D12" s="102">
        <v>58.9</v>
      </c>
      <c r="E12" s="102">
        <v>159.80000000000001</v>
      </c>
      <c r="F12" s="102">
        <v>45.8</v>
      </c>
      <c r="G12" s="102">
        <v>248.3</v>
      </c>
      <c r="H12" s="102">
        <v>110.8</v>
      </c>
      <c r="I12" s="102">
        <v>102.1</v>
      </c>
      <c r="J12" s="102">
        <v>109.5</v>
      </c>
      <c r="K12" s="102">
        <v>51.6</v>
      </c>
      <c r="L12" s="102">
        <v>13.6</v>
      </c>
      <c r="M12" s="102">
        <v>26.6</v>
      </c>
      <c r="N12" s="102">
        <f t="shared" si="1"/>
        <v>300.10000000000002</v>
      </c>
      <c r="O12" s="102">
        <f t="shared" si="2"/>
        <v>616.5</v>
      </c>
      <c r="P12" s="102">
        <f t="shared" si="3"/>
        <v>91.800000000000011</v>
      </c>
      <c r="Q12" s="102">
        <f t="shared" si="4"/>
        <v>1008.4000000000001</v>
      </c>
    </row>
    <row r="13" spans="1:33">
      <c r="A13" s="102">
        <v>1965</v>
      </c>
      <c r="B13" s="102">
        <v>24.7</v>
      </c>
      <c r="C13" s="102">
        <v>48.9</v>
      </c>
      <c r="D13" s="102">
        <v>103.1</v>
      </c>
      <c r="E13" s="102">
        <v>111.6</v>
      </c>
      <c r="F13" s="102">
        <v>112</v>
      </c>
      <c r="G13" s="102">
        <v>153.6</v>
      </c>
      <c r="H13" s="102">
        <v>98.6</v>
      </c>
      <c r="I13" s="102">
        <v>214.6</v>
      </c>
      <c r="J13" s="102">
        <v>36.200000000000003</v>
      </c>
      <c r="K13" s="102">
        <v>254.1</v>
      </c>
      <c r="L13" s="102">
        <v>69.7</v>
      </c>
      <c r="M13" s="102">
        <v>55.2</v>
      </c>
      <c r="N13" s="102">
        <f t="shared" si="1"/>
        <v>288.29999999999995</v>
      </c>
      <c r="O13" s="102">
        <f t="shared" si="2"/>
        <v>615.00000000000011</v>
      </c>
      <c r="P13" s="102">
        <f t="shared" si="3"/>
        <v>379</v>
      </c>
      <c r="Q13" s="102">
        <f t="shared" si="4"/>
        <v>1282.3000000000002</v>
      </c>
    </row>
    <row r="14" spans="1:33">
      <c r="A14" s="102">
        <v>1966</v>
      </c>
      <c r="B14" s="102">
        <v>33.700000000000003</v>
      </c>
      <c r="C14" s="102">
        <v>20.9</v>
      </c>
      <c r="D14" s="102">
        <v>28.5</v>
      </c>
      <c r="E14" s="102">
        <v>161.4</v>
      </c>
      <c r="F14" s="102">
        <v>178.5</v>
      </c>
      <c r="G14" s="102">
        <v>311.89999999999998</v>
      </c>
      <c r="H14" s="102">
        <v>262.39999999999998</v>
      </c>
      <c r="I14" s="102">
        <v>19.7</v>
      </c>
      <c r="J14" s="102">
        <v>17.2</v>
      </c>
      <c r="K14" s="102">
        <v>171.9</v>
      </c>
      <c r="L14" s="102">
        <v>8.4</v>
      </c>
      <c r="M14" s="102">
        <v>26.3</v>
      </c>
      <c r="N14" s="102">
        <f t="shared" si="1"/>
        <v>244.5</v>
      </c>
      <c r="O14" s="102">
        <f t="shared" si="2"/>
        <v>789.7</v>
      </c>
      <c r="P14" s="102">
        <f t="shared" si="3"/>
        <v>206.60000000000002</v>
      </c>
      <c r="Q14" s="102">
        <f t="shared" si="4"/>
        <v>1240.8000000000002</v>
      </c>
    </row>
    <row r="15" spans="1:33">
      <c r="A15" s="102">
        <v>1967</v>
      </c>
      <c r="B15" s="102">
        <v>7.4</v>
      </c>
      <c r="C15" s="102">
        <v>41.4</v>
      </c>
      <c r="D15" s="102">
        <v>76.900000000000006</v>
      </c>
      <c r="E15" s="102">
        <v>122.4</v>
      </c>
      <c r="F15" s="102">
        <v>191.1</v>
      </c>
      <c r="G15" s="102">
        <v>136.69999999999999</v>
      </c>
      <c r="H15" s="102">
        <v>185.1</v>
      </c>
      <c r="I15" s="102">
        <v>190.7</v>
      </c>
      <c r="J15" s="102">
        <v>131.69999999999999</v>
      </c>
      <c r="K15" s="102">
        <v>44.6</v>
      </c>
      <c r="L15" s="102">
        <v>103.7</v>
      </c>
      <c r="M15" s="102">
        <v>53.2</v>
      </c>
      <c r="N15" s="102">
        <f t="shared" si="1"/>
        <v>248.10000000000002</v>
      </c>
      <c r="O15" s="102">
        <f t="shared" si="2"/>
        <v>835.3</v>
      </c>
      <c r="P15" s="102">
        <f t="shared" si="3"/>
        <v>201.5</v>
      </c>
      <c r="Q15" s="102">
        <f t="shared" si="4"/>
        <v>1284.9000000000001</v>
      </c>
    </row>
    <row r="16" spans="1:33">
      <c r="A16" s="102">
        <v>1968</v>
      </c>
      <c r="B16" s="102">
        <v>19.600000000000001</v>
      </c>
      <c r="C16" s="102">
        <v>24.5</v>
      </c>
      <c r="D16" s="102">
        <v>34.200000000000003</v>
      </c>
      <c r="E16" s="102">
        <v>124.4</v>
      </c>
      <c r="F16" s="102">
        <v>109</v>
      </c>
      <c r="G16" s="102">
        <v>293.5</v>
      </c>
      <c r="H16" s="102">
        <v>415</v>
      </c>
      <c r="I16" s="102">
        <v>299.8</v>
      </c>
      <c r="J16" s="102">
        <v>43.4</v>
      </c>
      <c r="K16" s="102">
        <v>35.6</v>
      </c>
      <c r="L16" s="102">
        <v>83.3</v>
      </c>
      <c r="M16" s="102">
        <v>27.4</v>
      </c>
      <c r="N16" s="102">
        <f t="shared" si="1"/>
        <v>202.70000000000002</v>
      </c>
      <c r="O16" s="102">
        <f t="shared" si="2"/>
        <v>1160.7</v>
      </c>
      <c r="P16" s="102">
        <f t="shared" si="3"/>
        <v>146.30000000000001</v>
      </c>
      <c r="Q16" s="102">
        <f t="shared" si="4"/>
        <v>1509.7</v>
      </c>
    </row>
    <row r="17" spans="1:17">
      <c r="A17" s="102">
        <v>1969</v>
      </c>
      <c r="B17" s="102">
        <v>38.299999999999997</v>
      </c>
      <c r="C17" s="102">
        <v>3.9</v>
      </c>
      <c r="D17" s="102">
        <v>16</v>
      </c>
      <c r="E17" s="102">
        <v>77.400000000000006</v>
      </c>
      <c r="F17" s="102">
        <v>94.7</v>
      </c>
      <c r="G17" s="102">
        <v>248.2</v>
      </c>
      <c r="H17" s="102">
        <v>248.4</v>
      </c>
      <c r="I17" s="102">
        <v>255.2</v>
      </c>
      <c r="J17" s="102">
        <v>2.1</v>
      </c>
      <c r="K17" s="102">
        <v>45.4</v>
      </c>
      <c r="L17" s="102">
        <v>53.6</v>
      </c>
      <c r="M17" s="102">
        <v>0.7</v>
      </c>
      <c r="N17" s="102">
        <f t="shared" si="1"/>
        <v>135.6</v>
      </c>
      <c r="O17" s="102">
        <f t="shared" si="2"/>
        <v>848.6</v>
      </c>
      <c r="P17" s="102">
        <f t="shared" si="3"/>
        <v>99.7</v>
      </c>
      <c r="Q17" s="102">
        <f t="shared" si="4"/>
        <v>1083.8999999999999</v>
      </c>
    </row>
    <row r="18" spans="1:17">
      <c r="A18" s="102">
        <v>1970</v>
      </c>
      <c r="B18" s="102">
        <v>32.700000000000003</v>
      </c>
      <c r="C18" s="102">
        <v>40.1</v>
      </c>
      <c r="D18" s="102">
        <v>160.9</v>
      </c>
      <c r="E18" s="102">
        <v>162.5</v>
      </c>
      <c r="F18" s="102">
        <v>145.30000000000001</v>
      </c>
      <c r="G18" s="102">
        <v>157</v>
      </c>
      <c r="H18" s="102">
        <v>258.39999999999998</v>
      </c>
      <c r="I18" s="102">
        <v>98.6</v>
      </c>
      <c r="J18" s="102">
        <v>69.2</v>
      </c>
      <c r="K18" s="102">
        <v>20.100000000000001</v>
      </c>
      <c r="L18" s="102">
        <v>23.8</v>
      </c>
      <c r="M18" s="102">
        <v>65.7</v>
      </c>
      <c r="N18" s="102">
        <f t="shared" si="1"/>
        <v>396.20000000000005</v>
      </c>
      <c r="O18" s="102">
        <f t="shared" si="2"/>
        <v>728.50000000000011</v>
      </c>
      <c r="P18" s="102">
        <f t="shared" si="3"/>
        <v>109.60000000000001</v>
      </c>
      <c r="Q18" s="102">
        <f t="shared" si="4"/>
        <v>1234.3</v>
      </c>
    </row>
    <row r="19" spans="1:17">
      <c r="A19" s="102">
        <v>1971</v>
      </c>
      <c r="B19" s="102">
        <v>33.200000000000003</v>
      </c>
      <c r="C19" s="102">
        <v>22.5</v>
      </c>
      <c r="D19" s="102">
        <v>20.9</v>
      </c>
      <c r="E19" s="102">
        <v>121.1</v>
      </c>
      <c r="F19" s="102">
        <v>126.2</v>
      </c>
      <c r="G19" s="102">
        <v>317.60000000000002</v>
      </c>
      <c r="H19" s="102">
        <v>35.5</v>
      </c>
      <c r="I19" s="102">
        <v>276.2</v>
      </c>
      <c r="J19" s="102">
        <v>43.6</v>
      </c>
      <c r="K19" s="102">
        <v>75.900000000000006</v>
      </c>
      <c r="L19" s="102">
        <v>13.5</v>
      </c>
      <c r="M19" s="102">
        <v>39.9</v>
      </c>
      <c r="N19" s="102">
        <f t="shared" si="1"/>
        <v>197.7</v>
      </c>
      <c r="O19" s="102">
        <f t="shared" si="2"/>
        <v>799.1</v>
      </c>
      <c r="P19" s="102">
        <f t="shared" si="3"/>
        <v>129.30000000000001</v>
      </c>
      <c r="Q19" s="102">
        <f t="shared" si="4"/>
        <v>1126.1000000000001</v>
      </c>
    </row>
    <row r="20" spans="1:17">
      <c r="A20" s="102">
        <v>1972</v>
      </c>
      <c r="B20" s="102">
        <v>16.3</v>
      </c>
      <c r="C20" s="102">
        <v>39.700000000000003</v>
      </c>
      <c r="D20" s="102">
        <v>158.5</v>
      </c>
      <c r="E20" s="102">
        <v>170.9</v>
      </c>
      <c r="F20" s="102">
        <v>246.9</v>
      </c>
      <c r="G20" s="102">
        <v>129.6</v>
      </c>
      <c r="H20" s="102">
        <v>19.3</v>
      </c>
      <c r="I20" s="102">
        <v>51.4</v>
      </c>
      <c r="J20" s="102">
        <v>157.5</v>
      </c>
      <c r="K20" s="102">
        <v>239</v>
      </c>
      <c r="L20" s="102">
        <v>114.4</v>
      </c>
      <c r="M20" s="102">
        <v>56.9</v>
      </c>
      <c r="N20" s="102">
        <f t="shared" si="1"/>
        <v>385.4</v>
      </c>
      <c r="O20" s="102">
        <f t="shared" si="2"/>
        <v>604.70000000000005</v>
      </c>
      <c r="P20" s="102">
        <f t="shared" si="3"/>
        <v>410.29999999999995</v>
      </c>
      <c r="Q20" s="102">
        <f t="shared" si="4"/>
        <v>1400.4</v>
      </c>
    </row>
    <row r="21" spans="1:17">
      <c r="A21" s="102">
        <v>1973</v>
      </c>
      <c r="B21" s="102">
        <v>42.2</v>
      </c>
      <c r="C21" s="102">
        <v>29.4</v>
      </c>
      <c r="D21" s="102">
        <v>27.1</v>
      </c>
      <c r="E21" s="102">
        <v>180.5</v>
      </c>
      <c r="F21" s="102">
        <v>282.10000000000002</v>
      </c>
      <c r="G21" s="102">
        <v>104.5</v>
      </c>
      <c r="H21" s="102">
        <v>172.4</v>
      </c>
      <c r="I21" s="102">
        <v>176.3</v>
      </c>
      <c r="J21" s="102">
        <v>128.19999999999999</v>
      </c>
      <c r="K21" s="102">
        <v>104.5</v>
      </c>
      <c r="L21" s="102">
        <v>27.5</v>
      </c>
      <c r="M21" s="102">
        <v>1.4</v>
      </c>
      <c r="N21" s="102">
        <f t="shared" si="1"/>
        <v>279.2</v>
      </c>
      <c r="O21" s="102">
        <f t="shared" si="2"/>
        <v>863.5</v>
      </c>
      <c r="P21" s="102">
        <f t="shared" si="3"/>
        <v>133.4</v>
      </c>
      <c r="Q21" s="102">
        <f t="shared" si="4"/>
        <v>1276.1000000000001</v>
      </c>
    </row>
    <row r="22" spans="1:17">
      <c r="A22" s="102">
        <v>1974</v>
      </c>
      <c r="B22" s="102">
        <v>72.900000000000006</v>
      </c>
      <c r="C22" s="102">
        <v>47</v>
      </c>
      <c r="D22" s="102">
        <v>61</v>
      </c>
      <c r="E22" s="102">
        <v>125</v>
      </c>
      <c r="F22" s="102">
        <v>118</v>
      </c>
      <c r="G22" s="102">
        <v>328.5</v>
      </c>
      <c r="H22" s="102">
        <v>319.2</v>
      </c>
      <c r="I22" s="102">
        <v>72.8</v>
      </c>
      <c r="J22" s="102">
        <v>41.8</v>
      </c>
      <c r="K22" s="102">
        <v>25.2</v>
      </c>
      <c r="L22" s="102">
        <v>10.9</v>
      </c>
      <c r="M22" s="102">
        <v>16.899999999999999</v>
      </c>
      <c r="N22" s="102">
        <f t="shared" si="1"/>
        <v>305.89999999999998</v>
      </c>
      <c r="O22" s="102">
        <f t="shared" si="2"/>
        <v>880.3</v>
      </c>
      <c r="P22" s="102">
        <f t="shared" si="3"/>
        <v>53</v>
      </c>
      <c r="Q22" s="102">
        <f t="shared" si="4"/>
        <v>1239.2</v>
      </c>
    </row>
    <row r="23" spans="1:17">
      <c r="A23" s="102">
        <v>1975</v>
      </c>
      <c r="B23" s="102">
        <v>20.9</v>
      </c>
      <c r="C23" s="102">
        <v>43</v>
      </c>
      <c r="D23" s="102">
        <v>45.6</v>
      </c>
      <c r="E23" s="102">
        <v>259.39999999999998</v>
      </c>
      <c r="F23" s="102">
        <v>286.60000000000002</v>
      </c>
      <c r="G23" s="102">
        <v>171.5</v>
      </c>
      <c r="H23" s="102">
        <v>137.9</v>
      </c>
      <c r="I23" s="102">
        <v>141.4</v>
      </c>
      <c r="J23" s="102">
        <v>80.7</v>
      </c>
      <c r="K23" s="102">
        <v>33.799999999999997</v>
      </c>
      <c r="L23" s="102">
        <v>65.2</v>
      </c>
      <c r="M23" s="102">
        <v>2.2000000000000002</v>
      </c>
      <c r="N23" s="102">
        <f t="shared" si="1"/>
        <v>368.9</v>
      </c>
      <c r="O23" s="102">
        <f t="shared" si="2"/>
        <v>818.1</v>
      </c>
      <c r="P23" s="102">
        <f t="shared" si="3"/>
        <v>101.2</v>
      </c>
      <c r="Q23" s="102">
        <f t="shared" si="4"/>
        <v>1288.2</v>
      </c>
    </row>
    <row r="24" spans="1:17">
      <c r="A24" s="102">
        <v>1976</v>
      </c>
      <c r="B24" s="102">
        <v>38.5</v>
      </c>
      <c r="C24" s="102">
        <v>26.4</v>
      </c>
      <c r="D24" s="102">
        <v>42.5</v>
      </c>
      <c r="E24" s="102">
        <v>107.5</v>
      </c>
      <c r="F24" s="102">
        <v>205.8</v>
      </c>
      <c r="G24" s="102">
        <v>251.4</v>
      </c>
      <c r="H24" s="102">
        <v>135.4</v>
      </c>
      <c r="I24" s="102">
        <v>48.3</v>
      </c>
      <c r="J24" s="102">
        <v>77.400000000000006</v>
      </c>
      <c r="K24" s="102">
        <v>157.19999999999999</v>
      </c>
      <c r="L24" s="102">
        <v>76.3</v>
      </c>
      <c r="M24" s="102">
        <v>11.7</v>
      </c>
      <c r="N24" s="102">
        <f t="shared" si="1"/>
        <v>214.9</v>
      </c>
      <c r="O24" s="102">
        <f t="shared" si="2"/>
        <v>718.3</v>
      </c>
      <c r="P24" s="102">
        <f t="shared" si="3"/>
        <v>245.2</v>
      </c>
      <c r="Q24" s="102">
        <f t="shared" si="4"/>
        <v>1178.3999999999999</v>
      </c>
    </row>
    <row r="25" spans="1:17">
      <c r="A25" s="102">
        <v>1977</v>
      </c>
      <c r="B25" s="102">
        <v>24.5</v>
      </c>
      <c r="C25" s="102">
        <v>22.6</v>
      </c>
      <c r="D25" s="102">
        <v>35.9</v>
      </c>
      <c r="E25" s="102">
        <v>100.8</v>
      </c>
      <c r="F25" s="102">
        <v>324.39999999999998</v>
      </c>
      <c r="G25" s="102">
        <v>262.10000000000002</v>
      </c>
      <c r="H25" s="102">
        <v>90.6</v>
      </c>
      <c r="I25" s="102">
        <v>162.4</v>
      </c>
      <c r="J25" s="102">
        <v>85.1</v>
      </c>
      <c r="K25" s="102">
        <v>241.1</v>
      </c>
      <c r="L25" s="102">
        <v>49.6</v>
      </c>
      <c r="M25" s="102">
        <v>11.7</v>
      </c>
      <c r="N25" s="102">
        <f t="shared" si="1"/>
        <v>183.8</v>
      </c>
      <c r="O25" s="102">
        <f t="shared" si="2"/>
        <v>924.6</v>
      </c>
      <c r="P25" s="102">
        <f t="shared" si="3"/>
        <v>302.39999999999998</v>
      </c>
      <c r="Q25" s="102">
        <f t="shared" si="4"/>
        <v>1410.7999999999997</v>
      </c>
    </row>
    <row r="26" spans="1:17">
      <c r="A26" s="102">
        <v>1978</v>
      </c>
      <c r="B26" s="102">
        <v>43.5</v>
      </c>
      <c r="C26" s="102">
        <v>10.9</v>
      </c>
      <c r="D26" s="102">
        <v>53.4</v>
      </c>
      <c r="E26" s="102">
        <v>68.900000000000006</v>
      </c>
      <c r="F26" s="102">
        <v>293.60000000000002</v>
      </c>
      <c r="G26" s="102">
        <v>198.6</v>
      </c>
      <c r="H26" s="102">
        <v>66.8</v>
      </c>
      <c r="I26" s="102">
        <v>98</v>
      </c>
      <c r="J26" s="102">
        <v>80.5</v>
      </c>
      <c r="K26" s="102">
        <v>147.80000000000001</v>
      </c>
      <c r="L26" s="102">
        <v>174.1</v>
      </c>
      <c r="M26" s="102">
        <v>14.8</v>
      </c>
      <c r="N26" s="102">
        <f t="shared" si="1"/>
        <v>176.7</v>
      </c>
      <c r="O26" s="102">
        <f t="shared" si="2"/>
        <v>737.5</v>
      </c>
      <c r="P26" s="102">
        <f t="shared" si="3"/>
        <v>336.7</v>
      </c>
      <c r="Q26" s="102">
        <f t="shared" si="4"/>
        <v>1250.8999999999999</v>
      </c>
    </row>
    <row r="27" spans="1:17">
      <c r="A27" s="102">
        <v>1979</v>
      </c>
      <c r="B27" s="102">
        <v>36.700000000000003</v>
      </c>
      <c r="C27" s="102">
        <v>39.799999999999997</v>
      </c>
      <c r="D27" s="102">
        <v>25</v>
      </c>
      <c r="E27" s="102">
        <v>120.6</v>
      </c>
      <c r="F27" s="102">
        <v>199.4</v>
      </c>
      <c r="G27" s="102">
        <v>272.8</v>
      </c>
      <c r="H27" s="102">
        <v>321.60000000000002</v>
      </c>
      <c r="I27" s="102">
        <v>306.7</v>
      </c>
      <c r="J27" s="102">
        <v>61.4</v>
      </c>
      <c r="K27" s="102">
        <v>25.5</v>
      </c>
      <c r="L27" s="102">
        <v>6.2</v>
      </c>
      <c r="M27" s="102">
        <v>28.3</v>
      </c>
      <c r="N27" s="102">
        <f t="shared" si="1"/>
        <v>222.1</v>
      </c>
      <c r="O27" s="102">
        <f t="shared" si="2"/>
        <v>1161.9000000000001</v>
      </c>
      <c r="P27" s="102">
        <f t="shared" si="3"/>
        <v>60</v>
      </c>
      <c r="Q27" s="102">
        <f t="shared" si="4"/>
        <v>1444</v>
      </c>
    </row>
    <row r="28" spans="1:17">
      <c r="A28" s="102">
        <v>1980</v>
      </c>
      <c r="B28" s="102">
        <v>36.6</v>
      </c>
      <c r="C28" s="102">
        <v>65</v>
      </c>
      <c r="D28" s="102">
        <v>73.2</v>
      </c>
      <c r="E28" s="102">
        <v>112.3</v>
      </c>
      <c r="F28" s="102">
        <v>263.3</v>
      </c>
      <c r="G28" s="102">
        <v>106</v>
      </c>
      <c r="H28" s="102">
        <v>253.6</v>
      </c>
      <c r="I28" s="102">
        <v>179.7</v>
      </c>
      <c r="J28" s="102">
        <v>42.6</v>
      </c>
      <c r="K28" s="102">
        <v>124.2</v>
      </c>
      <c r="L28" s="102">
        <v>24.6</v>
      </c>
      <c r="M28" s="102">
        <v>58</v>
      </c>
      <c r="N28" s="102">
        <f t="shared" si="1"/>
        <v>287.10000000000002</v>
      </c>
      <c r="O28" s="102">
        <f t="shared" si="2"/>
        <v>845.19999999999993</v>
      </c>
      <c r="P28" s="102">
        <f t="shared" si="3"/>
        <v>206.8</v>
      </c>
      <c r="Q28" s="102">
        <f t="shared" si="4"/>
        <v>1339.1</v>
      </c>
    </row>
    <row r="29" spans="1:17">
      <c r="A29" s="102">
        <v>1981</v>
      </c>
      <c r="B29" s="102">
        <v>45.9</v>
      </c>
      <c r="C29" s="102">
        <v>17.2</v>
      </c>
      <c r="D29" s="102">
        <v>60.3</v>
      </c>
      <c r="E29" s="102">
        <v>139.6</v>
      </c>
      <c r="F29" s="102">
        <v>169.4</v>
      </c>
      <c r="G29" s="102">
        <v>101.2</v>
      </c>
      <c r="H29" s="102">
        <v>91.1</v>
      </c>
      <c r="I29" s="102">
        <v>41.8</v>
      </c>
      <c r="J29" s="102">
        <v>43.6</v>
      </c>
      <c r="K29" s="102">
        <v>41.6</v>
      </c>
      <c r="L29" s="102">
        <v>91.9</v>
      </c>
      <c r="M29" s="102">
        <v>0.4</v>
      </c>
      <c r="N29" s="102">
        <f t="shared" si="1"/>
        <v>263</v>
      </c>
      <c r="O29" s="102">
        <f t="shared" si="2"/>
        <v>447.10000000000008</v>
      </c>
      <c r="P29" s="102">
        <f t="shared" si="3"/>
        <v>133.9</v>
      </c>
      <c r="Q29" s="102">
        <f t="shared" si="4"/>
        <v>844</v>
      </c>
    </row>
    <row r="30" spans="1:17">
      <c r="A30" s="102">
        <v>1982</v>
      </c>
      <c r="B30" s="102">
        <v>31.2</v>
      </c>
      <c r="C30" s="102">
        <v>90.6</v>
      </c>
      <c r="D30" s="102">
        <v>39.6</v>
      </c>
      <c r="E30" s="102">
        <v>135.6</v>
      </c>
      <c r="F30" s="102">
        <v>136.6</v>
      </c>
      <c r="G30" s="102">
        <v>276.2</v>
      </c>
      <c r="H30" s="102">
        <v>161.80000000000001</v>
      </c>
      <c r="I30" s="102">
        <v>129.19999999999999</v>
      </c>
      <c r="J30" s="102">
        <v>227</v>
      </c>
      <c r="K30" s="102">
        <v>69.2</v>
      </c>
      <c r="L30" s="102">
        <v>95.4</v>
      </c>
      <c r="M30" s="102">
        <v>13.6</v>
      </c>
      <c r="N30" s="102">
        <f t="shared" si="1"/>
        <v>297</v>
      </c>
      <c r="O30" s="102">
        <f t="shared" si="2"/>
        <v>930.8</v>
      </c>
      <c r="P30" s="102">
        <f t="shared" si="3"/>
        <v>178.20000000000002</v>
      </c>
      <c r="Q30" s="102">
        <f t="shared" si="4"/>
        <v>1406</v>
      </c>
    </row>
    <row r="31" spans="1:17">
      <c r="A31" s="102">
        <v>1983</v>
      </c>
      <c r="B31" s="102">
        <v>66.099999999999994</v>
      </c>
      <c r="C31" s="102">
        <v>84.4</v>
      </c>
      <c r="D31" s="102">
        <v>28.5</v>
      </c>
      <c r="E31" s="102">
        <v>166.1</v>
      </c>
      <c r="F31" s="102">
        <v>216.3</v>
      </c>
      <c r="G31" s="102">
        <v>226.9</v>
      </c>
      <c r="H31" s="102">
        <v>66.900000000000006</v>
      </c>
      <c r="I31" s="102">
        <v>134.69999999999999</v>
      </c>
      <c r="J31" s="102">
        <v>75</v>
      </c>
      <c r="K31" s="102">
        <v>73.900000000000006</v>
      </c>
      <c r="L31" s="102">
        <v>50.9</v>
      </c>
      <c r="M31" s="102">
        <v>55.3</v>
      </c>
      <c r="N31" s="102">
        <f t="shared" si="1"/>
        <v>345.1</v>
      </c>
      <c r="O31" s="102">
        <f t="shared" si="2"/>
        <v>719.8</v>
      </c>
      <c r="P31" s="102">
        <f t="shared" si="3"/>
        <v>180.10000000000002</v>
      </c>
      <c r="Q31" s="102">
        <f t="shared" si="4"/>
        <v>1245.0000000000002</v>
      </c>
    </row>
    <row r="32" spans="1:17">
      <c r="A32" s="102">
        <v>1984</v>
      </c>
      <c r="B32" s="102">
        <v>32.1</v>
      </c>
      <c r="C32" s="102">
        <v>11.3</v>
      </c>
      <c r="D32" s="102">
        <v>28.1</v>
      </c>
      <c r="E32" s="102">
        <v>99.8</v>
      </c>
      <c r="F32" s="102">
        <v>273.5</v>
      </c>
      <c r="G32" s="102">
        <v>95.1</v>
      </c>
      <c r="H32" s="102">
        <v>151</v>
      </c>
      <c r="I32" s="102">
        <v>101.2</v>
      </c>
      <c r="J32" s="102">
        <v>72.5</v>
      </c>
      <c r="K32" s="102">
        <v>106.9</v>
      </c>
      <c r="L32" s="102">
        <v>15.7</v>
      </c>
      <c r="M32" s="102">
        <v>55.4</v>
      </c>
      <c r="N32" s="102">
        <f t="shared" si="1"/>
        <v>171.3</v>
      </c>
      <c r="O32" s="102">
        <f t="shared" si="2"/>
        <v>693.30000000000007</v>
      </c>
      <c r="P32" s="102">
        <f t="shared" si="3"/>
        <v>178</v>
      </c>
      <c r="Q32" s="102">
        <f t="shared" si="4"/>
        <v>1042.6000000000001</v>
      </c>
    </row>
    <row r="33" spans="1:17">
      <c r="A33" s="102">
        <v>1985</v>
      </c>
      <c r="B33" s="102">
        <v>23.8</v>
      </c>
      <c r="C33" s="102">
        <v>51.8</v>
      </c>
      <c r="D33" s="102">
        <v>50.9</v>
      </c>
      <c r="E33" s="102">
        <v>113.6</v>
      </c>
      <c r="F33" s="102">
        <v>231.8</v>
      </c>
      <c r="G33" s="102">
        <v>85.3</v>
      </c>
      <c r="H33" s="102">
        <v>70</v>
      </c>
      <c r="I33" s="102">
        <v>142.69999999999999</v>
      </c>
      <c r="J33" s="102">
        <v>34.200000000000003</v>
      </c>
      <c r="K33" s="102">
        <v>54.9</v>
      </c>
      <c r="L33" s="102">
        <v>70.7</v>
      </c>
      <c r="M33" s="102">
        <v>23.3</v>
      </c>
      <c r="N33" s="102">
        <f t="shared" si="1"/>
        <v>240.1</v>
      </c>
      <c r="O33" s="102">
        <f t="shared" si="2"/>
        <v>564</v>
      </c>
      <c r="P33" s="102">
        <f t="shared" si="3"/>
        <v>148.9</v>
      </c>
      <c r="Q33" s="102">
        <f t="shared" si="4"/>
        <v>952.99999999999989</v>
      </c>
    </row>
    <row r="34" spans="1:17">
      <c r="A34" s="102">
        <v>1986</v>
      </c>
      <c r="B34" s="102">
        <v>19.3</v>
      </c>
      <c r="C34" s="102">
        <v>22.3</v>
      </c>
      <c r="D34" s="102">
        <v>67.099999999999994</v>
      </c>
      <c r="E34" s="102">
        <v>80</v>
      </c>
      <c r="F34" s="102">
        <v>88.8</v>
      </c>
      <c r="G34" s="102">
        <v>142.4</v>
      </c>
      <c r="H34" s="102">
        <v>166.3</v>
      </c>
      <c r="I34" s="102">
        <v>42.3</v>
      </c>
      <c r="J34" s="102">
        <v>88.3</v>
      </c>
      <c r="K34" s="102">
        <v>88.9</v>
      </c>
      <c r="L34" s="102">
        <v>40.4</v>
      </c>
      <c r="M34" s="102">
        <v>6.4</v>
      </c>
      <c r="N34" s="102">
        <f t="shared" si="1"/>
        <v>188.7</v>
      </c>
      <c r="O34" s="102">
        <f t="shared" si="2"/>
        <v>528.1</v>
      </c>
      <c r="P34" s="102">
        <f t="shared" si="3"/>
        <v>135.70000000000002</v>
      </c>
      <c r="Q34" s="102">
        <f t="shared" si="4"/>
        <v>852.49999999999989</v>
      </c>
    </row>
    <row r="35" spans="1:17">
      <c r="A35" s="102">
        <v>1987</v>
      </c>
      <c r="B35" s="102">
        <v>63.4</v>
      </c>
      <c r="C35" s="102">
        <v>19.600000000000001</v>
      </c>
      <c r="D35" s="102">
        <v>54.5</v>
      </c>
      <c r="E35" s="102">
        <v>56.9</v>
      </c>
      <c r="F35" s="102">
        <v>190</v>
      </c>
      <c r="G35" s="102">
        <v>209.2</v>
      </c>
      <c r="H35" s="102">
        <v>130.6</v>
      </c>
      <c r="I35" s="102">
        <v>95.2</v>
      </c>
      <c r="J35" s="102">
        <v>63.3</v>
      </c>
      <c r="K35" s="102">
        <v>67.599999999999994</v>
      </c>
      <c r="L35" s="102">
        <v>83.3</v>
      </c>
      <c r="M35" s="102">
        <v>1.3</v>
      </c>
      <c r="N35" s="102">
        <f t="shared" si="1"/>
        <v>194.4</v>
      </c>
      <c r="O35" s="102">
        <f t="shared" si="2"/>
        <v>688.3</v>
      </c>
      <c r="P35" s="102">
        <f t="shared" si="3"/>
        <v>152.19999999999999</v>
      </c>
      <c r="Q35" s="102">
        <f t="shared" si="4"/>
        <v>1034.8999999999999</v>
      </c>
    </row>
    <row r="36" spans="1:17">
      <c r="A36" s="102">
        <v>1988</v>
      </c>
      <c r="B36" s="102">
        <v>31.1</v>
      </c>
      <c r="C36" s="102">
        <v>74.8</v>
      </c>
      <c r="D36" s="102">
        <v>58.6</v>
      </c>
      <c r="E36" s="102">
        <v>107.9</v>
      </c>
      <c r="F36" s="102">
        <v>149.5</v>
      </c>
      <c r="G36" s="102">
        <v>301.5</v>
      </c>
      <c r="H36" s="102">
        <v>124.6</v>
      </c>
      <c r="I36" s="102">
        <v>378.4</v>
      </c>
      <c r="J36" s="102">
        <v>129.69999999999999</v>
      </c>
      <c r="K36" s="102">
        <v>33.1</v>
      </c>
      <c r="L36" s="102">
        <v>1.9</v>
      </c>
      <c r="M36" s="102">
        <v>3.6</v>
      </c>
      <c r="N36" s="102">
        <f t="shared" si="1"/>
        <v>272.39999999999998</v>
      </c>
      <c r="O36" s="102">
        <f t="shared" si="2"/>
        <v>1083.7</v>
      </c>
      <c r="P36" s="102">
        <f t="shared" si="3"/>
        <v>38.6</v>
      </c>
      <c r="Q36" s="102">
        <f t="shared" si="4"/>
        <v>1394.7</v>
      </c>
    </row>
    <row r="37" spans="1:17">
      <c r="A37" s="102">
        <v>1989</v>
      </c>
      <c r="B37" s="102">
        <v>57.5</v>
      </c>
      <c r="C37" s="102">
        <v>40.4</v>
      </c>
      <c r="D37" s="102">
        <v>51.1</v>
      </c>
      <c r="E37" s="102">
        <v>56.1</v>
      </c>
      <c r="F37" s="102">
        <v>171</v>
      </c>
      <c r="G37" s="102">
        <v>251.9</v>
      </c>
      <c r="H37" s="102">
        <v>77.599999999999994</v>
      </c>
      <c r="I37" s="102">
        <v>59.7</v>
      </c>
      <c r="J37" s="102">
        <v>151.19999999999999</v>
      </c>
      <c r="K37" s="102">
        <v>111.1</v>
      </c>
      <c r="L37" s="102">
        <v>27</v>
      </c>
      <c r="M37" s="102">
        <v>23.7</v>
      </c>
      <c r="N37" s="102">
        <f t="shared" si="1"/>
        <v>205.1</v>
      </c>
      <c r="O37" s="102">
        <f t="shared" si="2"/>
        <v>711.40000000000009</v>
      </c>
      <c r="P37" s="102">
        <f t="shared" si="3"/>
        <v>161.79999999999998</v>
      </c>
      <c r="Q37" s="102">
        <f t="shared" si="4"/>
        <v>1078.3</v>
      </c>
    </row>
    <row r="38" spans="1:17">
      <c r="A38" s="102">
        <v>1990</v>
      </c>
      <c r="B38" s="102">
        <v>83.9</v>
      </c>
      <c r="C38" s="102">
        <v>45.1</v>
      </c>
      <c r="D38" s="102">
        <v>107.3</v>
      </c>
      <c r="E38" s="102">
        <v>146.6</v>
      </c>
      <c r="F38" s="102">
        <v>228.1</v>
      </c>
      <c r="G38" s="102">
        <v>360.3</v>
      </c>
      <c r="H38" s="102">
        <v>72.5</v>
      </c>
      <c r="I38" s="102">
        <v>64.5</v>
      </c>
      <c r="J38" s="102">
        <v>98.5</v>
      </c>
      <c r="K38" s="102">
        <v>87.5</v>
      </c>
      <c r="L38" s="102">
        <v>74.2</v>
      </c>
      <c r="M38" s="102">
        <v>23.1</v>
      </c>
      <c r="N38" s="102">
        <f t="shared" si="1"/>
        <v>382.9</v>
      </c>
      <c r="O38" s="102">
        <f t="shared" si="2"/>
        <v>823.9</v>
      </c>
      <c r="P38" s="102">
        <f t="shared" si="3"/>
        <v>184.79999999999998</v>
      </c>
      <c r="Q38" s="102">
        <f t="shared" si="4"/>
        <v>1391.6</v>
      </c>
    </row>
    <row r="39" spans="1:17">
      <c r="A39" s="102">
        <v>1991</v>
      </c>
      <c r="B39" s="102">
        <v>97.9</v>
      </c>
      <c r="C39" s="102">
        <v>78.8</v>
      </c>
      <c r="D39" s="102">
        <v>71.099999999999994</v>
      </c>
      <c r="E39" s="102">
        <v>50.1</v>
      </c>
      <c r="F39" s="102">
        <v>160.1</v>
      </c>
      <c r="G39" s="102">
        <v>169.7</v>
      </c>
      <c r="H39" s="102">
        <v>193.2</v>
      </c>
      <c r="I39" s="102">
        <v>84.7</v>
      </c>
      <c r="J39" s="102">
        <v>36</v>
      </c>
      <c r="K39" s="102">
        <v>103.5</v>
      </c>
      <c r="L39" s="102">
        <v>79.7</v>
      </c>
      <c r="M39" s="102">
        <v>36.5</v>
      </c>
      <c r="N39" s="102">
        <f t="shared" si="1"/>
        <v>297.89999999999998</v>
      </c>
      <c r="O39" s="102">
        <f t="shared" si="2"/>
        <v>643.70000000000005</v>
      </c>
      <c r="P39" s="102">
        <f t="shared" si="3"/>
        <v>219.7</v>
      </c>
      <c r="Q39" s="102">
        <f t="shared" si="4"/>
        <v>1161.3000000000002</v>
      </c>
    </row>
    <row r="40" spans="1:17">
      <c r="A40" s="102">
        <v>1992</v>
      </c>
      <c r="B40" s="102">
        <v>57.8</v>
      </c>
      <c r="C40" s="102">
        <v>79.7</v>
      </c>
      <c r="D40" s="102">
        <v>92.9</v>
      </c>
      <c r="E40" s="102">
        <v>121.9</v>
      </c>
      <c r="F40" s="102">
        <v>252.5</v>
      </c>
      <c r="G40" s="102">
        <v>135.4</v>
      </c>
      <c r="H40" s="102">
        <v>140.6</v>
      </c>
      <c r="I40" s="102">
        <v>6.6</v>
      </c>
      <c r="J40" s="102">
        <v>60.4</v>
      </c>
      <c r="K40" s="102">
        <v>31.8</v>
      </c>
      <c r="L40" s="102">
        <v>7.2</v>
      </c>
      <c r="M40" s="102">
        <v>54</v>
      </c>
      <c r="N40" s="102">
        <f t="shared" si="1"/>
        <v>352.3</v>
      </c>
      <c r="O40" s="102">
        <f t="shared" si="2"/>
        <v>595.5</v>
      </c>
      <c r="P40" s="102">
        <f t="shared" si="3"/>
        <v>93</v>
      </c>
      <c r="Q40" s="102">
        <f t="shared" si="4"/>
        <v>1040.8</v>
      </c>
    </row>
    <row r="41" spans="1:17">
      <c r="A41" s="102">
        <v>1993</v>
      </c>
      <c r="B41" s="102">
        <v>59.3</v>
      </c>
      <c r="C41" s="102">
        <v>92.8</v>
      </c>
      <c r="D41" s="102">
        <v>33</v>
      </c>
      <c r="E41" s="102">
        <v>130.6</v>
      </c>
      <c r="F41" s="102">
        <v>228.5</v>
      </c>
      <c r="G41" s="102">
        <v>233.8</v>
      </c>
      <c r="H41" s="102">
        <v>412.9</v>
      </c>
      <c r="I41" s="102">
        <v>113.2</v>
      </c>
      <c r="J41" s="102">
        <v>180.3</v>
      </c>
      <c r="K41" s="102">
        <v>45.6</v>
      </c>
      <c r="L41" s="102">
        <v>26.6</v>
      </c>
      <c r="M41" s="102">
        <v>20.399999999999999</v>
      </c>
      <c r="N41" s="102">
        <f t="shared" si="1"/>
        <v>315.7</v>
      </c>
      <c r="O41" s="102">
        <f t="shared" si="2"/>
        <v>1168.7</v>
      </c>
      <c r="P41" s="102">
        <f t="shared" si="3"/>
        <v>92.6</v>
      </c>
      <c r="Q41" s="102">
        <f t="shared" si="4"/>
        <v>1577</v>
      </c>
    </row>
    <row r="42" spans="1:17">
      <c r="A42" s="102">
        <v>1994</v>
      </c>
      <c r="B42" s="102">
        <v>20.100000000000001</v>
      </c>
      <c r="C42" s="102">
        <v>47.1</v>
      </c>
      <c r="D42" s="102">
        <v>67.400000000000006</v>
      </c>
      <c r="E42" s="102">
        <v>97.4</v>
      </c>
      <c r="F42" s="102">
        <v>219.4</v>
      </c>
      <c r="G42" s="102">
        <v>168.6</v>
      </c>
      <c r="H42" s="102">
        <v>203.4</v>
      </c>
      <c r="I42" s="102">
        <v>154.4</v>
      </c>
      <c r="J42" s="102">
        <v>73.099999999999994</v>
      </c>
      <c r="K42" s="102">
        <v>182.8</v>
      </c>
      <c r="L42" s="102">
        <v>44.9</v>
      </c>
      <c r="M42" s="102">
        <v>39.1</v>
      </c>
      <c r="N42" s="102">
        <f t="shared" si="1"/>
        <v>232.00000000000003</v>
      </c>
      <c r="O42" s="102">
        <f t="shared" si="2"/>
        <v>818.9</v>
      </c>
      <c r="P42" s="102">
        <f t="shared" si="3"/>
        <v>266.8</v>
      </c>
      <c r="Q42" s="102">
        <f t="shared" si="4"/>
        <v>1317.6999999999998</v>
      </c>
    </row>
    <row r="43" spans="1:17">
      <c r="A43" s="102">
        <v>1995</v>
      </c>
      <c r="B43" s="102">
        <v>47.6</v>
      </c>
      <c r="C43" s="102">
        <v>104.1</v>
      </c>
      <c r="D43" s="102">
        <v>49.9</v>
      </c>
      <c r="E43" s="102">
        <v>85.4</v>
      </c>
      <c r="F43" s="102">
        <v>149</v>
      </c>
      <c r="G43" s="102">
        <v>351.4</v>
      </c>
      <c r="H43" s="102">
        <v>94.2</v>
      </c>
      <c r="I43" s="102">
        <v>162.9</v>
      </c>
      <c r="J43" s="102">
        <v>117.6</v>
      </c>
      <c r="K43" s="102">
        <v>29.8</v>
      </c>
      <c r="L43" s="102">
        <v>58.3</v>
      </c>
      <c r="M43" s="102">
        <v>12</v>
      </c>
      <c r="N43" s="102">
        <f t="shared" si="1"/>
        <v>287</v>
      </c>
      <c r="O43" s="102">
        <f t="shared" si="2"/>
        <v>875.1</v>
      </c>
      <c r="P43" s="102">
        <f t="shared" si="3"/>
        <v>100.1</v>
      </c>
      <c r="Q43" s="102">
        <f t="shared" si="4"/>
        <v>1262.1999999999998</v>
      </c>
    </row>
    <row r="44" spans="1:17">
      <c r="A44" s="102">
        <v>1996</v>
      </c>
      <c r="B44" s="102">
        <v>32.6</v>
      </c>
      <c r="C44" s="102">
        <v>6.3</v>
      </c>
      <c r="D44" s="102">
        <v>105.5</v>
      </c>
      <c r="E44" s="102">
        <v>83.8</v>
      </c>
      <c r="F44" s="102">
        <v>352.3</v>
      </c>
      <c r="G44" s="102">
        <v>172</v>
      </c>
      <c r="H44" s="102">
        <v>455</v>
      </c>
      <c r="I44" s="102">
        <v>185.4</v>
      </c>
      <c r="J44" s="102">
        <v>11.1</v>
      </c>
      <c r="K44" s="102">
        <v>78.2</v>
      </c>
      <c r="L44" s="102">
        <v>68</v>
      </c>
      <c r="M44" s="102">
        <v>16.399999999999999</v>
      </c>
      <c r="N44" s="102">
        <f t="shared" si="1"/>
        <v>228.2</v>
      </c>
      <c r="O44" s="102">
        <f t="shared" si="2"/>
        <v>1175.8</v>
      </c>
      <c r="P44" s="102">
        <f t="shared" si="3"/>
        <v>162.6</v>
      </c>
      <c r="Q44" s="102">
        <f t="shared" si="4"/>
        <v>1566.6000000000001</v>
      </c>
    </row>
    <row r="45" spans="1:17">
      <c r="A45" s="102">
        <v>1997</v>
      </c>
      <c r="B45" s="102">
        <v>71.900000000000006</v>
      </c>
      <c r="C45" s="102">
        <v>63.4</v>
      </c>
      <c r="D45" s="102">
        <v>82.3</v>
      </c>
      <c r="E45" s="102">
        <v>126.4</v>
      </c>
      <c r="F45" s="102">
        <v>102</v>
      </c>
      <c r="G45" s="102">
        <v>276.3</v>
      </c>
      <c r="H45" s="102">
        <v>196</v>
      </c>
      <c r="I45" s="102">
        <v>207.2</v>
      </c>
      <c r="J45" s="102">
        <v>94.7</v>
      </c>
      <c r="K45" s="102">
        <v>231.9</v>
      </c>
      <c r="L45" s="102">
        <v>53</v>
      </c>
      <c r="M45" s="102">
        <v>66.400000000000006</v>
      </c>
      <c r="N45" s="102">
        <f t="shared" si="1"/>
        <v>344</v>
      </c>
      <c r="O45" s="102">
        <f t="shared" si="2"/>
        <v>876.2</v>
      </c>
      <c r="P45" s="102">
        <f t="shared" si="3"/>
        <v>351.29999999999995</v>
      </c>
      <c r="Q45" s="102">
        <f t="shared" si="4"/>
        <v>1571.5000000000002</v>
      </c>
    </row>
    <row r="46" spans="1:17">
      <c r="A46" s="102">
        <v>1998</v>
      </c>
      <c r="B46" s="102">
        <v>60</v>
      </c>
      <c r="C46" s="102">
        <v>78.099999999999994</v>
      </c>
      <c r="D46" s="102">
        <v>66.5</v>
      </c>
      <c r="E46" s="102">
        <v>145.69999999999999</v>
      </c>
      <c r="F46" s="102">
        <v>170.9</v>
      </c>
      <c r="G46" s="102">
        <v>118</v>
      </c>
      <c r="H46" s="102">
        <v>141.30000000000001</v>
      </c>
      <c r="I46" s="102">
        <v>82.1</v>
      </c>
      <c r="J46" s="102">
        <v>27.3</v>
      </c>
      <c r="K46" s="102">
        <v>63</v>
      </c>
      <c r="L46" s="102">
        <v>8.6999999999999993</v>
      </c>
      <c r="M46" s="102">
        <v>8.9</v>
      </c>
      <c r="N46" s="102">
        <f t="shared" si="1"/>
        <v>350.29999999999995</v>
      </c>
      <c r="O46" s="102">
        <f t="shared" si="2"/>
        <v>539.59999999999991</v>
      </c>
      <c r="P46" s="102">
        <f t="shared" si="3"/>
        <v>80.600000000000009</v>
      </c>
      <c r="Q46" s="102">
        <f t="shared" si="4"/>
        <v>970.5</v>
      </c>
    </row>
    <row r="47" spans="1:17">
      <c r="A47" s="102">
        <v>1999</v>
      </c>
      <c r="B47" s="102">
        <v>29.4</v>
      </c>
      <c r="C47" s="102">
        <v>8.6</v>
      </c>
      <c r="D47" s="102">
        <v>41.5</v>
      </c>
      <c r="E47" s="102">
        <v>51.4</v>
      </c>
      <c r="F47" s="102">
        <v>208.1</v>
      </c>
      <c r="G47" s="102">
        <v>113.8</v>
      </c>
      <c r="H47" s="102">
        <v>357.8</v>
      </c>
      <c r="I47" s="102">
        <v>267.39999999999998</v>
      </c>
      <c r="J47" s="102">
        <v>33.4</v>
      </c>
      <c r="K47" s="102">
        <v>85.5</v>
      </c>
      <c r="L47" s="102">
        <v>51.8</v>
      </c>
      <c r="M47" s="102">
        <v>1.4</v>
      </c>
      <c r="N47" s="102">
        <f t="shared" si="1"/>
        <v>130.9</v>
      </c>
      <c r="O47" s="102">
        <f t="shared" si="2"/>
        <v>980.5</v>
      </c>
      <c r="P47" s="102">
        <f t="shared" si="3"/>
        <v>138.70000000000002</v>
      </c>
      <c r="Q47" s="102">
        <f t="shared" si="4"/>
        <v>1250.1000000000001</v>
      </c>
    </row>
    <row r="48" spans="1:17">
      <c r="A48" s="102">
        <v>2000</v>
      </c>
      <c r="B48" s="102">
        <v>24.5</v>
      </c>
      <c r="C48" s="102">
        <v>36.6</v>
      </c>
      <c r="D48" s="102">
        <v>119.6</v>
      </c>
      <c r="E48" s="102">
        <v>115.2</v>
      </c>
      <c r="F48" s="102">
        <v>200.6</v>
      </c>
      <c r="G48" s="102">
        <v>525.79999999999995</v>
      </c>
      <c r="H48" s="102">
        <v>37</v>
      </c>
      <c r="I48" s="102">
        <v>113.1</v>
      </c>
      <c r="J48" s="102">
        <v>59</v>
      </c>
      <c r="K48" s="102">
        <v>105.9</v>
      </c>
      <c r="L48" s="102">
        <v>37.9</v>
      </c>
      <c r="M48" s="102">
        <v>36.6</v>
      </c>
      <c r="N48" s="102">
        <f t="shared" si="1"/>
        <v>295.89999999999998</v>
      </c>
      <c r="O48" s="102">
        <f t="shared" si="2"/>
        <v>935.5</v>
      </c>
      <c r="P48" s="102">
        <f t="shared" si="3"/>
        <v>180.4</v>
      </c>
      <c r="Q48" s="102">
        <f t="shared" si="4"/>
        <v>1411.8</v>
      </c>
    </row>
    <row r="49" spans="1:33">
      <c r="A49" s="102">
        <v>2001</v>
      </c>
      <c r="B49" s="102">
        <v>29.5</v>
      </c>
      <c r="C49" s="102">
        <v>20.100000000000001</v>
      </c>
      <c r="D49" s="102">
        <v>101.7</v>
      </c>
      <c r="E49" s="102">
        <v>118.6</v>
      </c>
      <c r="F49" s="102">
        <v>119.7</v>
      </c>
      <c r="G49" s="102">
        <v>242.6</v>
      </c>
      <c r="H49" s="102">
        <v>167.1</v>
      </c>
      <c r="I49" s="102">
        <v>76.400000000000006</v>
      </c>
      <c r="J49" s="102">
        <v>11.6</v>
      </c>
      <c r="K49" s="102">
        <v>105.7</v>
      </c>
      <c r="L49" s="102">
        <v>38.9</v>
      </c>
      <c r="M49" s="102">
        <v>22.5</v>
      </c>
      <c r="N49" s="102">
        <f t="shared" si="1"/>
        <v>269.89999999999998</v>
      </c>
      <c r="O49" s="102">
        <f t="shared" si="2"/>
        <v>617.4</v>
      </c>
      <c r="P49" s="102">
        <f t="shared" si="3"/>
        <v>167.1</v>
      </c>
      <c r="Q49" s="102">
        <f t="shared" si="4"/>
        <v>1054.4000000000001</v>
      </c>
    </row>
    <row r="50" spans="1:33">
      <c r="A50" s="102">
        <v>2002</v>
      </c>
      <c r="B50" s="102">
        <v>46.3</v>
      </c>
      <c r="C50" s="102">
        <v>36.5</v>
      </c>
      <c r="D50" s="102">
        <v>89.7</v>
      </c>
      <c r="E50" s="102">
        <v>123.1</v>
      </c>
      <c r="F50" s="102">
        <v>354.5</v>
      </c>
      <c r="G50" s="102">
        <v>194.1</v>
      </c>
      <c r="H50" s="102">
        <v>237.4</v>
      </c>
      <c r="I50" s="102">
        <v>208.7</v>
      </c>
      <c r="J50" s="102">
        <v>45.3</v>
      </c>
      <c r="K50" s="102">
        <v>139.19999999999999</v>
      </c>
      <c r="L50" s="102">
        <v>14.3</v>
      </c>
      <c r="M50" s="102">
        <v>65.900000000000006</v>
      </c>
      <c r="N50" s="102">
        <f t="shared" si="1"/>
        <v>295.60000000000002</v>
      </c>
      <c r="O50" s="102">
        <f t="shared" si="2"/>
        <v>1040</v>
      </c>
      <c r="P50" s="102">
        <f t="shared" si="3"/>
        <v>219.4</v>
      </c>
      <c r="Q50" s="102">
        <f t="shared" si="4"/>
        <v>1555.0000000000002</v>
      </c>
    </row>
    <row r="51" spans="1:33">
      <c r="A51" s="102">
        <v>2003</v>
      </c>
      <c r="B51" s="102">
        <v>62.8</v>
      </c>
      <c r="C51" s="102">
        <v>18.100000000000001</v>
      </c>
      <c r="D51" s="102">
        <v>69.7</v>
      </c>
      <c r="E51" s="102">
        <v>140.69999999999999</v>
      </c>
      <c r="F51" s="102">
        <v>217.2</v>
      </c>
      <c r="G51" s="102">
        <v>86.7</v>
      </c>
      <c r="H51" s="102">
        <v>64.900000000000006</v>
      </c>
      <c r="I51" s="102">
        <v>29</v>
      </c>
      <c r="J51" s="102">
        <v>66.7</v>
      </c>
      <c r="K51" s="102">
        <v>81.3</v>
      </c>
      <c r="L51" s="102">
        <v>4</v>
      </c>
      <c r="M51" s="102">
        <v>36.799999999999997</v>
      </c>
      <c r="N51" s="102">
        <f t="shared" si="1"/>
        <v>291.3</v>
      </c>
      <c r="O51" s="102">
        <f t="shared" si="2"/>
        <v>464.49999999999994</v>
      </c>
      <c r="P51" s="102">
        <f t="shared" si="3"/>
        <v>122.1</v>
      </c>
      <c r="Q51" s="102">
        <f t="shared" si="4"/>
        <v>877.9</v>
      </c>
    </row>
    <row r="52" spans="1:33">
      <c r="A52" s="102">
        <v>2004</v>
      </c>
      <c r="B52" s="103">
        <v>33.4</v>
      </c>
      <c r="C52" s="103">
        <v>43.9</v>
      </c>
      <c r="D52" s="103">
        <v>61.6</v>
      </c>
      <c r="E52" s="103">
        <v>183.7</v>
      </c>
      <c r="F52" s="103">
        <v>134.5</v>
      </c>
      <c r="G52" s="103">
        <v>122.1</v>
      </c>
      <c r="H52" s="103">
        <v>389.6</v>
      </c>
      <c r="I52" s="103">
        <v>98.4</v>
      </c>
      <c r="J52" s="103">
        <v>118</v>
      </c>
      <c r="K52" s="103">
        <v>1.9</v>
      </c>
      <c r="L52" s="103">
        <v>107.1</v>
      </c>
      <c r="M52" s="103">
        <v>25.4</v>
      </c>
      <c r="N52" s="102">
        <f t="shared" si="1"/>
        <v>322.60000000000002</v>
      </c>
      <c r="O52" s="102">
        <f t="shared" si="2"/>
        <v>862.6</v>
      </c>
      <c r="P52" s="102">
        <f t="shared" si="3"/>
        <v>134.4</v>
      </c>
      <c r="Q52" s="102">
        <f t="shared" si="4"/>
        <v>1319.6000000000001</v>
      </c>
    </row>
    <row r="53" spans="1:33">
      <c r="A53" s="102">
        <v>2005</v>
      </c>
      <c r="B53" s="103">
        <v>60.4</v>
      </c>
      <c r="C53" s="103">
        <v>14.1</v>
      </c>
      <c r="D53" s="103">
        <v>90.1</v>
      </c>
      <c r="E53" s="103">
        <v>61</v>
      </c>
      <c r="F53" s="103">
        <v>338.8</v>
      </c>
      <c r="G53" s="103">
        <v>349.3</v>
      </c>
      <c r="H53" s="103">
        <v>150.69999999999999</v>
      </c>
      <c r="I53" s="103">
        <v>41.9</v>
      </c>
      <c r="J53" s="103">
        <v>22.1</v>
      </c>
      <c r="K53" s="103">
        <v>31.7</v>
      </c>
      <c r="L53" s="103">
        <v>21.3</v>
      </c>
      <c r="M53" s="103">
        <v>44</v>
      </c>
      <c r="N53" s="102">
        <f t="shared" si="1"/>
        <v>225.6</v>
      </c>
      <c r="O53" s="102">
        <f t="shared" si="2"/>
        <v>902.8</v>
      </c>
      <c r="P53" s="102">
        <f t="shared" si="3"/>
        <v>97</v>
      </c>
      <c r="Q53" s="102">
        <f t="shared" si="4"/>
        <v>1225.4000000000001</v>
      </c>
    </row>
    <row r="54" spans="1:33">
      <c r="A54" s="102">
        <v>2006</v>
      </c>
      <c r="B54" s="102">
        <v>26.2</v>
      </c>
      <c r="C54" s="102">
        <v>68.5</v>
      </c>
      <c r="D54" s="102">
        <v>34.299999999999997</v>
      </c>
      <c r="E54" s="102">
        <v>172.4</v>
      </c>
      <c r="F54" s="102">
        <v>146.4</v>
      </c>
      <c r="G54" s="102">
        <v>420.4</v>
      </c>
      <c r="H54" s="102">
        <v>113.3</v>
      </c>
      <c r="I54" s="102">
        <v>55.9</v>
      </c>
      <c r="J54" s="102">
        <v>36.5</v>
      </c>
      <c r="K54" s="102">
        <v>105.6</v>
      </c>
      <c r="L54" s="102">
        <v>42.6</v>
      </c>
      <c r="M54" s="102">
        <v>13.8</v>
      </c>
      <c r="N54" s="102">
        <f t="shared" si="1"/>
        <v>301.39999999999998</v>
      </c>
      <c r="O54" s="102">
        <f t="shared" si="2"/>
        <v>772.49999999999989</v>
      </c>
      <c r="P54" s="102">
        <f t="shared" si="3"/>
        <v>162</v>
      </c>
      <c r="Q54" s="102">
        <f t="shared" si="4"/>
        <v>1235.8999999999996</v>
      </c>
    </row>
    <row r="55" spans="1:33">
      <c r="A55" s="102">
        <v>2007</v>
      </c>
      <c r="B55" s="102">
        <v>50.5</v>
      </c>
      <c r="C55" s="102">
        <v>52.6</v>
      </c>
      <c r="D55" s="102">
        <v>113.4</v>
      </c>
      <c r="E55" s="102">
        <v>98.3</v>
      </c>
      <c r="F55" s="102">
        <v>134.1</v>
      </c>
      <c r="G55" s="102">
        <v>267.10000000000002</v>
      </c>
      <c r="H55" s="102">
        <v>120</v>
      </c>
      <c r="I55" s="102">
        <v>126.6</v>
      </c>
      <c r="J55" s="102">
        <v>110.5</v>
      </c>
      <c r="K55" s="102">
        <v>0.4</v>
      </c>
      <c r="L55" s="102">
        <v>2</v>
      </c>
      <c r="M55" s="102">
        <v>25.9</v>
      </c>
      <c r="N55" s="102">
        <f t="shared" si="1"/>
        <v>314.8</v>
      </c>
      <c r="O55" s="102">
        <f t="shared" si="2"/>
        <v>758.30000000000007</v>
      </c>
      <c r="P55" s="102">
        <f t="shared" si="3"/>
        <v>28.299999999999997</v>
      </c>
      <c r="Q55" s="102">
        <f t="shared" si="4"/>
        <v>1101.4000000000001</v>
      </c>
    </row>
    <row r="56" spans="1:33">
      <c r="A56" s="102">
        <v>2008</v>
      </c>
      <c r="B56" s="102">
        <v>31.9</v>
      </c>
      <c r="C56" s="102">
        <v>75.3</v>
      </c>
      <c r="D56" s="102">
        <v>123.1</v>
      </c>
      <c r="E56" s="102">
        <v>97.8</v>
      </c>
      <c r="F56" s="102">
        <v>205.4</v>
      </c>
      <c r="G56" s="102">
        <v>171.2</v>
      </c>
      <c r="H56" s="102">
        <v>187.3</v>
      </c>
      <c r="I56" s="102">
        <v>327</v>
      </c>
      <c r="J56" s="102">
        <v>69.2</v>
      </c>
      <c r="K56" s="102">
        <v>73.8</v>
      </c>
      <c r="L56" s="102">
        <v>113.5</v>
      </c>
      <c r="M56" s="102">
        <v>9</v>
      </c>
      <c r="N56" s="102">
        <f t="shared" si="1"/>
        <v>328.09999999999997</v>
      </c>
      <c r="O56" s="102">
        <f t="shared" si="2"/>
        <v>960.10000000000014</v>
      </c>
      <c r="P56" s="102">
        <f t="shared" si="3"/>
        <v>196.3</v>
      </c>
      <c r="Q56" s="102">
        <f t="shared" si="4"/>
        <v>1484.5</v>
      </c>
    </row>
    <row r="57" spans="1:33">
      <c r="A57" s="102">
        <v>2009</v>
      </c>
      <c r="B57" s="102">
        <v>16.8</v>
      </c>
      <c r="C57" s="102">
        <v>20.7</v>
      </c>
      <c r="D57" s="102">
        <v>126</v>
      </c>
      <c r="E57" s="102">
        <v>87.1</v>
      </c>
      <c r="F57" s="102">
        <v>133.19999999999999</v>
      </c>
      <c r="G57" s="102">
        <v>246.1</v>
      </c>
      <c r="H57" s="102">
        <v>203.5</v>
      </c>
      <c r="I57" s="102">
        <v>10.4</v>
      </c>
      <c r="J57" s="102">
        <v>31.1</v>
      </c>
      <c r="K57" s="102">
        <v>45.6</v>
      </c>
      <c r="L57" s="102">
        <v>17.2</v>
      </c>
      <c r="M57" s="102">
        <v>17.899999999999999</v>
      </c>
      <c r="N57" s="102">
        <f t="shared" si="1"/>
        <v>250.6</v>
      </c>
      <c r="O57" s="102">
        <f t="shared" si="2"/>
        <v>624.29999999999995</v>
      </c>
      <c r="P57" s="102">
        <f t="shared" si="3"/>
        <v>80.699999999999989</v>
      </c>
      <c r="Q57" s="102">
        <f t="shared" si="4"/>
        <v>955.6</v>
      </c>
    </row>
    <row r="58" spans="1:33">
      <c r="A58" s="102">
        <v>2010</v>
      </c>
      <c r="B58" s="102">
        <v>35.6</v>
      </c>
      <c r="C58" s="102">
        <v>3.8</v>
      </c>
      <c r="D58" s="102">
        <v>20.5</v>
      </c>
      <c r="E58" s="102">
        <v>58.9</v>
      </c>
      <c r="F58" s="102">
        <v>156.30000000000001</v>
      </c>
      <c r="G58" s="102">
        <v>314.89999999999998</v>
      </c>
      <c r="H58" s="102">
        <v>134.19999999999999</v>
      </c>
      <c r="I58" s="102">
        <v>118</v>
      </c>
      <c r="J58" s="102">
        <v>82.7</v>
      </c>
      <c r="K58" s="102">
        <v>33.6</v>
      </c>
      <c r="L58" s="102">
        <v>47.4</v>
      </c>
      <c r="M58" s="102">
        <v>85.7</v>
      </c>
      <c r="N58" s="102">
        <f t="shared" si="1"/>
        <v>118.8</v>
      </c>
      <c r="O58" s="102">
        <f t="shared" si="2"/>
        <v>806.1</v>
      </c>
      <c r="P58" s="102">
        <f t="shared" si="3"/>
        <v>166.7</v>
      </c>
      <c r="Q58" s="102">
        <f t="shared" si="4"/>
        <v>1091.6000000000001</v>
      </c>
    </row>
    <row r="59" spans="1:33">
      <c r="A59" s="102">
        <v>2011</v>
      </c>
      <c r="B59" s="102">
        <v>39.6</v>
      </c>
      <c r="C59" s="102">
        <v>25.4</v>
      </c>
      <c r="D59" s="102">
        <v>51.2</v>
      </c>
      <c r="E59" s="102">
        <v>53.2</v>
      </c>
      <c r="F59" s="102">
        <v>211.3</v>
      </c>
      <c r="G59" s="102">
        <v>198</v>
      </c>
      <c r="H59" s="102">
        <v>3.4</v>
      </c>
      <c r="I59" s="102">
        <v>59.3</v>
      </c>
      <c r="J59" s="102">
        <v>44</v>
      </c>
      <c r="K59" s="102">
        <v>137.80000000000001</v>
      </c>
      <c r="L59" s="102">
        <v>43.8</v>
      </c>
      <c r="M59" s="102">
        <v>11.8</v>
      </c>
      <c r="N59" s="102">
        <f t="shared" si="1"/>
        <v>169.4</v>
      </c>
      <c r="O59" s="102">
        <f t="shared" si="2"/>
        <v>516</v>
      </c>
      <c r="P59" s="102">
        <f t="shared" si="3"/>
        <v>193.40000000000003</v>
      </c>
      <c r="Q59" s="102">
        <f t="shared" si="4"/>
        <v>878.8</v>
      </c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</row>
    <row r="60" spans="1:33">
      <c r="A60" s="102">
        <v>2012</v>
      </c>
      <c r="B60" s="102">
        <v>45.9</v>
      </c>
      <c r="C60" s="102">
        <v>19.8</v>
      </c>
      <c r="D60" s="102">
        <v>74.3</v>
      </c>
      <c r="E60" s="102">
        <v>68</v>
      </c>
      <c r="F60" s="102">
        <v>251.7</v>
      </c>
      <c r="G60" s="102">
        <v>165</v>
      </c>
      <c r="H60" s="102">
        <v>195</v>
      </c>
      <c r="I60" s="102">
        <v>46.5</v>
      </c>
      <c r="J60" s="102">
        <v>53.5</v>
      </c>
      <c r="K60" s="102">
        <v>36.299999999999997</v>
      </c>
      <c r="L60" s="102">
        <v>76</v>
      </c>
      <c r="M60" s="102">
        <v>21</v>
      </c>
      <c r="N60" s="102">
        <f t="shared" si="1"/>
        <v>208</v>
      </c>
      <c r="O60" s="102">
        <f t="shared" si="2"/>
        <v>711.7</v>
      </c>
      <c r="P60" s="102">
        <f t="shared" si="3"/>
        <v>133.30000000000001</v>
      </c>
      <c r="Q60" s="102">
        <f t="shared" si="4"/>
        <v>1053</v>
      </c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  <c r="AD60" s="104"/>
      <c r="AE60" s="104"/>
      <c r="AF60" s="104"/>
      <c r="AG60" s="104"/>
    </row>
    <row r="61" spans="1:33">
      <c r="A61" s="102">
        <v>2013</v>
      </c>
      <c r="B61" s="102">
        <v>19.100000000000001</v>
      </c>
      <c r="C61" s="102">
        <v>17.600000000000001</v>
      </c>
      <c r="D61" s="102">
        <v>131.4</v>
      </c>
      <c r="E61" s="102">
        <v>119.4</v>
      </c>
      <c r="F61" s="102">
        <v>288.7</v>
      </c>
      <c r="G61" s="102">
        <v>163.30000000000001</v>
      </c>
      <c r="H61" s="102">
        <v>8.8000000000000007</v>
      </c>
      <c r="I61" s="102">
        <v>74.3</v>
      </c>
      <c r="J61" s="102">
        <v>131</v>
      </c>
      <c r="K61" s="102">
        <v>52.6</v>
      </c>
      <c r="L61" s="102">
        <v>62.5</v>
      </c>
      <c r="M61" s="102">
        <v>62.5</v>
      </c>
      <c r="N61" s="102">
        <f t="shared" si="1"/>
        <v>287.5</v>
      </c>
      <c r="O61" s="102">
        <f t="shared" si="2"/>
        <v>666.1</v>
      </c>
      <c r="P61" s="102">
        <f t="shared" si="3"/>
        <v>177.6</v>
      </c>
      <c r="Q61" s="102">
        <f t="shared" si="4"/>
        <v>1131.1999999999998</v>
      </c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  <c r="AD61" s="104"/>
      <c r="AE61" s="104"/>
      <c r="AF61" s="104"/>
      <c r="AG61" s="104"/>
    </row>
    <row r="62" spans="1:33">
      <c r="A62" s="102">
        <v>2014</v>
      </c>
      <c r="B62" s="128">
        <v>12.8</v>
      </c>
      <c r="C62" s="128">
        <v>51.4</v>
      </c>
      <c r="D62" s="128">
        <v>71.7</v>
      </c>
      <c r="E62" s="128">
        <v>65.400000000000006</v>
      </c>
      <c r="F62" s="128">
        <v>126.6</v>
      </c>
      <c r="G62" s="128">
        <v>243.1</v>
      </c>
      <c r="H62" s="128">
        <v>125.5</v>
      </c>
      <c r="I62" s="128">
        <v>144.9</v>
      </c>
      <c r="J62" s="128">
        <v>29.7</v>
      </c>
      <c r="K62" s="128">
        <v>102</v>
      </c>
      <c r="L62" s="128">
        <v>97.2</v>
      </c>
      <c r="M62" s="128">
        <v>10.7</v>
      </c>
      <c r="N62" s="102">
        <f t="shared" si="1"/>
        <v>201.3</v>
      </c>
      <c r="O62" s="102">
        <f t="shared" si="2"/>
        <v>669.80000000000007</v>
      </c>
      <c r="P62" s="102">
        <f t="shared" si="3"/>
        <v>209.89999999999998</v>
      </c>
      <c r="Q62" s="102">
        <f t="shared" si="4"/>
        <v>1081</v>
      </c>
    </row>
    <row r="63" spans="1:33">
      <c r="A63" s="102">
        <v>2015</v>
      </c>
      <c r="B63" s="128">
        <v>43</v>
      </c>
      <c r="C63" s="128">
        <v>23.1</v>
      </c>
      <c r="D63" s="128">
        <v>23.8</v>
      </c>
      <c r="E63" s="128">
        <v>67.7</v>
      </c>
      <c r="F63" s="128">
        <v>309.2</v>
      </c>
      <c r="G63" s="128">
        <v>393.4</v>
      </c>
      <c r="H63" s="128">
        <v>162.69999999999999</v>
      </c>
      <c r="I63" s="128">
        <v>214</v>
      </c>
      <c r="J63" s="128">
        <v>179</v>
      </c>
      <c r="K63" s="128">
        <v>97.1</v>
      </c>
      <c r="L63" s="128">
        <v>136.4</v>
      </c>
      <c r="M63" s="128">
        <v>70.599999999999994</v>
      </c>
      <c r="N63" s="102">
        <f t="shared" si="1"/>
        <v>157.6</v>
      </c>
      <c r="O63" s="102">
        <f t="shared" si="2"/>
        <v>1258.3</v>
      </c>
      <c r="P63" s="102">
        <f t="shared" si="3"/>
        <v>304.10000000000002</v>
      </c>
      <c r="Q63" s="102">
        <f t="shared" si="4"/>
        <v>1719.9999999999998</v>
      </c>
    </row>
    <row r="64" spans="1:33" ht="13.5">
      <c r="A64" s="102">
        <v>2016</v>
      </c>
      <c r="B64" s="128">
        <v>37.200000000000003</v>
      </c>
      <c r="C64" s="128">
        <v>13.9</v>
      </c>
      <c r="D64" s="128">
        <v>89.9</v>
      </c>
      <c r="E64" s="128">
        <v>288.7</v>
      </c>
      <c r="F64" s="128">
        <v>239.5</v>
      </c>
      <c r="G64" s="128">
        <v>276.3</v>
      </c>
      <c r="H64" s="128">
        <v>148.4</v>
      </c>
      <c r="I64" s="128">
        <v>191.3</v>
      </c>
      <c r="J64" s="128">
        <v>64.599999999999994</v>
      </c>
      <c r="K64" s="128">
        <v>90.7</v>
      </c>
      <c r="L64" s="128">
        <v>59.3</v>
      </c>
      <c r="M64" s="128">
        <v>27.4</v>
      </c>
      <c r="N64" s="102">
        <f>SUM(B64:E64)</f>
        <v>429.7</v>
      </c>
      <c r="O64" s="102">
        <f>SUM(F64:J64)</f>
        <v>920.1</v>
      </c>
      <c r="P64" s="102">
        <f>SUM(K64:M64)</f>
        <v>177.4</v>
      </c>
      <c r="Q64" s="102">
        <f>SUM(B64:M64)</f>
        <v>1527.2</v>
      </c>
      <c r="R64" s="129">
        <f t="shared" ref="R64:AG64" si="5">100*(B64-B4)/B4</f>
        <v>-3.18909620219664</v>
      </c>
      <c r="S64" s="129">
        <f t="shared" si="5"/>
        <v>-66.911438369981838</v>
      </c>
      <c r="T64" s="129">
        <f t="shared" si="5"/>
        <v>36.685994072928786</v>
      </c>
      <c r="U64" s="129">
        <f t="shared" si="5"/>
        <v>154.60456495418606</v>
      </c>
      <c r="V64" s="129">
        <f t="shared" si="5"/>
        <v>21.265822784810094</v>
      </c>
      <c r="W64" s="129">
        <f t="shared" si="5"/>
        <v>25.8206432391964</v>
      </c>
      <c r="X64" s="129">
        <f t="shared" si="5"/>
        <v>-10.980519744601244</v>
      </c>
      <c r="Y64" s="129">
        <f t="shared" si="5"/>
        <v>49.194326578630893</v>
      </c>
      <c r="Z64" s="129">
        <f t="shared" si="5"/>
        <v>-15.051151180154662</v>
      </c>
      <c r="AA64" s="129">
        <f t="shared" si="5"/>
        <v>7.0602592829705264</v>
      </c>
      <c r="AB64" s="129">
        <f t="shared" si="5"/>
        <v>6.4372851449605788</v>
      </c>
      <c r="AC64" s="129">
        <f t="shared" si="5"/>
        <v>-8.4494280212934925</v>
      </c>
      <c r="AD64" s="129">
        <f t="shared" si="5"/>
        <v>65.526044319087021</v>
      </c>
      <c r="AE64" s="129">
        <f t="shared" si="5"/>
        <v>16.7534121067958</v>
      </c>
      <c r="AF64" s="129">
        <f t="shared" si="5"/>
        <v>4.1318038462686273</v>
      </c>
      <c r="AG64" s="129">
        <f t="shared" si="5"/>
        <v>25.38291237439762</v>
      </c>
    </row>
  </sheetData>
  <mergeCells count="6">
    <mergeCell ref="A1:A3"/>
    <mergeCell ref="B1:Q1"/>
    <mergeCell ref="B2:M2"/>
    <mergeCell ref="R1:AG1"/>
    <mergeCell ref="N2:Q2"/>
    <mergeCell ref="R2:AG2"/>
  </mergeCells>
  <phoneticPr fontId="2" type="noConversion"/>
  <pageMargins left="0.75" right="0.75" top="1" bottom="1" header="0.5" footer="0.5"/>
  <headerFooter alignWithMargins="0"/>
</worksheet>
</file>

<file path=xl/worksheets/sheet56.xml><?xml version="1.0" encoding="utf-8"?>
<worksheet xmlns="http://schemas.openxmlformats.org/spreadsheetml/2006/main" xmlns:r="http://schemas.openxmlformats.org/officeDocument/2006/relationships">
  <sheetPr codeName="Sheet56"/>
  <dimension ref="A1:AG70"/>
  <sheetViews>
    <sheetView zoomScale="85" zoomScaleNormal="85" workbookViewId="0">
      <pane ySplit="5" topLeftCell="A6" activePane="bottomLeft" state="frozen"/>
      <selection pane="bottomLeft" activeCell="AG70" sqref="AG70"/>
    </sheetView>
  </sheetViews>
  <sheetFormatPr defaultRowHeight="12"/>
  <cols>
    <col min="1" max="5" width="7.125" style="102" customWidth="1"/>
    <col min="6" max="12" width="7.625" style="102" bestFit="1" customWidth="1"/>
    <col min="13" max="13" width="6.75" style="102" bestFit="1" customWidth="1"/>
    <col min="14" max="33" width="7.125" style="102" customWidth="1"/>
    <col min="34" max="16384" width="9" style="102"/>
  </cols>
  <sheetData>
    <row r="1" spans="1:33" s="118" customFormat="1" ht="14.25" customHeight="1">
      <c r="A1" s="176" t="s">
        <v>172</v>
      </c>
      <c r="B1" s="176" t="s">
        <v>180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181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173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174</v>
      </c>
      <c r="O2" s="176"/>
      <c r="P2" s="176"/>
      <c r="Q2" s="176"/>
      <c r="R2" s="176" t="s">
        <v>175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 ht="24">
      <c r="A3" s="176"/>
      <c r="B3" s="124" t="s">
        <v>182</v>
      </c>
      <c r="C3" s="124" t="s">
        <v>183</v>
      </c>
      <c r="D3" s="124" t="s">
        <v>9</v>
      </c>
      <c r="E3" s="124" t="s">
        <v>10</v>
      </c>
      <c r="F3" s="124" t="s">
        <v>11</v>
      </c>
      <c r="G3" s="124" t="s">
        <v>12</v>
      </c>
      <c r="H3" s="124" t="s">
        <v>13</v>
      </c>
      <c r="I3" s="124" t="s">
        <v>14</v>
      </c>
      <c r="J3" s="124" t="s">
        <v>15</v>
      </c>
      <c r="K3" s="124" t="s">
        <v>16</v>
      </c>
      <c r="L3" s="124" t="s">
        <v>17</v>
      </c>
      <c r="M3" s="124" t="s">
        <v>18</v>
      </c>
      <c r="N3" s="124" t="s">
        <v>184</v>
      </c>
      <c r="O3" s="124" t="s">
        <v>185</v>
      </c>
      <c r="P3" s="124" t="s">
        <v>186</v>
      </c>
      <c r="Q3" s="124" t="s">
        <v>187</v>
      </c>
      <c r="R3" s="124" t="s">
        <v>182</v>
      </c>
      <c r="S3" s="124" t="s">
        <v>183</v>
      </c>
      <c r="T3" s="124" t="s">
        <v>188</v>
      </c>
      <c r="U3" s="124" t="s">
        <v>189</v>
      </c>
      <c r="V3" s="124" t="s">
        <v>190</v>
      </c>
      <c r="W3" s="124" t="s">
        <v>191</v>
      </c>
      <c r="X3" s="124" t="s">
        <v>25</v>
      </c>
      <c r="Y3" s="124" t="s">
        <v>26</v>
      </c>
      <c r="Z3" s="124" t="s">
        <v>27</v>
      </c>
      <c r="AA3" s="124" t="s">
        <v>192</v>
      </c>
      <c r="AB3" s="124" t="s">
        <v>193</v>
      </c>
      <c r="AC3" s="124" t="s">
        <v>194</v>
      </c>
      <c r="AD3" s="124" t="s">
        <v>176</v>
      </c>
      <c r="AE3" s="124" t="s">
        <v>177</v>
      </c>
      <c r="AF3" s="124" t="s">
        <v>178</v>
      </c>
      <c r="AG3" s="124" t="s">
        <v>179</v>
      </c>
    </row>
    <row r="4" spans="1:33" s="118" customFormat="1">
      <c r="A4" s="150" t="s">
        <v>261</v>
      </c>
      <c r="B4" s="150">
        <f t="shared" ref="B4:Q4" si="0">AVERAGE(B5:B69)</f>
        <v>23.370769230769227</v>
      </c>
      <c r="C4" s="150">
        <f t="shared" si="0"/>
        <v>26.523076923076925</v>
      </c>
      <c r="D4" s="150">
        <f t="shared" si="0"/>
        <v>47.966153846153873</v>
      </c>
      <c r="E4" s="150">
        <f t="shared" si="0"/>
        <v>113.76769230769231</v>
      </c>
      <c r="F4" s="150">
        <f t="shared" si="0"/>
        <v>176.2338461538462</v>
      </c>
      <c r="G4" s="150">
        <f t="shared" si="0"/>
        <v>190.16307692307691</v>
      </c>
      <c r="H4" s="150">
        <f t="shared" si="0"/>
        <v>157.01999999999995</v>
      </c>
      <c r="I4" s="150">
        <f t="shared" si="0"/>
        <v>120.75692307692313</v>
      </c>
      <c r="J4" s="150">
        <f t="shared" si="0"/>
        <v>89.369230769230739</v>
      </c>
      <c r="K4" s="150">
        <f t="shared" si="0"/>
        <v>101.86769230769225</v>
      </c>
      <c r="L4" s="150">
        <f t="shared" si="0"/>
        <v>53.89846153846154</v>
      </c>
      <c r="M4" s="150">
        <f t="shared" si="0"/>
        <v>23.12153846153846</v>
      </c>
      <c r="N4" s="150">
        <f t="shared" si="0"/>
        <v>211.62769230769229</v>
      </c>
      <c r="O4" s="150">
        <f t="shared" si="0"/>
        <v>733.54307692307702</v>
      </c>
      <c r="P4" s="150">
        <f t="shared" si="0"/>
        <v>178.8876923076923</v>
      </c>
      <c r="Q4" s="150">
        <f t="shared" si="0"/>
        <v>1124.0584615384621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1951</v>
      </c>
      <c r="B5" s="102">
        <v>3.1</v>
      </c>
      <c r="C5" s="102">
        <v>19.7</v>
      </c>
      <c r="D5" s="102">
        <v>29.9</v>
      </c>
      <c r="E5" s="102">
        <v>159</v>
      </c>
      <c r="F5" s="102">
        <v>118.3</v>
      </c>
      <c r="G5" s="102">
        <v>181.5</v>
      </c>
      <c r="H5" s="102">
        <v>130</v>
      </c>
      <c r="I5" s="102">
        <v>54</v>
      </c>
      <c r="J5" s="102">
        <v>36.6</v>
      </c>
      <c r="K5" s="102">
        <v>103.5</v>
      </c>
      <c r="L5" s="102">
        <v>142.1</v>
      </c>
      <c r="M5" s="102">
        <v>15.5</v>
      </c>
      <c r="N5" s="102">
        <f>SUM(B5:E5)</f>
        <v>211.7</v>
      </c>
      <c r="O5" s="102">
        <f>SUM(F5:J5)</f>
        <v>520.4</v>
      </c>
      <c r="P5" s="102">
        <f>SUM(K5:M5)</f>
        <v>261.10000000000002</v>
      </c>
      <c r="Q5" s="102">
        <f>SUM(B5:M5)</f>
        <v>993.2</v>
      </c>
    </row>
    <row r="6" spans="1:33">
      <c r="A6" s="102">
        <v>1952</v>
      </c>
      <c r="B6" s="102">
        <v>29.6</v>
      </c>
      <c r="C6" s="102">
        <v>22.5</v>
      </c>
      <c r="D6" s="102">
        <v>64.599999999999994</v>
      </c>
      <c r="E6" s="102">
        <v>157.1</v>
      </c>
      <c r="F6" s="102">
        <v>267.2</v>
      </c>
      <c r="G6" s="102">
        <v>97.8</v>
      </c>
      <c r="H6" s="102">
        <v>153.6</v>
      </c>
      <c r="I6" s="102">
        <v>213.7</v>
      </c>
      <c r="J6" s="102">
        <v>145.4</v>
      </c>
      <c r="K6" s="102">
        <v>121</v>
      </c>
      <c r="L6" s="102">
        <v>72.2</v>
      </c>
      <c r="M6" s="102">
        <v>3.5</v>
      </c>
      <c r="N6" s="102">
        <f t="shared" ref="N6:N68" si="1">SUM(B6:E6)</f>
        <v>273.79999999999995</v>
      </c>
      <c r="O6" s="102">
        <f t="shared" ref="O6:O68" si="2">SUM(F6:J6)</f>
        <v>877.69999999999993</v>
      </c>
      <c r="P6" s="102">
        <f t="shared" ref="P6:P68" si="3">SUM(K6:M6)</f>
        <v>196.7</v>
      </c>
      <c r="Q6" s="102">
        <f t="shared" ref="Q6:Q68" si="4">SUM(B6:M6)</f>
        <v>1348.2</v>
      </c>
    </row>
    <row r="7" spans="1:33">
      <c r="A7" s="102">
        <v>1953</v>
      </c>
      <c r="B7" s="102">
        <v>28.5</v>
      </c>
      <c r="C7" s="102">
        <v>20.399999999999999</v>
      </c>
      <c r="D7" s="102">
        <v>107.9</v>
      </c>
      <c r="E7" s="102">
        <v>119.5</v>
      </c>
      <c r="F7" s="102">
        <v>241.3</v>
      </c>
      <c r="G7" s="102">
        <v>114.1</v>
      </c>
      <c r="H7" s="102">
        <v>160</v>
      </c>
      <c r="I7" s="102">
        <v>121.8</v>
      </c>
      <c r="J7" s="102">
        <v>65.599999999999994</v>
      </c>
      <c r="K7" s="102">
        <v>163</v>
      </c>
      <c r="L7" s="102">
        <v>27.6</v>
      </c>
      <c r="M7" s="102">
        <v>31.9</v>
      </c>
      <c r="N7" s="102">
        <f t="shared" si="1"/>
        <v>276.3</v>
      </c>
      <c r="O7" s="102">
        <f t="shared" si="2"/>
        <v>702.8</v>
      </c>
      <c r="P7" s="102">
        <f t="shared" si="3"/>
        <v>222.5</v>
      </c>
      <c r="Q7" s="102">
        <f t="shared" si="4"/>
        <v>1201.5999999999999</v>
      </c>
    </row>
    <row r="8" spans="1:33">
      <c r="A8" s="102">
        <v>1954</v>
      </c>
      <c r="B8" s="102">
        <v>42.2</v>
      </c>
      <c r="C8" s="102">
        <v>30.8</v>
      </c>
      <c r="D8" s="102">
        <v>41.2</v>
      </c>
      <c r="E8" s="102">
        <v>132</v>
      </c>
      <c r="F8" s="102">
        <v>303.7</v>
      </c>
      <c r="G8" s="102">
        <v>345.9</v>
      </c>
      <c r="H8" s="102">
        <v>527.6</v>
      </c>
      <c r="I8" s="102">
        <v>150.30000000000001</v>
      </c>
      <c r="J8" s="102">
        <v>55.5</v>
      </c>
      <c r="K8" s="102">
        <v>56.5</v>
      </c>
      <c r="L8" s="102">
        <v>5.4</v>
      </c>
      <c r="M8" s="102">
        <v>28.1</v>
      </c>
      <c r="N8" s="102">
        <f t="shared" si="1"/>
        <v>246.2</v>
      </c>
      <c r="O8" s="102">
        <f t="shared" si="2"/>
        <v>1382.9999999999998</v>
      </c>
      <c r="P8" s="102">
        <f t="shared" si="3"/>
        <v>90</v>
      </c>
      <c r="Q8" s="102">
        <f t="shared" si="4"/>
        <v>1719.2</v>
      </c>
    </row>
    <row r="9" spans="1:33">
      <c r="A9" s="102">
        <v>1955</v>
      </c>
      <c r="B9" s="102">
        <v>8.8000000000000007</v>
      </c>
      <c r="C9" s="102">
        <v>23</v>
      </c>
      <c r="D9" s="102">
        <v>90.6</v>
      </c>
      <c r="E9" s="102">
        <v>79.2</v>
      </c>
      <c r="F9" s="102">
        <v>276.5</v>
      </c>
      <c r="G9" s="102">
        <v>168.2</v>
      </c>
      <c r="H9" s="102">
        <v>75.2</v>
      </c>
      <c r="I9" s="102">
        <v>149</v>
      </c>
      <c r="J9" s="102">
        <v>67.5</v>
      </c>
      <c r="K9" s="102">
        <v>89.2</v>
      </c>
      <c r="L9" s="102">
        <v>76.599999999999994</v>
      </c>
      <c r="M9" s="102">
        <v>12.2</v>
      </c>
      <c r="N9" s="102">
        <f t="shared" si="1"/>
        <v>201.6</v>
      </c>
      <c r="O9" s="102">
        <f t="shared" si="2"/>
        <v>736.4</v>
      </c>
      <c r="P9" s="102">
        <f t="shared" si="3"/>
        <v>178</v>
      </c>
      <c r="Q9" s="102">
        <f t="shared" si="4"/>
        <v>1116</v>
      </c>
    </row>
    <row r="10" spans="1:33">
      <c r="A10" s="102">
        <v>1956</v>
      </c>
      <c r="B10" s="102">
        <v>39.5</v>
      </c>
      <c r="C10" s="102">
        <v>25.1</v>
      </c>
      <c r="D10" s="102">
        <v>35.799999999999997</v>
      </c>
      <c r="E10" s="102">
        <v>89.8</v>
      </c>
      <c r="F10" s="102">
        <v>227.6</v>
      </c>
      <c r="G10" s="102">
        <v>117.6</v>
      </c>
      <c r="H10" s="102">
        <v>100.8</v>
      </c>
      <c r="I10" s="102">
        <v>113.4</v>
      </c>
      <c r="J10" s="102">
        <v>117.2</v>
      </c>
      <c r="K10" s="102">
        <v>49.6</v>
      </c>
      <c r="L10" s="102">
        <v>49</v>
      </c>
      <c r="M10" s="102">
        <v>6.7</v>
      </c>
      <c r="N10" s="102">
        <f t="shared" si="1"/>
        <v>190.2</v>
      </c>
      <c r="O10" s="102">
        <f t="shared" si="2"/>
        <v>676.6</v>
      </c>
      <c r="P10" s="102">
        <f t="shared" si="3"/>
        <v>105.3</v>
      </c>
      <c r="Q10" s="102">
        <f t="shared" si="4"/>
        <v>972.1</v>
      </c>
    </row>
    <row r="11" spans="1:33">
      <c r="A11" s="102">
        <v>1957</v>
      </c>
      <c r="B11" s="102">
        <v>54.9</v>
      </c>
      <c r="C11" s="102">
        <v>30.8</v>
      </c>
      <c r="D11" s="102">
        <v>32.4</v>
      </c>
      <c r="E11" s="102">
        <v>126.4</v>
      </c>
      <c r="F11" s="102">
        <v>290.7</v>
      </c>
      <c r="G11" s="102">
        <v>125.6</v>
      </c>
      <c r="H11" s="102">
        <v>129.4</v>
      </c>
      <c r="I11" s="102">
        <v>108.4</v>
      </c>
      <c r="J11" s="102">
        <v>36.799999999999997</v>
      </c>
      <c r="K11" s="102">
        <v>99.3</v>
      </c>
      <c r="L11" s="102">
        <v>103.4</v>
      </c>
      <c r="M11" s="102">
        <v>46</v>
      </c>
      <c r="N11" s="102">
        <f t="shared" si="1"/>
        <v>244.5</v>
      </c>
      <c r="O11" s="102">
        <f t="shared" si="2"/>
        <v>690.89999999999986</v>
      </c>
      <c r="P11" s="102">
        <f t="shared" si="3"/>
        <v>248.7</v>
      </c>
      <c r="Q11" s="102">
        <f t="shared" si="4"/>
        <v>1184.1000000000001</v>
      </c>
    </row>
    <row r="12" spans="1:33">
      <c r="A12" s="102">
        <v>1958</v>
      </c>
      <c r="B12" s="102">
        <v>24.1</v>
      </c>
      <c r="C12" s="102">
        <v>36.700000000000003</v>
      </c>
      <c r="D12" s="102">
        <v>41.6</v>
      </c>
      <c r="E12" s="102">
        <v>91.5</v>
      </c>
      <c r="F12" s="102">
        <v>168.7</v>
      </c>
      <c r="G12" s="102">
        <v>202.3</v>
      </c>
      <c r="H12" s="102">
        <v>113</v>
      </c>
      <c r="I12" s="102">
        <v>72</v>
      </c>
      <c r="J12" s="102">
        <v>155.1</v>
      </c>
      <c r="K12" s="102">
        <v>95</v>
      </c>
      <c r="L12" s="102">
        <v>9.9</v>
      </c>
      <c r="M12" s="102">
        <v>20.5</v>
      </c>
      <c r="N12" s="102">
        <f t="shared" si="1"/>
        <v>193.9</v>
      </c>
      <c r="O12" s="102">
        <f t="shared" si="2"/>
        <v>711.1</v>
      </c>
      <c r="P12" s="102">
        <f t="shared" si="3"/>
        <v>125.4</v>
      </c>
      <c r="Q12" s="102">
        <f t="shared" si="4"/>
        <v>1030.4000000000001</v>
      </c>
    </row>
    <row r="13" spans="1:33">
      <c r="A13" s="102">
        <v>1959</v>
      </c>
      <c r="B13" s="102">
        <v>20.399999999999999</v>
      </c>
      <c r="C13" s="102">
        <v>56.7</v>
      </c>
      <c r="D13" s="102">
        <v>44</v>
      </c>
      <c r="E13" s="102">
        <v>47.7</v>
      </c>
      <c r="F13" s="102">
        <v>111.4</v>
      </c>
      <c r="G13" s="102">
        <v>403.9</v>
      </c>
      <c r="H13" s="102">
        <v>30.2</v>
      </c>
      <c r="I13" s="102">
        <v>105.3</v>
      </c>
      <c r="J13" s="102">
        <v>134.1</v>
      </c>
      <c r="K13" s="102">
        <v>100.1</v>
      </c>
      <c r="L13" s="102">
        <v>33.200000000000003</v>
      </c>
      <c r="M13" s="102">
        <v>29.7</v>
      </c>
      <c r="N13" s="102">
        <f t="shared" si="1"/>
        <v>168.8</v>
      </c>
      <c r="O13" s="102">
        <f t="shared" si="2"/>
        <v>784.9</v>
      </c>
      <c r="P13" s="102">
        <f t="shared" si="3"/>
        <v>163</v>
      </c>
      <c r="Q13" s="102">
        <f t="shared" si="4"/>
        <v>1116.7</v>
      </c>
    </row>
    <row r="14" spans="1:33">
      <c r="A14" s="102">
        <v>1960</v>
      </c>
      <c r="B14" s="102">
        <v>8.5</v>
      </c>
      <c r="C14" s="102">
        <v>34.4</v>
      </c>
      <c r="D14" s="102">
        <v>50.3</v>
      </c>
      <c r="E14" s="102">
        <v>49.5</v>
      </c>
      <c r="F14" s="102">
        <v>89.2</v>
      </c>
      <c r="G14" s="102">
        <v>171</v>
      </c>
      <c r="H14" s="102">
        <v>192.2</v>
      </c>
      <c r="I14" s="102">
        <v>11.1</v>
      </c>
      <c r="J14" s="102">
        <v>51.5</v>
      </c>
      <c r="K14" s="102">
        <v>51</v>
      </c>
      <c r="L14" s="102">
        <v>59.5</v>
      </c>
      <c r="M14" s="102">
        <v>11.6</v>
      </c>
      <c r="N14" s="102">
        <f t="shared" si="1"/>
        <v>142.69999999999999</v>
      </c>
      <c r="O14" s="102">
        <f t="shared" si="2"/>
        <v>515</v>
      </c>
      <c r="P14" s="102">
        <f t="shared" si="3"/>
        <v>122.1</v>
      </c>
      <c r="Q14" s="102">
        <f t="shared" si="4"/>
        <v>779.8</v>
      </c>
    </row>
    <row r="15" spans="1:33">
      <c r="A15" s="102">
        <v>1961</v>
      </c>
      <c r="B15" s="102">
        <v>7.4</v>
      </c>
      <c r="C15" s="102">
        <v>30.4</v>
      </c>
      <c r="D15" s="102">
        <v>72.7</v>
      </c>
      <c r="E15" s="102">
        <v>283.39999999999998</v>
      </c>
      <c r="F15" s="102">
        <v>208.6</v>
      </c>
      <c r="G15" s="102">
        <v>66.099999999999994</v>
      </c>
      <c r="H15" s="102">
        <v>74.099999999999994</v>
      </c>
      <c r="I15" s="102">
        <v>88.5</v>
      </c>
      <c r="J15" s="102">
        <v>75.400000000000006</v>
      </c>
      <c r="K15" s="102">
        <v>105</v>
      </c>
      <c r="L15" s="102">
        <v>126.2</v>
      </c>
      <c r="M15" s="102">
        <v>70.900000000000006</v>
      </c>
      <c r="N15" s="102">
        <f t="shared" si="1"/>
        <v>393.9</v>
      </c>
      <c r="O15" s="102">
        <f t="shared" si="2"/>
        <v>512.69999999999993</v>
      </c>
      <c r="P15" s="102">
        <f t="shared" si="3"/>
        <v>302.10000000000002</v>
      </c>
      <c r="Q15" s="102">
        <f t="shared" si="4"/>
        <v>1208.7</v>
      </c>
    </row>
    <row r="16" spans="1:33">
      <c r="A16" s="102">
        <v>1962</v>
      </c>
      <c r="B16" s="102">
        <v>23.9</v>
      </c>
      <c r="C16" s="102">
        <v>7.7</v>
      </c>
      <c r="D16" s="102">
        <v>49.3</v>
      </c>
      <c r="E16" s="102">
        <v>94</v>
      </c>
      <c r="F16" s="102">
        <v>155.5</v>
      </c>
      <c r="G16" s="102">
        <v>174.8</v>
      </c>
      <c r="H16" s="102">
        <v>41.2</v>
      </c>
      <c r="I16" s="102">
        <v>199.1</v>
      </c>
      <c r="J16" s="102">
        <v>63</v>
      </c>
      <c r="K16" s="102">
        <v>132.5</v>
      </c>
      <c r="L16" s="102">
        <v>36.299999999999997</v>
      </c>
      <c r="M16" s="102">
        <v>26.8</v>
      </c>
      <c r="N16" s="102">
        <f t="shared" si="1"/>
        <v>174.89999999999998</v>
      </c>
      <c r="O16" s="102">
        <f t="shared" si="2"/>
        <v>633.6</v>
      </c>
      <c r="P16" s="102">
        <f t="shared" si="3"/>
        <v>195.60000000000002</v>
      </c>
      <c r="Q16" s="102">
        <f t="shared" si="4"/>
        <v>1004.0999999999999</v>
      </c>
    </row>
    <row r="17" spans="1:17">
      <c r="A17" s="102">
        <v>1963</v>
      </c>
      <c r="B17" s="102">
        <v>0.1</v>
      </c>
      <c r="C17" s="102">
        <v>36.4</v>
      </c>
      <c r="D17" s="102">
        <v>11.3</v>
      </c>
      <c r="E17" s="102">
        <v>161.1</v>
      </c>
      <c r="F17" s="102">
        <v>178.6</v>
      </c>
      <c r="G17" s="102">
        <v>151.30000000000001</v>
      </c>
      <c r="H17" s="102">
        <v>353.7</v>
      </c>
      <c r="I17" s="102">
        <v>117</v>
      </c>
      <c r="J17" s="102">
        <v>43.6</v>
      </c>
      <c r="K17" s="102">
        <v>187.2</v>
      </c>
      <c r="L17" s="102">
        <v>157.4</v>
      </c>
      <c r="M17" s="102">
        <v>41.3</v>
      </c>
      <c r="N17" s="102">
        <f t="shared" si="1"/>
        <v>208.89999999999998</v>
      </c>
      <c r="O17" s="102">
        <f t="shared" si="2"/>
        <v>844.19999999999993</v>
      </c>
      <c r="P17" s="102">
        <f t="shared" si="3"/>
        <v>385.90000000000003</v>
      </c>
      <c r="Q17" s="102">
        <f t="shared" si="4"/>
        <v>1439</v>
      </c>
    </row>
    <row r="18" spans="1:17">
      <c r="A18" s="102">
        <v>1964</v>
      </c>
      <c r="B18" s="102">
        <v>14.6</v>
      </c>
      <c r="C18" s="102">
        <v>26.8</v>
      </c>
      <c r="D18" s="102">
        <v>64.2</v>
      </c>
      <c r="E18" s="102">
        <v>227.8</v>
      </c>
      <c r="F18" s="102">
        <v>98</v>
      </c>
      <c r="G18" s="102">
        <v>375.7</v>
      </c>
      <c r="H18" s="102">
        <v>107</v>
      </c>
      <c r="I18" s="102">
        <v>170.7</v>
      </c>
      <c r="J18" s="102">
        <v>48.3</v>
      </c>
      <c r="K18" s="102">
        <v>73.599999999999994</v>
      </c>
      <c r="L18" s="102">
        <v>17.2</v>
      </c>
      <c r="M18" s="102">
        <v>53.3</v>
      </c>
      <c r="N18" s="102">
        <f t="shared" si="1"/>
        <v>333.4</v>
      </c>
      <c r="O18" s="102">
        <f t="shared" si="2"/>
        <v>799.7</v>
      </c>
      <c r="P18" s="102">
        <f t="shared" si="3"/>
        <v>144.1</v>
      </c>
      <c r="Q18" s="102">
        <f t="shared" si="4"/>
        <v>1277.1999999999998</v>
      </c>
    </row>
    <row r="19" spans="1:17">
      <c r="A19" s="102">
        <v>1965</v>
      </c>
      <c r="B19" s="102">
        <v>22.9</v>
      </c>
      <c r="C19" s="102">
        <v>12.6</v>
      </c>
      <c r="D19" s="102">
        <v>45.2</v>
      </c>
      <c r="E19" s="102">
        <v>113.4</v>
      </c>
      <c r="F19" s="102">
        <v>193.1</v>
      </c>
      <c r="G19" s="102">
        <v>186.3</v>
      </c>
      <c r="H19" s="102">
        <v>137.1</v>
      </c>
      <c r="I19" s="102">
        <v>88.2</v>
      </c>
      <c r="J19" s="102">
        <v>76.5</v>
      </c>
      <c r="K19" s="102">
        <v>143.6</v>
      </c>
      <c r="L19" s="102">
        <v>60.4</v>
      </c>
      <c r="M19" s="102">
        <v>22.3</v>
      </c>
      <c r="N19" s="102">
        <f t="shared" si="1"/>
        <v>194.10000000000002</v>
      </c>
      <c r="O19" s="102">
        <f t="shared" si="2"/>
        <v>681.2</v>
      </c>
      <c r="P19" s="102">
        <f t="shared" si="3"/>
        <v>226.3</v>
      </c>
      <c r="Q19" s="102">
        <f t="shared" si="4"/>
        <v>1101.6000000000001</v>
      </c>
    </row>
    <row r="20" spans="1:17">
      <c r="A20" s="102">
        <v>1966</v>
      </c>
      <c r="B20" s="102">
        <v>9.8000000000000007</v>
      </c>
      <c r="C20" s="102">
        <v>28.4</v>
      </c>
      <c r="D20" s="102">
        <v>37.6</v>
      </c>
      <c r="E20" s="102">
        <v>87.4</v>
      </c>
      <c r="F20" s="102">
        <v>148.19999999999999</v>
      </c>
      <c r="G20" s="102">
        <v>58.2</v>
      </c>
      <c r="H20" s="102">
        <v>41.5</v>
      </c>
      <c r="I20" s="102">
        <v>80.5</v>
      </c>
      <c r="J20" s="102">
        <v>34.4</v>
      </c>
      <c r="K20" s="102">
        <v>114.3</v>
      </c>
      <c r="L20" s="102">
        <v>29.8</v>
      </c>
      <c r="M20" s="102">
        <v>19.600000000000001</v>
      </c>
      <c r="N20" s="102">
        <f t="shared" si="1"/>
        <v>163.20000000000002</v>
      </c>
      <c r="O20" s="102">
        <f t="shared" si="2"/>
        <v>362.79999999999995</v>
      </c>
      <c r="P20" s="102">
        <f t="shared" si="3"/>
        <v>163.69999999999999</v>
      </c>
      <c r="Q20" s="102">
        <f t="shared" si="4"/>
        <v>689.69999999999993</v>
      </c>
    </row>
    <row r="21" spans="1:17">
      <c r="A21" s="102">
        <v>1967</v>
      </c>
      <c r="B21" s="102">
        <v>13.4</v>
      </c>
      <c r="C21" s="102">
        <v>36.5</v>
      </c>
      <c r="D21" s="102">
        <v>79.400000000000006</v>
      </c>
      <c r="E21" s="102">
        <v>108.8</v>
      </c>
      <c r="F21" s="102">
        <v>240.6</v>
      </c>
      <c r="G21" s="102">
        <v>356.6</v>
      </c>
      <c r="H21" s="102">
        <v>213</v>
      </c>
      <c r="I21" s="102">
        <v>298</v>
      </c>
      <c r="J21" s="102">
        <v>179.8</v>
      </c>
      <c r="K21" s="102">
        <v>87.9</v>
      </c>
      <c r="L21" s="102">
        <v>45.2</v>
      </c>
      <c r="M21" s="102">
        <v>18.3</v>
      </c>
      <c r="N21" s="102">
        <f t="shared" si="1"/>
        <v>238.10000000000002</v>
      </c>
      <c r="O21" s="102">
        <f t="shared" si="2"/>
        <v>1288</v>
      </c>
      <c r="P21" s="102">
        <f t="shared" si="3"/>
        <v>151.40000000000003</v>
      </c>
      <c r="Q21" s="102">
        <f t="shared" si="4"/>
        <v>1677.5000000000002</v>
      </c>
    </row>
    <row r="22" spans="1:17">
      <c r="A22" s="102">
        <v>1968</v>
      </c>
      <c r="B22" s="102">
        <v>19</v>
      </c>
      <c r="C22" s="102">
        <v>22.9</v>
      </c>
      <c r="D22" s="102">
        <v>27.6</v>
      </c>
      <c r="E22" s="102">
        <v>129.6</v>
      </c>
      <c r="F22" s="102">
        <v>175.1</v>
      </c>
      <c r="G22" s="102">
        <v>126.9</v>
      </c>
      <c r="H22" s="102">
        <v>143.80000000000001</v>
      </c>
      <c r="I22" s="102">
        <v>109.9</v>
      </c>
      <c r="J22" s="102">
        <v>39.299999999999997</v>
      </c>
      <c r="K22" s="102">
        <v>116.8</v>
      </c>
      <c r="L22" s="102">
        <v>103.4</v>
      </c>
      <c r="M22" s="102">
        <v>33</v>
      </c>
      <c r="N22" s="102">
        <f t="shared" si="1"/>
        <v>199.1</v>
      </c>
      <c r="O22" s="102">
        <f t="shared" si="2"/>
        <v>595</v>
      </c>
      <c r="P22" s="102">
        <f t="shared" si="3"/>
        <v>253.2</v>
      </c>
      <c r="Q22" s="102">
        <f t="shared" si="4"/>
        <v>1047.3</v>
      </c>
    </row>
    <row r="23" spans="1:17">
      <c r="A23" s="102">
        <v>1969</v>
      </c>
      <c r="B23" s="102">
        <v>18.3</v>
      </c>
      <c r="C23" s="102">
        <v>4.4000000000000004</v>
      </c>
      <c r="D23" s="102">
        <v>89.1</v>
      </c>
      <c r="E23" s="102">
        <v>100.5</v>
      </c>
      <c r="F23" s="102">
        <v>207.6</v>
      </c>
      <c r="G23" s="102">
        <v>396.9</v>
      </c>
      <c r="H23" s="102">
        <v>157.19999999999999</v>
      </c>
      <c r="I23" s="102">
        <v>228.4</v>
      </c>
      <c r="J23" s="102">
        <v>10</v>
      </c>
      <c r="K23" s="102">
        <v>240.5</v>
      </c>
      <c r="L23" s="102">
        <v>62.6</v>
      </c>
      <c r="M23" s="102">
        <v>3.7</v>
      </c>
      <c r="N23" s="102">
        <f t="shared" si="1"/>
        <v>212.3</v>
      </c>
      <c r="O23" s="102">
        <f t="shared" si="2"/>
        <v>1000.1</v>
      </c>
      <c r="P23" s="102">
        <f t="shared" si="3"/>
        <v>306.8</v>
      </c>
      <c r="Q23" s="102">
        <f t="shared" si="4"/>
        <v>1519.2</v>
      </c>
    </row>
    <row r="24" spans="1:17">
      <c r="A24" s="102">
        <v>1970</v>
      </c>
      <c r="B24" s="102">
        <v>19.5</v>
      </c>
      <c r="C24" s="102">
        <v>31.9</v>
      </c>
      <c r="D24" s="102">
        <v>44</v>
      </c>
      <c r="E24" s="102">
        <v>79.900000000000006</v>
      </c>
      <c r="F24" s="102">
        <v>224.9</v>
      </c>
      <c r="G24" s="102">
        <v>79.2</v>
      </c>
      <c r="H24" s="102">
        <v>129.30000000000001</v>
      </c>
      <c r="I24" s="102">
        <v>58.5</v>
      </c>
      <c r="J24" s="102">
        <v>101.7</v>
      </c>
      <c r="K24" s="102">
        <v>25.3</v>
      </c>
      <c r="L24" s="102">
        <v>42.3</v>
      </c>
      <c r="M24" s="102">
        <v>47.2</v>
      </c>
      <c r="N24" s="102">
        <f t="shared" si="1"/>
        <v>175.3</v>
      </c>
      <c r="O24" s="102">
        <f t="shared" si="2"/>
        <v>593.6</v>
      </c>
      <c r="P24" s="102">
        <f t="shared" si="3"/>
        <v>114.8</v>
      </c>
      <c r="Q24" s="102">
        <f t="shared" si="4"/>
        <v>883.7</v>
      </c>
    </row>
    <row r="25" spans="1:17">
      <c r="A25" s="102">
        <v>1971</v>
      </c>
      <c r="B25" s="102">
        <v>34.5</v>
      </c>
      <c r="C25" s="102">
        <v>39.700000000000003</v>
      </c>
      <c r="D25" s="102">
        <v>70.8</v>
      </c>
      <c r="E25" s="102">
        <v>106.2</v>
      </c>
      <c r="F25" s="102">
        <v>197.1</v>
      </c>
      <c r="G25" s="102">
        <v>202.2</v>
      </c>
      <c r="H25" s="102">
        <v>104.6</v>
      </c>
      <c r="I25" s="102">
        <v>88.5</v>
      </c>
      <c r="J25" s="102">
        <v>65.3</v>
      </c>
      <c r="K25" s="102">
        <v>53.7</v>
      </c>
      <c r="L25" s="102">
        <v>22.1</v>
      </c>
      <c r="M25" s="102">
        <v>34.5</v>
      </c>
      <c r="N25" s="102">
        <f t="shared" si="1"/>
        <v>251.2</v>
      </c>
      <c r="O25" s="102">
        <f t="shared" si="2"/>
        <v>657.69999999999993</v>
      </c>
      <c r="P25" s="102">
        <f t="shared" si="3"/>
        <v>110.30000000000001</v>
      </c>
      <c r="Q25" s="102">
        <f t="shared" si="4"/>
        <v>1019.2</v>
      </c>
    </row>
    <row r="26" spans="1:17">
      <c r="A26" s="102">
        <v>1972</v>
      </c>
      <c r="B26" s="102">
        <v>14.7</v>
      </c>
      <c r="C26" s="102">
        <v>32.9</v>
      </c>
      <c r="D26" s="102">
        <v>32.6</v>
      </c>
      <c r="E26" s="102">
        <v>205.2</v>
      </c>
      <c r="F26" s="102">
        <v>121.4</v>
      </c>
      <c r="G26" s="102">
        <v>109.5</v>
      </c>
      <c r="H26" s="102">
        <v>50.2</v>
      </c>
      <c r="I26" s="102">
        <v>18.899999999999999</v>
      </c>
      <c r="J26" s="102">
        <v>250.3</v>
      </c>
      <c r="K26" s="102">
        <v>136.69999999999999</v>
      </c>
      <c r="L26" s="102">
        <v>69.2</v>
      </c>
      <c r="M26" s="102">
        <v>15.7</v>
      </c>
      <c r="N26" s="102">
        <f t="shared" si="1"/>
        <v>285.39999999999998</v>
      </c>
      <c r="O26" s="102">
        <f t="shared" si="2"/>
        <v>550.29999999999995</v>
      </c>
      <c r="P26" s="102">
        <f t="shared" si="3"/>
        <v>221.59999999999997</v>
      </c>
      <c r="Q26" s="102">
        <f t="shared" si="4"/>
        <v>1057.3000000000002</v>
      </c>
    </row>
    <row r="27" spans="1:17">
      <c r="A27" s="102">
        <v>1973</v>
      </c>
      <c r="B27" s="102">
        <v>24.3</v>
      </c>
      <c r="C27" s="102">
        <v>48.8</v>
      </c>
      <c r="D27" s="102">
        <v>98.1</v>
      </c>
      <c r="E27" s="102">
        <v>104.1</v>
      </c>
      <c r="F27" s="102">
        <v>179.1</v>
      </c>
      <c r="G27" s="102">
        <v>195.9</v>
      </c>
      <c r="H27" s="102">
        <v>175.6</v>
      </c>
      <c r="I27" s="102">
        <v>150</v>
      </c>
      <c r="J27" s="102">
        <v>108.4</v>
      </c>
      <c r="K27" s="102">
        <v>25.1</v>
      </c>
      <c r="L27" s="102">
        <v>24.9</v>
      </c>
      <c r="M27" s="102">
        <v>4</v>
      </c>
      <c r="N27" s="102">
        <f t="shared" si="1"/>
        <v>275.29999999999995</v>
      </c>
      <c r="O27" s="102">
        <f t="shared" si="2"/>
        <v>809</v>
      </c>
      <c r="P27" s="102">
        <f t="shared" si="3"/>
        <v>54</v>
      </c>
      <c r="Q27" s="102">
        <f t="shared" si="4"/>
        <v>1138.3</v>
      </c>
    </row>
    <row r="28" spans="1:17">
      <c r="A28" s="102">
        <v>1974</v>
      </c>
      <c r="B28" s="102">
        <v>24.6</v>
      </c>
      <c r="C28" s="102">
        <v>5.6</v>
      </c>
      <c r="D28" s="102">
        <v>50.2</v>
      </c>
      <c r="E28" s="102">
        <v>133.5</v>
      </c>
      <c r="F28" s="102">
        <v>193.4</v>
      </c>
      <c r="G28" s="102">
        <v>237.5</v>
      </c>
      <c r="H28" s="102">
        <v>156.1</v>
      </c>
      <c r="I28" s="102">
        <v>69.099999999999994</v>
      </c>
      <c r="J28" s="102">
        <v>108.5</v>
      </c>
      <c r="K28" s="102">
        <v>58.8</v>
      </c>
      <c r="L28" s="102">
        <v>10.7</v>
      </c>
      <c r="M28" s="102">
        <v>20.8</v>
      </c>
      <c r="N28" s="102">
        <f t="shared" si="1"/>
        <v>213.9</v>
      </c>
      <c r="O28" s="102">
        <f t="shared" si="2"/>
        <v>764.6</v>
      </c>
      <c r="P28" s="102">
        <f t="shared" si="3"/>
        <v>90.3</v>
      </c>
      <c r="Q28" s="102">
        <f t="shared" si="4"/>
        <v>1068.8</v>
      </c>
    </row>
    <row r="29" spans="1:17">
      <c r="A29" s="102">
        <v>1975</v>
      </c>
      <c r="B29" s="102">
        <v>27.9</v>
      </c>
      <c r="C29" s="102">
        <v>15</v>
      </c>
      <c r="D29" s="102">
        <v>20.6</v>
      </c>
      <c r="E29" s="102">
        <v>87.1</v>
      </c>
      <c r="F29" s="102">
        <v>235</v>
      </c>
      <c r="G29" s="102">
        <v>122.7</v>
      </c>
      <c r="H29" s="102">
        <v>69.099999999999994</v>
      </c>
      <c r="I29" s="102">
        <v>97.8</v>
      </c>
      <c r="J29" s="102">
        <v>110.6</v>
      </c>
      <c r="K29" s="102">
        <v>61</v>
      </c>
      <c r="L29" s="102">
        <v>100.3</v>
      </c>
      <c r="M29" s="102">
        <v>9.3000000000000007</v>
      </c>
      <c r="N29" s="102">
        <f t="shared" si="1"/>
        <v>150.6</v>
      </c>
      <c r="O29" s="102">
        <f t="shared" si="2"/>
        <v>635.19999999999993</v>
      </c>
      <c r="P29" s="102">
        <f t="shared" si="3"/>
        <v>170.60000000000002</v>
      </c>
      <c r="Q29" s="102">
        <f t="shared" si="4"/>
        <v>956.39999999999986</v>
      </c>
    </row>
    <row r="30" spans="1:17">
      <c r="A30" s="102">
        <v>1976</v>
      </c>
      <c r="B30" s="102">
        <v>46.5</v>
      </c>
      <c r="C30" s="102">
        <v>28.6</v>
      </c>
      <c r="D30" s="102">
        <v>37.1</v>
      </c>
      <c r="E30" s="102">
        <v>95.6</v>
      </c>
      <c r="F30" s="102">
        <v>228.5</v>
      </c>
      <c r="G30" s="102">
        <v>244.6</v>
      </c>
      <c r="H30" s="102">
        <v>201.1</v>
      </c>
      <c r="I30" s="102">
        <v>57.8</v>
      </c>
      <c r="J30" s="102">
        <v>116.6</v>
      </c>
      <c r="K30" s="102">
        <v>92</v>
      </c>
      <c r="L30" s="102">
        <v>73.2</v>
      </c>
      <c r="M30" s="102">
        <v>15.9</v>
      </c>
      <c r="N30" s="102">
        <f t="shared" si="1"/>
        <v>207.79999999999998</v>
      </c>
      <c r="O30" s="102">
        <f t="shared" si="2"/>
        <v>848.6</v>
      </c>
      <c r="P30" s="102">
        <f t="shared" si="3"/>
        <v>181.1</v>
      </c>
      <c r="Q30" s="102">
        <f t="shared" si="4"/>
        <v>1237.5</v>
      </c>
    </row>
    <row r="31" spans="1:17">
      <c r="A31" s="102">
        <v>1977</v>
      </c>
      <c r="B31" s="102">
        <v>11.9</v>
      </c>
      <c r="C31" s="102">
        <v>31.8</v>
      </c>
      <c r="D31" s="102">
        <v>78.5</v>
      </c>
      <c r="E31" s="102">
        <v>194.8</v>
      </c>
      <c r="F31" s="102">
        <v>187.4</v>
      </c>
      <c r="G31" s="102">
        <v>336.6</v>
      </c>
      <c r="H31" s="102">
        <v>168.6</v>
      </c>
      <c r="I31" s="102">
        <v>74.099999999999994</v>
      </c>
      <c r="J31" s="102">
        <v>52.7</v>
      </c>
      <c r="K31" s="102">
        <v>183.3</v>
      </c>
      <c r="L31" s="102">
        <v>59.7</v>
      </c>
      <c r="M31" s="102">
        <v>27.3</v>
      </c>
      <c r="N31" s="102">
        <f t="shared" si="1"/>
        <v>317</v>
      </c>
      <c r="O31" s="102">
        <f t="shared" si="2"/>
        <v>819.40000000000009</v>
      </c>
      <c r="P31" s="102">
        <f t="shared" si="3"/>
        <v>270.3</v>
      </c>
      <c r="Q31" s="102">
        <f t="shared" si="4"/>
        <v>1406.7</v>
      </c>
    </row>
    <row r="32" spans="1:17">
      <c r="A32" s="102">
        <v>1978</v>
      </c>
      <c r="B32" s="102">
        <v>12.7</v>
      </c>
      <c r="C32" s="102">
        <v>4.4000000000000004</v>
      </c>
      <c r="D32" s="102">
        <v>22.9</v>
      </c>
      <c r="E32" s="102">
        <v>103.4</v>
      </c>
      <c r="F32" s="102">
        <v>154.1</v>
      </c>
      <c r="G32" s="102">
        <v>200.6</v>
      </c>
      <c r="H32" s="102">
        <v>96.4</v>
      </c>
      <c r="I32" s="102">
        <v>204</v>
      </c>
      <c r="J32" s="102">
        <v>93.1</v>
      </c>
      <c r="K32" s="102">
        <v>140.30000000000001</v>
      </c>
      <c r="L32" s="102">
        <v>97.5</v>
      </c>
      <c r="M32" s="102">
        <v>6.3</v>
      </c>
      <c r="N32" s="102">
        <f t="shared" si="1"/>
        <v>143.4</v>
      </c>
      <c r="O32" s="102">
        <f t="shared" si="2"/>
        <v>748.2</v>
      </c>
      <c r="P32" s="102">
        <f t="shared" si="3"/>
        <v>244.10000000000002</v>
      </c>
      <c r="Q32" s="102">
        <f t="shared" si="4"/>
        <v>1135.7</v>
      </c>
    </row>
    <row r="33" spans="1:17">
      <c r="A33" s="102">
        <v>1979</v>
      </c>
      <c r="B33" s="102">
        <v>7.1</v>
      </c>
      <c r="C33" s="102">
        <v>17</v>
      </c>
      <c r="D33" s="102">
        <v>40.9</v>
      </c>
      <c r="E33" s="102">
        <v>53.1</v>
      </c>
      <c r="F33" s="102">
        <v>74.5</v>
      </c>
      <c r="G33" s="102">
        <v>226.6</v>
      </c>
      <c r="H33" s="102">
        <v>178.8</v>
      </c>
      <c r="I33" s="102">
        <v>99.3</v>
      </c>
      <c r="J33" s="102">
        <v>169.6</v>
      </c>
      <c r="K33" s="102">
        <v>109.9</v>
      </c>
      <c r="L33" s="102">
        <v>11.1</v>
      </c>
      <c r="M33" s="102">
        <v>47.3</v>
      </c>
      <c r="N33" s="102">
        <f t="shared" si="1"/>
        <v>118.1</v>
      </c>
      <c r="O33" s="102">
        <f t="shared" si="2"/>
        <v>748.80000000000007</v>
      </c>
      <c r="P33" s="102">
        <f t="shared" si="3"/>
        <v>168.3</v>
      </c>
      <c r="Q33" s="102">
        <f t="shared" si="4"/>
        <v>1035.2</v>
      </c>
    </row>
    <row r="34" spans="1:17">
      <c r="A34" s="102">
        <v>1980</v>
      </c>
      <c r="B34" s="102">
        <v>34.5</v>
      </c>
      <c r="C34" s="102">
        <v>18.600000000000001</v>
      </c>
      <c r="D34" s="102">
        <v>46.7</v>
      </c>
      <c r="E34" s="102">
        <v>91.8</v>
      </c>
      <c r="F34" s="102">
        <v>119.6</v>
      </c>
      <c r="G34" s="102">
        <v>232.7</v>
      </c>
      <c r="H34" s="102">
        <v>313</v>
      </c>
      <c r="I34" s="102">
        <v>146</v>
      </c>
      <c r="J34" s="102">
        <v>70.099999999999994</v>
      </c>
      <c r="K34" s="102">
        <v>186.2</v>
      </c>
      <c r="L34" s="102">
        <v>43</v>
      </c>
      <c r="M34" s="102">
        <v>20.7</v>
      </c>
      <c r="N34" s="102">
        <f t="shared" si="1"/>
        <v>191.60000000000002</v>
      </c>
      <c r="O34" s="102">
        <f t="shared" si="2"/>
        <v>881.4</v>
      </c>
      <c r="P34" s="102">
        <f t="shared" si="3"/>
        <v>249.89999999999998</v>
      </c>
      <c r="Q34" s="102">
        <f t="shared" si="4"/>
        <v>1322.9</v>
      </c>
    </row>
    <row r="35" spans="1:17">
      <c r="A35" s="102">
        <v>1981</v>
      </c>
      <c r="B35" s="102">
        <v>33.6</v>
      </c>
      <c r="C35" s="102">
        <v>21.1</v>
      </c>
      <c r="D35" s="102">
        <v>68.400000000000006</v>
      </c>
      <c r="E35" s="102">
        <v>128.5</v>
      </c>
      <c r="F35" s="102">
        <v>193.1</v>
      </c>
      <c r="G35" s="102">
        <v>115.5</v>
      </c>
      <c r="H35" s="102">
        <v>30.5</v>
      </c>
      <c r="I35" s="102">
        <v>9.1999999999999993</v>
      </c>
      <c r="J35" s="102">
        <v>62.4</v>
      </c>
      <c r="K35" s="102">
        <v>63</v>
      </c>
      <c r="L35" s="102">
        <v>40</v>
      </c>
      <c r="M35" s="102">
        <v>0</v>
      </c>
      <c r="N35" s="102">
        <f t="shared" si="1"/>
        <v>251.60000000000002</v>
      </c>
      <c r="O35" s="102">
        <f t="shared" si="2"/>
        <v>410.7</v>
      </c>
      <c r="P35" s="102">
        <f t="shared" si="3"/>
        <v>103</v>
      </c>
      <c r="Q35" s="102">
        <f t="shared" si="4"/>
        <v>765.30000000000007</v>
      </c>
    </row>
    <row r="36" spans="1:17">
      <c r="A36" s="102">
        <v>1982</v>
      </c>
      <c r="B36" s="102">
        <v>17.399999999999999</v>
      </c>
      <c r="C36" s="102">
        <v>56.6</v>
      </c>
      <c r="D36" s="102">
        <v>18.899999999999999</v>
      </c>
      <c r="E36" s="102">
        <v>147.80000000000001</v>
      </c>
      <c r="F36" s="102">
        <v>204.9</v>
      </c>
      <c r="G36" s="102">
        <v>176.3</v>
      </c>
      <c r="H36" s="102">
        <v>103.4</v>
      </c>
      <c r="I36" s="102">
        <v>214.2</v>
      </c>
      <c r="J36" s="102">
        <v>270.3</v>
      </c>
      <c r="K36" s="102">
        <v>100.2</v>
      </c>
      <c r="L36" s="102">
        <v>144.69999999999999</v>
      </c>
      <c r="M36" s="102">
        <v>23.3</v>
      </c>
      <c r="N36" s="102">
        <f t="shared" si="1"/>
        <v>240.70000000000002</v>
      </c>
      <c r="O36" s="102">
        <f t="shared" si="2"/>
        <v>969.09999999999991</v>
      </c>
      <c r="P36" s="102">
        <f t="shared" si="3"/>
        <v>268.2</v>
      </c>
      <c r="Q36" s="102">
        <f t="shared" si="4"/>
        <v>1478</v>
      </c>
    </row>
    <row r="37" spans="1:17">
      <c r="A37" s="102">
        <v>1983</v>
      </c>
      <c r="B37" s="102">
        <v>62.1</v>
      </c>
      <c r="C37" s="102">
        <v>19.899999999999999</v>
      </c>
      <c r="D37" s="102">
        <v>45.5</v>
      </c>
      <c r="E37" s="102">
        <v>129.30000000000001</v>
      </c>
      <c r="F37" s="102">
        <v>221</v>
      </c>
      <c r="G37" s="102">
        <v>227.7</v>
      </c>
      <c r="H37" s="102">
        <v>95.5</v>
      </c>
      <c r="I37" s="102">
        <v>68.5</v>
      </c>
      <c r="J37" s="102">
        <v>238.1</v>
      </c>
      <c r="K37" s="102">
        <v>95.1</v>
      </c>
      <c r="L37" s="102">
        <v>59.9</v>
      </c>
      <c r="M37" s="102">
        <v>23.1</v>
      </c>
      <c r="N37" s="102">
        <f t="shared" si="1"/>
        <v>256.8</v>
      </c>
      <c r="O37" s="102">
        <f t="shared" si="2"/>
        <v>850.80000000000007</v>
      </c>
      <c r="P37" s="102">
        <f t="shared" si="3"/>
        <v>178.1</v>
      </c>
      <c r="Q37" s="102">
        <f t="shared" si="4"/>
        <v>1285.6999999999998</v>
      </c>
    </row>
    <row r="38" spans="1:17">
      <c r="A38" s="102">
        <v>1984</v>
      </c>
      <c r="B38" s="102">
        <v>13.6</v>
      </c>
      <c r="C38" s="102">
        <v>7.7</v>
      </c>
      <c r="D38" s="102">
        <v>23.9</v>
      </c>
      <c r="E38" s="102">
        <v>69.5</v>
      </c>
      <c r="F38" s="102">
        <v>283.3</v>
      </c>
      <c r="G38" s="102">
        <v>72.8</v>
      </c>
      <c r="H38" s="102">
        <v>253.7</v>
      </c>
      <c r="I38" s="102">
        <v>301.89999999999998</v>
      </c>
      <c r="J38" s="102">
        <v>66.3</v>
      </c>
      <c r="K38" s="102">
        <v>97</v>
      </c>
      <c r="L38" s="102">
        <v>18.7</v>
      </c>
      <c r="M38" s="102">
        <v>49.3</v>
      </c>
      <c r="N38" s="102">
        <f t="shared" si="1"/>
        <v>114.7</v>
      </c>
      <c r="O38" s="102">
        <f t="shared" si="2"/>
        <v>977.99999999999989</v>
      </c>
      <c r="P38" s="102">
        <f t="shared" si="3"/>
        <v>165</v>
      </c>
      <c r="Q38" s="102">
        <f t="shared" si="4"/>
        <v>1257.7</v>
      </c>
    </row>
    <row r="39" spans="1:17">
      <c r="A39" s="102">
        <v>1985</v>
      </c>
      <c r="B39" s="102">
        <v>8.3000000000000007</v>
      </c>
      <c r="C39" s="102">
        <v>47.9</v>
      </c>
      <c r="D39" s="102">
        <v>37.700000000000003</v>
      </c>
      <c r="E39" s="102">
        <v>89.1</v>
      </c>
      <c r="F39" s="102">
        <v>163.80000000000001</v>
      </c>
      <c r="G39" s="102">
        <v>97.4</v>
      </c>
      <c r="H39" s="102">
        <v>181.1</v>
      </c>
      <c r="I39" s="102">
        <v>104.1</v>
      </c>
      <c r="J39" s="102">
        <v>35.799999999999997</v>
      </c>
      <c r="K39" s="102">
        <v>58.8</v>
      </c>
      <c r="L39" s="102">
        <v>47.5</v>
      </c>
      <c r="M39" s="102">
        <v>33.799999999999997</v>
      </c>
      <c r="N39" s="102">
        <f t="shared" si="1"/>
        <v>183</v>
      </c>
      <c r="O39" s="102">
        <f t="shared" si="2"/>
        <v>582.20000000000005</v>
      </c>
      <c r="P39" s="102">
        <f t="shared" si="3"/>
        <v>140.1</v>
      </c>
      <c r="Q39" s="102">
        <f t="shared" si="4"/>
        <v>905.3</v>
      </c>
    </row>
    <row r="40" spans="1:17">
      <c r="A40" s="102">
        <v>1986</v>
      </c>
      <c r="B40" s="102">
        <v>17.5</v>
      </c>
      <c r="C40" s="102">
        <v>9.9</v>
      </c>
      <c r="D40" s="102">
        <v>47.5</v>
      </c>
      <c r="E40" s="102">
        <v>107.1</v>
      </c>
      <c r="F40" s="102">
        <v>75.3</v>
      </c>
      <c r="G40" s="102">
        <v>193.1</v>
      </c>
      <c r="H40" s="102">
        <v>288.8</v>
      </c>
      <c r="I40" s="102">
        <v>64</v>
      </c>
      <c r="J40" s="102">
        <v>41.5</v>
      </c>
      <c r="K40" s="102">
        <v>47.1</v>
      </c>
      <c r="L40" s="102">
        <v>41.4</v>
      </c>
      <c r="M40" s="102">
        <v>4.2</v>
      </c>
      <c r="N40" s="102">
        <f t="shared" si="1"/>
        <v>182</v>
      </c>
      <c r="O40" s="102">
        <f t="shared" si="2"/>
        <v>662.7</v>
      </c>
      <c r="P40" s="102">
        <f t="shared" si="3"/>
        <v>92.7</v>
      </c>
      <c r="Q40" s="102">
        <f t="shared" si="4"/>
        <v>937.40000000000009</v>
      </c>
    </row>
    <row r="41" spans="1:17">
      <c r="A41" s="102">
        <v>1987</v>
      </c>
      <c r="B41" s="102">
        <v>28.5</v>
      </c>
      <c r="C41" s="102">
        <v>6.4</v>
      </c>
      <c r="D41" s="102">
        <v>16.8</v>
      </c>
      <c r="E41" s="102">
        <v>91.1</v>
      </c>
      <c r="F41" s="102">
        <v>248.2</v>
      </c>
      <c r="G41" s="102">
        <v>102.4</v>
      </c>
      <c r="H41" s="102">
        <v>99.9</v>
      </c>
      <c r="I41" s="102">
        <v>132.6</v>
      </c>
      <c r="J41" s="102">
        <v>106.5</v>
      </c>
      <c r="K41" s="102">
        <v>249.1</v>
      </c>
      <c r="L41" s="102">
        <v>62.6</v>
      </c>
      <c r="M41" s="102">
        <v>14.3</v>
      </c>
      <c r="N41" s="102">
        <f t="shared" si="1"/>
        <v>142.80000000000001</v>
      </c>
      <c r="O41" s="102">
        <f t="shared" si="2"/>
        <v>689.6</v>
      </c>
      <c r="P41" s="102">
        <f t="shared" si="3"/>
        <v>326</v>
      </c>
      <c r="Q41" s="102">
        <f t="shared" si="4"/>
        <v>1158.3999999999999</v>
      </c>
    </row>
    <row r="42" spans="1:17">
      <c r="A42" s="102">
        <v>1988</v>
      </c>
      <c r="B42" s="102">
        <v>15</v>
      </c>
      <c r="C42" s="102">
        <v>15.2</v>
      </c>
      <c r="D42" s="102">
        <v>11.4</v>
      </c>
      <c r="E42" s="102">
        <v>87.9</v>
      </c>
      <c r="F42" s="102">
        <v>231</v>
      </c>
      <c r="G42" s="102">
        <v>221.9</v>
      </c>
      <c r="H42" s="102">
        <v>52.9</v>
      </c>
      <c r="I42" s="102">
        <v>159.19999999999999</v>
      </c>
      <c r="J42" s="102">
        <v>99.9</v>
      </c>
      <c r="K42" s="102">
        <v>71.2</v>
      </c>
      <c r="L42" s="102">
        <v>0</v>
      </c>
      <c r="M42" s="102">
        <v>5.5</v>
      </c>
      <c r="N42" s="102">
        <f t="shared" si="1"/>
        <v>129.5</v>
      </c>
      <c r="O42" s="102">
        <f t="shared" si="2"/>
        <v>764.9</v>
      </c>
      <c r="P42" s="102">
        <f t="shared" si="3"/>
        <v>76.7</v>
      </c>
      <c r="Q42" s="102">
        <f t="shared" si="4"/>
        <v>971.1</v>
      </c>
    </row>
    <row r="43" spans="1:17">
      <c r="A43" s="102">
        <v>1989</v>
      </c>
      <c r="B43" s="102">
        <v>9.3000000000000007</v>
      </c>
      <c r="C43" s="102">
        <v>46.1</v>
      </c>
      <c r="D43" s="102">
        <v>54.8</v>
      </c>
      <c r="E43" s="102">
        <v>160.30000000000001</v>
      </c>
      <c r="F43" s="102">
        <v>50.8</v>
      </c>
      <c r="G43" s="102">
        <v>131.5</v>
      </c>
      <c r="H43" s="102">
        <v>44.6</v>
      </c>
      <c r="I43" s="102">
        <v>107</v>
      </c>
      <c r="J43" s="102">
        <v>88.3</v>
      </c>
      <c r="K43" s="102">
        <v>74.900000000000006</v>
      </c>
      <c r="L43" s="102">
        <v>39.700000000000003</v>
      </c>
      <c r="M43" s="102">
        <v>38.700000000000003</v>
      </c>
      <c r="N43" s="102">
        <f t="shared" si="1"/>
        <v>270.5</v>
      </c>
      <c r="O43" s="102">
        <f t="shared" si="2"/>
        <v>422.2</v>
      </c>
      <c r="P43" s="102">
        <f t="shared" si="3"/>
        <v>153.30000000000001</v>
      </c>
      <c r="Q43" s="102">
        <f t="shared" si="4"/>
        <v>846.00000000000011</v>
      </c>
    </row>
    <row r="44" spans="1:17">
      <c r="A44" s="102">
        <v>1990</v>
      </c>
      <c r="B44" s="102">
        <v>20.9</v>
      </c>
      <c r="C44" s="102">
        <v>39.1</v>
      </c>
      <c r="D44" s="102">
        <v>68</v>
      </c>
      <c r="E44" s="102">
        <v>72.8</v>
      </c>
      <c r="F44" s="102">
        <v>170</v>
      </c>
      <c r="G44" s="102">
        <v>168.1</v>
      </c>
      <c r="H44" s="102">
        <v>147</v>
      </c>
      <c r="I44" s="102">
        <v>48.6</v>
      </c>
      <c r="J44" s="102">
        <v>127.5</v>
      </c>
      <c r="K44" s="102">
        <v>82.8</v>
      </c>
      <c r="L44" s="102">
        <v>118.9</v>
      </c>
      <c r="M44" s="102">
        <v>16.899999999999999</v>
      </c>
      <c r="N44" s="102">
        <f t="shared" si="1"/>
        <v>200.8</v>
      </c>
      <c r="O44" s="102">
        <f t="shared" si="2"/>
        <v>661.2</v>
      </c>
      <c r="P44" s="102">
        <f t="shared" si="3"/>
        <v>218.6</v>
      </c>
      <c r="Q44" s="102">
        <f t="shared" si="4"/>
        <v>1080.6000000000001</v>
      </c>
    </row>
    <row r="45" spans="1:17">
      <c r="A45" s="102">
        <v>1991</v>
      </c>
      <c r="B45" s="102">
        <v>57.6</v>
      </c>
      <c r="C45" s="102">
        <v>24.6</v>
      </c>
      <c r="D45" s="102">
        <v>33.799999999999997</v>
      </c>
      <c r="E45" s="102">
        <v>78.099999999999994</v>
      </c>
      <c r="F45" s="102">
        <v>72.3</v>
      </c>
      <c r="G45" s="102">
        <v>200.4</v>
      </c>
      <c r="H45" s="102">
        <v>348</v>
      </c>
      <c r="I45" s="102">
        <v>63</v>
      </c>
      <c r="J45" s="102">
        <v>62.7</v>
      </c>
      <c r="K45" s="102">
        <v>52</v>
      </c>
      <c r="L45" s="102">
        <v>34.1</v>
      </c>
      <c r="M45" s="102">
        <v>9.1999999999999993</v>
      </c>
      <c r="N45" s="102">
        <f t="shared" si="1"/>
        <v>194.1</v>
      </c>
      <c r="O45" s="102">
        <f t="shared" si="2"/>
        <v>746.40000000000009</v>
      </c>
      <c r="P45" s="102">
        <f t="shared" si="3"/>
        <v>95.3</v>
      </c>
      <c r="Q45" s="102">
        <f t="shared" si="4"/>
        <v>1035.8</v>
      </c>
    </row>
    <row r="46" spans="1:17">
      <c r="A46" s="102">
        <v>1992</v>
      </c>
      <c r="B46" s="102">
        <v>17</v>
      </c>
      <c r="C46" s="102">
        <v>37.9</v>
      </c>
      <c r="D46" s="102">
        <v>48.6</v>
      </c>
      <c r="E46" s="102">
        <v>95.4</v>
      </c>
      <c r="F46" s="102">
        <v>161.19999999999999</v>
      </c>
      <c r="G46" s="102">
        <v>236.3</v>
      </c>
      <c r="H46" s="102">
        <v>122.6</v>
      </c>
      <c r="I46" s="102">
        <v>50.6</v>
      </c>
      <c r="J46" s="102">
        <v>81.5</v>
      </c>
      <c r="K46" s="102">
        <v>64.3</v>
      </c>
      <c r="L46" s="102">
        <v>17.899999999999999</v>
      </c>
      <c r="M46" s="102">
        <v>24.7</v>
      </c>
      <c r="N46" s="102">
        <f t="shared" si="1"/>
        <v>198.9</v>
      </c>
      <c r="O46" s="102">
        <f t="shared" si="2"/>
        <v>652.20000000000005</v>
      </c>
      <c r="P46" s="102">
        <f t="shared" si="3"/>
        <v>106.89999999999999</v>
      </c>
      <c r="Q46" s="102">
        <f t="shared" si="4"/>
        <v>958.00000000000011</v>
      </c>
    </row>
    <row r="47" spans="1:17">
      <c r="A47" s="102">
        <v>1993</v>
      </c>
      <c r="B47" s="102">
        <v>40.6</v>
      </c>
      <c r="C47" s="102">
        <v>48.1</v>
      </c>
      <c r="D47" s="102">
        <v>86</v>
      </c>
      <c r="E47" s="102">
        <v>57.4</v>
      </c>
      <c r="F47" s="102">
        <v>108.3</v>
      </c>
      <c r="G47" s="102">
        <v>171.2</v>
      </c>
      <c r="H47" s="102">
        <v>279.3</v>
      </c>
      <c r="I47" s="102">
        <v>234.5</v>
      </c>
      <c r="J47" s="102">
        <v>45</v>
      </c>
      <c r="K47" s="102">
        <v>79.900000000000006</v>
      </c>
      <c r="L47" s="102">
        <v>45.3</v>
      </c>
      <c r="M47" s="102">
        <v>13.9</v>
      </c>
      <c r="N47" s="102">
        <f t="shared" si="1"/>
        <v>232.1</v>
      </c>
      <c r="O47" s="102">
        <f t="shared" si="2"/>
        <v>838.3</v>
      </c>
      <c r="P47" s="102">
        <f t="shared" si="3"/>
        <v>139.1</v>
      </c>
      <c r="Q47" s="102">
        <f t="shared" si="4"/>
        <v>1209.5000000000002</v>
      </c>
    </row>
    <row r="48" spans="1:17">
      <c r="A48" s="102">
        <v>1994</v>
      </c>
      <c r="B48" s="102">
        <v>12.5</v>
      </c>
      <c r="C48" s="102">
        <v>21.9</v>
      </c>
      <c r="D48" s="102">
        <v>66.3</v>
      </c>
      <c r="E48" s="102">
        <v>49.5</v>
      </c>
      <c r="F48" s="102">
        <v>210.3</v>
      </c>
      <c r="G48" s="102">
        <v>118.1</v>
      </c>
      <c r="H48" s="102">
        <v>87.6</v>
      </c>
      <c r="I48" s="102">
        <v>53.3</v>
      </c>
      <c r="J48" s="102">
        <v>93</v>
      </c>
      <c r="K48" s="102">
        <v>138.69999999999999</v>
      </c>
      <c r="L48" s="102">
        <v>108.3</v>
      </c>
      <c r="M48" s="102">
        <v>26.2</v>
      </c>
      <c r="N48" s="102">
        <f t="shared" si="1"/>
        <v>150.19999999999999</v>
      </c>
      <c r="O48" s="102">
        <f t="shared" si="2"/>
        <v>562.29999999999995</v>
      </c>
      <c r="P48" s="102">
        <f t="shared" si="3"/>
        <v>273.2</v>
      </c>
      <c r="Q48" s="102">
        <f t="shared" si="4"/>
        <v>985.7</v>
      </c>
    </row>
    <row r="49" spans="1:17">
      <c r="A49" s="102">
        <v>1995</v>
      </c>
      <c r="B49" s="102">
        <v>34.700000000000003</v>
      </c>
      <c r="C49" s="102">
        <v>58.2</v>
      </c>
      <c r="D49" s="102">
        <v>30.5</v>
      </c>
      <c r="E49" s="102">
        <v>105</v>
      </c>
      <c r="F49" s="102">
        <v>156.19999999999999</v>
      </c>
      <c r="G49" s="102">
        <v>340.5</v>
      </c>
      <c r="H49" s="102">
        <v>149.5</v>
      </c>
      <c r="I49" s="102">
        <v>119.7</v>
      </c>
      <c r="J49" s="102">
        <v>95.4</v>
      </c>
      <c r="K49" s="102">
        <v>118.2</v>
      </c>
      <c r="L49" s="102">
        <v>39.5</v>
      </c>
      <c r="M49" s="102">
        <v>6.4</v>
      </c>
      <c r="N49" s="102">
        <f t="shared" si="1"/>
        <v>228.4</v>
      </c>
      <c r="O49" s="102">
        <f t="shared" si="2"/>
        <v>861.30000000000007</v>
      </c>
      <c r="P49" s="102">
        <f t="shared" si="3"/>
        <v>164.1</v>
      </c>
      <c r="Q49" s="102">
        <f t="shared" si="4"/>
        <v>1253.8000000000002</v>
      </c>
    </row>
    <row r="50" spans="1:17">
      <c r="A50" s="102">
        <v>1996</v>
      </c>
      <c r="B50" s="102">
        <v>25.7</v>
      </c>
      <c r="C50" s="102">
        <v>0.7</v>
      </c>
      <c r="D50" s="102">
        <v>32.799999999999997</v>
      </c>
      <c r="E50" s="102">
        <v>65</v>
      </c>
      <c r="F50" s="102">
        <v>132.1</v>
      </c>
      <c r="G50" s="102">
        <v>329.7</v>
      </c>
      <c r="H50" s="102">
        <v>317.8</v>
      </c>
      <c r="I50" s="102">
        <v>205.7</v>
      </c>
      <c r="J50" s="102">
        <v>67.5</v>
      </c>
      <c r="K50" s="102">
        <v>69.400000000000006</v>
      </c>
      <c r="L50" s="102">
        <v>82.9</v>
      </c>
      <c r="M50" s="102">
        <v>14.5</v>
      </c>
      <c r="N50" s="102">
        <f t="shared" si="1"/>
        <v>124.19999999999999</v>
      </c>
      <c r="O50" s="102">
        <f t="shared" si="2"/>
        <v>1052.8</v>
      </c>
      <c r="P50" s="102">
        <f t="shared" si="3"/>
        <v>166.8</v>
      </c>
      <c r="Q50" s="102">
        <f t="shared" si="4"/>
        <v>1343.8000000000002</v>
      </c>
    </row>
    <row r="51" spans="1:17">
      <c r="A51" s="102">
        <v>1997</v>
      </c>
      <c r="B51" s="102">
        <v>75.099999999999994</v>
      </c>
      <c r="C51" s="102">
        <v>37.4</v>
      </c>
      <c r="D51" s="102">
        <v>38.5</v>
      </c>
      <c r="E51" s="102">
        <v>228.4</v>
      </c>
      <c r="F51" s="102">
        <v>123.2</v>
      </c>
      <c r="G51" s="102">
        <v>152.6</v>
      </c>
      <c r="H51" s="102">
        <v>149.69999999999999</v>
      </c>
      <c r="I51" s="102">
        <v>19.2</v>
      </c>
      <c r="J51" s="102">
        <v>134.30000000000001</v>
      </c>
      <c r="K51" s="102">
        <v>141.5</v>
      </c>
      <c r="L51" s="102">
        <v>17.100000000000001</v>
      </c>
      <c r="M51" s="102">
        <v>27.2</v>
      </c>
      <c r="N51" s="102">
        <f t="shared" si="1"/>
        <v>379.4</v>
      </c>
      <c r="O51" s="102">
        <f t="shared" si="2"/>
        <v>579</v>
      </c>
      <c r="P51" s="102">
        <f t="shared" si="3"/>
        <v>185.79999999999998</v>
      </c>
      <c r="Q51" s="102">
        <f t="shared" si="4"/>
        <v>1144.1999999999998</v>
      </c>
    </row>
    <row r="52" spans="1:17">
      <c r="A52" s="102">
        <v>1998</v>
      </c>
      <c r="B52" s="102">
        <v>19.100000000000001</v>
      </c>
      <c r="C52" s="102">
        <v>17.600000000000001</v>
      </c>
      <c r="D52" s="102">
        <v>54.3</v>
      </c>
      <c r="E52" s="102">
        <v>163.19999999999999</v>
      </c>
      <c r="F52" s="102">
        <v>136.80000000000001</v>
      </c>
      <c r="G52" s="102">
        <v>221.9</v>
      </c>
      <c r="H52" s="102">
        <v>354.1</v>
      </c>
      <c r="I52" s="102">
        <v>293.3</v>
      </c>
      <c r="J52" s="102">
        <v>81.400000000000006</v>
      </c>
      <c r="K52" s="102">
        <v>84.8</v>
      </c>
      <c r="L52" s="102">
        <v>16.7</v>
      </c>
      <c r="M52" s="102">
        <v>24</v>
      </c>
      <c r="N52" s="102">
        <f t="shared" si="1"/>
        <v>254.2</v>
      </c>
      <c r="O52" s="102">
        <f t="shared" si="2"/>
        <v>1087.5000000000002</v>
      </c>
      <c r="P52" s="102">
        <f t="shared" si="3"/>
        <v>125.5</v>
      </c>
      <c r="Q52" s="102">
        <f t="shared" si="4"/>
        <v>1467.2</v>
      </c>
    </row>
    <row r="53" spans="1:17">
      <c r="A53" s="102">
        <v>1999</v>
      </c>
      <c r="B53" s="102">
        <v>42.9</v>
      </c>
      <c r="C53" s="102">
        <v>6.5</v>
      </c>
      <c r="D53" s="102">
        <v>13.3</v>
      </c>
      <c r="E53" s="102">
        <v>158.9</v>
      </c>
      <c r="F53" s="102">
        <v>113.1</v>
      </c>
      <c r="G53" s="102">
        <v>323</v>
      </c>
      <c r="H53" s="102">
        <v>176.2</v>
      </c>
      <c r="I53" s="102">
        <v>210.7</v>
      </c>
      <c r="J53" s="102">
        <v>90.4</v>
      </c>
      <c r="K53" s="102">
        <v>61.8</v>
      </c>
      <c r="L53" s="102">
        <v>18.600000000000001</v>
      </c>
      <c r="M53" s="102">
        <v>0</v>
      </c>
      <c r="N53" s="102">
        <f t="shared" si="1"/>
        <v>221.60000000000002</v>
      </c>
      <c r="O53" s="102">
        <f t="shared" si="2"/>
        <v>913.4</v>
      </c>
      <c r="P53" s="102">
        <f t="shared" si="3"/>
        <v>80.400000000000006</v>
      </c>
      <c r="Q53" s="102">
        <f t="shared" si="4"/>
        <v>1215.4000000000001</v>
      </c>
    </row>
    <row r="54" spans="1:17">
      <c r="A54" s="102">
        <v>2000</v>
      </c>
      <c r="B54" s="102">
        <v>31.6</v>
      </c>
      <c r="C54" s="102">
        <v>21.7</v>
      </c>
      <c r="D54" s="102">
        <v>58.4</v>
      </c>
      <c r="E54" s="102">
        <v>103.8</v>
      </c>
      <c r="F54" s="102">
        <v>110.9</v>
      </c>
      <c r="G54" s="102">
        <v>205.7</v>
      </c>
      <c r="H54" s="102">
        <v>66.7</v>
      </c>
      <c r="I54" s="102">
        <v>215.1</v>
      </c>
      <c r="J54" s="102">
        <v>57.2</v>
      </c>
      <c r="K54" s="102">
        <v>200.9</v>
      </c>
      <c r="L54" s="102">
        <v>37.6</v>
      </c>
      <c r="M54" s="102">
        <v>18.100000000000001</v>
      </c>
      <c r="N54" s="102">
        <f t="shared" si="1"/>
        <v>215.5</v>
      </c>
      <c r="O54" s="102">
        <f t="shared" si="2"/>
        <v>655.6</v>
      </c>
      <c r="P54" s="102">
        <f t="shared" si="3"/>
        <v>256.60000000000002</v>
      </c>
      <c r="Q54" s="102">
        <f t="shared" si="4"/>
        <v>1127.6999999999998</v>
      </c>
    </row>
    <row r="55" spans="1:17">
      <c r="A55" s="102">
        <v>2001</v>
      </c>
      <c r="B55" s="102">
        <v>8.8000000000000007</v>
      </c>
      <c r="C55" s="102">
        <v>20.3</v>
      </c>
      <c r="D55" s="102">
        <v>37.1</v>
      </c>
      <c r="E55" s="102">
        <v>222.1</v>
      </c>
      <c r="F55" s="102">
        <v>238.9</v>
      </c>
      <c r="G55" s="102">
        <v>149.19999999999999</v>
      </c>
      <c r="H55" s="102">
        <v>151.9</v>
      </c>
      <c r="I55" s="102">
        <v>132.80000000000001</v>
      </c>
      <c r="J55" s="102">
        <v>0.5</v>
      </c>
      <c r="K55" s="102">
        <v>213</v>
      </c>
      <c r="L55" s="102">
        <v>33</v>
      </c>
      <c r="M55" s="102">
        <v>11.3</v>
      </c>
      <c r="N55" s="102">
        <f t="shared" si="1"/>
        <v>288.3</v>
      </c>
      <c r="O55" s="102">
        <f t="shared" si="2"/>
        <v>673.3</v>
      </c>
      <c r="P55" s="102">
        <f t="shared" si="3"/>
        <v>257.3</v>
      </c>
      <c r="Q55" s="102">
        <f t="shared" si="4"/>
        <v>1218.9000000000001</v>
      </c>
    </row>
    <row r="56" spans="1:17">
      <c r="A56" s="102">
        <v>2002</v>
      </c>
      <c r="B56" s="102">
        <v>20.7</v>
      </c>
      <c r="C56" s="102">
        <v>18.600000000000001</v>
      </c>
      <c r="D56" s="102">
        <v>63.1</v>
      </c>
      <c r="E56" s="102">
        <v>100.5</v>
      </c>
      <c r="F56" s="102">
        <v>230.9</v>
      </c>
      <c r="G56" s="102">
        <v>355.6</v>
      </c>
      <c r="H56" s="102">
        <v>125.5</v>
      </c>
      <c r="I56" s="102">
        <v>141.1</v>
      </c>
      <c r="J56" s="102">
        <v>50.2</v>
      </c>
      <c r="K56" s="102">
        <v>96.5</v>
      </c>
      <c r="L56" s="102">
        <v>15.7</v>
      </c>
      <c r="M56" s="102">
        <v>36</v>
      </c>
      <c r="N56" s="102">
        <f t="shared" si="1"/>
        <v>202.9</v>
      </c>
      <c r="O56" s="102">
        <f t="shared" si="2"/>
        <v>903.30000000000007</v>
      </c>
      <c r="P56" s="102">
        <f t="shared" si="3"/>
        <v>148.19999999999999</v>
      </c>
      <c r="Q56" s="102">
        <f t="shared" si="4"/>
        <v>1254.4000000000001</v>
      </c>
    </row>
    <row r="57" spans="1:17">
      <c r="A57" s="102">
        <v>2003</v>
      </c>
      <c r="B57" s="102">
        <v>28.6</v>
      </c>
      <c r="C57" s="102">
        <v>15.8</v>
      </c>
      <c r="D57" s="102">
        <v>41.5</v>
      </c>
      <c r="E57" s="102">
        <v>130.30000000000001</v>
      </c>
      <c r="F57" s="102">
        <v>130.1</v>
      </c>
      <c r="G57" s="102">
        <v>186.8</v>
      </c>
      <c r="H57" s="102">
        <v>288</v>
      </c>
      <c r="I57" s="102">
        <v>44.8</v>
      </c>
      <c r="J57" s="102">
        <v>54</v>
      </c>
      <c r="K57" s="102">
        <v>55.9</v>
      </c>
      <c r="L57" s="102">
        <v>26</v>
      </c>
      <c r="M57" s="102">
        <v>72.5</v>
      </c>
      <c r="N57" s="102">
        <f t="shared" si="1"/>
        <v>216.20000000000002</v>
      </c>
      <c r="O57" s="102">
        <f t="shared" si="2"/>
        <v>703.69999999999993</v>
      </c>
      <c r="P57" s="102">
        <f t="shared" si="3"/>
        <v>154.4</v>
      </c>
      <c r="Q57" s="102">
        <f t="shared" si="4"/>
        <v>1074.3</v>
      </c>
    </row>
    <row r="58" spans="1:17">
      <c r="A58" s="102">
        <v>2004</v>
      </c>
      <c r="B58" s="103">
        <v>20.3</v>
      </c>
      <c r="C58" s="103">
        <v>58.7</v>
      </c>
      <c r="D58" s="103">
        <v>41.4</v>
      </c>
      <c r="E58" s="103">
        <v>135.4</v>
      </c>
      <c r="F58" s="103">
        <v>174.4</v>
      </c>
      <c r="G58" s="103">
        <v>198</v>
      </c>
      <c r="H58" s="103">
        <v>196.6</v>
      </c>
      <c r="I58" s="103">
        <v>26.1</v>
      </c>
      <c r="J58" s="103">
        <v>148.9</v>
      </c>
      <c r="K58" s="103">
        <v>45.9</v>
      </c>
      <c r="L58" s="103">
        <v>92.6</v>
      </c>
      <c r="M58" s="103">
        <v>17</v>
      </c>
      <c r="N58" s="102">
        <f t="shared" si="1"/>
        <v>255.8</v>
      </c>
      <c r="O58" s="102">
        <f t="shared" si="2"/>
        <v>744</v>
      </c>
      <c r="P58" s="102">
        <f t="shared" si="3"/>
        <v>155.5</v>
      </c>
      <c r="Q58" s="102">
        <f t="shared" si="4"/>
        <v>1155.3</v>
      </c>
    </row>
    <row r="59" spans="1:17">
      <c r="A59" s="102">
        <v>2005</v>
      </c>
      <c r="B59" s="102">
        <v>39.4</v>
      </c>
      <c r="C59" s="102">
        <v>22.7</v>
      </c>
      <c r="D59" s="102">
        <v>35.799999999999997</v>
      </c>
      <c r="E59" s="102">
        <v>52.1</v>
      </c>
      <c r="F59" s="102">
        <v>208.4</v>
      </c>
      <c r="G59" s="102">
        <v>62.7</v>
      </c>
      <c r="H59" s="102">
        <v>73</v>
      </c>
      <c r="I59" s="102">
        <v>117</v>
      </c>
      <c r="J59" s="102">
        <v>53.3</v>
      </c>
      <c r="K59" s="102">
        <v>84.4</v>
      </c>
      <c r="L59" s="102">
        <v>28</v>
      </c>
      <c r="M59" s="102">
        <v>8.5</v>
      </c>
      <c r="N59" s="102">
        <f t="shared" si="1"/>
        <v>150</v>
      </c>
      <c r="O59" s="102">
        <f t="shared" si="2"/>
        <v>514.4</v>
      </c>
      <c r="P59" s="102">
        <f t="shared" si="3"/>
        <v>120.9</v>
      </c>
      <c r="Q59" s="102">
        <f t="shared" si="4"/>
        <v>785.29999999999984</v>
      </c>
    </row>
    <row r="60" spans="1:17">
      <c r="A60" s="102">
        <v>2006</v>
      </c>
      <c r="B60" s="102">
        <v>22</v>
      </c>
      <c r="C60" s="102">
        <v>63.9</v>
      </c>
      <c r="D60" s="102">
        <v>37</v>
      </c>
      <c r="E60" s="102">
        <v>181.4</v>
      </c>
      <c r="F60" s="102">
        <v>190.6</v>
      </c>
      <c r="G60" s="102">
        <v>165</v>
      </c>
      <c r="H60" s="102">
        <v>66.3</v>
      </c>
      <c r="I60" s="102">
        <v>92.9</v>
      </c>
      <c r="J60" s="102">
        <v>79.5</v>
      </c>
      <c r="K60" s="102">
        <v>122.2</v>
      </c>
      <c r="L60" s="102">
        <v>75.5</v>
      </c>
      <c r="M60" s="102">
        <v>22.2</v>
      </c>
      <c r="N60" s="102">
        <f t="shared" si="1"/>
        <v>304.3</v>
      </c>
      <c r="O60" s="102">
        <f t="shared" si="2"/>
        <v>594.30000000000007</v>
      </c>
      <c r="P60" s="102">
        <f t="shared" si="3"/>
        <v>219.89999999999998</v>
      </c>
      <c r="Q60" s="102">
        <f t="shared" si="4"/>
        <v>1118.5</v>
      </c>
    </row>
    <row r="61" spans="1:17">
      <c r="A61" s="102">
        <v>2007</v>
      </c>
      <c r="B61" s="102">
        <v>32.5</v>
      </c>
      <c r="C61" s="102">
        <v>36.700000000000003</v>
      </c>
      <c r="D61" s="102">
        <v>31.5</v>
      </c>
      <c r="E61" s="102">
        <v>125.1</v>
      </c>
      <c r="F61" s="102">
        <v>106.1</v>
      </c>
      <c r="G61" s="102">
        <v>174.6</v>
      </c>
      <c r="H61" s="102">
        <v>269</v>
      </c>
      <c r="I61" s="102">
        <v>85.5</v>
      </c>
      <c r="J61" s="102">
        <v>70.099999999999994</v>
      </c>
      <c r="K61" s="102">
        <v>74.900000000000006</v>
      </c>
      <c r="L61" s="102">
        <v>6.3</v>
      </c>
      <c r="M61" s="102">
        <v>15.3</v>
      </c>
      <c r="N61" s="102">
        <f t="shared" si="1"/>
        <v>225.8</v>
      </c>
      <c r="O61" s="102">
        <f t="shared" si="2"/>
        <v>705.30000000000007</v>
      </c>
      <c r="P61" s="102">
        <f t="shared" si="3"/>
        <v>96.5</v>
      </c>
      <c r="Q61" s="102">
        <f t="shared" si="4"/>
        <v>1027.5999999999999</v>
      </c>
    </row>
    <row r="62" spans="1:17">
      <c r="A62" s="102">
        <v>2008</v>
      </c>
      <c r="B62" s="102">
        <v>25.9</v>
      </c>
      <c r="C62" s="102">
        <v>37.5</v>
      </c>
      <c r="D62" s="102">
        <v>92</v>
      </c>
      <c r="E62" s="102">
        <v>45.8</v>
      </c>
      <c r="F62" s="102">
        <v>119.2</v>
      </c>
      <c r="G62" s="102">
        <v>64.8</v>
      </c>
      <c r="H62" s="102">
        <v>199.3</v>
      </c>
      <c r="I62" s="102">
        <v>249.6</v>
      </c>
      <c r="J62" s="102">
        <v>30.8</v>
      </c>
      <c r="K62" s="102">
        <v>163.19999999999999</v>
      </c>
      <c r="L62" s="102">
        <v>106.7</v>
      </c>
      <c r="M62" s="102">
        <v>9.3000000000000007</v>
      </c>
      <c r="N62" s="102">
        <f t="shared" si="1"/>
        <v>201.2</v>
      </c>
      <c r="O62" s="102">
        <f t="shared" si="2"/>
        <v>663.69999999999993</v>
      </c>
      <c r="P62" s="102">
        <f t="shared" si="3"/>
        <v>279.2</v>
      </c>
      <c r="Q62" s="102">
        <f t="shared" si="4"/>
        <v>1144.0999999999999</v>
      </c>
    </row>
    <row r="63" spans="1:17">
      <c r="A63" s="102">
        <v>2009</v>
      </c>
      <c r="B63" s="102">
        <v>15.2</v>
      </c>
      <c r="C63" s="102">
        <v>20</v>
      </c>
      <c r="D63" s="102">
        <v>28.4</v>
      </c>
      <c r="E63" s="102">
        <v>130</v>
      </c>
      <c r="F63" s="102">
        <v>194.1</v>
      </c>
      <c r="G63" s="102">
        <v>156.80000000000001</v>
      </c>
      <c r="H63" s="102">
        <v>53</v>
      </c>
      <c r="I63" s="102">
        <v>121.6</v>
      </c>
      <c r="J63" s="102">
        <v>134.30000000000001</v>
      </c>
      <c r="K63" s="102">
        <v>96.7</v>
      </c>
      <c r="L63" s="102">
        <v>66.400000000000006</v>
      </c>
      <c r="M63" s="102">
        <v>31.5</v>
      </c>
      <c r="N63" s="102">
        <f t="shared" si="1"/>
        <v>193.6</v>
      </c>
      <c r="O63" s="102">
        <f t="shared" si="2"/>
        <v>659.8</v>
      </c>
      <c r="P63" s="102">
        <f t="shared" si="3"/>
        <v>194.60000000000002</v>
      </c>
      <c r="Q63" s="102">
        <f t="shared" si="4"/>
        <v>1048</v>
      </c>
    </row>
    <row r="64" spans="1:17">
      <c r="A64" s="102">
        <v>2010</v>
      </c>
      <c r="B64" s="102">
        <v>5.8</v>
      </c>
      <c r="C64" s="102">
        <v>0.8</v>
      </c>
      <c r="D64" s="102">
        <v>68.8</v>
      </c>
      <c r="E64" s="102">
        <v>57.3</v>
      </c>
      <c r="F64" s="102">
        <v>194.2</v>
      </c>
      <c r="G64" s="102">
        <v>226.8</v>
      </c>
      <c r="H64" s="102">
        <v>75.900000000000006</v>
      </c>
      <c r="I64" s="102">
        <v>150.6</v>
      </c>
      <c r="J64" s="102">
        <v>113.7</v>
      </c>
      <c r="K64" s="102">
        <v>97.7</v>
      </c>
      <c r="L64" s="102">
        <v>30.4</v>
      </c>
      <c r="M64" s="102">
        <v>37.5</v>
      </c>
      <c r="N64" s="102">
        <f t="shared" si="1"/>
        <v>132.69999999999999</v>
      </c>
      <c r="O64" s="102">
        <f t="shared" si="2"/>
        <v>761.2</v>
      </c>
      <c r="P64" s="102">
        <f t="shared" si="3"/>
        <v>165.6</v>
      </c>
      <c r="Q64" s="102">
        <f t="shared" si="4"/>
        <v>1059.5</v>
      </c>
    </row>
    <row r="65" spans="1:33">
      <c r="A65" s="102">
        <v>2011</v>
      </c>
      <c r="B65" s="102">
        <v>16.100000000000001</v>
      </c>
      <c r="C65" s="102">
        <v>3.5</v>
      </c>
      <c r="D65" s="102">
        <v>14.6</v>
      </c>
      <c r="E65" s="102">
        <v>27.7</v>
      </c>
      <c r="F65" s="102">
        <v>115.8</v>
      </c>
      <c r="G65" s="102">
        <v>214.6</v>
      </c>
      <c r="H65" s="102">
        <v>26.5</v>
      </c>
      <c r="I65" s="102">
        <v>25</v>
      </c>
      <c r="J65" s="102">
        <v>81.8</v>
      </c>
      <c r="K65" s="102">
        <v>164.9</v>
      </c>
      <c r="L65" s="102">
        <v>71.8</v>
      </c>
      <c r="M65" s="102">
        <v>10.8</v>
      </c>
      <c r="N65" s="102">
        <f t="shared" si="1"/>
        <v>61.900000000000006</v>
      </c>
      <c r="O65" s="102">
        <f t="shared" si="2"/>
        <v>463.7</v>
      </c>
      <c r="P65" s="102">
        <f t="shared" si="3"/>
        <v>247.5</v>
      </c>
      <c r="Q65" s="102">
        <f t="shared" si="4"/>
        <v>773.0999999999998</v>
      </c>
      <c r="R65" s="104"/>
      <c r="S65" s="104"/>
      <c r="T65" s="104"/>
      <c r="U65" s="104"/>
      <c r="V65" s="104"/>
      <c r="W65" s="104"/>
      <c r="X65" s="104"/>
      <c r="Y65" s="104"/>
      <c r="Z65" s="104"/>
      <c r="AA65" s="104"/>
      <c r="AB65" s="104"/>
      <c r="AC65" s="104"/>
      <c r="AD65" s="104"/>
      <c r="AE65" s="104"/>
      <c r="AF65" s="104"/>
      <c r="AG65" s="104"/>
    </row>
    <row r="66" spans="1:33">
      <c r="A66" s="102">
        <v>2012</v>
      </c>
      <c r="B66" s="102">
        <v>19.399999999999999</v>
      </c>
      <c r="C66" s="102">
        <v>19.100000000000001</v>
      </c>
      <c r="D66" s="102">
        <v>54</v>
      </c>
      <c r="E66" s="102">
        <v>101.9</v>
      </c>
      <c r="F66" s="102">
        <v>196.1</v>
      </c>
      <c r="G66" s="102">
        <v>118.5</v>
      </c>
      <c r="H66" s="102">
        <v>240.5</v>
      </c>
      <c r="I66" s="102">
        <v>77.7</v>
      </c>
      <c r="J66" s="102">
        <v>80.900000000000006</v>
      </c>
      <c r="K66" s="102">
        <v>92.1</v>
      </c>
      <c r="L66" s="102">
        <v>53.9</v>
      </c>
      <c r="M66" s="102">
        <v>25</v>
      </c>
      <c r="N66" s="102">
        <f t="shared" si="1"/>
        <v>194.4</v>
      </c>
      <c r="O66" s="102">
        <f t="shared" si="2"/>
        <v>713.7</v>
      </c>
      <c r="P66" s="102">
        <f t="shared" si="3"/>
        <v>171</v>
      </c>
      <c r="Q66" s="102">
        <f t="shared" si="4"/>
        <v>1079.1000000000001</v>
      </c>
      <c r="R66" s="104"/>
      <c r="S66" s="104"/>
      <c r="T66" s="104"/>
      <c r="U66" s="104"/>
      <c r="V66" s="104"/>
      <c r="W66" s="104"/>
      <c r="X66" s="104"/>
      <c r="Y66" s="104"/>
      <c r="Z66" s="104"/>
      <c r="AA66" s="104"/>
      <c r="AB66" s="104"/>
      <c r="AC66" s="104"/>
      <c r="AD66" s="104"/>
      <c r="AE66" s="104"/>
      <c r="AF66" s="104"/>
      <c r="AG66" s="104"/>
    </row>
    <row r="67" spans="1:33">
      <c r="A67" s="102">
        <v>2013</v>
      </c>
      <c r="B67" s="102">
        <v>14.3</v>
      </c>
      <c r="C67" s="102">
        <v>22.1</v>
      </c>
      <c r="D67" s="102">
        <v>70.3</v>
      </c>
      <c r="E67" s="102">
        <v>111.5</v>
      </c>
      <c r="F67" s="102">
        <v>151.19999999999999</v>
      </c>
      <c r="G67" s="102">
        <v>65.099999999999994</v>
      </c>
      <c r="H67" s="102">
        <v>19.8</v>
      </c>
      <c r="I67" s="102">
        <v>68.3</v>
      </c>
      <c r="J67" s="102">
        <v>135.9</v>
      </c>
      <c r="K67" s="102">
        <v>42.7</v>
      </c>
      <c r="L67" s="102">
        <v>41.8</v>
      </c>
      <c r="M67" s="102">
        <v>14.7</v>
      </c>
      <c r="N67" s="102">
        <f t="shared" si="1"/>
        <v>218.2</v>
      </c>
      <c r="O67" s="102">
        <f t="shared" si="2"/>
        <v>440.29999999999995</v>
      </c>
      <c r="P67" s="102">
        <f t="shared" si="3"/>
        <v>99.2</v>
      </c>
      <c r="Q67" s="102">
        <f t="shared" si="4"/>
        <v>757.7</v>
      </c>
      <c r="R67" s="104"/>
      <c r="S67" s="104"/>
      <c r="T67" s="104"/>
      <c r="U67" s="104"/>
      <c r="V67" s="104"/>
      <c r="W67" s="104"/>
      <c r="X67" s="104"/>
      <c r="Y67" s="104"/>
      <c r="Z67" s="104"/>
      <c r="AA67" s="104"/>
      <c r="AB67" s="104"/>
      <c r="AC67" s="104"/>
      <c r="AD67" s="104"/>
      <c r="AE67" s="104"/>
      <c r="AF67" s="104"/>
      <c r="AG67" s="104"/>
    </row>
    <row r="68" spans="1:33">
      <c r="A68" s="102">
        <v>2014</v>
      </c>
      <c r="B68" s="128">
        <v>6.1</v>
      </c>
      <c r="C68" s="128">
        <v>21.4</v>
      </c>
      <c r="D68" s="128">
        <v>58.7</v>
      </c>
      <c r="E68" s="128">
        <v>134.1</v>
      </c>
      <c r="F68" s="128">
        <v>219.7</v>
      </c>
      <c r="G68" s="128">
        <v>202.9</v>
      </c>
      <c r="H68" s="128">
        <v>497.4</v>
      </c>
      <c r="I68" s="128">
        <v>169</v>
      </c>
      <c r="J68" s="128">
        <v>32.4</v>
      </c>
      <c r="K68" s="128">
        <v>54.8</v>
      </c>
      <c r="L68" s="128">
        <v>51.5</v>
      </c>
      <c r="M68" s="128">
        <v>4</v>
      </c>
      <c r="N68" s="102">
        <f t="shared" si="1"/>
        <v>220.3</v>
      </c>
      <c r="O68" s="102">
        <f t="shared" si="2"/>
        <v>1121.4000000000001</v>
      </c>
      <c r="P68" s="102">
        <f t="shared" si="3"/>
        <v>110.3</v>
      </c>
      <c r="Q68" s="102">
        <f t="shared" si="4"/>
        <v>1452</v>
      </c>
    </row>
    <row r="69" spans="1:33">
      <c r="A69" s="102">
        <v>2015</v>
      </c>
      <c r="B69" s="134">
        <v>13.8</v>
      </c>
      <c r="C69" s="134">
        <v>37.9</v>
      </c>
      <c r="D69" s="134">
        <v>31.1</v>
      </c>
      <c r="E69" s="134">
        <v>39.200000000000003</v>
      </c>
      <c r="F69" s="134">
        <v>204.8</v>
      </c>
      <c r="G69" s="134">
        <v>204.3</v>
      </c>
      <c r="H69" s="134">
        <v>51.3</v>
      </c>
      <c r="I69" s="134">
        <v>129.5</v>
      </c>
      <c r="J69" s="134">
        <v>115.2</v>
      </c>
      <c r="K69" s="134">
        <v>63.9</v>
      </c>
      <c r="L69" s="134">
        <v>41</v>
      </c>
      <c r="M69" s="134">
        <v>70.099999999999994</v>
      </c>
      <c r="N69" s="102">
        <f t="shared" ref="N69" si="5">SUM(B69:E69)</f>
        <v>122.00000000000001</v>
      </c>
      <c r="O69" s="102">
        <f t="shared" ref="O69" si="6">SUM(F69:J69)</f>
        <v>705.10000000000014</v>
      </c>
      <c r="P69" s="102">
        <f t="shared" ref="P69" si="7">SUM(K69:M69)</f>
        <v>175</v>
      </c>
      <c r="Q69" s="102">
        <f t="shared" ref="Q69" si="8">SUM(B69:M69)</f>
        <v>1002.1</v>
      </c>
    </row>
    <row r="70" spans="1:33" ht="13.5">
      <c r="A70" s="102">
        <v>2016</v>
      </c>
      <c r="B70" s="128">
        <v>35.200000000000003</v>
      </c>
      <c r="C70" s="128">
        <v>11.3</v>
      </c>
      <c r="D70" s="128">
        <v>132</v>
      </c>
      <c r="E70" s="128">
        <v>123.5</v>
      </c>
      <c r="F70" s="128">
        <v>218</v>
      </c>
      <c r="G70" s="128">
        <v>195.1</v>
      </c>
      <c r="H70" s="128">
        <v>146.19999999999999</v>
      </c>
      <c r="I70" s="128">
        <v>135.30000000000001</v>
      </c>
      <c r="J70" s="128">
        <v>27.6</v>
      </c>
      <c r="K70" s="128">
        <v>95.8</v>
      </c>
      <c r="L70" s="128">
        <v>49.9</v>
      </c>
      <c r="M70" s="128">
        <v>27.7</v>
      </c>
      <c r="N70" s="102">
        <f>SUM(B70:E70)</f>
        <v>302</v>
      </c>
      <c r="O70" s="102">
        <f>SUM(F70:J70)</f>
        <v>722.19999999999993</v>
      </c>
      <c r="P70" s="102">
        <f>SUM(K70:M70)</f>
        <v>173.39999999999998</v>
      </c>
      <c r="Q70" s="102">
        <f>SUM(B70:M70)</f>
        <v>1197.5999999999999</v>
      </c>
      <c r="R70" s="129">
        <f t="shared" ref="R70:AG70" si="9">100*(B70-B4)/B4</f>
        <v>50.615496017378746</v>
      </c>
      <c r="S70" s="129">
        <f t="shared" si="9"/>
        <v>-57.395591647331784</v>
      </c>
      <c r="T70" s="129">
        <f t="shared" si="9"/>
        <v>175.19404708448252</v>
      </c>
      <c r="U70" s="129">
        <f t="shared" si="9"/>
        <v>8.5545443481318149</v>
      </c>
      <c r="V70" s="129">
        <f t="shared" si="9"/>
        <v>23.699280676024831</v>
      </c>
      <c r="W70" s="129">
        <f t="shared" si="9"/>
        <v>2.5961522903418945</v>
      </c>
      <c r="X70" s="129">
        <f t="shared" si="9"/>
        <v>-6.8908419309641875</v>
      </c>
      <c r="Y70" s="129">
        <f t="shared" si="9"/>
        <v>12.043265555725386</v>
      </c>
      <c r="Z70" s="129">
        <f t="shared" si="9"/>
        <v>-69.116887588225154</v>
      </c>
      <c r="AA70" s="129">
        <f t="shared" si="9"/>
        <v>-5.9564442565015971</v>
      </c>
      <c r="AB70" s="129">
        <f t="shared" si="9"/>
        <v>-7.4185077353428142</v>
      </c>
      <c r="AC70" s="129">
        <f t="shared" si="9"/>
        <v>19.801716681083242</v>
      </c>
      <c r="AD70" s="129">
        <f t="shared" si="9"/>
        <v>42.703441457421611</v>
      </c>
      <c r="AE70" s="129">
        <f t="shared" si="9"/>
        <v>-1.5463409416467826</v>
      </c>
      <c r="AF70" s="129">
        <f t="shared" si="9"/>
        <v>-3.0676746046079733</v>
      </c>
      <c r="AG70" s="129">
        <f t="shared" si="9"/>
        <v>6.5425012112700891</v>
      </c>
    </row>
  </sheetData>
  <mergeCells count="6">
    <mergeCell ref="A1:A3"/>
    <mergeCell ref="B1:Q1"/>
    <mergeCell ref="B2:M2"/>
    <mergeCell ref="R1:AG1"/>
    <mergeCell ref="N2:Q2"/>
    <mergeCell ref="R2:AG2"/>
  </mergeCells>
  <phoneticPr fontId="2" type="noConversion"/>
  <pageMargins left="0.75" right="0.75" top="1" bottom="1" header="0.5" footer="0.5"/>
  <headerFooter alignWithMargins="0"/>
</worksheet>
</file>

<file path=xl/worksheets/sheet57.xml><?xml version="1.0" encoding="utf-8"?>
<worksheet xmlns="http://schemas.openxmlformats.org/spreadsheetml/2006/main" xmlns:r="http://schemas.openxmlformats.org/officeDocument/2006/relationships">
  <sheetPr codeName="Sheet57"/>
  <dimension ref="A1:AG62"/>
  <sheetViews>
    <sheetView zoomScale="85" zoomScaleNormal="85" workbookViewId="0">
      <pane ySplit="5" topLeftCell="A6" activePane="bottomLeft" state="frozen"/>
      <selection pane="bottomLeft" activeCell="R62" sqref="R62"/>
    </sheetView>
  </sheetViews>
  <sheetFormatPr defaultRowHeight="12"/>
  <cols>
    <col min="1" max="1" width="20.625" style="102" bestFit="1" customWidth="1"/>
    <col min="2" max="33" width="7.125" style="102" customWidth="1"/>
    <col min="34" max="16384" width="9" style="102"/>
  </cols>
  <sheetData>
    <row r="1" spans="1:33" s="118" customFormat="1" ht="14.25" customHeight="1">
      <c r="A1" s="176" t="s">
        <v>172</v>
      </c>
      <c r="B1" s="176" t="s">
        <v>180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181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173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174</v>
      </c>
      <c r="O2" s="176"/>
      <c r="P2" s="176"/>
      <c r="Q2" s="176"/>
      <c r="R2" s="176" t="s">
        <v>175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 ht="24">
      <c r="A3" s="176"/>
      <c r="B3" s="124" t="s">
        <v>182</v>
      </c>
      <c r="C3" s="124" t="s">
        <v>183</v>
      </c>
      <c r="D3" s="124" t="s">
        <v>9</v>
      </c>
      <c r="E3" s="124" t="s">
        <v>10</v>
      </c>
      <c r="F3" s="124" t="s">
        <v>11</v>
      </c>
      <c r="G3" s="124" t="s">
        <v>12</v>
      </c>
      <c r="H3" s="124" t="s">
        <v>13</v>
      </c>
      <c r="I3" s="124" t="s">
        <v>14</v>
      </c>
      <c r="J3" s="124" t="s">
        <v>15</v>
      </c>
      <c r="K3" s="124" t="s">
        <v>16</v>
      </c>
      <c r="L3" s="124" t="s">
        <v>17</v>
      </c>
      <c r="M3" s="124" t="s">
        <v>18</v>
      </c>
      <c r="N3" s="124" t="s">
        <v>184</v>
      </c>
      <c r="O3" s="124" t="s">
        <v>185</v>
      </c>
      <c r="P3" s="124" t="s">
        <v>186</v>
      </c>
      <c r="Q3" s="124" t="s">
        <v>187</v>
      </c>
      <c r="R3" s="124" t="s">
        <v>182</v>
      </c>
      <c r="S3" s="124" t="s">
        <v>183</v>
      </c>
      <c r="T3" s="124" t="s">
        <v>188</v>
      </c>
      <c r="U3" s="124" t="s">
        <v>189</v>
      </c>
      <c r="V3" s="124" t="s">
        <v>190</v>
      </c>
      <c r="W3" s="124" t="s">
        <v>191</v>
      </c>
      <c r="X3" s="124" t="s">
        <v>25</v>
      </c>
      <c r="Y3" s="124" t="s">
        <v>26</v>
      </c>
      <c r="Z3" s="124" t="s">
        <v>27</v>
      </c>
      <c r="AA3" s="124" t="s">
        <v>192</v>
      </c>
      <c r="AB3" s="124" t="s">
        <v>193</v>
      </c>
      <c r="AC3" s="124" t="s">
        <v>194</v>
      </c>
      <c r="AD3" s="124" t="s">
        <v>176</v>
      </c>
      <c r="AE3" s="124" t="s">
        <v>177</v>
      </c>
      <c r="AF3" s="124" t="s">
        <v>178</v>
      </c>
      <c r="AG3" s="124" t="s">
        <v>179</v>
      </c>
    </row>
    <row r="4" spans="1:33" s="118" customFormat="1">
      <c r="A4" s="150" t="s">
        <v>261</v>
      </c>
      <c r="B4" s="150">
        <f t="shared" ref="B4:Q4" si="0">AVERAGE(B5:B61)</f>
        <v>25.747368421052631</v>
      </c>
      <c r="C4" s="150">
        <f t="shared" si="0"/>
        <v>28.131578947368432</v>
      </c>
      <c r="D4" s="150">
        <f t="shared" si="0"/>
        <v>48.768421052631574</v>
      </c>
      <c r="E4" s="150">
        <f t="shared" si="0"/>
        <v>114.8543859649123</v>
      </c>
      <c r="F4" s="150">
        <f t="shared" si="0"/>
        <v>175.80175438596487</v>
      </c>
      <c r="G4" s="150">
        <f t="shared" si="0"/>
        <v>193.25614035087719</v>
      </c>
      <c r="H4" s="150">
        <f t="shared" si="0"/>
        <v>137.4</v>
      </c>
      <c r="I4" s="150">
        <f t="shared" si="0"/>
        <v>117.10701754385963</v>
      </c>
      <c r="J4" s="150">
        <f t="shared" si="0"/>
        <v>87.119298245614033</v>
      </c>
      <c r="K4" s="150">
        <f t="shared" si="0"/>
        <v>95.573684210526281</v>
      </c>
      <c r="L4" s="150">
        <f t="shared" si="0"/>
        <v>50.912280701754391</v>
      </c>
      <c r="M4" s="150">
        <f t="shared" si="0"/>
        <v>24.731578947368419</v>
      </c>
      <c r="N4" s="150">
        <f t="shared" si="0"/>
        <v>217.50175438596494</v>
      </c>
      <c r="O4" s="150">
        <f t="shared" si="0"/>
        <v>710.68421052631584</v>
      </c>
      <c r="P4" s="150">
        <f t="shared" si="0"/>
        <v>171.21754385964914</v>
      </c>
      <c r="Q4" s="150">
        <f t="shared" si="0"/>
        <v>1099.4035087719299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1959</v>
      </c>
      <c r="B5" s="102">
        <v>16.7</v>
      </c>
      <c r="C5" s="102">
        <v>68.099999999999994</v>
      </c>
      <c r="D5" s="102">
        <v>67.599999999999994</v>
      </c>
      <c r="E5" s="102">
        <v>24.4</v>
      </c>
      <c r="F5" s="102">
        <v>140.6</v>
      </c>
      <c r="G5" s="102">
        <v>247.5</v>
      </c>
      <c r="H5" s="102">
        <v>43.3</v>
      </c>
      <c r="I5" s="102">
        <v>71.599999999999994</v>
      </c>
      <c r="J5" s="102">
        <v>151.69999999999999</v>
      </c>
      <c r="K5" s="102">
        <v>63.1</v>
      </c>
      <c r="L5" s="102">
        <v>38.5</v>
      </c>
      <c r="M5" s="102">
        <v>23.1</v>
      </c>
      <c r="N5" s="102">
        <f>SUM(B5:E5)</f>
        <v>176.79999999999998</v>
      </c>
      <c r="O5" s="102">
        <f>SUM(F5:J5)</f>
        <v>654.70000000000005</v>
      </c>
      <c r="P5" s="102">
        <f>SUM(K5:M5)</f>
        <v>124.69999999999999</v>
      </c>
      <c r="Q5" s="102">
        <f>SUM(B5:M5)</f>
        <v>956.2</v>
      </c>
    </row>
    <row r="6" spans="1:33">
      <c r="A6" s="102">
        <v>1960</v>
      </c>
      <c r="B6" s="102">
        <v>16.5</v>
      </c>
      <c r="C6" s="102">
        <v>44.1</v>
      </c>
      <c r="D6" s="102">
        <v>51.9</v>
      </c>
      <c r="E6" s="102">
        <v>74.7</v>
      </c>
      <c r="F6" s="102">
        <v>229</v>
      </c>
      <c r="G6" s="102">
        <v>164.7</v>
      </c>
      <c r="H6" s="102">
        <v>179.2</v>
      </c>
      <c r="I6" s="102">
        <v>29.7</v>
      </c>
      <c r="J6" s="102">
        <v>47.5</v>
      </c>
      <c r="K6" s="102">
        <v>43.7</v>
      </c>
      <c r="L6" s="102">
        <v>41.1</v>
      </c>
      <c r="M6" s="102">
        <v>4.5</v>
      </c>
      <c r="N6" s="102">
        <f t="shared" ref="N6:N61" si="1">SUM(B6:E6)</f>
        <v>187.2</v>
      </c>
      <c r="O6" s="102">
        <f t="shared" ref="O6:O61" si="2">SUM(F6:J6)</f>
        <v>650.1</v>
      </c>
      <c r="P6" s="102">
        <f t="shared" ref="P6:P61" si="3">SUM(K6:M6)</f>
        <v>89.300000000000011</v>
      </c>
      <c r="Q6" s="102">
        <f t="shared" ref="Q6:Q61" si="4">SUM(B6:M6)</f>
        <v>926.6</v>
      </c>
    </row>
    <row r="7" spans="1:33">
      <c r="A7" s="102">
        <v>1961</v>
      </c>
      <c r="B7" s="102">
        <v>8.6999999999999993</v>
      </c>
      <c r="C7" s="102">
        <v>29.2</v>
      </c>
      <c r="D7" s="102">
        <v>86</v>
      </c>
      <c r="E7" s="102">
        <v>212.4</v>
      </c>
      <c r="F7" s="102">
        <v>222.7</v>
      </c>
      <c r="G7" s="102">
        <v>47.8</v>
      </c>
      <c r="H7" s="102">
        <v>86.1</v>
      </c>
      <c r="I7" s="102">
        <v>110.7</v>
      </c>
      <c r="J7" s="102">
        <v>98.7</v>
      </c>
      <c r="K7" s="102">
        <v>143.4</v>
      </c>
      <c r="L7" s="102">
        <v>113.5</v>
      </c>
      <c r="M7" s="102">
        <v>47.2</v>
      </c>
      <c r="N7" s="102">
        <f t="shared" si="1"/>
        <v>336.3</v>
      </c>
      <c r="O7" s="102">
        <f t="shared" si="2"/>
        <v>566</v>
      </c>
      <c r="P7" s="102">
        <f t="shared" si="3"/>
        <v>304.09999999999997</v>
      </c>
      <c r="Q7" s="102">
        <f t="shared" si="4"/>
        <v>1206.4000000000001</v>
      </c>
    </row>
    <row r="8" spans="1:33">
      <c r="A8" s="102">
        <v>1962</v>
      </c>
      <c r="B8" s="102">
        <v>22.1</v>
      </c>
      <c r="C8" s="102">
        <v>12.6</v>
      </c>
      <c r="D8" s="102">
        <v>56.9</v>
      </c>
      <c r="E8" s="102">
        <v>141</v>
      </c>
      <c r="F8" s="102">
        <v>156.80000000000001</v>
      </c>
      <c r="G8" s="102">
        <v>238.6</v>
      </c>
      <c r="H8" s="102">
        <v>22.5</v>
      </c>
      <c r="I8" s="102">
        <v>206.7</v>
      </c>
      <c r="J8" s="102">
        <v>44.9</v>
      </c>
      <c r="K8" s="102">
        <v>138</v>
      </c>
      <c r="L8" s="102">
        <v>43.8</v>
      </c>
      <c r="M8" s="102">
        <v>25.6</v>
      </c>
      <c r="N8" s="102">
        <f t="shared" si="1"/>
        <v>232.6</v>
      </c>
      <c r="O8" s="102">
        <f t="shared" si="2"/>
        <v>669.49999999999989</v>
      </c>
      <c r="P8" s="102">
        <f t="shared" si="3"/>
        <v>207.4</v>
      </c>
      <c r="Q8" s="102">
        <f t="shared" si="4"/>
        <v>1109.4999999999998</v>
      </c>
    </row>
    <row r="9" spans="1:33">
      <c r="A9" s="102">
        <v>1963</v>
      </c>
      <c r="B9" s="102">
        <v>3.3</v>
      </c>
      <c r="C9" s="102">
        <v>38.200000000000003</v>
      </c>
      <c r="D9" s="102">
        <v>15.7</v>
      </c>
      <c r="E9" s="102">
        <v>89.3</v>
      </c>
      <c r="F9" s="102">
        <v>128.30000000000001</v>
      </c>
      <c r="G9" s="102">
        <v>82.8</v>
      </c>
      <c r="H9" s="102">
        <v>249.8</v>
      </c>
      <c r="I9" s="102">
        <v>34.1</v>
      </c>
      <c r="J9" s="102">
        <v>72.900000000000006</v>
      </c>
      <c r="K9" s="102">
        <v>168.9</v>
      </c>
      <c r="L9" s="102">
        <v>161.1</v>
      </c>
      <c r="M9" s="102">
        <v>39.6</v>
      </c>
      <c r="N9" s="102">
        <f t="shared" si="1"/>
        <v>146.5</v>
      </c>
      <c r="O9" s="102">
        <f t="shared" si="2"/>
        <v>567.90000000000009</v>
      </c>
      <c r="P9" s="102">
        <f t="shared" si="3"/>
        <v>369.6</v>
      </c>
      <c r="Q9" s="102">
        <f t="shared" si="4"/>
        <v>1084</v>
      </c>
    </row>
    <row r="10" spans="1:33">
      <c r="A10" s="102">
        <v>1964</v>
      </c>
      <c r="B10" s="102">
        <v>14.6</v>
      </c>
      <c r="C10" s="102">
        <v>27.6</v>
      </c>
      <c r="D10" s="102">
        <v>38.4</v>
      </c>
      <c r="E10" s="102">
        <v>316.39999999999998</v>
      </c>
      <c r="F10" s="102">
        <v>116</v>
      </c>
      <c r="G10" s="102">
        <v>212</v>
      </c>
      <c r="H10" s="102">
        <v>55.9</v>
      </c>
      <c r="I10" s="102">
        <v>86.1</v>
      </c>
      <c r="J10" s="102">
        <v>56</v>
      </c>
      <c r="K10" s="102">
        <v>81.900000000000006</v>
      </c>
      <c r="L10" s="102">
        <v>19.7</v>
      </c>
      <c r="M10" s="102">
        <v>31.5</v>
      </c>
      <c r="N10" s="102">
        <f t="shared" si="1"/>
        <v>397</v>
      </c>
      <c r="O10" s="102">
        <f t="shared" si="2"/>
        <v>526</v>
      </c>
      <c r="P10" s="102">
        <f t="shared" si="3"/>
        <v>133.10000000000002</v>
      </c>
      <c r="Q10" s="102">
        <f t="shared" si="4"/>
        <v>1056.0999999999999</v>
      </c>
    </row>
    <row r="11" spans="1:33">
      <c r="A11" s="102">
        <v>1965</v>
      </c>
      <c r="B11" s="102">
        <v>26.5</v>
      </c>
      <c r="C11" s="102">
        <v>26.9</v>
      </c>
      <c r="D11" s="102">
        <v>50.7</v>
      </c>
      <c r="E11" s="102">
        <v>112.7</v>
      </c>
      <c r="F11" s="102">
        <v>226.3</v>
      </c>
      <c r="G11" s="102">
        <v>154.5</v>
      </c>
      <c r="H11" s="102">
        <v>65</v>
      </c>
      <c r="I11" s="102">
        <v>133.1</v>
      </c>
      <c r="J11" s="102">
        <v>44.8</v>
      </c>
      <c r="K11" s="102">
        <v>161.30000000000001</v>
      </c>
      <c r="L11" s="102">
        <v>55.6</v>
      </c>
      <c r="M11" s="102">
        <v>31.3</v>
      </c>
      <c r="N11" s="102">
        <f t="shared" si="1"/>
        <v>216.8</v>
      </c>
      <c r="O11" s="102">
        <f t="shared" si="2"/>
        <v>623.69999999999993</v>
      </c>
      <c r="P11" s="102">
        <f t="shared" si="3"/>
        <v>248.20000000000002</v>
      </c>
      <c r="Q11" s="102">
        <f t="shared" si="4"/>
        <v>1088.6999999999998</v>
      </c>
    </row>
    <row r="12" spans="1:33">
      <c r="A12" s="102">
        <v>1966</v>
      </c>
      <c r="B12" s="102">
        <v>14.1</v>
      </c>
      <c r="C12" s="102">
        <v>37.700000000000003</v>
      </c>
      <c r="D12" s="102">
        <v>41.1</v>
      </c>
      <c r="E12" s="102">
        <v>132.9</v>
      </c>
      <c r="F12" s="102">
        <v>191.1</v>
      </c>
      <c r="G12" s="102">
        <v>109.7</v>
      </c>
      <c r="H12" s="102">
        <v>69.2</v>
      </c>
      <c r="I12" s="102">
        <v>28</v>
      </c>
      <c r="J12" s="102">
        <v>24.6</v>
      </c>
      <c r="K12" s="102">
        <v>112.4</v>
      </c>
      <c r="L12" s="102">
        <v>16</v>
      </c>
      <c r="M12" s="102">
        <v>20.100000000000001</v>
      </c>
      <c r="N12" s="102">
        <f t="shared" si="1"/>
        <v>225.8</v>
      </c>
      <c r="O12" s="102">
        <f t="shared" si="2"/>
        <v>422.6</v>
      </c>
      <c r="P12" s="102">
        <f t="shared" si="3"/>
        <v>148.5</v>
      </c>
      <c r="Q12" s="102">
        <f t="shared" si="4"/>
        <v>796.90000000000009</v>
      </c>
    </row>
    <row r="13" spans="1:33">
      <c r="A13" s="102">
        <v>1967</v>
      </c>
      <c r="B13" s="102">
        <v>8.3000000000000007</v>
      </c>
      <c r="C13" s="102">
        <v>43.6</v>
      </c>
      <c r="D13" s="102">
        <v>44.9</v>
      </c>
      <c r="E13" s="102">
        <v>140.69999999999999</v>
      </c>
      <c r="F13" s="102">
        <v>245.2</v>
      </c>
      <c r="G13" s="102">
        <v>310.39999999999998</v>
      </c>
      <c r="H13" s="102">
        <v>158.19999999999999</v>
      </c>
      <c r="I13" s="102">
        <v>308.60000000000002</v>
      </c>
      <c r="J13" s="102">
        <v>112.8</v>
      </c>
      <c r="K13" s="102">
        <v>65.900000000000006</v>
      </c>
      <c r="L13" s="102">
        <v>75</v>
      </c>
      <c r="M13" s="102">
        <v>25</v>
      </c>
      <c r="N13" s="102">
        <f t="shared" si="1"/>
        <v>237.5</v>
      </c>
      <c r="O13" s="102">
        <f t="shared" si="2"/>
        <v>1135.2</v>
      </c>
      <c r="P13" s="102">
        <f t="shared" si="3"/>
        <v>165.9</v>
      </c>
      <c r="Q13" s="102">
        <f t="shared" si="4"/>
        <v>1538.6000000000001</v>
      </c>
    </row>
    <row r="14" spans="1:33">
      <c r="A14" s="102">
        <v>1968</v>
      </c>
      <c r="B14" s="102">
        <v>14.5</v>
      </c>
      <c r="C14" s="102">
        <v>18</v>
      </c>
      <c r="D14" s="102">
        <v>37.1</v>
      </c>
      <c r="E14" s="102">
        <v>149.5</v>
      </c>
      <c r="F14" s="102">
        <v>202.6</v>
      </c>
      <c r="G14" s="102">
        <v>165.9</v>
      </c>
      <c r="H14" s="102">
        <v>175.3</v>
      </c>
      <c r="I14" s="102">
        <v>121.9</v>
      </c>
      <c r="J14" s="102">
        <v>55.6</v>
      </c>
      <c r="K14" s="102">
        <v>90.8</v>
      </c>
      <c r="L14" s="102">
        <v>58.4</v>
      </c>
      <c r="M14" s="102">
        <v>29</v>
      </c>
      <c r="N14" s="102">
        <f t="shared" si="1"/>
        <v>219.1</v>
      </c>
      <c r="O14" s="102">
        <f t="shared" si="2"/>
        <v>721.3</v>
      </c>
      <c r="P14" s="102">
        <f t="shared" si="3"/>
        <v>178.2</v>
      </c>
      <c r="Q14" s="102">
        <f t="shared" si="4"/>
        <v>1118.6000000000001</v>
      </c>
    </row>
    <row r="15" spans="1:33">
      <c r="A15" s="102">
        <v>1969</v>
      </c>
      <c r="B15" s="102">
        <v>31.8</v>
      </c>
      <c r="C15" s="102">
        <v>2.6</v>
      </c>
      <c r="D15" s="102">
        <v>77.7</v>
      </c>
      <c r="E15" s="102">
        <v>107.2</v>
      </c>
      <c r="F15" s="102">
        <v>189.6</v>
      </c>
      <c r="G15" s="102">
        <v>279.2</v>
      </c>
      <c r="H15" s="102">
        <v>150.6</v>
      </c>
      <c r="I15" s="102">
        <v>244.1</v>
      </c>
      <c r="J15" s="102">
        <v>6.3</v>
      </c>
      <c r="K15" s="102">
        <v>92.3</v>
      </c>
      <c r="L15" s="102">
        <v>82.3</v>
      </c>
      <c r="M15" s="102">
        <v>3.8</v>
      </c>
      <c r="N15" s="102">
        <f t="shared" si="1"/>
        <v>219.3</v>
      </c>
      <c r="O15" s="102">
        <f t="shared" si="2"/>
        <v>869.8</v>
      </c>
      <c r="P15" s="102">
        <f t="shared" si="3"/>
        <v>178.4</v>
      </c>
      <c r="Q15" s="102">
        <f t="shared" si="4"/>
        <v>1267.4999999999998</v>
      </c>
    </row>
    <row r="16" spans="1:33">
      <c r="A16" s="102">
        <v>1970</v>
      </c>
      <c r="B16" s="102">
        <v>28.9</v>
      </c>
      <c r="C16" s="102">
        <v>32.9</v>
      </c>
      <c r="D16" s="102">
        <v>55</v>
      </c>
      <c r="E16" s="102">
        <v>89</v>
      </c>
      <c r="F16" s="102">
        <v>226.7</v>
      </c>
      <c r="G16" s="102">
        <v>116.9</v>
      </c>
      <c r="H16" s="102">
        <v>110.7</v>
      </c>
      <c r="I16" s="102">
        <v>45.1</v>
      </c>
      <c r="J16" s="102">
        <v>95.8</v>
      </c>
      <c r="K16" s="102">
        <v>28.6</v>
      </c>
      <c r="L16" s="102">
        <v>47</v>
      </c>
      <c r="M16" s="102">
        <v>47.5</v>
      </c>
      <c r="N16" s="102">
        <f t="shared" si="1"/>
        <v>205.8</v>
      </c>
      <c r="O16" s="102">
        <f t="shared" si="2"/>
        <v>595.20000000000005</v>
      </c>
      <c r="P16" s="102">
        <f t="shared" si="3"/>
        <v>123.1</v>
      </c>
      <c r="Q16" s="102">
        <f t="shared" si="4"/>
        <v>924.1</v>
      </c>
    </row>
    <row r="17" spans="1:17">
      <c r="A17" s="102">
        <v>1971</v>
      </c>
      <c r="B17" s="102">
        <v>24</v>
      </c>
      <c r="C17" s="102">
        <v>20.6</v>
      </c>
      <c r="D17" s="102">
        <v>54.8</v>
      </c>
      <c r="E17" s="102">
        <v>174.4</v>
      </c>
      <c r="F17" s="102">
        <v>268.2</v>
      </c>
      <c r="G17" s="102">
        <v>292.39999999999998</v>
      </c>
      <c r="H17" s="102">
        <v>70.7</v>
      </c>
      <c r="I17" s="102">
        <v>161.6</v>
      </c>
      <c r="J17" s="102">
        <v>41.8</v>
      </c>
      <c r="K17" s="102">
        <v>68.5</v>
      </c>
      <c r="L17" s="102">
        <v>15.9</v>
      </c>
      <c r="M17" s="102">
        <v>45.4</v>
      </c>
      <c r="N17" s="102">
        <f t="shared" si="1"/>
        <v>273.8</v>
      </c>
      <c r="O17" s="102">
        <f t="shared" si="2"/>
        <v>834.69999999999993</v>
      </c>
      <c r="P17" s="102">
        <f t="shared" si="3"/>
        <v>129.80000000000001</v>
      </c>
      <c r="Q17" s="102">
        <f t="shared" si="4"/>
        <v>1238.3000000000002</v>
      </c>
    </row>
    <row r="18" spans="1:17">
      <c r="A18" s="102">
        <v>1972</v>
      </c>
      <c r="B18" s="102">
        <v>28.4</v>
      </c>
      <c r="C18" s="102">
        <v>37.9</v>
      </c>
      <c r="D18" s="102">
        <v>27.2</v>
      </c>
      <c r="E18" s="102">
        <v>145</v>
      </c>
      <c r="F18" s="102">
        <v>140</v>
      </c>
      <c r="G18" s="102">
        <v>100.9</v>
      </c>
      <c r="H18" s="102">
        <v>16.8</v>
      </c>
      <c r="I18" s="102">
        <v>39.6</v>
      </c>
      <c r="J18" s="102">
        <v>240.9</v>
      </c>
      <c r="K18" s="102">
        <v>140.80000000000001</v>
      </c>
      <c r="L18" s="102">
        <v>65.2</v>
      </c>
      <c r="M18" s="102">
        <v>17.8</v>
      </c>
      <c r="N18" s="102">
        <f t="shared" si="1"/>
        <v>238.5</v>
      </c>
      <c r="O18" s="102">
        <f t="shared" si="2"/>
        <v>538.20000000000005</v>
      </c>
      <c r="P18" s="102">
        <f t="shared" si="3"/>
        <v>223.8</v>
      </c>
      <c r="Q18" s="102">
        <f t="shared" si="4"/>
        <v>1000.5</v>
      </c>
    </row>
    <row r="19" spans="1:17">
      <c r="A19" s="102">
        <v>1973</v>
      </c>
      <c r="B19" s="102">
        <v>17.600000000000001</v>
      </c>
      <c r="C19" s="102">
        <v>25.8</v>
      </c>
      <c r="D19" s="102">
        <v>70.599999999999994</v>
      </c>
      <c r="E19" s="102">
        <v>149.80000000000001</v>
      </c>
      <c r="F19" s="102">
        <v>174.4</v>
      </c>
      <c r="G19" s="102">
        <v>265.89999999999998</v>
      </c>
      <c r="H19" s="102">
        <v>140.9</v>
      </c>
      <c r="I19" s="102">
        <v>186.8</v>
      </c>
      <c r="J19" s="102">
        <v>80.599999999999994</v>
      </c>
      <c r="K19" s="102">
        <v>34.200000000000003</v>
      </c>
      <c r="L19" s="102">
        <v>23.3</v>
      </c>
      <c r="M19" s="102">
        <v>5</v>
      </c>
      <c r="N19" s="102">
        <f t="shared" si="1"/>
        <v>263.8</v>
      </c>
      <c r="O19" s="102">
        <f t="shared" si="2"/>
        <v>848.6</v>
      </c>
      <c r="P19" s="102">
        <f t="shared" si="3"/>
        <v>62.5</v>
      </c>
      <c r="Q19" s="102">
        <f t="shared" si="4"/>
        <v>1174.8999999999999</v>
      </c>
    </row>
    <row r="20" spans="1:17">
      <c r="A20" s="102">
        <v>1974</v>
      </c>
      <c r="B20" s="102">
        <v>37.700000000000003</v>
      </c>
      <c r="C20" s="102">
        <v>9.3000000000000007</v>
      </c>
      <c r="D20" s="102">
        <v>60.7</v>
      </c>
      <c r="E20" s="102">
        <v>146.30000000000001</v>
      </c>
      <c r="F20" s="102">
        <v>158.19999999999999</v>
      </c>
      <c r="G20" s="102">
        <v>312</v>
      </c>
      <c r="H20" s="102">
        <v>59.7</v>
      </c>
      <c r="I20" s="102">
        <v>92.2</v>
      </c>
      <c r="J20" s="102">
        <v>42.1</v>
      </c>
      <c r="K20" s="102">
        <v>38.299999999999997</v>
      </c>
      <c r="L20" s="102">
        <v>9.3000000000000007</v>
      </c>
      <c r="M20" s="102">
        <v>29.9</v>
      </c>
      <c r="N20" s="102">
        <f t="shared" si="1"/>
        <v>254</v>
      </c>
      <c r="O20" s="102">
        <f t="shared" si="2"/>
        <v>664.2</v>
      </c>
      <c r="P20" s="102">
        <f t="shared" si="3"/>
        <v>77.5</v>
      </c>
      <c r="Q20" s="102">
        <f t="shared" si="4"/>
        <v>995.7</v>
      </c>
    </row>
    <row r="21" spans="1:17">
      <c r="A21" s="102">
        <v>1975</v>
      </c>
      <c r="B21" s="102">
        <v>34.5</v>
      </c>
      <c r="C21" s="102">
        <v>17.399999999999999</v>
      </c>
      <c r="D21" s="102">
        <v>17.5</v>
      </c>
      <c r="E21" s="102">
        <v>137.80000000000001</v>
      </c>
      <c r="F21" s="102">
        <v>209.2</v>
      </c>
      <c r="G21" s="102">
        <v>106.8</v>
      </c>
      <c r="H21" s="102">
        <v>68.8</v>
      </c>
      <c r="I21" s="102">
        <v>127.1</v>
      </c>
      <c r="J21" s="102">
        <v>65.900000000000006</v>
      </c>
      <c r="K21" s="102">
        <v>45.7</v>
      </c>
      <c r="L21" s="102">
        <v>106.6</v>
      </c>
      <c r="M21" s="102">
        <v>23.8</v>
      </c>
      <c r="N21" s="102">
        <f t="shared" si="1"/>
        <v>207.20000000000002</v>
      </c>
      <c r="O21" s="102">
        <f t="shared" si="2"/>
        <v>577.79999999999995</v>
      </c>
      <c r="P21" s="102">
        <f t="shared" si="3"/>
        <v>176.10000000000002</v>
      </c>
      <c r="Q21" s="102">
        <f t="shared" si="4"/>
        <v>961.09999999999991</v>
      </c>
    </row>
    <row r="22" spans="1:17">
      <c r="A22" s="102">
        <v>1976</v>
      </c>
      <c r="B22" s="102">
        <v>36.799999999999997</v>
      </c>
      <c r="C22" s="102">
        <v>20.7</v>
      </c>
      <c r="D22" s="102">
        <v>31.1</v>
      </c>
      <c r="E22" s="102">
        <v>170.5</v>
      </c>
      <c r="F22" s="102">
        <v>194</v>
      </c>
      <c r="G22" s="102">
        <v>142.80000000000001</v>
      </c>
      <c r="H22" s="102">
        <v>126.6</v>
      </c>
      <c r="I22" s="102">
        <v>128</v>
      </c>
      <c r="J22" s="102">
        <v>60.5</v>
      </c>
      <c r="K22" s="102">
        <v>165.6</v>
      </c>
      <c r="L22" s="102">
        <v>80.099999999999994</v>
      </c>
      <c r="M22" s="102">
        <v>23.2</v>
      </c>
      <c r="N22" s="102">
        <f t="shared" si="1"/>
        <v>259.10000000000002</v>
      </c>
      <c r="O22" s="102">
        <f t="shared" si="2"/>
        <v>651.9</v>
      </c>
      <c r="P22" s="102">
        <f t="shared" si="3"/>
        <v>268.89999999999998</v>
      </c>
      <c r="Q22" s="102">
        <f t="shared" si="4"/>
        <v>1179.9000000000001</v>
      </c>
    </row>
    <row r="23" spans="1:17">
      <c r="A23" s="102">
        <v>1977</v>
      </c>
      <c r="B23" s="102">
        <v>15.1</v>
      </c>
      <c r="C23" s="102">
        <v>39.5</v>
      </c>
      <c r="D23" s="102">
        <v>63.1</v>
      </c>
      <c r="E23" s="102">
        <v>145.6</v>
      </c>
      <c r="F23" s="102">
        <v>296.60000000000002</v>
      </c>
      <c r="G23" s="102">
        <v>259.5</v>
      </c>
      <c r="H23" s="102">
        <v>95.6</v>
      </c>
      <c r="I23" s="102">
        <v>111.9</v>
      </c>
      <c r="J23" s="102">
        <v>66.900000000000006</v>
      </c>
      <c r="K23" s="102">
        <v>160</v>
      </c>
      <c r="L23" s="102">
        <v>60</v>
      </c>
      <c r="M23" s="102">
        <v>11.4</v>
      </c>
      <c r="N23" s="102">
        <f t="shared" si="1"/>
        <v>263.3</v>
      </c>
      <c r="O23" s="102">
        <f t="shared" si="2"/>
        <v>830.5</v>
      </c>
      <c r="P23" s="102">
        <f t="shared" si="3"/>
        <v>231.4</v>
      </c>
      <c r="Q23" s="102">
        <f t="shared" si="4"/>
        <v>1325.2000000000003</v>
      </c>
    </row>
    <row r="24" spans="1:17">
      <c r="A24" s="102">
        <v>1978</v>
      </c>
      <c r="B24" s="102">
        <v>21.8</v>
      </c>
      <c r="C24" s="102">
        <v>3.4</v>
      </c>
      <c r="D24" s="102">
        <v>25</v>
      </c>
      <c r="E24" s="102">
        <v>85.2</v>
      </c>
      <c r="F24" s="102">
        <v>205.8</v>
      </c>
      <c r="G24" s="102">
        <v>160.19999999999999</v>
      </c>
      <c r="H24" s="102">
        <v>52.2</v>
      </c>
      <c r="I24" s="102">
        <v>99.2</v>
      </c>
      <c r="J24" s="102">
        <v>135.6</v>
      </c>
      <c r="K24" s="102">
        <v>143.4</v>
      </c>
      <c r="L24" s="102">
        <v>93.3</v>
      </c>
      <c r="M24" s="102">
        <v>6.7</v>
      </c>
      <c r="N24" s="102">
        <f t="shared" si="1"/>
        <v>135.4</v>
      </c>
      <c r="O24" s="102">
        <f t="shared" si="2"/>
        <v>653</v>
      </c>
      <c r="P24" s="102">
        <f t="shared" si="3"/>
        <v>243.39999999999998</v>
      </c>
      <c r="Q24" s="102">
        <f t="shared" si="4"/>
        <v>1031.8000000000002</v>
      </c>
    </row>
    <row r="25" spans="1:17">
      <c r="A25" s="102">
        <v>1979</v>
      </c>
      <c r="B25" s="102">
        <v>11.3</v>
      </c>
      <c r="C25" s="102">
        <v>7.2</v>
      </c>
      <c r="D25" s="102">
        <v>48.9</v>
      </c>
      <c r="E25" s="102">
        <v>43.8</v>
      </c>
      <c r="F25" s="102">
        <v>136.19999999999999</v>
      </c>
      <c r="G25" s="102">
        <v>282.8</v>
      </c>
      <c r="H25" s="102">
        <v>158.30000000000001</v>
      </c>
      <c r="I25" s="102">
        <v>109.9</v>
      </c>
      <c r="J25" s="102">
        <v>117.5</v>
      </c>
      <c r="K25" s="102">
        <v>62.5</v>
      </c>
      <c r="L25" s="102">
        <v>9.3000000000000007</v>
      </c>
      <c r="M25" s="102">
        <v>24.3</v>
      </c>
      <c r="N25" s="102">
        <f t="shared" si="1"/>
        <v>111.2</v>
      </c>
      <c r="O25" s="102">
        <f t="shared" si="2"/>
        <v>804.69999999999993</v>
      </c>
      <c r="P25" s="102">
        <f t="shared" si="3"/>
        <v>96.1</v>
      </c>
      <c r="Q25" s="102">
        <f t="shared" si="4"/>
        <v>1011.9999999999999</v>
      </c>
    </row>
    <row r="26" spans="1:17">
      <c r="A26" s="102">
        <v>1980</v>
      </c>
      <c r="B26" s="102">
        <v>38.700000000000003</v>
      </c>
      <c r="C26" s="102">
        <v>21.2</v>
      </c>
      <c r="D26" s="102">
        <v>45.8</v>
      </c>
      <c r="E26" s="102">
        <v>144.19999999999999</v>
      </c>
      <c r="F26" s="102">
        <v>172.9</v>
      </c>
      <c r="G26" s="102">
        <v>117.1</v>
      </c>
      <c r="H26" s="102">
        <v>199.6</v>
      </c>
      <c r="I26" s="102">
        <v>110.3</v>
      </c>
      <c r="J26" s="102">
        <v>44.2</v>
      </c>
      <c r="K26" s="102">
        <v>130.5</v>
      </c>
      <c r="L26" s="102">
        <v>56.7</v>
      </c>
      <c r="M26" s="102">
        <v>27.6</v>
      </c>
      <c r="N26" s="102">
        <f t="shared" si="1"/>
        <v>249.89999999999998</v>
      </c>
      <c r="O26" s="102">
        <f t="shared" si="2"/>
        <v>644.1</v>
      </c>
      <c r="P26" s="102">
        <f t="shared" si="3"/>
        <v>214.79999999999998</v>
      </c>
      <c r="Q26" s="102">
        <f t="shared" si="4"/>
        <v>1108.8</v>
      </c>
    </row>
    <row r="27" spans="1:17">
      <c r="A27" s="102">
        <v>1981</v>
      </c>
      <c r="B27" s="102">
        <v>33.299999999999997</v>
      </c>
      <c r="C27" s="102">
        <v>19.600000000000001</v>
      </c>
      <c r="D27" s="102">
        <v>40.799999999999997</v>
      </c>
      <c r="E27" s="102">
        <v>142.5</v>
      </c>
      <c r="F27" s="102">
        <v>212.7</v>
      </c>
      <c r="G27" s="102">
        <v>76.3</v>
      </c>
      <c r="H27" s="102">
        <v>63.6</v>
      </c>
      <c r="I27" s="102">
        <v>49.1</v>
      </c>
      <c r="J27" s="102">
        <v>101</v>
      </c>
      <c r="K27" s="102">
        <v>96.6</v>
      </c>
      <c r="L27" s="102">
        <v>56.2</v>
      </c>
      <c r="M27" s="102">
        <v>0.5</v>
      </c>
      <c r="N27" s="102">
        <f t="shared" si="1"/>
        <v>236.2</v>
      </c>
      <c r="O27" s="102">
        <f t="shared" si="2"/>
        <v>502.70000000000005</v>
      </c>
      <c r="P27" s="102">
        <f t="shared" si="3"/>
        <v>153.30000000000001</v>
      </c>
      <c r="Q27" s="102">
        <f t="shared" si="4"/>
        <v>892.2</v>
      </c>
    </row>
    <row r="28" spans="1:17">
      <c r="A28" s="102">
        <v>1982</v>
      </c>
      <c r="B28" s="102">
        <v>24.6</v>
      </c>
      <c r="C28" s="102">
        <v>74.400000000000006</v>
      </c>
      <c r="D28" s="102">
        <v>20.3</v>
      </c>
      <c r="E28" s="102">
        <v>75.5</v>
      </c>
      <c r="F28" s="102">
        <v>143.1</v>
      </c>
      <c r="G28" s="102">
        <v>224.5</v>
      </c>
      <c r="H28" s="102">
        <v>112.9</v>
      </c>
      <c r="I28" s="102">
        <v>181.6</v>
      </c>
      <c r="J28" s="102">
        <v>241.2</v>
      </c>
      <c r="K28" s="102">
        <v>72.8</v>
      </c>
      <c r="L28" s="102">
        <v>96.5</v>
      </c>
      <c r="M28" s="102">
        <v>24.1</v>
      </c>
      <c r="N28" s="102">
        <f t="shared" si="1"/>
        <v>194.8</v>
      </c>
      <c r="O28" s="102">
        <f t="shared" si="2"/>
        <v>903.3</v>
      </c>
      <c r="P28" s="102">
        <f t="shared" si="3"/>
        <v>193.4</v>
      </c>
      <c r="Q28" s="102">
        <f t="shared" si="4"/>
        <v>1291.4999999999998</v>
      </c>
    </row>
    <row r="29" spans="1:17">
      <c r="A29" s="102">
        <v>1983</v>
      </c>
      <c r="B29" s="102">
        <v>60.4</v>
      </c>
      <c r="C29" s="102">
        <v>44.1</v>
      </c>
      <c r="D29" s="102">
        <v>39.9</v>
      </c>
      <c r="E29" s="102">
        <v>138.6</v>
      </c>
      <c r="F29" s="102">
        <v>151.9</v>
      </c>
      <c r="G29" s="102">
        <v>181.1</v>
      </c>
      <c r="H29" s="102">
        <v>37.799999999999997</v>
      </c>
      <c r="I29" s="102">
        <v>57.1</v>
      </c>
      <c r="J29" s="102">
        <v>221.5</v>
      </c>
      <c r="K29" s="102">
        <v>80.400000000000006</v>
      </c>
      <c r="L29" s="102">
        <v>65.7</v>
      </c>
      <c r="M29" s="102">
        <v>37.9</v>
      </c>
      <c r="N29" s="102">
        <f t="shared" si="1"/>
        <v>283</v>
      </c>
      <c r="O29" s="102">
        <f t="shared" si="2"/>
        <v>649.40000000000009</v>
      </c>
      <c r="P29" s="102">
        <f t="shared" si="3"/>
        <v>184.00000000000003</v>
      </c>
      <c r="Q29" s="102">
        <f t="shared" si="4"/>
        <v>1116.4000000000001</v>
      </c>
    </row>
    <row r="30" spans="1:17">
      <c r="A30" s="102">
        <v>1984</v>
      </c>
      <c r="B30" s="102">
        <v>10.8</v>
      </c>
      <c r="C30" s="102">
        <v>14.2</v>
      </c>
      <c r="D30" s="102">
        <v>51.6</v>
      </c>
      <c r="E30" s="102">
        <v>78.2</v>
      </c>
      <c r="F30" s="102">
        <v>237.7</v>
      </c>
      <c r="G30" s="102">
        <v>60.2</v>
      </c>
      <c r="H30" s="102">
        <v>134.6</v>
      </c>
      <c r="I30" s="102">
        <v>211</v>
      </c>
      <c r="J30" s="102">
        <v>62.4</v>
      </c>
      <c r="K30" s="102">
        <v>90.2</v>
      </c>
      <c r="L30" s="102">
        <v>19.5</v>
      </c>
      <c r="M30" s="102">
        <v>36.5</v>
      </c>
      <c r="N30" s="102">
        <f t="shared" si="1"/>
        <v>154.80000000000001</v>
      </c>
      <c r="O30" s="102">
        <f t="shared" si="2"/>
        <v>705.9</v>
      </c>
      <c r="P30" s="102">
        <f t="shared" si="3"/>
        <v>146.19999999999999</v>
      </c>
      <c r="Q30" s="102">
        <f t="shared" si="4"/>
        <v>1006.9</v>
      </c>
    </row>
    <row r="31" spans="1:17">
      <c r="A31" s="102">
        <v>1985</v>
      </c>
      <c r="B31" s="102">
        <v>5.5</v>
      </c>
      <c r="C31" s="102">
        <v>24.3</v>
      </c>
      <c r="D31" s="102">
        <v>40.200000000000003</v>
      </c>
      <c r="E31" s="102">
        <v>88.9</v>
      </c>
      <c r="F31" s="102">
        <v>88.1</v>
      </c>
      <c r="G31" s="102">
        <v>122.7</v>
      </c>
      <c r="H31" s="102">
        <v>155.4</v>
      </c>
      <c r="I31" s="102">
        <v>95</v>
      </c>
      <c r="J31" s="102">
        <v>55.3</v>
      </c>
      <c r="K31" s="102">
        <v>86.7</v>
      </c>
      <c r="L31" s="102">
        <v>63.8</v>
      </c>
      <c r="M31" s="102">
        <v>25.3</v>
      </c>
      <c r="N31" s="102">
        <f t="shared" si="1"/>
        <v>158.9</v>
      </c>
      <c r="O31" s="102">
        <f t="shared" si="2"/>
        <v>516.5</v>
      </c>
      <c r="P31" s="102">
        <f t="shared" si="3"/>
        <v>175.8</v>
      </c>
      <c r="Q31" s="102">
        <f t="shared" si="4"/>
        <v>851.19999999999993</v>
      </c>
    </row>
    <row r="32" spans="1:17">
      <c r="A32" s="102">
        <v>1986</v>
      </c>
      <c r="B32" s="102">
        <v>10.6</v>
      </c>
      <c r="C32" s="102">
        <v>10.8</v>
      </c>
      <c r="D32" s="102">
        <v>45.1</v>
      </c>
      <c r="E32" s="102">
        <v>52.3</v>
      </c>
      <c r="F32" s="102">
        <v>144.4</v>
      </c>
      <c r="G32" s="102">
        <v>222.5</v>
      </c>
      <c r="H32" s="102">
        <v>280.8</v>
      </c>
      <c r="I32" s="102">
        <v>20.9</v>
      </c>
      <c r="J32" s="102">
        <v>56.9</v>
      </c>
      <c r="K32" s="102">
        <v>78.400000000000006</v>
      </c>
      <c r="L32" s="102">
        <v>59.7</v>
      </c>
      <c r="M32" s="102">
        <v>2.5</v>
      </c>
      <c r="N32" s="102">
        <f t="shared" si="1"/>
        <v>118.8</v>
      </c>
      <c r="O32" s="102">
        <f t="shared" si="2"/>
        <v>725.5</v>
      </c>
      <c r="P32" s="102">
        <f t="shared" si="3"/>
        <v>140.60000000000002</v>
      </c>
      <c r="Q32" s="102">
        <f t="shared" si="4"/>
        <v>984.9</v>
      </c>
    </row>
    <row r="33" spans="1:17">
      <c r="A33" s="102">
        <v>1987</v>
      </c>
      <c r="B33" s="102">
        <v>26.7</v>
      </c>
      <c r="C33" s="102">
        <v>12.7</v>
      </c>
      <c r="D33" s="102">
        <v>30.1</v>
      </c>
      <c r="E33" s="102">
        <v>51.5</v>
      </c>
      <c r="F33" s="102">
        <v>183.5</v>
      </c>
      <c r="G33" s="102">
        <v>148.69999999999999</v>
      </c>
      <c r="H33" s="102">
        <v>132</v>
      </c>
      <c r="I33" s="102">
        <v>122.1</v>
      </c>
      <c r="J33" s="102">
        <v>166</v>
      </c>
      <c r="K33" s="102">
        <v>120.4</v>
      </c>
      <c r="L33" s="102">
        <v>66.3</v>
      </c>
      <c r="M33" s="102">
        <v>9.6</v>
      </c>
      <c r="N33" s="102">
        <f t="shared" si="1"/>
        <v>121</v>
      </c>
      <c r="O33" s="102">
        <f t="shared" si="2"/>
        <v>752.3</v>
      </c>
      <c r="P33" s="102">
        <f t="shared" si="3"/>
        <v>196.29999999999998</v>
      </c>
      <c r="Q33" s="102">
        <f t="shared" si="4"/>
        <v>1069.5999999999999</v>
      </c>
    </row>
    <row r="34" spans="1:17">
      <c r="A34" s="102">
        <v>1988</v>
      </c>
      <c r="B34" s="102">
        <v>24.9</v>
      </c>
      <c r="C34" s="102">
        <v>14.7</v>
      </c>
      <c r="D34" s="102">
        <v>13.9</v>
      </c>
      <c r="E34" s="102">
        <v>41.3</v>
      </c>
      <c r="F34" s="102">
        <v>143.69999999999999</v>
      </c>
      <c r="G34" s="102">
        <v>204.5</v>
      </c>
      <c r="H34" s="102">
        <v>62.5</v>
      </c>
      <c r="I34" s="102">
        <v>245.1</v>
      </c>
      <c r="J34" s="102">
        <v>111.7</v>
      </c>
      <c r="K34" s="102">
        <v>76.5</v>
      </c>
      <c r="L34" s="102">
        <v>5.9</v>
      </c>
      <c r="M34" s="102">
        <v>3.8</v>
      </c>
      <c r="N34" s="102">
        <f t="shared" si="1"/>
        <v>94.799999999999983</v>
      </c>
      <c r="O34" s="102">
        <f t="shared" si="2"/>
        <v>767.5</v>
      </c>
      <c r="P34" s="102">
        <f t="shared" si="3"/>
        <v>86.2</v>
      </c>
      <c r="Q34" s="102">
        <f t="shared" si="4"/>
        <v>948.5</v>
      </c>
    </row>
    <row r="35" spans="1:17">
      <c r="A35" s="102">
        <v>1989</v>
      </c>
      <c r="B35" s="102">
        <v>10.5</v>
      </c>
      <c r="C35" s="102">
        <v>34.5</v>
      </c>
      <c r="D35" s="102">
        <v>64.099999999999994</v>
      </c>
      <c r="E35" s="102">
        <v>109.2</v>
      </c>
      <c r="F35" s="102">
        <v>78.099999999999994</v>
      </c>
      <c r="G35" s="102">
        <v>125.3</v>
      </c>
      <c r="H35" s="102">
        <v>54.1</v>
      </c>
      <c r="I35" s="102">
        <v>27.2</v>
      </c>
      <c r="J35" s="102">
        <v>78.8</v>
      </c>
      <c r="K35" s="102">
        <v>89.7</v>
      </c>
      <c r="L35" s="102">
        <v>26.5</v>
      </c>
      <c r="M35" s="102">
        <v>36.6</v>
      </c>
      <c r="N35" s="102">
        <f t="shared" si="1"/>
        <v>218.3</v>
      </c>
      <c r="O35" s="102">
        <f t="shared" si="2"/>
        <v>363.5</v>
      </c>
      <c r="P35" s="102">
        <f t="shared" si="3"/>
        <v>152.80000000000001</v>
      </c>
      <c r="Q35" s="102">
        <f t="shared" si="4"/>
        <v>734.6</v>
      </c>
    </row>
    <row r="36" spans="1:17">
      <c r="A36" s="102">
        <v>1990</v>
      </c>
      <c r="B36" s="102">
        <v>27.8</v>
      </c>
      <c r="C36" s="102">
        <v>17.7</v>
      </c>
      <c r="D36" s="102">
        <v>81</v>
      </c>
      <c r="E36" s="102">
        <v>93.9</v>
      </c>
      <c r="F36" s="102">
        <v>164</v>
      </c>
      <c r="G36" s="102">
        <v>252.1</v>
      </c>
      <c r="H36" s="102">
        <v>128</v>
      </c>
      <c r="I36" s="102">
        <v>37.299999999999997</v>
      </c>
      <c r="J36" s="102">
        <v>109.7</v>
      </c>
      <c r="K36" s="102">
        <v>84.3</v>
      </c>
      <c r="L36" s="102">
        <v>53.3</v>
      </c>
      <c r="M36" s="102">
        <v>9.6999999999999993</v>
      </c>
      <c r="N36" s="102">
        <f t="shared" si="1"/>
        <v>220.4</v>
      </c>
      <c r="O36" s="102">
        <f t="shared" si="2"/>
        <v>691.1</v>
      </c>
      <c r="P36" s="102">
        <f t="shared" si="3"/>
        <v>147.29999999999998</v>
      </c>
      <c r="Q36" s="102">
        <f t="shared" si="4"/>
        <v>1058.8</v>
      </c>
    </row>
    <row r="37" spans="1:17">
      <c r="A37" s="102">
        <v>1991</v>
      </c>
      <c r="B37" s="102">
        <v>110.1</v>
      </c>
      <c r="C37" s="102">
        <v>33.299999999999997</v>
      </c>
      <c r="D37" s="102">
        <v>59.7</v>
      </c>
      <c r="E37" s="102">
        <v>84.5</v>
      </c>
      <c r="F37" s="102">
        <v>74.099999999999994</v>
      </c>
      <c r="G37" s="102">
        <v>201.1</v>
      </c>
      <c r="H37" s="102">
        <v>351</v>
      </c>
      <c r="I37" s="102">
        <v>61.5</v>
      </c>
      <c r="J37" s="102">
        <v>61.2</v>
      </c>
      <c r="K37" s="102">
        <v>75.099999999999994</v>
      </c>
      <c r="L37" s="102">
        <v>53</v>
      </c>
      <c r="M37" s="102">
        <v>20.6</v>
      </c>
      <c r="N37" s="102">
        <f t="shared" si="1"/>
        <v>287.59999999999997</v>
      </c>
      <c r="O37" s="102">
        <f t="shared" si="2"/>
        <v>748.90000000000009</v>
      </c>
      <c r="P37" s="102">
        <f t="shared" si="3"/>
        <v>148.69999999999999</v>
      </c>
      <c r="Q37" s="102">
        <f t="shared" si="4"/>
        <v>1185.1999999999998</v>
      </c>
    </row>
    <row r="38" spans="1:17">
      <c r="A38" s="102">
        <v>1992</v>
      </c>
      <c r="B38" s="102">
        <v>17.399999999999999</v>
      </c>
      <c r="C38" s="102">
        <v>33.6</v>
      </c>
      <c r="D38" s="102">
        <v>68</v>
      </c>
      <c r="E38" s="102">
        <v>133.5</v>
      </c>
      <c r="F38" s="102">
        <v>228.6</v>
      </c>
      <c r="G38" s="102">
        <v>200.1</v>
      </c>
      <c r="H38" s="102">
        <v>132.1</v>
      </c>
      <c r="I38" s="102">
        <v>29.6</v>
      </c>
      <c r="J38" s="102">
        <v>78.099999999999994</v>
      </c>
      <c r="K38" s="102">
        <v>30.6</v>
      </c>
      <c r="L38" s="102">
        <v>12.2</v>
      </c>
      <c r="M38" s="102">
        <v>41.6</v>
      </c>
      <c r="N38" s="102">
        <f t="shared" si="1"/>
        <v>252.5</v>
      </c>
      <c r="O38" s="102">
        <f t="shared" si="2"/>
        <v>668.5</v>
      </c>
      <c r="P38" s="102">
        <f t="shared" si="3"/>
        <v>84.4</v>
      </c>
      <c r="Q38" s="102">
        <f t="shared" si="4"/>
        <v>1005.4000000000002</v>
      </c>
    </row>
    <row r="39" spans="1:17">
      <c r="A39" s="102">
        <v>1993</v>
      </c>
      <c r="B39" s="102">
        <v>50.1</v>
      </c>
      <c r="C39" s="102">
        <v>63.1</v>
      </c>
      <c r="D39" s="102">
        <v>42.9</v>
      </c>
      <c r="E39" s="102">
        <v>53.9</v>
      </c>
      <c r="F39" s="102">
        <v>125.2</v>
      </c>
      <c r="G39" s="102">
        <v>170.7</v>
      </c>
      <c r="H39" s="102">
        <v>214.1</v>
      </c>
      <c r="I39" s="102">
        <v>199.2</v>
      </c>
      <c r="J39" s="102">
        <v>52.7</v>
      </c>
      <c r="K39" s="102">
        <v>64.7</v>
      </c>
      <c r="L39" s="102">
        <v>60.8</v>
      </c>
      <c r="M39" s="102">
        <v>17.8</v>
      </c>
      <c r="N39" s="102">
        <f t="shared" si="1"/>
        <v>210</v>
      </c>
      <c r="O39" s="102">
        <f t="shared" si="2"/>
        <v>761.90000000000009</v>
      </c>
      <c r="P39" s="102">
        <f t="shared" si="3"/>
        <v>143.30000000000001</v>
      </c>
      <c r="Q39" s="102">
        <f t="shared" si="4"/>
        <v>1115.2</v>
      </c>
    </row>
    <row r="40" spans="1:17">
      <c r="A40" s="102">
        <v>1994</v>
      </c>
      <c r="B40" s="102">
        <v>24.7</v>
      </c>
      <c r="C40" s="102">
        <v>24.1</v>
      </c>
      <c r="D40" s="102">
        <v>78.2</v>
      </c>
      <c r="E40" s="102">
        <v>175.9</v>
      </c>
      <c r="F40" s="102">
        <v>137.69999999999999</v>
      </c>
      <c r="G40" s="102">
        <v>95.8</v>
      </c>
      <c r="H40" s="102">
        <v>237.2</v>
      </c>
      <c r="I40" s="102">
        <v>159.19999999999999</v>
      </c>
      <c r="J40" s="102">
        <v>88.6</v>
      </c>
      <c r="K40" s="102">
        <v>236.2</v>
      </c>
      <c r="L40" s="102">
        <v>65.099999999999994</v>
      </c>
      <c r="M40" s="102">
        <v>29.2</v>
      </c>
      <c r="N40" s="102">
        <f t="shared" si="1"/>
        <v>302.89999999999998</v>
      </c>
      <c r="O40" s="102">
        <f t="shared" si="2"/>
        <v>718.5</v>
      </c>
      <c r="P40" s="102">
        <f t="shared" si="3"/>
        <v>330.49999999999994</v>
      </c>
      <c r="Q40" s="102">
        <f t="shared" si="4"/>
        <v>1351.8999999999999</v>
      </c>
    </row>
    <row r="41" spans="1:17">
      <c r="A41" s="102">
        <v>1995</v>
      </c>
      <c r="B41" s="102">
        <v>28.1</v>
      </c>
      <c r="C41" s="102">
        <v>58.5</v>
      </c>
      <c r="D41" s="102">
        <v>40.5</v>
      </c>
      <c r="E41" s="102">
        <v>127.2</v>
      </c>
      <c r="F41" s="102">
        <v>182.2</v>
      </c>
      <c r="G41" s="102">
        <v>294.3</v>
      </c>
      <c r="H41" s="102">
        <v>92.6</v>
      </c>
      <c r="I41" s="102">
        <v>190.5</v>
      </c>
      <c r="J41" s="102">
        <v>102.3</v>
      </c>
      <c r="K41" s="102">
        <v>119.6</v>
      </c>
      <c r="L41" s="102">
        <v>42.7</v>
      </c>
      <c r="M41" s="102">
        <v>11.7</v>
      </c>
      <c r="N41" s="102">
        <f t="shared" si="1"/>
        <v>254.3</v>
      </c>
      <c r="O41" s="102">
        <f t="shared" si="2"/>
        <v>861.9</v>
      </c>
      <c r="P41" s="102">
        <f t="shared" si="3"/>
        <v>174</v>
      </c>
      <c r="Q41" s="102">
        <f t="shared" si="4"/>
        <v>1290.2</v>
      </c>
    </row>
    <row r="42" spans="1:17">
      <c r="A42" s="102">
        <v>1996</v>
      </c>
      <c r="B42" s="102">
        <v>25.3</v>
      </c>
      <c r="C42" s="102">
        <v>1.5</v>
      </c>
      <c r="D42" s="102">
        <v>45.4</v>
      </c>
      <c r="E42" s="102">
        <v>57.3</v>
      </c>
      <c r="F42" s="102">
        <v>181.4</v>
      </c>
      <c r="G42" s="102">
        <v>247.4</v>
      </c>
      <c r="H42" s="102">
        <v>343.9</v>
      </c>
      <c r="I42" s="102">
        <v>169.7</v>
      </c>
      <c r="J42" s="102">
        <v>48.1</v>
      </c>
      <c r="K42" s="102">
        <v>75.099999999999994</v>
      </c>
      <c r="L42" s="102">
        <v>53.1</v>
      </c>
      <c r="M42" s="102">
        <v>22.8</v>
      </c>
      <c r="N42" s="102">
        <f t="shared" si="1"/>
        <v>129.5</v>
      </c>
      <c r="O42" s="102">
        <f t="shared" si="2"/>
        <v>990.50000000000011</v>
      </c>
      <c r="P42" s="102">
        <f t="shared" si="3"/>
        <v>151</v>
      </c>
      <c r="Q42" s="102">
        <f t="shared" si="4"/>
        <v>1270.9999999999995</v>
      </c>
    </row>
    <row r="43" spans="1:17">
      <c r="A43" s="102">
        <v>1997</v>
      </c>
      <c r="B43" s="102">
        <v>48.9</v>
      </c>
      <c r="C43" s="102">
        <v>48.6</v>
      </c>
      <c r="D43" s="102">
        <v>38.1</v>
      </c>
      <c r="E43" s="102">
        <v>212.1</v>
      </c>
      <c r="F43" s="102">
        <v>169.3</v>
      </c>
      <c r="G43" s="102">
        <v>213.8</v>
      </c>
      <c r="H43" s="102">
        <v>147.4</v>
      </c>
      <c r="I43" s="102">
        <v>65.7</v>
      </c>
      <c r="J43" s="102">
        <v>142</v>
      </c>
      <c r="K43" s="102">
        <v>160.1</v>
      </c>
      <c r="L43" s="102">
        <v>34.4</v>
      </c>
      <c r="M43" s="102">
        <v>31.4</v>
      </c>
      <c r="N43" s="102">
        <f t="shared" si="1"/>
        <v>347.7</v>
      </c>
      <c r="O43" s="102">
        <f t="shared" si="2"/>
        <v>738.2</v>
      </c>
      <c r="P43" s="102">
        <f t="shared" si="3"/>
        <v>225.9</v>
      </c>
      <c r="Q43" s="102">
        <f t="shared" si="4"/>
        <v>1311.8000000000002</v>
      </c>
    </row>
    <row r="44" spans="1:17">
      <c r="A44" s="102">
        <v>1998</v>
      </c>
      <c r="B44" s="102">
        <v>20.5</v>
      </c>
      <c r="C44" s="102">
        <v>21.9</v>
      </c>
      <c r="D44" s="102">
        <v>26.3</v>
      </c>
      <c r="E44" s="102">
        <v>104.1</v>
      </c>
      <c r="F44" s="102">
        <v>142.30000000000001</v>
      </c>
      <c r="G44" s="102">
        <v>202.1</v>
      </c>
      <c r="H44" s="102">
        <v>200.6</v>
      </c>
      <c r="I44" s="102">
        <v>209.6</v>
      </c>
      <c r="J44" s="102">
        <v>63.3</v>
      </c>
      <c r="K44" s="102">
        <v>128.5</v>
      </c>
      <c r="L44" s="102">
        <v>22.4</v>
      </c>
      <c r="M44" s="102">
        <v>22.6</v>
      </c>
      <c r="N44" s="102">
        <f t="shared" si="1"/>
        <v>172.8</v>
      </c>
      <c r="O44" s="102">
        <f t="shared" si="2"/>
        <v>817.9</v>
      </c>
      <c r="P44" s="102">
        <f t="shared" si="3"/>
        <v>173.5</v>
      </c>
      <c r="Q44" s="102">
        <f t="shared" si="4"/>
        <v>1164.2</v>
      </c>
    </row>
    <row r="45" spans="1:17">
      <c r="A45" s="102">
        <v>1999</v>
      </c>
      <c r="B45" s="102">
        <v>26.3</v>
      </c>
      <c r="C45" s="102">
        <v>13.2</v>
      </c>
      <c r="D45" s="102">
        <v>18</v>
      </c>
      <c r="E45" s="102">
        <v>156</v>
      </c>
      <c r="F45" s="102">
        <v>172.2</v>
      </c>
      <c r="G45" s="102">
        <v>306.10000000000002</v>
      </c>
      <c r="H45" s="102">
        <v>284.60000000000002</v>
      </c>
      <c r="I45" s="102">
        <v>158.69999999999999</v>
      </c>
      <c r="J45" s="102">
        <v>53</v>
      </c>
      <c r="K45" s="102">
        <v>69.2</v>
      </c>
      <c r="L45" s="102">
        <v>31.4</v>
      </c>
      <c r="M45" s="102">
        <v>1.3</v>
      </c>
      <c r="N45" s="102">
        <f t="shared" si="1"/>
        <v>213.5</v>
      </c>
      <c r="O45" s="102">
        <f t="shared" si="2"/>
        <v>974.60000000000014</v>
      </c>
      <c r="P45" s="102">
        <f t="shared" si="3"/>
        <v>101.89999999999999</v>
      </c>
      <c r="Q45" s="102">
        <f t="shared" si="4"/>
        <v>1290</v>
      </c>
    </row>
    <row r="46" spans="1:17">
      <c r="A46" s="102">
        <v>2000</v>
      </c>
      <c r="B46" s="102">
        <v>26.2</v>
      </c>
      <c r="C46" s="102">
        <v>24.4</v>
      </c>
      <c r="D46" s="102">
        <v>91.3</v>
      </c>
      <c r="E46" s="102">
        <v>106</v>
      </c>
      <c r="F46" s="102">
        <v>120.2</v>
      </c>
      <c r="G46" s="102">
        <v>234.2</v>
      </c>
      <c r="H46" s="102">
        <v>74</v>
      </c>
      <c r="I46" s="102">
        <v>253.9</v>
      </c>
      <c r="J46" s="102">
        <v>63.8</v>
      </c>
      <c r="K46" s="102">
        <v>108.3</v>
      </c>
      <c r="L46" s="102">
        <v>36.1</v>
      </c>
      <c r="M46" s="102">
        <v>20.8</v>
      </c>
      <c r="N46" s="102">
        <f t="shared" si="1"/>
        <v>247.89999999999998</v>
      </c>
      <c r="O46" s="102">
        <f t="shared" si="2"/>
        <v>746.09999999999991</v>
      </c>
      <c r="P46" s="102">
        <f t="shared" si="3"/>
        <v>165.20000000000002</v>
      </c>
      <c r="Q46" s="102">
        <f t="shared" si="4"/>
        <v>1159.1999999999998</v>
      </c>
    </row>
    <row r="47" spans="1:17">
      <c r="A47" s="102">
        <v>2001</v>
      </c>
      <c r="B47" s="102">
        <v>34.9</v>
      </c>
      <c r="C47" s="102">
        <v>20.9</v>
      </c>
      <c r="D47" s="102">
        <v>50.7</v>
      </c>
      <c r="E47" s="102">
        <v>96.4</v>
      </c>
      <c r="F47" s="102">
        <v>184.4</v>
      </c>
      <c r="G47" s="102">
        <v>199.3</v>
      </c>
      <c r="H47" s="102">
        <v>121.6</v>
      </c>
      <c r="I47" s="102">
        <v>58.7</v>
      </c>
      <c r="J47" s="102">
        <v>4.8</v>
      </c>
      <c r="K47" s="102">
        <v>123</v>
      </c>
      <c r="L47" s="102">
        <v>38.4</v>
      </c>
      <c r="M47" s="102">
        <v>19.2</v>
      </c>
      <c r="N47" s="102">
        <f t="shared" si="1"/>
        <v>202.9</v>
      </c>
      <c r="O47" s="102">
        <f t="shared" si="2"/>
        <v>568.80000000000007</v>
      </c>
      <c r="P47" s="102">
        <f t="shared" si="3"/>
        <v>180.6</v>
      </c>
      <c r="Q47" s="102">
        <f t="shared" si="4"/>
        <v>952.30000000000007</v>
      </c>
    </row>
    <row r="48" spans="1:17">
      <c r="A48" s="102">
        <v>2002</v>
      </c>
      <c r="B48" s="102">
        <v>16.3</v>
      </c>
      <c r="C48" s="102">
        <v>26.2</v>
      </c>
      <c r="D48" s="102">
        <v>43.5</v>
      </c>
      <c r="E48" s="102">
        <v>149.1</v>
      </c>
      <c r="F48" s="102">
        <v>206.3</v>
      </c>
      <c r="G48" s="102">
        <v>211.8</v>
      </c>
      <c r="H48" s="102">
        <v>66.599999999999994</v>
      </c>
      <c r="I48" s="102">
        <v>189.3</v>
      </c>
      <c r="J48" s="102">
        <v>39.799999999999997</v>
      </c>
      <c r="K48" s="102">
        <v>105.3</v>
      </c>
      <c r="L48" s="102">
        <v>20.5</v>
      </c>
      <c r="M48" s="102">
        <v>48.7</v>
      </c>
      <c r="N48" s="102">
        <f t="shared" si="1"/>
        <v>235.1</v>
      </c>
      <c r="O48" s="102">
        <f t="shared" si="2"/>
        <v>713.8</v>
      </c>
      <c r="P48" s="102">
        <f t="shared" si="3"/>
        <v>174.5</v>
      </c>
      <c r="Q48" s="102">
        <f t="shared" si="4"/>
        <v>1123.4000000000001</v>
      </c>
    </row>
    <row r="49" spans="1:33">
      <c r="A49" s="102">
        <v>2003</v>
      </c>
      <c r="B49" s="102">
        <v>51.8</v>
      </c>
      <c r="C49" s="102">
        <v>13.6</v>
      </c>
      <c r="D49" s="102">
        <v>40.9</v>
      </c>
      <c r="E49" s="102">
        <v>178.4</v>
      </c>
      <c r="F49" s="102">
        <v>205.6</v>
      </c>
      <c r="G49" s="102">
        <v>179.2</v>
      </c>
      <c r="H49" s="102">
        <v>166.7</v>
      </c>
      <c r="I49" s="102">
        <v>37.6</v>
      </c>
      <c r="J49" s="102">
        <v>96.6</v>
      </c>
      <c r="K49" s="102">
        <v>86.7</v>
      </c>
      <c r="L49" s="102">
        <v>15.4</v>
      </c>
      <c r="M49" s="102">
        <v>73.8</v>
      </c>
      <c r="N49" s="102">
        <f t="shared" si="1"/>
        <v>284.7</v>
      </c>
      <c r="O49" s="102">
        <f t="shared" si="2"/>
        <v>685.7</v>
      </c>
      <c r="P49" s="102">
        <f t="shared" si="3"/>
        <v>175.9</v>
      </c>
      <c r="Q49" s="102">
        <f t="shared" si="4"/>
        <v>1146.3000000000002</v>
      </c>
    </row>
    <row r="50" spans="1:33">
      <c r="A50" s="102">
        <v>2004</v>
      </c>
      <c r="B50" s="103">
        <v>31.8</v>
      </c>
      <c r="C50" s="103">
        <v>68.3</v>
      </c>
      <c r="D50" s="103">
        <v>46.9</v>
      </c>
      <c r="E50" s="103">
        <v>102.1</v>
      </c>
      <c r="F50" s="103">
        <v>155.19999999999999</v>
      </c>
      <c r="G50" s="103">
        <v>127.8</v>
      </c>
      <c r="H50" s="103">
        <v>278.10000000000002</v>
      </c>
      <c r="I50" s="103">
        <v>70.7</v>
      </c>
      <c r="J50" s="103">
        <v>129.6</v>
      </c>
      <c r="K50" s="103">
        <v>50.2</v>
      </c>
      <c r="L50" s="103">
        <v>85.1</v>
      </c>
      <c r="M50" s="103">
        <v>21.8</v>
      </c>
      <c r="N50" s="102">
        <f t="shared" si="1"/>
        <v>249.1</v>
      </c>
      <c r="O50" s="102">
        <f t="shared" si="2"/>
        <v>761.40000000000009</v>
      </c>
      <c r="P50" s="102">
        <f t="shared" si="3"/>
        <v>157.10000000000002</v>
      </c>
      <c r="Q50" s="102">
        <f t="shared" si="4"/>
        <v>1167.5999999999999</v>
      </c>
    </row>
    <row r="51" spans="1:33">
      <c r="A51" s="102">
        <v>2005</v>
      </c>
      <c r="B51" s="102">
        <v>45</v>
      </c>
      <c r="C51" s="102">
        <v>43.2</v>
      </c>
      <c r="D51" s="102">
        <v>39.4</v>
      </c>
      <c r="E51" s="102">
        <v>35.9</v>
      </c>
      <c r="F51" s="102">
        <v>213</v>
      </c>
      <c r="G51" s="102">
        <v>96.1</v>
      </c>
      <c r="H51" s="102">
        <v>94.2</v>
      </c>
      <c r="I51" s="102">
        <v>108.1</v>
      </c>
      <c r="J51" s="102">
        <v>25.4</v>
      </c>
      <c r="K51" s="102">
        <v>75.900000000000006</v>
      </c>
      <c r="L51" s="102">
        <v>44.1</v>
      </c>
      <c r="M51" s="102">
        <v>8</v>
      </c>
      <c r="N51" s="102">
        <f t="shared" si="1"/>
        <v>163.5</v>
      </c>
      <c r="O51" s="102">
        <f t="shared" si="2"/>
        <v>536.79999999999995</v>
      </c>
      <c r="P51" s="102">
        <f t="shared" si="3"/>
        <v>128</v>
      </c>
      <c r="Q51" s="102">
        <f t="shared" si="4"/>
        <v>828.30000000000007</v>
      </c>
    </row>
    <row r="52" spans="1:33">
      <c r="A52" s="102">
        <v>2006</v>
      </c>
      <c r="B52" s="102">
        <v>28.5</v>
      </c>
      <c r="C52" s="102">
        <v>71.7</v>
      </c>
      <c r="D52" s="102">
        <v>41.6</v>
      </c>
      <c r="E52" s="102">
        <v>117.1</v>
      </c>
      <c r="F52" s="102">
        <v>166.9</v>
      </c>
      <c r="G52" s="102">
        <v>138</v>
      </c>
      <c r="H52" s="102">
        <v>153.9</v>
      </c>
      <c r="I52" s="102">
        <v>116.3</v>
      </c>
      <c r="J52" s="102">
        <v>60.8</v>
      </c>
      <c r="K52" s="102">
        <v>121.2</v>
      </c>
      <c r="L52" s="102">
        <v>78.900000000000006</v>
      </c>
      <c r="M52" s="102">
        <v>16.7</v>
      </c>
      <c r="N52" s="102">
        <f t="shared" si="1"/>
        <v>258.89999999999998</v>
      </c>
      <c r="O52" s="102">
        <f t="shared" si="2"/>
        <v>635.89999999999986</v>
      </c>
      <c r="P52" s="102">
        <f t="shared" si="3"/>
        <v>216.8</v>
      </c>
      <c r="Q52" s="102">
        <f t="shared" si="4"/>
        <v>1111.5999999999999</v>
      </c>
    </row>
    <row r="53" spans="1:33">
      <c r="A53" s="102">
        <v>2007</v>
      </c>
      <c r="B53" s="102">
        <v>36.1</v>
      </c>
      <c r="C53" s="102">
        <v>32.200000000000003</v>
      </c>
      <c r="D53" s="102">
        <v>33.6</v>
      </c>
      <c r="E53" s="102">
        <v>173.9</v>
      </c>
      <c r="F53" s="102">
        <v>107.3</v>
      </c>
      <c r="G53" s="102">
        <v>254.3</v>
      </c>
      <c r="H53" s="102">
        <v>240.2</v>
      </c>
      <c r="I53" s="102">
        <v>54.4</v>
      </c>
      <c r="J53" s="102">
        <v>105.4</v>
      </c>
      <c r="K53" s="102">
        <v>25.4</v>
      </c>
      <c r="L53" s="102">
        <v>8.4</v>
      </c>
      <c r="M53" s="102">
        <v>16.2</v>
      </c>
      <c r="N53" s="102">
        <f t="shared" si="1"/>
        <v>275.8</v>
      </c>
      <c r="O53" s="102">
        <f t="shared" si="2"/>
        <v>761.59999999999991</v>
      </c>
      <c r="P53" s="102">
        <f t="shared" si="3"/>
        <v>50</v>
      </c>
      <c r="Q53" s="102">
        <f t="shared" si="4"/>
        <v>1087.4000000000003</v>
      </c>
    </row>
    <row r="54" spans="1:33">
      <c r="A54" s="102">
        <v>2008</v>
      </c>
      <c r="B54" s="102">
        <v>22.9</v>
      </c>
      <c r="C54" s="102">
        <v>27.9</v>
      </c>
      <c r="D54" s="102">
        <v>81.2</v>
      </c>
      <c r="E54" s="102">
        <v>28.1</v>
      </c>
      <c r="F54" s="102">
        <v>125.5</v>
      </c>
      <c r="G54" s="102">
        <v>80.8</v>
      </c>
      <c r="H54" s="102">
        <v>194.3</v>
      </c>
      <c r="I54" s="102">
        <v>228.3</v>
      </c>
      <c r="J54" s="102">
        <v>11.5</v>
      </c>
      <c r="K54" s="102">
        <v>149.9</v>
      </c>
      <c r="L54" s="102">
        <v>148.30000000000001</v>
      </c>
      <c r="M54" s="102">
        <v>19</v>
      </c>
      <c r="N54" s="102">
        <f t="shared" si="1"/>
        <v>160.1</v>
      </c>
      <c r="O54" s="102">
        <f t="shared" si="2"/>
        <v>640.40000000000009</v>
      </c>
      <c r="P54" s="102">
        <f t="shared" si="3"/>
        <v>317.20000000000005</v>
      </c>
      <c r="Q54" s="102">
        <f t="shared" si="4"/>
        <v>1117.7</v>
      </c>
    </row>
    <row r="55" spans="1:33">
      <c r="A55" s="102">
        <v>2009</v>
      </c>
      <c r="B55" s="102">
        <v>35.5</v>
      </c>
      <c r="C55" s="102">
        <v>21.8</v>
      </c>
      <c r="D55" s="102">
        <v>64.5</v>
      </c>
      <c r="E55" s="102">
        <v>163.69999999999999</v>
      </c>
      <c r="F55" s="102">
        <v>156.1</v>
      </c>
      <c r="G55" s="102">
        <v>227.7</v>
      </c>
      <c r="H55" s="102">
        <v>67.2</v>
      </c>
      <c r="I55" s="102">
        <v>31.3</v>
      </c>
      <c r="J55" s="102">
        <v>95.5</v>
      </c>
      <c r="K55" s="102">
        <v>64.3</v>
      </c>
      <c r="L55" s="102">
        <v>26.4</v>
      </c>
      <c r="M55" s="102">
        <v>41</v>
      </c>
      <c r="N55" s="102">
        <f t="shared" si="1"/>
        <v>285.5</v>
      </c>
      <c r="O55" s="102">
        <f t="shared" si="2"/>
        <v>577.79999999999995</v>
      </c>
      <c r="P55" s="102">
        <f t="shared" si="3"/>
        <v>131.69999999999999</v>
      </c>
      <c r="Q55" s="102">
        <f t="shared" si="4"/>
        <v>994.99999999999989</v>
      </c>
    </row>
    <row r="56" spans="1:33">
      <c r="A56" s="102">
        <v>2010</v>
      </c>
      <c r="B56" s="102">
        <v>4</v>
      </c>
      <c r="C56" s="102">
        <v>7.1</v>
      </c>
      <c r="D56" s="102">
        <v>55.8</v>
      </c>
      <c r="E56" s="102">
        <v>71.099999999999994</v>
      </c>
      <c r="F56" s="102">
        <v>202.4</v>
      </c>
      <c r="G56" s="102">
        <v>189</v>
      </c>
      <c r="H56" s="102">
        <v>58.5</v>
      </c>
      <c r="I56" s="102">
        <v>160.19999999999999</v>
      </c>
      <c r="J56" s="102">
        <v>126.5</v>
      </c>
      <c r="K56" s="102">
        <v>104.7</v>
      </c>
      <c r="L56" s="102">
        <v>24.1</v>
      </c>
      <c r="M56" s="102">
        <v>64.599999999999994</v>
      </c>
      <c r="N56" s="102">
        <f t="shared" si="1"/>
        <v>138</v>
      </c>
      <c r="O56" s="102">
        <f t="shared" si="2"/>
        <v>736.59999999999991</v>
      </c>
      <c r="P56" s="102">
        <f t="shared" si="3"/>
        <v>193.4</v>
      </c>
      <c r="Q56" s="102">
        <f t="shared" si="4"/>
        <v>1068</v>
      </c>
    </row>
    <row r="57" spans="1:33">
      <c r="A57" s="102">
        <v>2011</v>
      </c>
      <c r="B57" s="102">
        <v>19</v>
      </c>
      <c r="C57" s="102">
        <v>10.5</v>
      </c>
      <c r="D57" s="102">
        <v>25.7</v>
      </c>
      <c r="E57" s="102">
        <v>31.4</v>
      </c>
      <c r="F57" s="102">
        <v>51.4</v>
      </c>
      <c r="G57" s="102">
        <v>145</v>
      </c>
      <c r="H57" s="102">
        <v>12</v>
      </c>
      <c r="I57" s="102">
        <v>25.7</v>
      </c>
      <c r="J57" s="102">
        <v>126</v>
      </c>
      <c r="K57" s="102">
        <v>170.6</v>
      </c>
      <c r="L57" s="102">
        <v>68.8</v>
      </c>
      <c r="M57" s="102">
        <v>11.1</v>
      </c>
      <c r="N57" s="102">
        <f t="shared" si="1"/>
        <v>86.6</v>
      </c>
      <c r="O57" s="102">
        <f t="shared" si="2"/>
        <v>360.1</v>
      </c>
      <c r="P57" s="102">
        <f t="shared" si="3"/>
        <v>250.49999999999997</v>
      </c>
      <c r="Q57" s="102">
        <f t="shared" si="4"/>
        <v>697.19999999999993</v>
      </c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</row>
    <row r="58" spans="1:33">
      <c r="A58" s="102" t="s">
        <v>195</v>
      </c>
      <c r="B58" s="102">
        <v>17.399999999999999</v>
      </c>
      <c r="C58" s="102">
        <v>16.899999999999999</v>
      </c>
      <c r="D58" s="102">
        <v>59</v>
      </c>
      <c r="E58" s="102">
        <v>102.6</v>
      </c>
      <c r="F58" s="102">
        <v>233</v>
      </c>
      <c r="G58" s="102">
        <v>147.5</v>
      </c>
      <c r="H58" s="102">
        <v>282.8</v>
      </c>
      <c r="I58" s="102">
        <v>85.7</v>
      </c>
      <c r="J58" s="102">
        <v>78.7</v>
      </c>
      <c r="K58" s="102">
        <v>59.7</v>
      </c>
      <c r="L58" s="102">
        <v>48.8</v>
      </c>
      <c r="M58" s="102">
        <v>26.1</v>
      </c>
      <c r="N58" s="102">
        <f t="shared" si="1"/>
        <v>195.89999999999998</v>
      </c>
      <c r="O58" s="102">
        <f t="shared" si="2"/>
        <v>827.7</v>
      </c>
      <c r="P58" s="102">
        <f t="shared" si="3"/>
        <v>134.6</v>
      </c>
      <c r="Q58" s="102">
        <f t="shared" si="4"/>
        <v>1158.2</v>
      </c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</row>
    <row r="59" spans="1:33">
      <c r="A59" s="102">
        <v>2013</v>
      </c>
      <c r="B59" s="102">
        <v>13.4</v>
      </c>
      <c r="C59" s="102">
        <v>20.9</v>
      </c>
      <c r="D59" s="102">
        <v>95.7</v>
      </c>
      <c r="E59" s="102">
        <v>109.5</v>
      </c>
      <c r="F59" s="102">
        <v>156.30000000000001</v>
      </c>
      <c r="G59" s="102">
        <v>96.6</v>
      </c>
      <c r="H59" s="102">
        <v>5.8</v>
      </c>
      <c r="I59" s="102">
        <v>81.5</v>
      </c>
      <c r="J59" s="102">
        <v>251.9</v>
      </c>
      <c r="K59" s="102">
        <v>62.6</v>
      </c>
      <c r="L59" s="102">
        <v>36.1</v>
      </c>
      <c r="M59" s="102">
        <v>21.4</v>
      </c>
      <c r="N59" s="102">
        <f t="shared" si="1"/>
        <v>239.5</v>
      </c>
      <c r="O59" s="102">
        <f t="shared" si="2"/>
        <v>592.1</v>
      </c>
      <c r="P59" s="102">
        <f t="shared" si="3"/>
        <v>120.1</v>
      </c>
      <c r="Q59" s="102">
        <f t="shared" si="4"/>
        <v>951.7</v>
      </c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</row>
    <row r="60" spans="1:33">
      <c r="A60" s="102">
        <v>2014</v>
      </c>
      <c r="B60" s="128">
        <v>6.8</v>
      </c>
      <c r="C60" s="128">
        <v>26.3</v>
      </c>
      <c r="D60" s="128">
        <v>62.4</v>
      </c>
      <c r="E60" s="128">
        <v>113.2</v>
      </c>
      <c r="F60" s="128">
        <v>361.4</v>
      </c>
      <c r="G60" s="128">
        <v>530.29999999999995</v>
      </c>
      <c r="H60" s="128">
        <v>390.2</v>
      </c>
      <c r="I60" s="128">
        <v>191.7</v>
      </c>
      <c r="J60" s="128">
        <v>45.6</v>
      </c>
      <c r="K60" s="128">
        <v>74.8</v>
      </c>
      <c r="L60" s="128">
        <v>34.200000000000003</v>
      </c>
      <c r="M60" s="128">
        <v>7.4</v>
      </c>
      <c r="N60" s="102">
        <f t="shared" si="1"/>
        <v>208.7</v>
      </c>
      <c r="O60" s="102">
        <f t="shared" si="2"/>
        <v>1519.1999999999998</v>
      </c>
      <c r="P60" s="102">
        <f t="shared" si="3"/>
        <v>116.4</v>
      </c>
      <c r="Q60" s="102">
        <f t="shared" si="4"/>
        <v>1844.3</v>
      </c>
    </row>
    <row r="61" spans="1:33">
      <c r="A61" s="102">
        <v>2015</v>
      </c>
      <c r="B61" s="128">
        <v>19.600000000000001</v>
      </c>
      <c r="C61" s="128">
        <v>22.3</v>
      </c>
      <c r="D61" s="128">
        <v>35.799999999999997</v>
      </c>
      <c r="E61" s="128">
        <v>59</v>
      </c>
      <c r="F61" s="128">
        <v>185.1</v>
      </c>
      <c r="G61" s="128">
        <v>438.3</v>
      </c>
      <c r="H61" s="128">
        <v>105.5</v>
      </c>
      <c r="I61" s="128">
        <v>105.3</v>
      </c>
      <c r="J61" s="128">
        <v>102.5</v>
      </c>
      <c r="K61" s="134">
        <v>50.2</v>
      </c>
      <c r="L61" s="134">
        <v>28.2</v>
      </c>
      <c r="M61" s="134">
        <v>65.099999999999994</v>
      </c>
      <c r="N61" s="102">
        <f t="shared" si="1"/>
        <v>136.69999999999999</v>
      </c>
      <c r="O61" s="102">
        <f t="shared" si="2"/>
        <v>936.69999999999993</v>
      </c>
      <c r="P61" s="102">
        <f t="shared" si="3"/>
        <v>143.5</v>
      </c>
      <c r="Q61" s="102">
        <f t="shared" si="4"/>
        <v>1216.8999999999999</v>
      </c>
    </row>
    <row r="62" spans="1:33" ht="13.5">
      <c r="A62" s="102">
        <v>2016</v>
      </c>
      <c r="B62" s="128">
        <v>33.200000000000003</v>
      </c>
      <c r="C62" s="128">
        <v>17.899999999999999</v>
      </c>
      <c r="D62" s="128">
        <v>99</v>
      </c>
      <c r="E62" s="128">
        <v>133.5</v>
      </c>
      <c r="F62" s="128">
        <v>129.5</v>
      </c>
      <c r="G62" s="128">
        <v>222.9</v>
      </c>
      <c r="H62" s="128">
        <v>56</v>
      </c>
      <c r="I62" s="128">
        <v>147.1</v>
      </c>
      <c r="J62" s="128">
        <v>11.8</v>
      </c>
      <c r="K62" s="128">
        <v>113.6</v>
      </c>
      <c r="L62" s="128">
        <v>55.7</v>
      </c>
      <c r="M62" s="128">
        <v>38.5</v>
      </c>
      <c r="N62" s="102">
        <f>SUM(B62:E62)</f>
        <v>283.60000000000002</v>
      </c>
      <c r="O62" s="102">
        <f>SUM(F62:J62)</f>
        <v>567.29999999999995</v>
      </c>
      <c r="P62" s="102">
        <f>SUM(K62:M62)</f>
        <v>207.8</v>
      </c>
      <c r="Q62" s="102">
        <f>SUM(B62:M62)</f>
        <v>1058.7</v>
      </c>
      <c r="R62" s="129">
        <f t="shared" ref="R62:AG62" si="5">100*(B62-B4)/B4</f>
        <v>28.945216680294372</v>
      </c>
      <c r="S62" s="129">
        <f t="shared" si="5"/>
        <v>-36.370439663236702</v>
      </c>
      <c r="T62" s="129">
        <f t="shared" si="5"/>
        <v>103.00021584286641</v>
      </c>
      <c r="U62" s="129">
        <f t="shared" si="5"/>
        <v>16.234133227427542</v>
      </c>
      <c r="V62" s="129">
        <f t="shared" si="5"/>
        <v>-26.337481413474091</v>
      </c>
      <c r="W62" s="129">
        <f t="shared" si="5"/>
        <v>15.339155379643419</v>
      </c>
      <c r="X62" s="129">
        <f t="shared" si="5"/>
        <v>-59.243085880640471</v>
      </c>
      <c r="Y62" s="129">
        <f t="shared" si="5"/>
        <v>25.611601324324749</v>
      </c>
      <c r="Z62" s="129">
        <f t="shared" si="5"/>
        <v>-86.455354625639373</v>
      </c>
      <c r="AA62" s="129">
        <f t="shared" si="5"/>
        <v>18.861170769315528</v>
      </c>
      <c r="AB62" s="129">
        <f t="shared" si="5"/>
        <v>9.4038594073053012</v>
      </c>
      <c r="AC62" s="129">
        <f t="shared" si="5"/>
        <v>55.671419450947027</v>
      </c>
      <c r="AD62" s="129">
        <f t="shared" si="5"/>
        <v>30.389752855391357</v>
      </c>
      <c r="AE62" s="129">
        <f t="shared" si="5"/>
        <v>-20.175516551877372</v>
      </c>
      <c r="AF62" s="129">
        <f t="shared" si="5"/>
        <v>21.366067586122089</v>
      </c>
      <c r="AG62" s="129">
        <f t="shared" si="5"/>
        <v>-3.702326620495962</v>
      </c>
    </row>
  </sheetData>
  <mergeCells count="6">
    <mergeCell ref="A1:A3"/>
    <mergeCell ref="B1:Q1"/>
    <mergeCell ref="B2:M2"/>
    <mergeCell ref="R1:AG1"/>
    <mergeCell ref="N2:Q2"/>
    <mergeCell ref="R2:AG2"/>
  </mergeCells>
  <phoneticPr fontId="2" type="noConversion"/>
  <pageMargins left="0.75" right="0.75" top="1" bottom="1" header="0.5" footer="0.5"/>
  <pageSetup paperSize="9" orientation="portrait" horizontalDpi="200" verticalDpi="200" copies="0" r:id="rId1"/>
  <headerFooter alignWithMargins="0"/>
</worksheet>
</file>

<file path=xl/worksheets/sheet58.xml><?xml version="1.0" encoding="utf-8"?>
<worksheet xmlns="http://schemas.openxmlformats.org/spreadsheetml/2006/main" xmlns:r="http://schemas.openxmlformats.org/officeDocument/2006/relationships">
  <sheetPr codeName="Sheet58"/>
  <dimension ref="A1:AG41"/>
  <sheetViews>
    <sheetView zoomScale="85" zoomScaleNormal="85" workbookViewId="0">
      <pane ySplit="5" topLeftCell="A6" activePane="bottomLeft" state="frozen"/>
      <selection pane="bottomLeft" activeCell="R41" sqref="R41"/>
    </sheetView>
  </sheetViews>
  <sheetFormatPr defaultRowHeight="12"/>
  <cols>
    <col min="1" max="33" width="7.125" style="102" customWidth="1"/>
    <col min="34" max="16384" width="9" style="102"/>
  </cols>
  <sheetData>
    <row r="1" spans="1:33" s="118" customFormat="1" ht="14.25" customHeight="1">
      <c r="A1" s="176" t="s">
        <v>53</v>
      </c>
      <c r="B1" s="176" t="s">
        <v>171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2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116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32</v>
      </c>
      <c r="O2" s="176"/>
      <c r="P2" s="176"/>
      <c r="Q2" s="176"/>
      <c r="R2" s="176" t="s">
        <v>38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 ht="24">
      <c r="A3" s="176"/>
      <c r="B3" s="124" t="s">
        <v>149</v>
      </c>
      <c r="C3" s="124" t="s">
        <v>150</v>
      </c>
      <c r="D3" s="124" t="s">
        <v>9</v>
      </c>
      <c r="E3" s="124" t="s">
        <v>10</v>
      </c>
      <c r="F3" s="124" t="s">
        <v>11</v>
      </c>
      <c r="G3" s="124" t="s">
        <v>12</v>
      </c>
      <c r="H3" s="124" t="s">
        <v>13</v>
      </c>
      <c r="I3" s="124" t="s">
        <v>14</v>
      </c>
      <c r="J3" s="124" t="s">
        <v>15</v>
      </c>
      <c r="K3" s="124" t="s">
        <v>16</v>
      </c>
      <c r="L3" s="124" t="s">
        <v>17</v>
      </c>
      <c r="M3" s="124" t="s">
        <v>18</v>
      </c>
      <c r="N3" s="124" t="s">
        <v>145</v>
      </c>
      <c r="O3" s="124" t="s">
        <v>146</v>
      </c>
      <c r="P3" s="124" t="s">
        <v>147</v>
      </c>
      <c r="Q3" s="124" t="s">
        <v>148</v>
      </c>
      <c r="R3" s="124" t="s">
        <v>149</v>
      </c>
      <c r="S3" s="124" t="s">
        <v>150</v>
      </c>
      <c r="T3" s="124" t="s">
        <v>151</v>
      </c>
      <c r="U3" s="124" t="s">
        <v>152</v>
      </c>
      <c r="V3" s="124" t="s">
        <v>153</v>
      </c>
      <c r="W3" s="124" t="s">
        <v>154</v>
      </c>
      <c r="X3" s="124" t="s">
        <v>25</v>
      </c>
      <c r="Y3" s="124" t="s">
        <v>26</v>
      </c>
      <c r="Z3" s="124" t="s">
        <v>27</v>
      </c>
      <c r="AA3" s="124" t="s">
        <v>155</v>
      </c>
      <c r="AB3" s="124" t="s">
        <v>156</v>
      </c>
      <c r="AC3" s="124" t="s">
        <v>157</v>
      </c>
      <c r="AD3" s="124" t="s">
        <v>90</v>
      </c>
      <c r="AE3" s="124" t="s">
        <v>42</v>
      </c>
      <c r="AF3" s="124" t="s">
        <v>111</v>
      </c>
      <c r="AG3" s="124" t="s">
        <v>66</v>
      </c>
    </row>
    <row r="4" spans="1:33" s="118" customFormat="1">
      <c r="A4" s="150" t="s">
        <v>261</v>
      </c>
      <c r="B4" s="150">
        <f t="shared" ref="B4:Q4" si="0">AVERAGE(B5:B40)</f>
        <v>22.627777777777776</v>
      </c>
      <c r="C4" s="150">
        <f t="shared" si="0"/>
        <v>25.661111111111111</v>
      </c>
      <c r="D4" s="150">
        <f t="shared" si="0"/>
        <v>44.111111111111121</v>
      </c>
      <c r="E4" s="150">
        <f t="shared" si="0"/>
        <v>109.89444444444445</v>
      </c>
      <c r="F4" s="150">
        <f t="shared" si="0"/>
        <v>172.71666666666664</v>
      </c>
      <c r="G4" s="150">
        <f t="shared" si="0"/>
        <v>189.86111111111111</v>
      </c>
      <c r="H4" s="150">
        <f t="shared" si="0"/>
        <v>166.01944444444445</v>
      </c>
      <c r="I4" s="150">
        <f t="shared" si="0"/>
        <v>122.19166666666673</v>
      </c>
      <c r="J4" s="150">
        <f t="shared" si="0"/>
        <v>84.211111111111094</v>
      </c>
      <c r="K4" s="150">
        <f t="shared" si="0"/>
        <v>96.54444444444448</v>
      </c>
      <c r="L4" s="150">
        <f t="shared" si="0"/>
        <v>48.355555555555547</v>
      </c>
      <c r="M4" s="150">
        <f t="shared" si="0"/>
        <v>21.044444444444448</v>
      </c>
      <c r="N4" s="150">
        <f t="shared" si="0"/>
        <v>202.29444444444448</v>
      </c>
      <c r="O4" s="150">
        <f t="shared" si="0"/>
        <v>735</v>
      </c>
      <c r="P4" s="150">
        <f t="shared" si="0"/>
        <v>165.94444444444446</v>
      </c>
      <c r="Q4" s="150">
        <f t="shared" si="0"/>
        <v>1103.2388888888891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1980</v>
      </c>
      <c r="B5" s="102">
        <v>37.1</v>
      </c>
      <c r="C5" s="102">
        <v>17.600000000000001</v>
      </c>
      <c r="D5" s="102">
        <v>39.799999999999997</v>
      </c>
      <c r="E5" s="102">
        <v>84.3</v>
      </c>
      <c r="F5" s="102">
        <v>113.8</v>
      </c>
      <c r="G5" s="102">
        <v>332.8</v>
      </c>
      <c r="H5" s="102">
        <v>267.60000000000002</v>
      </c>
      <c r="I5" s="102">
        <v>239.8</v>
      </c>
      <c r="J5" s="102">
        <v>35.4</v>
      </c>
      <c r="K5" s="102">
        <v>170.4</v>
      </c>
      <c r="L5" s="102">
        <v>42.3</v>
      </c>
      <c r="M5" s="102">
        <v>21</v>
      </c>
      <c r="N5" s="102">
        <f>SUM(B5:E5)</f>
        <v>178.8</v>
      </c>
      <c r="O5" s="102">
        <f>SUM(F5:J5)</f>
        <v>989.4</v>
      </c>
      <c r="P5" s="102">
        <f>SUM(K5:M5)</f>
        <v>233.7</v>
      </c>
      <c r="Q5" s="102">
        <f>SUM(B5:M5)</f>
        <v>1401.9000000000003</v>
      </c>
    </row>
    <row r="6" spans="1:33">
      <c r="A6" s="102">
        <v>1981</v>
      </c>
      <c r="B6" s="102">
        <v>27.3</v>
      </c>
      <c r="C6" s="102">
        <v>11</v>
      </c>
      <c r="D6" s="102">
        <v>44.8</v>
      </c>
      <c r="E6" s="102">
        <v>113.4</v>
      </c>
      <c r="F6" s="102">
        <v>195</v>
      </c>
      <c r="G6" s="102">
        <v>151.4</v>
      </c>
      <c r="H6" s="102">
        <v>28.1</v>
      </c>
      <c r="I6" s="102">
        <v>27.6</v>
      </c>
      <c r="J6" s="102">
        <v>62.1</v>
      </c>
      <c r="K6" s="102">
        <v>62.6</v>
      </c>
      <c r="L6" s="102">
        <v>34.9</v>
      </c>
      <c r="M6" s="102">
        <v>0</v>
      </c>
      <c r="N6" s="102">
        <f t="shared" ref="N6:N40" si="1">SUM(B6:E6)</f>
        <v>196.5</v>
      </c>
      <c r="O6" s="102">
        <f t="shared" ref="O6:O40" si="2">SUM(F6:J6)</f>
        <v>464.20000000000005</v>
      </c>
      <c r="P6" s="102">
        <f t="shared" ref="P6:P40" si="3">SUM(K6:M6)</f>
        <v>97.5</v>
      </c>
      <c r="Q6" s="102">
        <f t="shared" ref="Q6:Q40" si="4">SUM(B6:M6)</f>
        <v>758.2</v>
      </c>
    </row>
    <row r="7" spans="1:33">
      <c r="A7" s="102">
        <v>1982</v>
      </c>
      <c r="B7" s="102">
        <v>14.5</v>
      </c>
      <c r="C7" s="102">
        <v>49.2</v>
      </c>
      <c r="D7" s="102">
        <v>13.1</v>
      </c>
      <c r="E7" s="102">
        <v>120.2</v>
      </c>
      <c r="F7" s="102">
        <v>228.8</v>
      </c>
      <c r="G7" s="102">
        <v>196</v>
      </c>
      <c r="H7" s="102">
        <v>96.5</v>
      </c>
      <c r="I7" s="102">
        <v>208.5</v>
      </c>
      <c r="J7" s="102">
        <v>269.39999999999998</v>
      </c>
      <c r="K7" s="102">
        <v>95.3</v>
      </c>
      <c r="L7" s="102">
        <v>109.8</v>
      </c>
      <c r="M7" s="102">
        <v>23.2</v>
      </c>
      <c r="N7" s="102">
        <f t="shared" si="1"/>
        <v>197</v>
      </c>
      <c r="O7" s="102">
        <f t="shared" si="2"/>
        <v>999.19999999999993</v>
      </c>
      <c r="P7" s="102">
        <f t="shared" si="3"/>
        <v>228.29999999999998</v>
      </c>
      <c r="Q7" s="102">
        <f t="shared" si="4"/>
        <v>1424.4999999999998</v>
      </c>
    </row>
    <row r="8" spans="1:33">
      <c r="A8" s="102">
        <v>1983</v>
      </c>
      <c r="B8" s="102">
        <v>53.3</v>
      </c>
      <c r="C8" s="102">
        <v>17.600000000000001</v>
      </c>
      <c r="D8" s="102">
        <v>49.9</v>
      </c>
      <c r="E8" s="102">
        <v>148.9</v>
      </c>
      <c r="F8" s="102">
        <v>233.9</v>
      </c>
      <c r="G8" s="102">
        <v>214.7</v>
      </c>
      <c r="H8" s="102">
        <v>128.6</v>
      </c>
      <c r="I8" s="102">
        <v>121.5</v>
      </c>
      <c r="J8" s="102">
        <v>153.1</v>
      </c>
      <c r="K8" s="102">
        <v>99.3</v>
      </c>
      <c r="L8" s="102">
        <v>58.6</v>
      </c>
      <c r="M8" s="102">
        <v>15</v>
      </c>
      <c r="N8" s="102">
        <f t="shared" si="1"/>
        <v>269.70000000000005</v>
      </c>
      <c r="O8" s="102">
        <f t="shared" si="2"/>
        <v>851.80000000000007</v>
      </c>
      <c r="P8" s="102">
        <f t="shared" si="3"/>
        <v>172.9</v>
      </c>
      <c r="Q8" s="102">
        <f t="shared" si="4"/>
        <v>1294.3999999999999</v>
      </c>
    </row>
    <row r="9" spans="1:33">
      <c r="A9" s="102">
        <v>1984</v>
      </c>
      <c r="B9" s="102">
        <v>9.4</v>
      </c>
      <c r="C9" s="102">
        <v>5.8</v>
      </c>
      <c r="D9" s="102">
        <v>26.6</v>
      </c>
      <c r="E9" s="102">
        <v>97.3</v>
      </c>
      <c r="F9" s="102">
        <v>279.10000000000002</v>
      </c>
      <c r="G9" s="102">
        <v>70.900000000000006</v>
      </c>
      <c r="H9" s="102">
        <v>211.5</v>
      </c>
      <c r="I9" s="102">
        <v>305.3</v>
      </c>
      <c r="J9" s="102">
        <v>39.299999999999997</v>
      </c>
      <c r="K9" s="102">
        <v>89.4</v>
      </c>
      <c r="L9" s="102">
        <v>15.7</v>
      </c>
      <c r="M9" s="102">
        <v>46.5</v>
      </c>
      <c r="N9" s="102">
        <f t="shared" si="1"/>
        <v>139.1</v>
      </c>
      <c r="O9" s="102">
        <f t="shared" si="2"/>
        <v>906.09999999999991</v>
      </c>
      <c r="P9" s="102">
        <f t="shared" si="3"/>
        <v>151.60000000000002</v>
      </c>
      <c r="Q9" s="102">
        <f t="shared" si="4"/>
        <v>1196.8000000000002</v>
      </c>
    </row>
    <row r="10" spans="1:33">
      <c r="A10" s="102">
        <v>1985</v>
      </c>
      <c r="B10" s="102">
        <v>8.1</v>
      </c>
      <c r="C10" s="102">
        <v>52.9</v>
      </c>
      <c r="D10" s="102">
        <v>40.1</v>
      </c>
      <c r="E10" s="102">
        <v>76.2</v>
      </c>
      <c r="F10" s="102">
        <v>205.3</v>
      </c>
      <c r="G10" s="102">
        <v>103.3</v>
      </c>
      <c r="H10" s="102">
        <v>231.8</v>
      </c>
      <c r="I10" s="102">
        <v>100.7</v>
      </c>
      <c r="J10" s="102">
        <v>22.9</v>
      </c>
      <c r="K10" s="102">
        <v>57</v>
      </c>
      <c r="L10" s="102">
        <v>50</v>
      </c>
      <c r="M10" s="102">
        <v>34.799999999999997</v>
      </c>
      <c r="N10" s="102">
        <f t="shared" si="1"/>
        <v>177.3</v>
      </c>
      <c r="O10" s="102">
        <f t="shared" si="2"/>
        <v>664.00000000000011</v>
      </c>
      <c r="P10" s="102">
        <f t="shared" si="3"/>
        <v>141.80000000000001</v>
      </c>
      <c r="Q10" s="102">
        <f t="shared" si="4"/>
        <v>983.1</v>
      </c>
    </row>
    <row r="11" spans="1:33">
      <c r="A11" s="102">
        <v>1986</v>
      </c>
      <c r="B11" s="102">
        <v>14.8</v>
      </c>
      <c r="C11" s="102">
        <v>12.2</v>
      </c>
      <c r="D11" s="102">
        <v>47.7</v>
      </c>
      <c r="E11" s="102">
        <v>140</v>
      </c>
      <c r="F11" s="102">
        <v>75</v>
      </c>
      <c r="G11" s="102">
        <v>240.1</v>
      </c>
      <c r="H11" s="102">
        <v>325.3</v>
      </c>
      <c r="I11" s="102">
        <v>44</v>
      </c>
      <c r="J11" s="102">
        <v>49.6</v>
      </c>
      <c r="K11" s="102">
        <v>44.7</v>
      </c>
      <c r="L11" s="102">
        <v>49.4</v>
      </c>
      <c r="M11" s="102">
        <v>7.7</v>
      </c>
      <c r="N11" s="102">
        <f t="shared" si="1"/>
        <v>214.7</v>
      </c>
      <c r="O11" s="102">
        <f t="shared" si="2"/>
        <v>734.00000000000011</v>
      </c>
      <c r="P11" s="102">
        <f t="shared" si="3"/>
        <v>101.8</v>
      </c>
      <c r="Q11" s="102">
        <f t="shared" si="4"/>
        <v>1050.5</v>
      </c>
    </row>
    <row r="12" spans="1:33">
      <c r="A12" s="102">
        <v>1987</v>
      </c>
      <c r="B12" s="102">
        <v>25.8</v>
      </c>
      <c r="C12" s="102">
        <v>5.6</v>
      </c>
      <c r="D12" s="102">
        <v>12.7</v>
      </c>
      <c r="E12" s="102">
        <v>79.2</v>
      </c>
      <c r="F12" s="102">
        <v>211</v>
      </c>
      <c r="G12" s="102">
        <v>106.7</v>
      </c>
      <c r="H12" s="102">
        <v>86.5</v>
      </c>
      <c r="I12" s="102">
        <v>141.69999999999999</v>
      </c>
      <c r="J12" s="102">
        <v>78.3</v>
      </c>
      <c r="K12" s="102">
        <v>209.6</v>
      </c>
      <c r="L12" s="102">
        <v>60.4</v>
      </c>
      <c r="M12" s="102">
        <v>12.4</v>
      </c>
      <c r="N12" s="102">
        <f t="shared" si="1"/>
        <v>123.3</v>
      </c>
      <c r="O12" s="102">
        <f t="shared" si="2"/>
        <v>624.19999999999993</v>
      </c>
      <c r="P12" s="102">
        <f t="shared" si="3"/>
        <v>282.39999999999998</v>
      </c>
      <c r="Q12" s="102">
        <f t="shared" si="4"/>
        <v>1029.9000000000001</v>
      </c>
    </row>
    <row r="13" spans="1:33">
      <c r="A13" s="102">
        <v>1988</v>
      </c>
      <c r="B13" s="102">
        <v>18.899999999999999</v>
      </c>
      <c r="C13" s="102">
        <v>10.3</v>
      </c>
      <c r="D13" s="102">
        <v>16.100000000000001</v>
      </c>
      <c r="E13" s="102">
        <v>68.900000000000006</v>
      </c>
      <c r="F13" s="102">
        <v>187.5</v>
      </c>
      <c r="G13" s="102">
        <v>215.8</v>
      </c>
      <c r="H13" s="102">
        <v>55.3</v>
      </c>
      <c r="I13" s="102">
        <v>136.19999999999999</v>
      </c>
      <c r="J13" s="102">
        <v>99.2</v>
      </c>
      <c r="K13" s="102">
        <v>69.400000000000006</v>
      </c>
      <c r="L13" s="102">
        <v>1</v>
      </c>
      <c r="M13" s="102">
        <v>8.4</v>
      </c>
      <c r="N13" s="102">
        <f t="shared" si="1"/>
        <v>114.2</v>
      </c>
      <c r="O13" s="102">
        <f t="shared" si="2"/>
        <v>694</v>
      </c>
      <c r="P13" s="102">
        <f t="shared" si="3"/>
        <v>78.800000000000011</v>
      </c>
      <c r="Q13" s="102">
        <f t="shared" si="4"/>
        <v>887</v>
      </c>
    </row>
    <row r="14" spans="1:33">
      <c r="A14" s="102">
        <v>1989</v>
      </c>
      <c r="B14" s="102">
        <v>6.5</v>
      </c>
      <c r="C14" s="102">
        <v>38.700000000000003</v>
      </c>
      <c r="D14" s="102">
        <v>47.7</v>
      </c>
      <c r="E14" s="102">
        <v>155.69999999999999</v>
      </c>
      <c r="F14" s="102">
        <v>51.3</v>
      </c>
      <c r="G14" s="102">
        <v>130.1</v>
      </c>
      <c r="H14" s="102">
        <v>42.3</v>
      </c>
      <c r="I14" s="102">
        <v>130.19999999999999</v>
      </c>
      <c r="J14" s="102">
        <v>96.7</v>
      </c>
      <c r="K14" s="102">
        <v>86.6</v>
      </c>
      <c r="L14" s="102">
        <v>48.9</v>
      </c>
      <c r="M14" s="102">
        <v>37.1</v>
      </c>
      <c r="N14" s="102">
        <f t="shared" si="1"/>
        <v>248.6</v>
      </c>
      <c r="O14" s="102">
        <f t="shared" si="2"/>
        <v>450.59999999999997</v>
      </c>
      <c r="P14" s="102">
        <f t="shared" si="3"/>
        <v>172.6</v>
      </c>
      <c r="Q14" s="102">
        <f t="shared" si="4"/>
        <v>871.80000000000007</v>
      </c>
    </row>
    <row r="15" spans="1:33">
      <c r="A15" s="102">
        <v>1990</v>
      </c>
      <c r="B15" s="102">
        <v>19</v>
      </c>
      <c r="C15" s="102">
        <v>33.700000000000003</v>
      </c>
      <c r="D15" s="102">
        <v>66.3</v>
      </c>
      <c r="E15" s="102">
        <v>80.099999999999994</v>
      </c>
      <c r="F15" s="102">
        <v>127.3</v>
      </c>
      <c r="G15" s="102">
        <v>169.5</v>
      </c>
      <c r="H15" s="102">
        <v>100.8</v>
      </c>
      <c r="I15" s="102">
        <v>30.7</v>
      </c>
      <c r="J15" s="102">
        <v>93.9</v>
      </c>
      <c r="K15" s="102">
        <v>82.7</v>
      </c>
      <c r="L15" s="102">
        <v>95.1</v>
      </c>
      <c r="M15" s="102">
        <v>14.2</v>
      </c>
      <c r="N15" s="102">
        <f t="shared" si="1"/>
        <v>199.1</v>
      </c>
      <c r="O15" s="102">
        <f t="shared" si="2"/>
        <v>522.20000000000005</v>
      </c>
      <c r="P15" s="102">
        <f t="shared" si="3"/>
        <v>192</v>
      </c>
      <c r="Q15" s="102">
        <f t="shared" si="4"/>
        <v>913.30000000000007</v>
      </c>
    </row>
    <row r="16" spans="1:33">
      <c r="A16" s="102">
        <v>1991</v>
      </c>
      <c r="B16" s="102">
        <v>56.5</v>
      </c>
      <c r="C16" s="102">
        <v>28.7</v>
      </c>
      <c r="D16" s="102">
        <v>47.6</v>
      </c>
      <c r="E16" s="102">
        <v>101.1</v>
      </c>
      <c r="F16" s="102">
        <v>89.4</v>
      </c>
      <c r="G16" s="102">
        <v>205.8</v>
      </c>
      <c r="H16" s="102">
        <v>333.2</v>
      </c>
      <c r="I16" s="102">
        <v>75.7</v>
      </c>
      <c r="J16" s="102">
        <v>74.2</v>
      </c>
      <c r="K16" s="102">
        <v>62.2</v>
      </c>
      <c r="L16" s="102">
        <v>31.7</v>
      </c>
      <c r="M16" s="102">
        <v>14</v>
      </c>
      <c r="N16" s="102">
        <f t="shared" si="1"/>
        <v>233.9</v>
      </c>
      <c r="O16" s="102">
        <f t="shared" si="2"/>
        <v>778.30000000000018</v>
      </c>
      <c r="P16" s="102">
        <f t="shared" si="3"/>
        <v>107.9</v>
      </c>
      <c r="Q16" s="102">
        <f t="shared" si="4"/>
        <v>1120.1000000000001</v>
      </c>
    </row>
    <row r="17" spans="1:17">
      <c r="A17" s="102">
        <v>1992</v>
      </c>
      <c r="B17" s="102">
        <v>14.7</v>
      </c>
      <c r="C17" s="102">
        <v>31.1</v>
      </c>
      <c r="D17" s="102">
        <v>49.2</v>
      </c>
      <c r="E17" s="102">
        <v>130.5</v>
      </c>
      <c r="F17" s="102">
        <v>176</v>
      </c>
      <c r="G17" s="102">
        <v>240.1</v>
      </c>
      <c r="H17" s="102">
        <v>163.30000000000001</v>
      </c>
      <c r="I17" s="102">
        <v>29.7</v>
      </c>
      <c r="J17" s="102">
        <v>48.9</v>
      </c>
      <c r="K17" s="102">
        <v>53</v>
      </c>
      <c r="L17" s="102">
        <v>28.4</v>
      </c>
      <c r="M17" s="102">
        <v>24.4</v>
      </c>
      <c r="N17" s="102">
        <f t="shared" si="1"/>
        <v>225.5</v>
      </c>
      <c r="O17" s="102">
        <f t="shared" si="2"/>
        <v>658.00000000000011</v>
      </c>
      <c r="P17" s="102">
        <f t="shared" si="3"/>
        <v>105.80000000000001</v>
      </c>
      <c r="Q17" s="102">
        <f t="shared" si="4"/>
        <v>989.30000000000007</v>
      </c>
    </row>
    <row r="18" spans="1:17">
      <c r="A18" s="102">
        <v>1993</v>
      </c>
      <c r="B18" s="102">
        <v>33.700000000000003</v>
      </c>
      <c r="C18" s="102">
        <v>56.2</v>
      </c>
      <c r="D18" s="102">
        <v>68.3</v>
      </c>
      <c r="E18" s="102">
        <v>66.8</v>
      </c>
      <c r="F18" s="102">
        <v>106.6</v>
      </c>
      <c r="G18" s="102">
        <v>155.4</v>
      </c>
      <c r="H18" s="102">
        <v>255.7</v>
      </c>
      <c r="I18" s="102">
        <v>270.39999999999998</v>
      </c>
      <c r="J18" s="102">
        <v>36.9</v>
      </c>
      <c r="K18" s="102">
        <v>75.2</v>
      </c>
      <c r="L18" s="102">
        <v>53.7</v>
      </c>
      <c r="M18" s="102">
        <v>11.8</v>
      </c>
      <c r="N18" s="102">
        <f t="shared" si="1"/>
        <v>225</v>
      </c>
      <c r="O18" s="102">
        <f t="shared" si="2"/>
        <v>825</v>
      </c>
      <c r="P18" s="102">
        <f t="shared" si="3"/>
        <v>140.70000000000002</v>
      </c>
      <c r="Q18" s="102">
        <f t="shared" si="4"/>
        <v>1190.7</v>
      </c>
    </row>
    <row r="19" spans="1:17">
      <c r="A19" s="102">
        <v>1994</v>
      </c>
      <c r="B19" s="102">
        <v>7.7</v>
      </c>
      <c r="C19" s="102">
        <v>9.6999999999999993</v>
      </c>
      <c r="D19" s="102">
        <v>56.7</v>
      </c>
      <c r="E19" s="102">
        <v>79.3</v>
      </c>
      <c r="F19" s="102">
        <v>237.5</v>
      </c>
      <c r="G19" s="102">
        <v>117.1</v>
      </c>
      <c r="H19" s="102">
        <v>84</v>
      </c>
      <c r="I19" s="102">
        <v>28</v>
      </c>
      <c r="J19" s="102">
        <v>97.5</v>
      </c>
      <c r="K19" s="102">
        <v>138.69999999999999</v>
      </c>
      <c r="L19" s="102">
        <v>98.2</v>
      </c>
      <c r="M19" s="102">
        <v>23.8</v>
      </c>
      <c r="N19" s="102">
        <f t="shared" si="1"/>
        <v>153.39999999999998</v>
      </c>
      <c r="O19" s="102">
        <f t="shared" si="2"/>
        <v>564.1</v>
      </c>
      <c r="P19" s="102">
        <f t="shared" si="3"/>
        <v>260.7</v>
      </c>
      <c r="Q19" s="102">
        <f t="shared" si="4"/>
        <v>978.2</v>
      </c>
    </row>
    <row r="20" spans="1:17">
      <c r="A20" s="102">
        <v>1995</v>
      </c>
      <c r="B20" s="102">
        <v>27.9</v>
      </c>
      <c r="C20" s="102">
        <v>57.5</v>
      </c>
      <c r="D20" s="102">
        <v>28.8</v>
      </c>
      <c r="E20" s="102">
        <v>125.3</v>
      </c>
      <c r="F20" s="102">
        <v>194.2</v>
      </c>
      <c r="G20" s="102">
        <v>278.60000000000002</v>
      </c>
      <c r="H20" s="102">
        <v>140.6</v>
      </c>
      <c r="I20" s="102">
        <v>106.3</v>
      </c>
      <c r="J20" s="102">
        <v>109.7</v>
      </c>
      <c r="K20" s="102">
        <v>153.19999999999999</v>
      </c>
      <c r="L20" s="102">
        <v>40.4</v>
      </c>
      <c r="M20" s="102">
        <v>5</v>
      </c>
      <c r="N20" s="102">
        <f t="shared" si="1"/>
        <v>239.5</v>
      </c>
      <c r="O20" s="102">
        <f t="shared" si="2"/>
        <v>829.4</v>
      </c>
      <c r="P20" s="102">
        <f t="shared" si="3"/>
        <v>198.6</v>
      </c>
      <c r="Q20" s="102">
        <f t="shared" si="4"/>
        <v>1267.5</v>
      </c>
    </row>
    <row r="21" spans="1:17">
      <c r="A21" s="102">
        <v>1996</v>
      </c>
      <c r="B21" s="102">
        <v>24</v>
      </c>
      <c r="C21" s="102">
        <v>1.3</v>
      </c>
      <c r="D21" s="102">
        <v>30.7</v>
      </c>
      <c r="E21" s="102">
        <v>91</v>
      </c>
      <c r="F21" s="102">
        <v>154.69999999999999</v>
      </c>
      <c r="G21" s="102">
        <v>311.7</v>
      </c>
      <c r="H21" s="102">
        <v>371.8</v>
      </c>
      <c r="I21" s="102">
        <v>91.2</v>
      </c>
      <c r="J21" s="102">
        <v>63.3</v>
      </c>
      <c r="K21" s="102">
        <v>78.400000000000006</v>
      </c>
      <c r="L21" s="102">
        <v>84.3</v>
      </c>
      <c r="M21" s="102">
        <v>16.600000000000001</v>
      </c>
      <c r="N21" s="102">
        <f t="shared" si="1"/>
        <v>147</v>
      </c>
      <c r="O21" s="102">
        <f t="shared" si="2"/>
        <v>992.7</v>
      </c>
      <c r="P21" s="102">
        <f t="shared" si="3"/>
        <v>179.29999999999998</v>
      </c>
      <c r="Q21" s="102">
        <f t="shared" si="4"/>
        <v>1319</v>
      </c>
    </row>
    <row r="22" spans="1:17">
      <c r="A22" s="102">
        <v>1997</v>
      </c>
      <c r="B22" s="102">
        <v>66.7</v>
      </c>
      <c r="C22" s="102">
        <v>36.9</v>
      </c>
      <c r="D22" s="102">
        <v>45</v>
      </c>
      <c r="E22" s="102">
        <v>216.5</v>
      </c>
      <c r="F22" s="102">
        <v>162.1</v>
      </c>
      <c r="G22" s="102">
        <v>155.69999999999999</v>
      </c>
      <c r="H22" s="102">
        <v>179.7</v>
      </c>
      <c r="I22" s="102">
        <v>52.3</v>
      </c>
      <c r="J22" s="102">
        <v>150.69999999999999</v>
      </c>
      <c r="K22" s="102">
        <v>125.4</v>
      </c>
      <c r="L22" s="102">
        <v>18.3</v>
      </c>
      <c r="M22" s="102">
        <v>25.2</v>
      </c>
      <c r="N22" s="102">
        <f t="shared" si="1"/>
        <v>365.1</v>
      </c>
      <c r="O22" s="102">
        <f t="shared" si="2"/>
        <v>700.5</v>
      </c>
      <c r="P22" s="102">
        <f t="shared" si="3"/>
        <v>168.9</v>
      </c>
      <c r="Q22" s="102">
        <f t="shared" si="4"/>
        <v>1234.5000000000002</v>
      </c>
    </row>
    <row r="23" spans="1:17">
      <c r="A23" s="102">
        <v>1998</v>
      </c>
      <c r="B23" s="102">
        <v>15.4</v>
      </c>
      <c r="C23" s="102">
        <v>17.899999999999999</v>
      </c>
      <c r="D23" s="102">
        <v>68.8</v>
      </c>
      <c r="E23" s="102">
        <v>169.2</v>
      </c>
      <c r="F23" s="102">
        <v>150.9</v>
      </c>
      <c r="G23" s="102">
        <v>230.8</v>
      </c>
      <c r="H23" s="102">
        <v>223.9</v>
      </c>
      <c r="I23" s="102">
        <v>281.89999999999998</v>
      </c>
      <c r="J23" s="102">
        <v>57.5</v>
      </c>
      <c r="K23" s="102">
        <v>85.1</v>
      </c>
      <c r="L23" s="102">
        <v>9.5</v>
      </c>
      <c r="M23" s="102">
        <v>27</v>
      </c>
      <c r="N23" s="102">
        <f t="shared" si="1"/>
        <v>271.29999999999995</v>
      </c>
      <c r="O23" s="102">
        <f t="shared" si="2"/>
        <v>945</v>
      </c>
      <c r="P23" s="102">
        <f t="shared" si="3"/>
        <v>121.6</v>
      </c>
      <c r="Q23" s="102">
        <f t="shared" si="4"/>
        <v>1337.8999999999999</v>
      </c>
    </row>
    <row r="24" spans="1:17">
      <c r="A24" s="102">
        <v>1999</v>
      </c>
      <c r="B24" s="102">
        <v>26.8</v>
      </c>
      <c r="C24" s="102">
        <v>5.0999999999999996</v>
      </c>
      <c r="D24" s="102">
        <v>12.7</v>
      </c>
      <c r="E24" s="102">
        <v>196</v>
      </c>
      <c r="F24" s="102">
        <v>150</v>
      </c>
      <c r="G24" s="102">
        <v>327.8</v>
      </c>
      <c r="H24" s="102">
        <v>158.80000000000001</v>
      </c>
      <c r="I24" s="102">
        <v>96.8</v>
      </c>
      <c r="J24" s="102">
        <v>65.3</v>
      </c>
      <c r="K24" s="102">
        <v>67.400000000000006</v>
      </c>
      <c r="L24" s="102">
        <v>20.6</v>
      </c>
      <c r="M24" s="102">
        <v>0.2</v>
      </c>
      <c r="N24" s="102">
        <f t="shared" si="1"/>
        <v>240.6</v>
      </c>
      <c r="O24" s="102">
        <f t="shared" si="2"/>
        <v>798.69999999999993</v>
      </c>
      <c r="P24" s="102">
        <f t="shared" si="3"/>
        <v>88.2</v>
      </c>
      <c r="Q24" s="102">
        <f t="shared" si="4"/>
        <v>1127.5</v>
      </c>
    </row>
    <row r="25" spans="1:17">
      <c r="A25" s="102">
        <v>2000</v>
      </c>
      <c r="B25" s="102">
        <v>31.2</v>
      </c>
      <c r="C25" s="102">
        <v>20</v>
      </c>
      <c r="D25" s="102">
        <v>58.9</v>
      </c>
      <c r="E25" s="102">
        <v>97.2</v>
      </c>
      <c r="F25" s="102">
        <v>128.4</v>
      </c>
      <c r="G25" s="102">
        <v>247.2</v>
      </c>
      <c r="H25" s="102">
        <v>78.2</v>
      </c>
      <c r="I25" s="102">
        <v>159.5</v>
      </c>
      <c r="J25" s="102">
        <v>66</v>
      </c>
      <c r="K25" s="102">
        <v>180.1</v>
      </c>
      <c r="L25" s="102">
        <v>40.5</v>
      </c>
      <c r="M25" s="102">
        <v>16.2</v>
      </c>
      <c r="N25" s="102">
        <f t="shared" si="1"/>
        <v>207.3</v>
      </c>
      <c r="O25" s="102">
        <f t="shared" si="2"/>
        <v>679.3</v>
      </c>
      <c r="P25" s="102">
        <f t="shared" si="3"/>
        <v>236.79999999999998</v>
      </c>
      <c r="Q25" s="102">
        <f t="shared" si="4"/>
        <v>1123.4000000000001</v>
      </c>
    </row>
    <row r="26" spans="1:17">
      <c r="A26" s="102">
        <v>2001</v>
      </c>
      <c r="B26" s="102">
        <v>7.2</v>
      </c>
      <c r="C26" s="102">
        <v>18.600000000000001</v>
      </c>
      <c r="D26" s="102">
        <v>39.1</v>
      </c>
      <c r="E26" s="102">
        <v>182.5</v>
      </c>
      <c r="F26" s="102">
        <v>202.5</v>
      </c>
      <c r="G26" s="102">
        <v>147.4</v>
      </c>
      <c r="H26" s="102">
        <v>95.6</v>
      </c>
      <c r="I26" s="102">
        <v>109.4</v>
      </c>
      <c r="J26" s="102">
        <v>1.6</v>
      </c>
      <c r="K26" s="102">
        <v>195.8</v>
      </c>
      <c r="L26" s="102">
        <v>32.799999999999997</v>
      </c>
      <c r="M26" s="102">
        <v>7</v>
      </c>
      <c r="N26" s="102">
        <f t="shared" si="1"/>
        <v>247.4</v>
      </c>
      <c r="O26" s="102">
        <f t="shared" si="2"/>
        <v>556.5</v>
      </c>
      <c r="P26" s="102">
        <f t="shared" si="3"/>
        <v>235.60000000000002</v>
      </c>
      <c r="Q26" s="102">
        <f t="shared" si="4"/>
        <v>1039.5</v>
      </c>
    </row>
    <row r="27" spans="1:17">
      <c r="A27" s="102">
        <v>2002</v>
      </c>
      <c r="B27" s="102">
        <v>26.2</v>
      </c>
      <c r="C27" s="102">
        <v>18.2</v>
      </c>
      <c r="D27" s="102">
        <v>58.5</v>
      </c>
      <c r="E27" s="102">
        <v>105.3</v>
      </c>
      <c r="F27" s="102">
        <v>241.9</v>
      </c>
      <c r="G27" s="102">
        <v>306.60000000000002</v>
      </c>
      <c r="H27" s="102">
        <v>118.8</v>
      </c>
      <c r="I27" s="102">
        <v>142.80000000000001</v>
      </c>
      <c r="J27" s="102">
        <v>57.5</v>
      </c>
      <c r="K27" s="102">
        <v>104.8</v>
      </c>
      <c r="L27" s="102">
        <v>18.8</v>
      </c>
      <c r="M27" s="102">
        <v>41.3</v>
      </c>
      <c r="N27" s="102">
        <f t="shared" si="1"/>
        <v>208.2</v>
      </c>
      <c r="O27" s="102">
        <f t="shared" si="2"/>
        <v>867.59999999999991</v>
      </c>
      <c r="P27" s="102">
        <f t="shared" si="3"/>
        <v>164.89999999999998</v>
      </c>
      <c r="Q27" s="102">
        <f t="shared" si="4"/>
        <v>1240.6999999999998</v>
      </c>
    </row>
    <row r="28" spans="1:17">
      <c r="A28" s="102">
        <v>2003</v>
      </c>
      <c r="B28" s="102">
        <v>33.299999999999997</v>
      </c>
      <c r="C28" s="102">
        <v>17.7</v>
      </c>
      <c r="D28" s="102">
        <v>35.700000000000003</v>
      </c>
      <c r="E28" s="102">
        <v>143.6</v>
      </c>
      <c r="F28" s="102">
        <v>129.5</v>
      </c>
      <c r="G28" s="102">
        <v>200.1</v>
      </c>
      <c r="H28" s="102">
        <v>246.8</v>
      </c>
      <c r="I28" s="102">
        <v>42.9</v>
      </c>
      <c r="J28" s="102">
        <v>74</v>
      </c>
      <c r="K28" s="102">
        <v>55.1</v>
      </c>
      <c r="L28" s="102">
        <v>26.6</v>
      </c>
      <c r="M28" s="102">
        <v>69.3</v>
      </c>
      <c r="N28" s="102">
        <f t="shared" si="1"/>
        <v>230.3</v>
      </c>
      <c r="O28" s="102">
        <f t="shared" si="2"/>
        <v>693.30000000000007</v>
      </c>
      <c r="P28" s="102">
        <f t="shared" si="3"/>
        <v>151</v>
      </c>
      <c r="Q28" s="102">
        <f t="shared" si="4"/>
        <v>1074.6000000000001</v>
      </c>
    </row>
    <row r="29" spans="1:17">
      <c r="A29" s="102">
        <v>2004</v>
      </c>
      <c r="B29" s="103">
        <v>22.9</v>
      </c>
      <c r="C29" s="103">
        <v>67.3</v>
      </c>
      <c r="D29" s="103">
        <v>43</v>
      </c>
      <c r="E29" s="103">
        <v>153.4</v>
      </c>
      <c r="F29" s="103">
        <v>183.6</v>
      </c>
      <c r="G29" s="103">
        <v>253.8</v>
      </c>
      <c r="H29" s="103">
        <v>163.5</v>
      </c>
      <c r="I29" s="103">
        <v>46</v>
      </c>
      <c r="J29" s="103">
        <v>125.5</v>
      </c>
      <c r="K29" s="103">
        <v>47.7</v>
      </c>
      <c r="L29" s="103">
        <v>79.8</v>
      </c>
      <c r="M29" s="103">
        <v>16.100000000000001</v>
      </c>
      <c r="N29" s="102">
        <f t="shared" si="1"/>
        <v>286.60000000000002</v>
      </c>
      <c r="O29" s="102">
        <f t="shared" si="2"/>
        <v>772.4</v>
      </c>
      <c r="P29" s="102">
        <f t="shared" si="3"/>
        <v>143.6</v>
      </c>
      <c r="Q29" s="102">
        <f t="shared" si="4"/>
        <v>1202.5999999999999</v>
      </c>
    </row>
    <row r="30" spans="1:17">
      <c r="A30" s="102">
        <v>2005</v>
      </c>
      <c r="B30" s="102">
        <v>34</v>
      </c>
      <c r="C30" s="102">
        <v>24</v>
      </c>
      <c r="D30" s="102">
        <v>31</v>
      </c>
      <c r="E30" s="102">
        <v>38</v>
      </c>
      <c r="F30" s="102">
        <v>293</v>
      </c>
      <c r="G30" s="102">
        <v>55</v>
      </c>
      <c r="H30" s="102">
        <v>102</v>
      </c>
      <c r="I30" s="102">
        <v>138</v>
      </c>
      <c r="J30" s="102">
        <v>53</v>
      </c>
      <c r="K30" s="102">
        <v>80.8</v>
      </c>
      <c r="L30" s="102">
        <v>30.3</v>
      </c>
      <c r="M30" s="102">
        <v>9.6</v>
      </c>
      <c r="N30" s="102">
        <f t="shared" si="1"/>
        <v>127</v>
      </c>
      <c r="O30" s="102">
        <f t="shared" si="2"/>
        <v>641</v>
      </c>
      <c r="P30" s="102">
        <f t="shared" si="3"/>
        <v>120.69999999999999</v>
      </c>
      <c r="Q30" s="102">
        <f t="shared" si="4"/>
        <v>888.69999999999993</v>
      </c>
    </row>
    <row r="31" spans="1:17">
      <c r="A31" s="102">
        <v>2006</v>
      </c>
      <c r="B31" s="102">
        <v>16.8</v>
      </c>
      <c r="C31" s="102">
        <v>49</v>
      </c>
      <c r="D31" s="102">
        <v>40.700000000000003</v>
      </c>
      <c r="E31" s="102">
        <v>158.19999999999999</v>
      </c>
      <c r="F31" s="102">
        <v>155.5</v>
      </c>
      <c r="G31" s="102">
        <v>148.80000000000001</v>
      </c>
      <c r="H31" s="102">
        <v>66.2</v>
      </c>
      <c r="I31" s="102">
        <v>66.900000000000006</v>
      </c>
      <c r="J31" s="102">
        <v>69.7</v>
      </c>
      <c r="K31" s="102">
        <v>96.9</v>
      </c>
      <c r="L31" s="102">
        <v>73.7</v>
      </c>
      <c r="M31" s="102">
        <v>23</v>
      </c>
      <c r="N31" s="102">
        <f t="shared" si="1"/>
        <v>264.7</v>
      </c>
      <c r="O31" s="102">
        <f t="shared" si="2"/>
        <v>507.09999999999997</v>
      </c>
      <c r="P31" s="102">
        <f t="shared" si="3"/>
        <v>193.60000000000002</v>
      </c>
      <c r="Q31" s="102">
        <f t="shared" si="4"/>
        <v>965.40000000000009</v>
      </c>
    </row>
    <row r="32" spans="1:17">
      <c r="A32" s="102">
        <v>2007</v>
      </c>
      <c r="B32" s="102">
        <v>37.1</v>
      </c>
      <c r="C32" s="102">
        <v>39.299999999999997</v>
      </c>
      <c r="D32" s="102">
        <v>36.9</v>
      </c>
      <c r="E32" s="102">
        <v>90.8</v>
      </c>
      <c r="F32" s="102">
        <v>113</v>
      </c>
      <c r="G32" s="102">
        <v>162</v>
      </c>
      <c r="H32" s="102">
        <v>322.7</v>
      </c>
      <c r="I32" s="102">
        <v>144.80000000000001</v>
      </c>
      <c r="J32" s="102">
        <v>80.900000000000006</v>
      </c>
      <c r="K32" s="102">
        <v>79</v>
      </c>
      <c r="L32" s="102">
        <v>5.2</v>
      </c>
      <c r="M32" s="102">
        <v>14.6</v>
      </c>
      <c r="N32" s="102">
        <f t="shared" si="1"/>
        <v>204.10000000000002</v>
      </c>
      <c r="O32" s="102">
        <f t="shared" si="2"/>
        <v>823.4</v>
      </c>
      <c r="P32" s="102">
        <f t="shared" si="3"/>
        <v>98.8</v>
      </c>
      <c r="Q32" s="102">
        <f t="shared" si="4"/>
        <v>1126.3</v>
      </c>
    </row>
    <row r="33" spans="1:33">
      <c r="A33" s="102">
        <v>2008</v>
      </c>
      <c r="B33" s="102">
        <v>17</v>
      </c>
      <c r="C33" s="102">
        <v>40.5</v>
      </c>
      <c r="D33" s="102">
        <v>105.2</v>
      </c>
      <c r="E33" s="102">
        <v>57.3</v>
      </c>
      <c r="F33" s="102">
        <v>168.9</v>
      </c>
      <c r="G33" s="102">
        <v>88</v>
      </c>
      <c r="H33" s="102">
        <v>160.1</v>
      </c>
      <c r="I33" s="102">
        <v>361.4</v>
      </c>
      <c r="J33" s="102">
        <v>54.9</v>
      </c>
      <c r="K33" s="102">
        <v>158.1</v>
      </c>
      <c r="L33" s="102">
        <v>113.8</v>
      </c>
      <c r="M33" s="102">
        <v>7.7</v>
      </c>
      <c r="N33" s="102">
        <f t="shared" si="1"/>
        <v>220</v>
      </c>
      <c r="O33" s="102">
        <f t="shared" si="2"/>
        <v>833.3</v>
      </c>
      <c r="P33" s="102">
        <f t="shared" si="3"/>
        <v>279.59999999999997</v>
      </c>
      <c r="Q33" s="102">
        <f t="shared" si="4"/>
        <v>1332.8999999999999</v>
      </c>
    </row>
    <row r="34" spans="1:33">
      <c r="A34" s="102">
        <v>2009</v>
      </c>
      <c r="B34" s="102">
        <v>10.5</v>
      </c>
      <c r="C34" s="102">
        <v>17.600000000000001</v>
      </c>
      <c r="D34" s="102">
        <v>27.7</v>
      </c>
      <c r="E34" s="102">
        <v>134</v>
      </c>
      <c r="F34" s="102">
        <v>147</v>
      </c>
      <c r="G34" s="102">
        <v>157.19999999999999</v>
      </c>
      <c r="H34" s="102">
        <v>69</v>
      </c>
      <c r="I34" s="102">
        <v>87.7</v>
      </c>
      <c r="J34" s="102">
        <v>130.6</v>
      </c>
      <c r="K34" s="102">
        <v>105.8</v>
      </c>
      <c r="L34" s="102">
        <v>44.8</v>
      </c>
      <c r="M34" s="102">
        <v>29.1</v>
      </c>
      <c r="N34" s="102">
        <f t="shared" si="1"/>
        <v>189.8</v>
      </c>
      <c r="O34" s="102">
        <f t="shared" si="2"/>
        <v>591.5</v>
      </c>
      <c r="P34" s="102">
        <f t="shared" si="3"/>
        <v>179.7</v>
      </c>
      <c r="Q34" s="102">
        <f t="shared" si="4"/>
        <v>961</v>
      </c>
    </row>
    <row r="35" spans="1:33">
      <c r="A35" s="102">
        <v>2010</v>
      </c>
      <c r="B35" s="102">
        <v>3.8</v>
      </c>
      <c r="C35" s="102">
        <v>1</v>
      </c>
      <c r="D35" s="102">
        <v>72</v>
      </c>
      <c r="E35" s="102">
        <v>67.2</v>
      </c>
      <c r="F35" s="102">
        <v>225.9</v>
      </c>
      <c r="G35" s="102">
        <v>232.9</v>
      </c>
      <c r="H35" s="102">
        <v>76.900000000000006</v>
      </c>
      <c r="I35" s="102">
        <v>134.30000000000001</v>
      </c>
      <c r="J35" s="102">
        <v>119.7</v>
      </c>
      <c r="K35" s="102">
        <v>93.8</v>
      </c>
      <c r="L35" s="102">
        <v>35.299999999999997</v>
      </c>
      <c r="M35" s="102">
        <v>39</v>
      </c>
      <c r="N35" s="102">
        <f t="shared" si="1"/>
        <v>144</v>
      </c>
      <c r="O35" s="102">
        <f t="shared" si="2"/>
        <v>789.7</v>
      </c>
      <c r="P35" s="102">
        <f t="shared" si="3"/>
        <v>168.1</v>
      </c>
      <c r="Q35" s="102">
        <f t="shared" si="4"/>
        <v>1101.8</v>
      </c>
    </row>
    <row r="36" spans="1:33">
      <c r="A36" s="102">
        <v>2011</v>
      </c>
      <c r="B36" s="102">
        <v>14</v>
      </c>
      <c r="C36" s="102">
        <v>7.4</v>
      </c>
      <c r="D36" s="102">
        <v>11.5</v>
      </c>
      <c r="E36" s="102">
        <v>21.9</v>
      </c>
      <c r="F36" s="102">
        <v>101.5</v>
      </c>
      <c r="G36" s="102">
        <v>228.9</v>
      </c>
      <c r="H36" s="102">
        <v>49.2</v>
      </c>
      <c r="I36" s="102">
        <v>25.1</v>
      </c>
      <c r="J36" s="102">
        <v>112.7</v>
      </c>
      <c r="K36" s="102">
        <v>147.1</v>
      </c>
      <c r="L36" s="102">
        <v>99.2</v>
      </c>
      <c r="M36" s="102">
        <v>11</v>
      </c>
      <c r="N36" s="102">
        <f t="shared" si="1"/>
        <v>54.8</v>
      </c>
      <c r="O36" s="102">
        <f t="shared" si="2"/>
        <v>517.4</v>
      </c>
      <c r="P36" s="102">
        <f t="shared" si="3"/>
        <v>257.3</v>
      </c>
      <c r="Q36" s="102">
        <f t="shared" si="4"/>
        <v>829.50000000000011</v>
      </c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</row>
    <row r="37" spans="1:33">
      <c r="A37" s="102">
        <v>2012</v>
      </c>
      <c r="B37" s="102">
        <v>17.7</v>
      </c>
      <c r="C37" s="102">
        <v>12.9</v>
      </c>
      <c r="D37" s="102">
        <v>54</v>
      </c>
      <c r="E37" s="102">
        <v>100</v>
      </c>
      <c r="F37" s="102">
        <v>200.7</v>
      </c>
      <c r="G37" s="102">
        <v>176</v>
      </c>
      <c r="H37" s="102">
        <v>289</v>
      </c>
      <c r="I37" s="102">
        <v>144.69999999999999</v>
      </c>
      <c r="J37" s="102">
        <v>51.3</v>
      </c>
      <c r="K37" s="102">
        <v>93.3</v>
      </c>
      <c r="L37" s="102">
        <v>48.5</v>
      </c>
      <c r="M37" s="102">
        <v>21.9</v>
      </c>
      <c r="N37" s="102">
        <f t="shared" si="1"/>
        <v>184.6</v>
      </c>
      <c r="O37" s="102">
        <f t="shared" si="2"/>
        <v>861.7</v>
      </c>
      <c r="P37" s="102">
        <f t="shared" si="3"/>
        <v>163.70000000000002</v>
      </c>
      <c r="Q37" s="102">
        <f t="shared" si="4"/>
        <v>1210</v>
      </c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</row>
    <row r="38" spans="1:33">
      <c r="A38" s="102">
        <v>2013</v>
      </c>
      <c r="B38" s="102">
        <v>14.8</v>
      </c>
      <c r="C38" s="102">
        <v>26.3</v>
      </c>
      <c r="D38" s="102">
        <v>78.400000000000006</v>
      </c>
      <c r="E38" s="102">
        <v>110.8</v>
      </c>
      <c r="F38" s="102">
        <v>116.6</v>
      </c>
      <c r="G38" s="102">
        <v>64.5</v>
      </c>
      <c r="H38" s="102">
        <v>29.3</v>
      </c>
      <c r="I38" s="102">
        <v>32.799999999999997</v>
      </c>
      <c r="J38" s="102">
        <v>132.4</v>
      </c>
      <c r="K38" s="102">
        <v>57.4</v>
      </c>
      <c r="L38" s="102">
        <v>44.5</v>
      </c>
      <c r="M38" s="102">
        <v>11.1</v>
      </c>
      <c r="N38" s="102">
        <f t="shared" si="1"/>
        <v>230.3</v>
      </c>
      <c r="O38" s="102">
        <f t="shared" si="2"/>
        <v>375.6</v>
      </c>
      <c r="P38" s="102">
        <f t="shared" si="3"/>
        <v>113</v>
      </c>
      <c r="Q38" s="102">
        <f t="shared" si="4"/>
        <v>718.9</v>
      </c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</row>
    <row r="39" spans="1:33">
      <c r="A39" s="102">
        <v>2014</v>
      </c>
      <c r="B39" s="134">
        <v>4.8</v>
      </c>
      <c r="C39" s="128">
        <v>19.7</v>
      </c>
      <c r="D39" s="128">
        <v>48.2</v>
      </c>
      <c r="E39" s="134">
        <v>118.2</v>
      </c>
      <c r="F39" s="134">
        <v>217.1</v>
      </c>
      <c r="G39" s="134">
        <v>186.3</v>
      </c>
      <c r="H39" s="134">
        <v>558.9</v>
      </c>
      <c r="I39" s="134">
        <v>125.8</v>
      </c>
      <c r="J39" s="134">
        <v>46.2</v>
      </c>
      <c r="K39" s="128">
        <v>50.4</v>
      </c>
      <c r="L39" s="128">
        <v>49.5</v>
      </c>
      <c r="M39" s="128">
        <v>5.9</v>
      </c>
      <c r="N39" s="102">
        <f t="shared" si="1"/>
        <v>190.9</v>
      </c>
      <c r="O39" s="102">
        <f t="shared" si="2"/>
        <v>1134.3</v>
      </c>
      <c r="P39" s="102">
        <f t="shared" si="3"/>
        <v>105.80000000000001</v>
      </c>
      <c r="Q39" s="102">
        <f t="shared" si="4"/>
        <v>1431</v>
      </c>
    </row>
    <row r="40" spans="1:33">
      <c r="A40" s="102">
        <v>2015</v>
      </c>
      <c r="B40" s="134">
        <v>15.2</v>
      </c>
      <c r="C40" s="134">
        <v>45.3</v>
      </c>
      <c r="D40" s="134">
        <v>34.6</v>
      </c>
      <c r="E40" s="134">
        <v>37.9</v>
      </c>
      <c r="F40" s="134">
        <v>263.3</v>
      </c>
      <c r="G40" s="134">
        <v>226</v>
      </c>
      <c r="H40" s="134">
        <v>65.2</v>
      </c>
      <c r="I40" s="134">
        <v>118.3</v>
      </c>
      <c r="J40" s="134">
        <v>151.69999999999999</v>
      </c>
      <c r="K40" s="134">
        <v>23.9</v>
      </c>
      <c r="L40" s="134">
        <v>46.3</v>
      </c>
      <c r="M40" s="134">
        <v>66.5</v>
      </c>
      <c r="N40" s="102">
        <f t="shared" si="1"/>
        <v>133</v>
      </c>
      <c r="O40" s="102">
        <f t="shared" si="2"/>
        <v>824.5</v>
      </c>
      <c r="P40" s="102">
        <f t="shared" si="3"/>
        <v>136.69999999999999</v>
      </c>
      <c r="Q40" s="102">
        <f t="shared" si="4"/>
        <v>1094.2</v>
      </c>
    </row>
    <row r="41" spans="1:33" ht="13.5">
      <c r="A41" s="102">
        <v>2016</v>
      </c>
      <c r="B41" s="128">
        <v>33.799999999999997</v>
      </c>
      <c r="C41" s="128">
        <v>12.3</v>
      </c>
      <c r="D41" s="128">
        <v>110.5</v>
      </c>
      <c r="E41" s="128">
        <v>129.5</v>
      </c>
      <c r="F41" s="128">
        <v>194.2</v>
      </c>
      <c r="G41" s="128">
        <v>270.7</v>
      </c>
      <c r="H41" s="128">
        <v>194</v>
      </c>
      <c r="I41" s="128">
        <v>120.8</v>
      </c>
      <c r="J41" s="128">
        <v>29.3</v>
      </c>
      <c r="K41" s="128">
        <v>99.9</v>
      </c>
      <c r="L41" s="128">
        <v>43.1</v>
      </c>
      <c r="M41" s="128">
        <v>23.9</v>
      </c>
      <c r="N41" s="102">
        <f>SUM(B41:E41)</f>
        <v>286.10000000000002</v>
      </c>
      <c r="O41" s="102">
        <f>SUM(F41:J41)</f>
        <v>808.99999999999989</v>
      </c>
      <c r="P41" s="102">
        <f>SUM(K41:M41)</f>
        <v>166.9</v>
      </c>
      <c r="Q41" s="102">
        <f>SUM(B41:M41)</f>
        <v>1262</v>
      </c>
      <c r="R41" s="129">
        <f t="shared" ref="R41:AG41" si="5">100*(B41-B4)/B4</f>
        <v>49.373925853179472</v>
      </c>
      <c r="S41" s="129">
        <f t="shared" si="5"/>
        <v>-52.06754708811431</v>
      </c>
      <c r="T41" s="129">
        <f t="shared" si="5"/>
        <v>150.50377833753146</v>
      </c>
      <c r="U41" s="129">
        <f t="shared" si="5"/>
        <v>17.840351852788029</v>
      </c>
      <c r="V41" s="129">
        <f t="shared" si="5"/>
        <v>12.438483064749601</v>
      </c>
      <c r="W41" s="129">
        <f t="shared" si="5"/>
        <v>42.577907827359176</v>
      </c>
      <c r="X41" s="129">
        <f t="shared" si="5"/>
        <v>16.853782187494772</v>
      </c>
      <c r="Y41" s="129">
        <f t="shared" si="5"/>
        <v>-1.1389210939098979</v>
      </c>
      <c r="Z41" s="129">
        <f t="shared" si="5"/>
        <v>-65.206491621585954</v>
      </c>
      <c r="AA41" s="129">
        <f t="shared" si="5"/>
        <v>3.4756588790424354</v>
      </c>
      <c r="AB41" s="129">
        <f t="shared" si="5"/>
        <v>-10.868566176470569</v>
      </c>
      <c r="AC41" s="129">
        <f t="shared" si="5"/>
        <v>13.569165786694802</v>
      </c>
      <c r="AD41" s="129">
        <f t="shared" si="5"/>
        <v>41.427512152253307</v>
      </c>
      <c r="AE41" s="129">
        <f t="shared" si="5"/>
        <v>10.068027210884338</v>
      </c>
      <c r="AF41" s="129">
        <f t="shared" si="5"/>
        <v>0.5758285905590852</v>
      </c>
      <c r="AG41" s="129">
        <f t="shared" si="5"/>
        <v>14.390456383476918</v>
      </c>
    </row>
  </sheetData>
  <mergeCells count="6">
    <mergeCell ref="A1:A3"/>
    <mergeCell ref="B1:Q1"/>
    <mergeCell ref="B2:M2"/>
    <mergeCell ref="R1:AG1"/>
    <mergeCell ref="N2:Q2"/>
    <mergeCell ref="R2:AG2"/>
  </mergeCells>
  <phoneticPr fontId="2" type="noConversion"/>
  <pageMargins left="0.75" right="0.75" top="1" bottom="1" header="0.5" footer="0.5"/>
  <pageSetup paperSize="9" orientation="portrait" horizontalDpi="200" verticalDpi="200" copies="0" r:id="rId1"/>
  <headerFooter alignWithMargins="0"/>
</worksheet>
</file>

<file path=xl/worksheets/sheet59.xml><?xml version="1.0" encoding="utf-8"?>
<worksheet xmlns="http://schemas.openxmlformats.org/spreadsheetml/2006/main" xmlns:r="http://schemas.openxmlformats.org/officeDocument/2006/relationships">
  <sheetPr codeName="Sheet59"/>
  <dimension ref="A1:AG64"/>
  <sheetViews>
    <sheetView zoomScale="85" zoomScaleNormal="85" workbookViewId="0">
      <pane ySplit="5" topLeftCell="A6" activePane="bottomLeft" state="frozen"/>
      <selection pane="bottomLeft" activeCell="R64" sqref="R64"/>
    </sheetView>
  </sheetViews>
  <sheetFormatPr defaultRowHeight="12"/>
  <cols>
    <col min="1" max="1" width="17.125" style="102" bestFit="1" customWidth="1"/>
    <col min="2" max="33" width="7.125" style="102" customWidth="1"/>
    <col min="34" max="16384" width="9" style="102"/>
  </cols>
  <sheetData>
    <row r="1" spans="1:33" s="118" customFormat="1" ht="14.25" customHeight="1">
      <c r="A1" s="176" t="s">
        <v>53</v>
      </c>
      <c r="B1" s="176" t="s">
        <v>171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2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116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32</v>
      </c>
      <c r="O2" s="176"/>
      <c r="P2" s="176"/>
      <c r="Q2" s="176"/>
      <c r="R2" s="176" t="s">
        <v>38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 ht="24">
      <c r="A3" s="176"/>
      <c r="B3" s="124" t="s">
        <v>149</v>
      </c>
      <c r="C3" s="124" t="s">
        <v>150</v>
      </c>
      <c r="D3" s="124" t="s">
        <v>9</v>
      </c>
      <c r="E3" s="124" t="s">
        <v>10</v>
      </c>
      <c r="F3" s="124" t="s">
        <v>11</v>
      </c>
      <c r="G3" s="124" t="s">
        <v>12</v>
      </c>
      <c r="H3" s="124" t="s">
        <v>13</v>
      </c>
      <c r="I3" s="124" t="s">
        <v>14</v>
      </c>
      <c r="J3" s="124" t="s">
        <v>15</v>
      </c>
      <c r="K3" s="124" t="s">
        <v>16</v>
      </c>
      <c r="L3" s="124" t="s">
        <v>17</v>
      </c>
      <c r="M3" s="124" t="s">
        <v>18</v>
      </c>
      <c r="N3" s="124" t="s">
        <v>145</v>
      </c>
      <c r="O3" s="124" t="s">
        <v>146</v>
      </c>
      <c r="P3" s="124" t="s">
        <v>147</v>
      </c>
      <c r="Q3" s="124" t="s">
        <v>148</v>
      </c>
      <c r="R3" s="124" t="s">
        <v>149</v>
      </c>
      <c r="S3" s="124" t="s">
        <v>150</v>
      </c>
      <c r="T3" s="124" t="s">
        <v>151</v>
      </c>
      <c r="U3" s="124" t="s">
        <v>152</v>
      </c>
      <c r="V3" s="124" t="s">
        <v>153</v>
      </c>
      <c r="W3" s="124" t="s">
        <v>154</v>
      </c>
      <c r="X3" s="124" t="s">
        <v>25</v>
      </c>
      <c r="Y3" s="124" t="s">
        <v>26</v>
      </c>
      <c r="Z3" s="124" t="s">
        <v>27</v>
      </c>
      <c r="AA3" s="124" t="s">
        <v>155</v>
      </c>
      <c r="AB3" s="124" t="s">
        <v>156</v>
      </c>
      <c r="AC3" s="124" t="s">
        <v>157</v>
      </c>
      <c r="AD3" s="124" t="s">
        <v>90</v>
      </c>
      <c r="AE3" s="124" t="s">
        <v>42</v>
      </c>
      <c r="AF3" s="124" t="s">
        <v>111</v>
      </c>
      <c r="AG3" s="124" t="s">
        <v>66</v>
      </c>
    </row>
    <row r="4" spans="1:33" s="118" customFormat="1">
      <c r="A4" s="150" t="s">
        <v>261</v>
      </c>
      <c r="B4" s="150">
        <f t="shared" ref="B4:Q4" si="0">AVERAGE(B5:B63)</f>
        <v>39.800000000000004</v>
      </c>
      <c r="C4" s="150">
        <f t="shared" si="0"/>
        <v>47.41016949152543</v>
      </c>
      <c r="D4" s="150">
        <f t="shared" si="0"/>
        <v>76.82033898305086</v>
      </c>
      <c r="E4" s="150">
        <f t="shared" si="0"/>
        <v>121.74745762711868</v>
      </c>
      <c r="F4" s="150">
        <f t="shared" si="0"/>
        <v>189.72881355932202</v>
      </c>
      <c r="G4" s="150">
        <f t="shared" si="0"/>
        <v>171.16610169491528</v>
      </c>
      <c r="H4" s="150">
        <f t="shared" si="0"/>
        <v>141.60677966101696</v>
      </c>
      <c r="I4" s="150">
        <f t="shared" si="0"/>
        <v>117.89661016949151</v>
      </c>
      <c r="J4" s="150">
        <f t="shared" si="0"/>
        <v>75.81525423728813</v>
      </c>
      <c r="K4" s="150">
        <f t="shared" si="0"/>
        <v>97.118644067796623</v>
      </c>
      <c r="L4" s="150">
        <f t="shared" si="0"/>
        <v>62.737288135593211</v>
      </c>
      <c r="M4" s="150">
        <f t="shared" si="0"/>
        <v>34.633898305084756</v>
      </c>
      <c r="N4" s="150">
        <f t="shared" si="0"/>
        <v>285.77796610169491</v>
      </c>
      <c r="O4" s="150">
        <f t="shared" si="0"/>
        <v>696.21355932203392</v>
      </c>
      <c r="P4" s="150">
        <f t="shared" si="0"/>
        <v>194.48983050847445</v>
      </c>
      <c r="Q4" s="150">
        <f t="shared" si="0"/>
        <v>1176.4813559322035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1957</v>
      </c>
      <c r="B5" s="102">
        <v>56.1</v>
      </c>
      <c r="C5" s="102">
        <v>70.599999999999994</v>
      </c>
      <c r="D5" s="102">
        <v>61.4</v>
      </c>
      <c r="E5" s="102">
        <v>173.2</v>
      </c>
      <c r="F5" s="102">
        <v>309.5</v>
      </c>
      <c r="G5" s="102">
        <v>158.4</v>
      </c>
      <c r="H5" s="102">
        <v>123.9</v>
      </c>
      <c r="I5" s="102">
        <v>88.9</v>
      </c>
      <c r="J5" s="102">
        <v>38.700000000000003</v>
      </c>
      <c r="K5" s="102">
        <v>71.900000000000006</v>
      </c>
      <c r="L5" s="102">
        <v>104.1</v>
      </c>
      <c r="M5" s="102">
        <v>55.5</v>
      </c>
      <c r="N5" s="102">
        <f>SUM(B5:E5)</f>
        <v>361.29999999999995</v>
      </c>
      <c r="O5" s="102">
        <f>SUM(F5:J5)</f>
        <v>719.4</v>
      </c>
      <c r="P5" s="102">
        <f>SUM(K5:M5)</f>
        <v>231.5</v>
      </c>
      <c r="Q5" s="102">
        <f>SUM(B5:M5)</f>
        <v>1312.2</v>
      </c>
    </row>
    <row r="6" spans="1:33">
      <c r="A6" s="102">
        <v>1958</v>
      </c>
      <c r="B6" s="102">
        <v>25.6</v>
      </c>
      <c r="C6" s="102">
        <v>38.200000000000003</v>
      </c>
      <c r="D6" s="102">
        <v>71</v>
      </c>
      <c r="E6" s="102">
        <v>143.80000000000001</v>
      </c>
      <c r="F6" s="102">
        <v>222.2</v>
      </c>
      <c r="G6" s="102">
        <v>145.30000000000001</v>
      </c>
      <c r="H6" s="102">
        <v>158.69999999999999</v>
      </c>
      <c r="I6" s="102">
        <v>124.1</v>
      </c>
      <c r="J6" s="102">
        <v>111.9</v>
      </c>
      <c r="K6" s="102">
        <v>127.5</v>
      </c>
      <c r="L6" s="102">
        <v>5.6</v>
      </c>
      <c r="M6" s="102">
        <v>21.3</v>
      </c>
      <c r="N6" s="102">
        <f t="shared" ref="N6:N63" si="1">SUM(B6:E6)</f>
        <v>278.60000000000002</v>
      </c>
      <c r="O6" s="102">
        <f t="shared" ref="O6:O63" si="2">SUM(F6:J6)</f>
        <v>762.2</v>
      </c>
      <c r="P6" s="102">
        <f t="shared" ref="P6:P63" si="3">SUM(K6:M6)</f>
        <v>154.4</v>
      </c>
      <c r="Q6" s="102">
        <f t="shared" ref="Q6:Q63" si="4">SUM(B6:M6)</f>
        <v>1195.1999999999998</v>
      </c>
    </row>
    <row r="7" spans="1:33">
      <c r="A7" s="102">
        <v>1959</v>
      </c>
      <c r="B7" s="102">
        <v>33</v>
      </c>
      <c r="C7" s="102">
        <v>99.5</v>
      </c>
      <c r="D7" s="102">
        <v>138.30000000000001</v>
      </c>
      <c r="E7" s="102">
        <v>53.6</v>
      </c>
      <c r="F7" s="102">
        <v>218.2</v>
      </c>
      <c r="G7" s="102">
        <v>168.5</v>
      </c>
      <c r="H7" s="102">
        <v>20.6</v>
      </c>
      <c r="I7" s="102">
        <v>73.7</v>
      </c>
      <c r="J7" s="102">
        <v>54.2</v>
      </c>
      <c r="K7" s="102">
        <v>76.8</v>
      </c>
      <c r="L7" s="102">
        <v>72.900000000000006</v>
      </c>
      <c r="M7" s="102">
        <v>36.1</v>
      </c>
      <c r="N7" s="102">
        <f t="shared" si="1"/>
        <v>324.40000000000003</v>
      </c>
      <c r="O7" s="102">
        <f t="shared" si="2"/>
        <v>535.20000000000005</v>
      </c>
      <c r="P7" s="102">
        <f t="shared" si="3"/>
        <v>185.79999999999998</v>
      </c>
      <c r="Q7" s="102">
        <f t="shared" si="4"/>
        <v>1045.4000000000001</v>
      </c>
    </row>
    <row r="8" spans="1:33">
      <c r="A8" s="102">
        <v>1960</v>
      </c>
      <c r="B8" s="102">
        <v>30</v>
      </c>
      <c r="C8" s="102">
        <v>45.9</v>
      </c>
      <c r="D8" s="102">
        <v>71.099999999999994</v>
      </c>
      <c r="E8" s="102">
        <v>117.2</v>
      </c>
      <c r="F8" s="102">
        <v>382.6</v>
      </c>
      <c r="G8" s="102">
        <v>105.8</v>
      </c>
      <c r="H8" s="102">
        <v>105.4</v>
      </c>
      <c r="I8" s="102">
        <v>64.7</v>
      </c>
      <c r="J8" s="102">
        <v>21.9</v>
      </c>
      <c r="K8" s="102">
        <v>83.6</v>
      </c>
      <c r="L8" s="102">
        <v>67.900000000000006</v>
      </c>
      <c r="M8" s="102">
        <v>8.4</v>
      </c>
      <c r="N8" s="102">
        <f t="shared" si="1"/>
        <v>264.2</v>
      </c>
      <c r="O8" s="102">
        <f t="shared" si="2"/>
        <v>680.40000000000009</v>
      </c>
      <c r="P8" s="102">
        <f t="shared" si="3"/>
        <v>159.9</v>
      </c>
      <c r="Q8" s="102">
        <f t="shared" si="4"/>
        <v>1104.5</v>
      </c>
    </row>
    <row r="9" spans="1:33">
      <c r="A9" s="102">
        <v>1961</v>
      </c>
      <c r="B9" s="102">
        <v>14.5</v>
      </c>
      <c r="C9" s="102">
        <v>44.6</v>
      </c>
      <c r="D9" s="102">
        <v>78.2</v>
      </c>
      <c r="E9" s="102">
        <v>184.1</v>
      </c>
      <c r="F9" s="102">
        <v>174.3</v>
      </c>
      <c r="G9" s="102">
        <v>34.9</v>
      </c>
      <c r="H9" s="102">
        <v>120.1</v>
      </c>
      <c r="I9" s="102">
        <v>77.400000000000006</v>
      </c>
      <c r="J9" s="102">
        <v>56.3</v>
      </c>
      <c r="K9" s="102">
        <v>180.3</v>
      </c>
      <c r="L9" s="102">
        <v>98</v>
      </c>
      <c r="M9" s="102">
        <v>51.2</v>
      </c>
      <c r="N9" s="102">
        <f t="shared" si="1"/>
        <v>321.39999999999998</v>
      </c>
      <c r="O9" s="102">
        <f t="shared" si="2"/>
        <v>463.00000000000006</v>
      </c>
      <c r="P9" s="102">
        <f t="shared" si="3"/>
        <v>329.5</v>
      </c>
      <c r="Q9" s="102">
        <f t="shared" si="4"/>
        <v>1113.9000000000001</v>
      </c>
    </row>
    <row r="10" spans="1:33">
      <c r="A10" s="102">
        <v>1962</v>
      </c>
      <c r="B10" s="102">
        <v>41.4</v>
      </c>
      <c r="C10" s="102">
        <v>15.8</v>
      </c>
      <c r="D10" s="102">
        <v>78.2</v>
      </c>
      <c r="E10" s="102">
        <v>145.9</v>
      </c>
      <c r="F10" s="102">
        <v>193.3</v>
      </c>
      <c r="G10" s="102">
        <v>176.7</v>
      </c>
      <c r="H10" s="102">
        <v>79.400000000000006</v>
      </c>
      <c r="I10" s="102">
        <v>175.3</v>
      </c>
      <c r="J10" s="102">
        <v>47.4</v>
      </c>
      <c r="K10" s="102">
        <v>145.69999999999999</v>
      </c>
      <c r="L10" s="102">
        <v>33.700000000000003</v>
      </c>
      <c r="M10" s="102">
        <v>62.1</v>
      </c>
      <c r="N10" s="102">
        <f t="shared" si="1"/>
        <v>281.3</v>
      </c>
      <c r="O10" s="102">
        <f t="shared" si="2"/>
        <v>672.1</v>
      </c>
      <c r="P10" s="102">
        <f t="shared" si="3"/>
        <v>241.49999999999997</v>
      </c>
      <c r="Q10" s="102">
        <f t="shared" si="4"/>
        <v>1194.8999999999999</v>
      </c>
    </row>
    <row r="11" spans="1:33">
      <c r="A11" s="102">
        <v>1963</v>
      </c>
      <c r="B11" s="102">
        <v>2.2000000000000002</v>
      </c>
      <c r="C11" s="102">
        <v>67.400000000000006</v>
      </c>
      <c r="D11" s="102">
        <v>40.1</v>
      </c>
      <c r="E11" s="102">
        <v>89.6</v>
      </c>
      <c r="F11" s="102">
        <v>70.900000000000006</v>
      </c>
      <c r="G11" s="102">
        <v>37.5</v>
      </c>
      <c r="H11" s="102">
        <v>168.5</v>
      </c>
      <c r="I11" s="102">
        <v>48.9</v>
      </c>
      <c r="J11" s="102">
        <v>56</v>
      </c>
      <c r="K11" s="102">
        <v>123</v>
      </c>
      <c r="L11" s="102">
        <v>250.2</v>
      </c>
      <c r="M11" s="102">
        <v>33</v>
      </c>
      <c r="N11" s="102">
        <f t="shared" si="1"/>
        <v>199.3</v>
      </c>
      <c r="O11" s="102">
        <f t="shared" si="2"/>
        <v>381.79999999999995</v>
      </c>
      <c r="P11" s="102">
        <f t="shared" si="3"/>
        <v>406.2</v>
      </c>
      <c r="Q11" s="102">
        <f t="shared" si="4"/>
        <v>987.3</v>
      </c>
    </row>
    <row r="12" spans="1:33">
      <c r="A12" s="102">
        <v>1964</v>
      </c>
      <c r="B12" s="102">
        <v>44.2</v>
      </c>
      <c r="C12" s="102">
        <v>58</v>
      </c>
      <c r="D12" s="102">
        <v>67.900000000000006</v>
      </c>
      <c r="E12" s="102">
        <v>295</v>
      </c>
      <c r="F12" s="102">
        <v>103.1</v>
      </c>
      <c r="G12" s="102">
        <v>192</v>
      </c>
      <c r="H12" s="102">
        <v>104.2</v>
      </c>
      <c r="I12" s="102">
        <v>114.7</v>
      </c>
      <c r="J12" s="102">
        <v>85.4</v>
      </c>
      <c r="K12" s="102">
        <v>93</v>
      </c>
      <c r="L12" s="102">
        <v>19.3</v>
      </c>
      <c r="M12" s="102">
        <v>38.799999999999997</v>
      </c>
      <c r="N12" s="102">
        <f t="shared" si="1"/>
        <v>465.1</v>
      </c>
      <c r="O12" s="102">
        <f t="shared" si="2"/>
        <v>599.4</v>
      </c>
      <c r="P12" s="102">
        <f t="shared" si="3"/>
        <v>151.1</v>
      </c>
      <c r="Q12" s="102">
        <f t="shared" si="4"/>
        <v>1215.6000000000001</v>
      </c>
    </row>
    <row r="13" spans="1:33">
      <c r="A13" s="102">
        <v>1965</v>
      </c>
      <c r="B13" s="102">
        <v>38.9</v>
      </c>
      <c r="C13" s="102">
        <v>54</v>
      </c>
      <c r="D13" s="102">
        <v>119.4</v>
      </c>
      <c r="E13" s="102">
        <v>152.19999999999999</v>
      </c>
      <c r="F13" s="102">
        <v>275.8</v>
      </c>
      <c r="G13" s="102">
        <v>107.6</v>
      </c>
      <c r="H13" s="102">
        <v>140.6</v>
      </c>
      <c r="I13" s="102">
        <v>174.7</v>
      </c>
      <c r="J13" s="102">
        <v>38.299999999999997</v>
      </c>
      <c r="K13" s="102">
        <v>214.1</v>
      </c>
      <c r="L13" s="102">
        <v>77.7</v>
      </c>
      <c r="M13" s="102">
        <v>69.900000000000006</v>
      </c>
      <c r="N13" s="102">
        <f t="shared" si="1"/>
        <v>364.5</v>
      </c>
      <c r="O13" s="102">
        <f t="shared" si="2"/>
        <v>737</v>
      </c>
      <c r="P13" s="102">
        <f t="shared" si="3"/>
        <v>361.70000000000005</v>
      </c>
      <c r="Q13" s="102">
        <f t="shared" si="4"/>
        <v>1463.2</v>
      </c>
    </row>
    <row r="14" spans="1:33">
      <c r="A14" s="102">
        <v>1966</v>
      </c>
      <c r="B14" s="102">
        <v>24.7</v>
      </c>
      <c r="C14" s="102">
        <v>41.7</v>
      </c>
      <c r="D14" s="102">
        <v>30.3</v>
      </c>
      <c r="E14" s="102">
        <v>159.6</v>
      </c>
      <c r="F14" s="102">
        <v>203.7</v>
      </c>
      <c r="G14" s="102">
        <v>102.8</v>
      </c>
      <c r="H14" s="102">
        <v>165.3</v>
      </c>
      <c r="I14" s="102">
        <v>18.899999999999999</v>
      </c>
      <c r="J14" s="102">
        <v>24.1</v>
      </c>
      <c r="K14" s="102">
        <v>126.1</v>
      </c>
      <c r="L14" s="102">
        <v>16.7</v>
      </c>
      <c r="M14" s="102">
        <v>43.6</v>
      </c>
      <c r="N14" s="102">
        <f t="shared" si="1"/>
        <v>256.3</v>
      </c>
      <c r="O14" s="102">
        <f t="shared" si="2"/>
        <v>514.79999999999995</v>
      </c>
      <c r="P14" s="102">
        <f t="shared" si="3"/>
        <v>186.39999999999998</v>
      </c>
      <c r="Q14" s="102">
        <f t="shared" si="4"/>
        <v>957.5</v>
      </c>
    </row>
    <row r="15" spans="1:33">
      <c r="A15" s="102">
        <v>1967</v>
      </c>
      <c r="B15" s="102">
        <v>19.8</v>
      </c>
      <c r="C15" s="102">
        <v>91</v>
      </c>
      <c r="D15" s="102">
        <v>57.5</v>
      </c>
      <c r="E15" s="102">
        <v>154.4</v>
      </c>
      <c r="F15" s="102">
        <v>261.5</v>
      </c>
      <c r="G15" s="102">
        <v>250.7</v>
      </c>
      <c r="H15" s="102">
        <v>89.5</v>
      </c>
      <c r="I15" s="102">
        <v>221.4</v>
      </c>
      <c r="J15" s="102">
        <v>138.1</v>
      </c>
      <c r="K15" s="102">
        <v>61</v>
      </c>
      <c r="L15" s="102">
        <v>99.7</v>
      </c>
      <c r="M15" s="102">
        <v>32</v>
      </c>
      <c r="N15" s="102">
        <f t="shared" si="1"/>
        <v>322.70000000000005</v>
      </c>
      <c r="O15" s="102">
        <f t="shared" si="2"/>
        <v>961.2</v>
      </c>
      <c r="P15" s="102">
        <f t="shared" si="3"/>
        <v>192.7</v>
      </c>
      <c r="Q15" s="102">
        <f t="shared" si="4"/>
        <v>1476.6000000000001</v>
      </c>
    </row>
    <row r="16" spans="1:33">
      <c r="A16" s="102">
        <v>1968</v>
      </c>
      <c r="B16" s="102">
        <v>28.9</v>
      </c>
      <c r="C16" s="102">
        <v>34.1</v>
      </c>
      <c r="D16" s="102">
        <v>150.30000000000001</v>
      </c>
      <c r="E16" s="102">
        <v>162.1</v>
      </c>
      <c r="F16" s="102">
        <v>151.69999999999999</v>
      </c>
      <c r="G16" s="102">
        <v>352.8</v>
      </c>
      <c r="H16" s="102">
        <v>116.9</v>
      </c>
      <c r="I16" s="102">
        <v>127.9</v>
      </c>
      <c r="J16" s="102">
        <v>79.7</v>
      </c>
      <c r="K16" s="102">
        <v>92.9</v>
      </c>
      <c r="L16" s="102">
        <v>81.599999999999994</v>
      </c>
      <c r="M16" s="102">
        <v>45.2</v>
      </c>
      <c r="N16" s="102">
        <f t="shared" si="1"/>
        <v>375.4</v>
      </c>
      <c r="O16" s="102">
        <f t="shared" si="2"/>
        <v>829</v>
      </c>
      <c r="P16" s="102">
        <f t="shared" si="3"/>
        <v>219.7</v>
      </c>
      <c r="Q16" s="102">
        <f t="shared" si="4"/>
        <v>1424.1</v>
      </c>
    </row>
    <row r="17" spans="1:17">
      <c r="A17" s="102">
        <v>1969</v>
      </c>
      <c r="B17" s="102">
        <v>43.9</v>
      </c>
      <c r="C17" s="102">
        <v>13.9</v>
      </c>
      <c r="D17" s="102">
        <v>67.400000000000006</v>
      </c>
      <c r="E17" s="102">
        <v>74.5</v>
      </c>
      <c r="F17" s="102">
        <v>295.5</v>
      </c>
      <c r="G17" s="102">
        <v>199.4</v>
      </c>
      <c r="H17" s="102">
        <v>145</v>
      </c>
      <c r="I17" s="102">
        <v>315.60000000000002</v>
      </c>
      <c r="J17" s="102">
        <v>3.6</v>
      </c>
      <c r="K17" s="102">
        <v>167.2</v>
      </c>
      <c r="L17" s="102">
        <v>71.900000000000006</v>
      </c>
      <c r="M17" s="102">
        <v>1.5</v>
      </c>
      <c r="N17" s="102">
        <f t="shared" si="1"/>
        <v>199.7</v>
      </c>
      <c r="O17" s="102">
        <f t="shared" si="2"/>
        <v>959.1</v>
      </c>
      <c r="P17" s="102">
        <f t="shared" si="3"/>
        <v>240.6</v>
      </c>
      <c r="Q17" s="102">
        <f t="shared" si="4"/>
        <v>1399.4</v>
      </c>
    </row>
    <row r="18" spans="1:17">
      <c r="A18" s="102">
        <v>1970</v>
      </c>
      <c r="B18" s="102">
        <v>48.6</v>
      </c>
      <c r="C18" s="102">
        <v>60.3</v>
      </c>
      <c r="D18" s="102">
        <v>121.8</v>
      </c>
      <c r="E18" s="102">
        <v>103.4</v>
      </c>
      <c r="F18" s="102">
        <v>154.9</v>
      </c>
      <c r="G18" s="102">
        <v>136.19999999999999</v>
      </c>
      <c r="H18" s="102">
        <v>300.3</v>
      </c>
      <c r="I18" s="102">
        <v>101.9</v>
      </c>
      <c r="J18" s="102">
        <v>61.1</v>
      </c>
      <c r="K18" s="102">
        <v>16.7</v>
      </c>
      <c r="L18" s="102">
        <v>55.3</v>
      </c>
      <c r="M18" s="102">
        <v>66.900000000000006</v>
      </c>
      <c r="N18" s="102">
        <f t="shared" si="1"/>
        <v>334.1</v>
      </c>
      <c r="O18" s="102">
        <f t="shared" si="2"/>
        <v>754.40000000000009</v>
      </c>
      <c r="P18" s="102">
        <f t="shared" si="3"/>
        <v>138.9</v>
      </c>
      <c r="Q18" s="102">
        <f t="shared" si="4"/>
        <v>1227.4000000000001</v>
      </c>
    </row>
    <row r="19" spans="1:17">
      <c r="A19" s="102">
        <v>1971</v>
      </c>
      <c r="B19" s="102">
        <v>38.5</v>
      </c>
      <c r="C19" s="102">
        <v>60.7</v>
      </c>
      <c r="D19" s="102">
        <v>57.9</v>
      </c>
      <c r="E19" s="102">
        <v>120.1</v>
      </c>
      <c r="F19" s="102">
        <v>295.7</v>
      </c>
      <c r="G19" s="102">
        <v>176.1</v>
      </c>
      <c r="H19" s="102">
        <v>106.2</v>
      </c>
      <c r="I19" s="102">
        <v>147.4</v>
      </c>
      <c r="J19" s="102">
        <v>29.8</v>
      </c>
      <c r="K19" s="102">
        <v>74.8</v>
      </c>
      <c r="L19" s="102">
        <v>14.7</v>
      </c>
      <c r="M19" s="102">
        <v>52.3</v>
      </c>
      <c r="N19" s="102">
        <f t="shared" si="1"/>
        <v>277.2</v>
      </c>
      <c r="O19" s="102">
        <f t="shared" si="2"/>
        <v>755.19999999999993</v>
      </c>
      <c r="P19" s="102">
        <f t="shared" si="3"/>
        <v>141.80000000000001</v>
      </c>
      <c r="Q19" s="102">
        <f t="shared" si="4"/>
        <v>1174.2</v>
      </c>
    </row>
    <row r="20" spans="1:17">
      <c r="A20" s="102">
        <v>1972</v>
      </c>
      <c r="B20" s="102">
        <v>30.5</v>
      </c>
      <c r="C20" s="102">
        <v>51.3</v>
      </c>
      <c r="D20" s="102">
        <v>44.1</v>
      </c>
      <c r="E20" s="102">
        <v>156</v>
      </c>
      <c r="F20" s="102">
        <v>166.6</v>
      </c>
      <c r="G20" s="102">
        <v>82.2</v>
      </c>
      <c r="H20" s="102">
        <v>25.2</v>
      </c>
      <c r="I20" s="102">
        <v>63.7</v>
      </c>
      <c r="J20" s="102">
        <v>163.80000000000001</v>
      </c>
      <c r="K20" s="102">
        <v>147.30000000000001</v>
      </c>
      <c r="L20" s="102">
        <v>79.900000000000006</v>
      </c>
      <c r="M20" s="102">
        <v>49.3</v>
      </c>
      <c r="N20" s="102">
        <f t="shared" si="1"/>
        <v>281.89999999999998</v>
      </c>
      <c r="O20" s="102">
        <f t="shared" si="2"/>
        <v>501.5</v>
      </c>
      <c r="P20" s="102">
        <f t="shared" si="3"/>
        <v>276.5</v>
      </c>
      <c r="Q20" s="102">
        <f t="shared" si="4"/>
        <v>1059.9000000000001</v>
      </c>
    </row>
    <row r="21" spans="1:17">
      <c r="A21" s="102">
        <v>1973</v>
      </c>
      <c r="B21" s="102">
        <v>35.6</v>
      </c>
      <c r="C21" s="102">
        <v>62.1</v>
      </c>
      <c r="D21" s="102">
        <v>57.4</v>
      </c>
      <c r="E21" s="102">
        <v>173.4</v>
      </c>
      <c r="F21" s="102">
        <v>174.9</v>
      </c>
      <c r="G21" s="102">
        <v>235.2</v>
      </c>
      <c r="H21" s="102">
        <v>68.400000000000006</v>
      </c>
      <c r="I21" s="102">
        <v>169.9</v>
      </c>
      <c r="J21" s="102">
        <v>116.4</v>
      </c>
      <c r="K21" s="102">
        <v>55.5</v>
      </c>
      <c r="L21" s="102">
        <v>36.200000000000003</v>
      </c>
      <c r="M21" s="102">
        <v>6</v>
      </c>
      <c r="N21" s="102">
        <f t="shared" si="1"/>
        <v>328.5</v>
      </c>
      <c r="O21" s="102">
        <f t="shared" si="2"/>
        <v>764.8</v>
      </c>
      <c r="P21" s="102">
        <f t="shared" si="3"/>
        <v>97.7</v>
      </c>
      <c r="Q21" s="102">
        <f t="shared" si="4"/>
        <v>1191</v>
      </c>
    </row>
    <row r="22" spans="1:17">
      <c r="A22" s="102">
        <v>1974</v>
      </c>
      <c r="B22" s="102">
        <v>66.8</v>
      </c>
      <c r="C22" s="102">
        <v>22.2</v>
      </c>
      <c r="D22" s="102">
        <v>49.4</v>
      </c>
      <c r="E22" s="102">
        <v>156.9</v>
      </c>
      <c r="F22" s="102">
        <v>185.3</v>
      </c>
      <c r="G22" s="102">
        <v>261.89999999999998</v>
      </c>
      <c r="H22" s="102">
        <v>154.1</v>
      </c>
      <c r="I22" s="102">
        <v>126.6</v>
      </c>
      <c r="J22" s="102">
        <v>53.7</v>
      </c>
      <c r="K22" s="102">
        <v>40.5</v>
      </c>
      <c r="L22" s="102">
        <v>18.600000000000001</v>
      </c>
      <c r="M22" s="102">
        <v>34</v>
      </c>
      <c r="N22" s="102">
        <f t="shared" si="1"/>
        <v>295.3</v>
      </c>
      <c r="O22" s="102">
        <f t="shared" si="2"/>
        <v>781.6</v>
      </c>
      <c r="P22" s="102">
        <f t="shared" si="3"/>
        <v>93.1</v>
      </c>
      <c r="Q22" s="102">
        <f t="shared" si="4"/>
        <v>1170</v>
      </c>
    </row>
    <row r="23" spans="1:17">
      <c r="A23" s="102">
        <v>1975</v>
      </c>
      <c r="B23" s="102">
        <v>30.7</v>
      </c>
      <c r="C23" s="102">
        <v>28.5</v>
      </c>
      <c r="D23" s="102">
        <v>45.9</v>
      </c>
      <c r="E23" s="102">
        <v>172.6</v>
      </c>
      <c r="F23" s="102">
        <v>244.9</v>
      </c>
      <c r="G23" s="102">
        <v>57.3</v>
      </c>
      <c r="H23" s="102">
        <v>48.6</v>
      </c>
      <c r="I23" s="102">
        <v>156.30000000000001</v>
      </c>
      <c r="J23" s="102">
        <v>113.3</v>
      </c>
      <c r="K23" s="102">
        <v>46.2</v>
      </c>
      <c r="L23" s="102">
        <v>135.5</v>
      </c>
      <c r="M23" s="102">
        <v>13.7</v>
      </c>
      <c r="N23" s="102">
        <f t="shared" si="1"/>
        <v>277.7</v>
      </c>
      <c r="O23" s="102">
        <f t="shared" si="2"/>
        <v>620.4</v>
      </c>
      <c r="P23" s="102">
        <f t="shared" si="3"/>
        <v>195.39999999999998</v>
      </c>
      <c r="Q23" s="102">
        <f t="shared" si="4"/>
        <v>1093.5</v>
      </c>
    </row>
    <row r="24" spans="1:17">
      <c r="A24" s="102">
        <v>1976</v>
      </c>
      <c r="B24" s="102">
        <v>63.1</v>
      </c>
      <c r="C24" s="102">
        <v>31.1</v>
      </c>
      <c r="D24" s="102">
        <v>44.4</v>
      </c>
      <c r="E24" s="102">
        <v>173.6</v>
      </c>
      <c r="F24" s="102">
        <v>172.3</v>
      </c>
      <c r="G24" s="102">
        <v>126.6</v>
      </c>
      <c r="H24" s="102">
        <v>156.19999999999999</v>
      </c>
      <c r="I24" s="102">
        <v>145.30000000000001</v>
      </c>
      <c r="J24" s="102">
        <v>47</v>
      </c>
      <c r="K24" s="102">
        <v>109.1</v>
      </c>
      <c r="L24" s="102">
        <v>100.7</v>
      </c>
      <c r="M24" s="102">
        <v>34.799999999999997</v>
      </c>
      <c r="N24" s="102">
        <f t="shared" si="1"/>
        <v>312.2</v>
      </c>
      <c r="O24" s="102">
        <f t="shared" si="2"/>
        <v>647.4</v>
      </c>
      <c r="P24" s="102">
        <f t="shared" si="3"/>
        <v>244.60000000000002</v>
      </c>
      <c r="Q24" s="102">
        <f t="shared" si="4"/>
        <v>1204.1999999999998</v>
      </c>
    </row>
    <row r="25" spans="1:17">
      <c r="A25" s="102">
        <v>1977</v>
      </c>
      <c r="B25" s="102">
        <v>41.7</v>
      </c>
      <c r="C25" s="102">
        <v>48.1</v>
      </c>
      <c r="D25" s="102">
        <v>71</v>
      </c>
      <c r="E25" s="102">
        <v>172.1</v>
      </c>
      <c r="F25" s="102">
        <v>240</v>
      </c>
      <c r="G25" s="102">
        <v>152.9</v>
      </c>
      <c r="H25" s="102">
        <v>129.5</v>
      </c>
      <c r="I25" s="102">
        <v>85.8</v>
      </c>
      <c r="J25" s="102">
        <v>65.400000000000006</v>
      </c>
      <c r="K25" s="102">
        <v>107.9</v>
      </c>
      <c r="L25" s="102">
        <v>54.7</v>
      </c>
      <c r="M25" s="102">
        <v>18.3</v>
      </c>
      <c r="N25" s="102">
        <f t="shared" si="1"/>
        <v>332.9</v>
      </c>
      <c r="O25" s="102">
        <f t="shared" si="2"/>
        <v>673.59999999999991</v>
      </c>
      <c r="P25" s="102">
        <f t="shared" si="3"/>
        <v>180.90000000000003</v>
      </c>
      <c r="Q25" s="102">
        <f t="shared" si="4"/>
        <v>1187.3999999999999</v>
      </c>
    </row>
    <row r="26" spans="1:17">
      <c r="A26" s="102">
        <v>1978</v>
      </c>
      <c r="B26" s="102">
        <v>42.7</v>
      </c>
      <c r="C26" s="102">
        <v>9.3000000000000007</v>
      </c>
      <c r="D26" s="102">
        <v>48</v>
      </c>
      <c r="E26" s="102">
        <v>69.2</v>
      </c>
      <c r="F26" s="102">
        <v>291.8</v>
      </c>
      <c r="G26" s="102">
        <v>185.3</v>
      </c>
      <c r="H26" s="102">
        <v>46</v>
      </c>
      <c r="I26" s="102">
        <v>124.4</v>
      </c>
      <c r="J26" s="102">
        <v>149.19999999999999</v>
      </c>
      <c r="K26" s="102">
        <v>136.6</v>
      </c>
      <c r="L26" s="102">
        <v>104.1</v>
      </c>
      <c r="M26" s="102">
        <v>21.7</v>
      </c>
      <c r="N26" s="102">
        <f t="shared" si="1"/>
        <v>169.2</v>
      </c>
      <c r="O26" s="102">
        <f t="shared" si="2"/>
        <v>796.7</v>
      </c>
      <c r="P26" s="102">
        <f t="shared" si="3"/>
        <v>262.39999999999998</v>
      </c>
      <c r="Q26" s="102">
        <f t="shared" si="4"/>
        <v>1228.2999999999997</v>
      </c>
    </row>
    <row r="27" spans="1:17">
      <c r="A27" s="102">
        <v>1979</v>
      </c>
      <c r="B27" s="102">
        <v>27.9</v>
      </c>
      <c r="C27" s="102">
        <v>43.5</v>
      </c>
      <c r="D27" s="102">
        <v>65.400000000000006</v>
      </c>
      <c r="E27" s="102">
        <v>68.400000000000006</v>
      </c>
      <c r="F27" s="102">
        <v>104.4</v>
      </c>
      <c r="G27" s="102">
        <v>314.7</v>
      </c>
      <c r="H27" s="102">
        <v>185.2</v>
      </c>
      <c r="I27" s="102">
        <v>87.9</v>
      </c>
      <c r="J27" s="102">
        <v>48.7</v>
      </c>
      <c r="K27" s="102">
        <v>20.3</v>
      </c>
      <c r="L27" s="102">
        <v>9.9</v>
      </c>
      <c r="M27" s="102">
        <v>18.3</v>
      </c>
      <c r="N27" s="102">
        <f t="shared" si="1"/>
        <v>205.20000000000002</v>
      </c>
      <c r="O27" s="102">
        <f t="shared" si="2"/>
        <v>740.9</v>
      </c>
      <c r="P27" s="102">
        <f t="shared" si="3"/>
        <v>48.5</v>
      </c>
      <c r="Q27" s="102">
        <f t="shared" si="4"/>
        <v>994.59999999999991</v>
      </c>
    </row>
    <row r="28" spans="1:17">
      <c r="A28" s="102">
        <v>1980</v>
      </c>
      <c r="B28" s="102">
        <v>47.3</v>
      </c>
      <c r="C28" s="102">
        <v>45.7</v>
      </c>
      <c r="D28" s="102">
        <v>141.4</v>
      </c>
      <c r="E28" s="102">
        <v>150.4</v>
      </c>
      <c r="F28" s="102">
        <v>168.9</v>
      </c>
      <c r="G28" s="102">
        <v>60.2</v>
      </c>
      <c r="H28" s="102">
        <v>226.9</v>
      </c>
      <c r="I28" s="102">
        <v>121.8</v>
      </c>
      <c r="J28" s="102">
        <v>18</v>
      </c>
      <c r="K28" s="102">
        <v>125.3</v>
      </c>
      <c r="L28" s="102">
        <v>40.1</v>
      </c>
      <c r="M28" s="102">
        <v>22.9</v>
      </c>
      <c r="N28" s="102">
        <f t="shared" si="1"/>
        <v>384.8</v>
      </c>
      <c r="O28" s="102">
        <f t="shared" si="2"/>
        <v>595.79999999999995</v>
      </c>
      <c r="P28" s="102">
        <f t="shared" si="3"/>
        <v>188.3</v>
      </c>
      <c r="Q28" s="102">
        <f t="shared" si="4"/>
        <v>1168.9000000000001</v>
      </c>
    </row>
    <row r="29" spans="1:17">
      <c r="A29" s="102">
        <v>1981</v>
      </c>
      <c r="B29" s="102">
        <v>57.3</v>
      </c>
      <c r="C29" s="102">
        <v>14.6</v>
      </c>
      <c r="D29" s="102">
        <v>57.6</v>
      </c>
      <c r="E29" s="102">
        <v>155.4</v>
      </c>
      <c r="F29" s="102">
        <v>206</v>
      </c>
      <c r="G29" s="102">
        <v>124.4</v>
      </c>
      <c r="H29" s="102">
        <v>81</v>
      </c>
      <c r="I29" s="102">
        <v>8.3000000000000007</v>
      </c>
      <c r="J29" s="102">
        <v>69.5</v>
      </c>
      <c r="K29" s="102">
        <v>123.5</v>
      </c>
      <c r="L29" s="102">
        <v>98.6</v>
      </c>
      <c r="M29" s="102">
        <v>0</v>
      </c>
      <c r="N29" s="102">
        <f t="shared" si="1"/>
        <v>284.89999999999998</v>
      </c>
      <c r="O29" s="102">
        <f t="shared" si="2"/>
        <v>489.2</v>
      </c>
      <c r="P29" s="102">
        <f t="shared" si="3"/>
        <v>222.1</v>
      </c>
      <c r="Q29" s="102">
        <f t="shared" si="4"/>
        <v>996.19999999999993</v>
      </c>
    </row>
    <row r="30" spans="1:17">
      <c r="A30" s="102">
        <v>1982</v>
      </c>
      <c r="B30" s="102">
        <v>40.5</v>
      </c>
      <c r="C30" s="102">
        <v>93.4</v>
      </c>
      <c r="D30" s="102">
        <v>47</v>
      </c>
      <c r="E30" s="102">
        <v>94.9</v>
      </c>
      <c r="F30" s="102">
        <v>261.39999999999998</v>
      </c>
      <c r="G30" s="102">
        <v>177.8</v>
      </c>
      <c r="H30" s="102">
        <v>67.8</v>
      </c>
      <c r="I30" s="102">
        <v>149.19999999999999</v>
      </c>
      <c r="J30" s="102">
        <v>185.6</v>
      </c>
      <c r="K30" s="102">
        <v>95.2</v>
      </c>
      <c r="L30" s="102">
        <v>106</v>
      </c>
      <c r="M30" s="102">
        <v>33.700000000000003</v>
      </c>
      <c r="N30" s="102">
        <f t="shared" si="1"/>
        <v>275.8</v>
      </c>
      <c r="O30" s="102">
        <f t="shared" si="2"/>
        <v>841.80000000000007</v>
      </c>
      <c r="P30" s="102">
        <f t="shared" si="3"/>
        <v>234.89999999999998</v>
      </c>
      <c r="Q30" s="102">
        <f t="shared" si="4"/>
        <v>1352.5</v>
      </c>
    </row>
    <row r="31" spans="1:17">
      <c r="A31" s="102">
        <v>1983</v>
      </c>
      <c r="B31" s="102">
        <v>122.1</v>
      </c>
      <c r="C31" s="102">
        <v>61.2</v>
      </c>
      <c r="D31" s="102">
        <v>45.5</v>
      </c>
      <c r="E31" s="102">
        <v>146.80000000000001</v>
      </c>
      <c r="F31" s="102">
        <v>150.4</v>
      </c>
      <c r="G31" s="102">
        <v>146.1</v>
      </c>
      <c r="H31" s="102">
        <v>40.1</v>
      </c>
      <c r="I31" s="102">
        <v>69.7</v>
      </c>
      <c r="J31" s="102">
        <v>56.6</v>
      </c>
      <c r="K31" s="102">
        <v>78.7</v>
      </c>
      <c r="L31" s="102">
        <v>64.099999999999994</v>
      </c>
      <c r="M31" s="102">
        <v>49.9</v>
      </c>
      <c r="N31" s="102">
        <f t="shared" si="1"/>
        <v>375.6</v>
      </c>
      <c r="O31" s="102">
        <f t="shared" si="2"/>
        <v>462.90000000000003</v>
      </c>
      <c r="P31" s="102">
        <f t="shared" si="3"/>
        <v>192.70000000000002</v>
      </c>
      <c r="Q31" s="102">
        <f t="shared" si="4"/>
        <v>1031.2000000000003</v>
      </c>
    </row>
    <row r="32" spans="1:17">
      <c r="A32" s="102">
        <v>1984</v>
      </c>
      <c r="B32" s="102">
        <v>33.200000000000003</v>
      </c>
      <c r="C32" s="102">
        <v>28.1</v>
      </c>
      <c r="D32" s="102">
        <v>70</v>
      </c>
      <c r="E32" s="102">
        <v>126.5</v>
      </c>
      <c r="F32" s="102">
        <v>306.60000000000002</v>
      </c>
      <c r="G32" s="102">
        <v>125.3</v>
      </c>
      <c r="H32" s="102">
        <v>79.2</v>
      </c>
      <c r="I32" s="102">
        <v>115.1</v>
      </c>
      <c r="J32" s="102">
        <v>48.5</v>
      </c>
      <c r="K32" s="102">
        <v>73.099999999999994</v>
      </c>
      <c r="L32" s="102">
        <v>37.6</v>
      </c>
      <c r="M32" s="102">
        <v>79.2</v>
      </c>
      <c r="N32" s="102">
        <f t="shared" si="1"/>
        <v>257.8</v>
      </c>
      <c r="O32" s="102">
        <f t="shared" si="2"/>
        <v>674.7</v>
      </c>
      <c r="P32" s="102">
        <f t="shared" si="3"/>
        <v>189.89999999999998</v>
      </c>
      <c r="Q32" s="102">
        <f t="shared" si="4"/>
        <v>1122.4000000000001</v>
      </c>
    </row>
    <row r="33" spans="1:17">
      <c r="A33" s="102">
        <v>1985</v>
      </c>
      <c r="B33" s="102">
        <v>18.399999999999999</v>
      </c>
      <c r="C33" s="102">
        <v>48.5</v>
      </c>
      <c r="D33" s="102">
        <v>81.8</v>
      </c>
      <c r="E33" s="102">
        <v>57</v>
      </c>
      <c r="F33" s="102">
        <v>201.4</v>
      </c>
      <c r="G33" s="102">
        <v>70.3</v>
      </c>
      <c r="H33" s="102">
        <v>102.5</v>
      </c>
      <c r="I33" s="102">
        <v>115.5</v>
      </c>
      <c r="J33" s="102">
        <v>21.1</v>
      </c>
      <c r="K33" s="102">
        <v>92.4</v>
      </c>
      <c r="L33" s="102">
        <v>68.7</v>
      </c>
      <c r="M33" s="102">
        <v>30.3</v>
      </c>
      <c r="N33" s="102">
        <f t="shared" si="1"/>
        <v>205.7</v>
      </c>
      <c r="O33" s="102">
        <f t="shared" si="2"/>
        <v>510.8</v>
      </c>
      <c r="P33" s="102">
        <f t="shared" si="3"/>
        <v>191.40000000000003</v>
      </c>
      <c r="Q33" s="102">
        <f t="shared" si="4"/>
        <v>907.90000000000009</v>
      </c>
    </row>
    <row r="34" spans="1:17">
      <c r="A34" s="102">
        <v>1986</v>
      </c>
      <c r="B34" s="102">
        <v>32</v>
      </c>
      <c r="C34" s="102">
        <v>38</v>
      </c>
      <c r="D34" s="102">
        <v>54</v>
      </c>
      <c r="E34" s="102">
        <v>39.5</v>
      </c>
      <c r="F34" s="102">
        <v>156.6</v>
      </c>
      <c r="G34" s="102">
        <v>189.8</v>
      </c>
      <c r="H34" s="102">
        <v>339.3</v>
      </c>
      <c r="I34" s="102">
        <v>144.69999999999999</v>
      </c>
      <c r="J34" s="102">
        <v>13.5</v>
      </c>
      <c r="K34" s="102">
        <v>103.6</v>
      </c>
      <c r="L34" s="102">
        <v>24.7</v>
      </c>
      <c r="M34" s="102">
        <v>8.3000000000000007</v>
      </c>
      <c r="N34" s="102">
        <f t="shared" si="1"/>
        <v>163.5</v>
      </c>
      <c r="O34" s="102">
        <f t="shared" si="2"/>
        <v>843.90000000000009</v>
      </c>
      <c r="P34" s="102">
        <f t="shared" si="3"/>
        <v>136.6</v>
      </c>
      <c r="Q34" s="102">
        <f t="shared" si="4"/>
        <v>1144</v>
      </c>
    </row>
    <row r="35" spans="1:17">
      <c r="A35" s="102">
        <v>1987</v>
      </c>
      <c r="B35" s="102">
        <v>34</v>
      </c>
      <c r="C35" s="102">
        <v>26.9</v>
      </c>
      <c r="D35" s="102">
        <v>60.4</v>
      </c>
      <c r="E35" s="102">
        <v>47.8</v>
      </c>
      <c r="F35" s="102">
        <v>233.3</v>
      </c>
      <c r="G35" s="102">
        <v>276.3</v>
      </c>
      <c r="H35" s="102">
        <v>86</v>
      </c>
      <c r="I35" s="102">
        <v>128.1</v>
      </c>
      <c r="J35" s="102">
        <v>101.3</v>
      </c>
      <c r="K35" s="102">
        <v>99.7</v>
      </c>
      <c r="L35" s="102">
        <v>102.1</v>
      </c>
      <c r="M35" s="102">
        <v>12.7</v>
      </c>
      <c r="N35" s="102">
        <f t="shared" si="1"/>
        <v>169.1</v>
      </c>
      <c r="O35" s="102">
        <f t="shared" si="2"/>
        <v>825</v>
      </c>
      <c r="P35" s="102">
        <f t="shared" si="3"/>
        <v>214.5</v>
      </c>
      <c r="Q35" s="102">
        <f t="shared" si="4"/>
        <v>1208.5999999999999</v>
      </c>
    </row>
    <row r="36" spans="1:17">
      <c r="A36" s="102">
        <v>1988</v>
      </c>
      <c r="B36" s="102">
        <v>44.9</v>
      </c>
      <c r="C36" s="102">
        <v>47.8</v>
      </c>
      <c r="D36" s="102">
        <v>51</v>
      </c>
      <c r="E36" s="102">
        <v>45.5</v>
      </c>
      <c r="F36" s="102">
        <v>79.2</v>
      </c>
      <c r="G36" s="102">
        <v>229.6</v>
      </c>
      <c r="H36" s="102">
        <v>75.900000000000006</v>
      </c>
      <c r="I36" s="102">
        <v>301</v>
      </c>
      <c r="J36" s="102">
        <v>141.1</v>
      </c>
      <c r="K36" s="102">
        <v>61.7</v>
      </c>
      <c r="L36" s="102">
        <v>5.3</v>
      </c>
      <c r="M36" s="102">
        <v>16.899999999999999</v>
      </c>
      <c r="N36" s="102">
        <f t="shared" si="1"/>
        <v>189.2</v>
      </c>
      <c r="O36" s="102">
        <f t="shared" si="2"/>
        <v>826.80000000000007</v>
      </c>
      <c r="P36" s="102">
        <f t="shared" si="3"/>
        <v>83.9</v>
      </c>
      <c r="Q36" s="102">
        <f t="shared" si="4"/>
        <v>1099.9000000000001</v>
      </c>
    </row>
    <row r="37" spans="1:17">
      <c r="A37" s="102">
        <v>1989</v>
      </c>
      <c r="B37" s="102">
        <v>37.799999999999997</v>
      </c>
      <c r="C37" s="102">
        <v>67.900000000000006</v>
      </c>
      <c r="D37" s="102">
        <v>68.3</v>
      </c>
      <c r="E37" s="102">
        <v>163.1</v>
      </c>
      <c r="F37" s="102">
        <v>97.8</v>
      </c>
      <c r="G37" s="102">
        <v>134</v>
      </c>
      <c r="H37" s="102">
        <v>76</v>
      </c>
      <c r="I37" s="102">
        <v>85.8</v>
      </c>
      <c r="J37" s="102">
        <v>91.3</v>
      </c>
      <c r="K37" s="102">
        <v>73.5</v>
      </c>
      <c r="L37" s="102">
        <v>51.4</v>
      </c>
      <c r="M37" s="102">
        <v>37</v>
      </c>
      <c r="N37" s="102">
        <f t="shared" si="1"/>
        <v>337.1</v>
      </c>
      <c r="O37" s="102">
        <f t="shared" si="2"/>
        <v>484.90000000000003</v>
      </c>
      <c r="P37" s="102">
        <f t="shared" si="3"/>
        <v>161.9</v>
      </c>
      <c r="Q37" s="102">
        <f t="shared" si="4"/>
        <v>983.9</v>
      </c>
    </row>
    <row r="38" spans="1:17">
      <c r="A38" s="102">
        <v>1990</v>
      </c>
      <c r="B38" s="102">
        <v>63.8</v>
      </c>
      <c r="C38" s="102">
        <v>72.099999999999994</v>
      </c>
      <c r="D38" s="102">
        <v>89.5</v>
      </c>
      <c r="E38" s="102">
        <v>107</v>
      </c>
      <c r="F38" s="102">
        <v>170.2</v>
      </c>
      <c r="G38" s="102">
        <v>206.1</v>
      </c>
      <c r="H38" s="102">
        <v>83.9</v>
      </c>
      <c r="I38" s="102">
        <v>100.4</v>
      </c>
      <c r="J38" s="102">
        <v>211</v>
      </c>
      <c r="K38" s="102">
        <v>142.1</v>
      </c>
      <c r="L38" s="102">
        <v>40.6</v>
      </c>
      <c r="M38" s="102">
        <v>20.7</v>
      </c>
      <c r="N38" s="102">
        <f t="shared" si="1"/>
        <v>332.4</v>
      </c>
      <c r="O38" s="102">
        <f t="shared" si="2"/>
        <v>771.59999999999991</v>
      </c>
      <c r="P38" s="102">
        <f t="shared" si="3"/>
        <v>203.39999999999998</v>
      </c>
      <c r="Q38" s="102">
        <f t="shared" si="4"/>
        <v>1307.3999999999999</v>
      </c>
    </row>
    <row r="39" spans="1:17">
      <c r="A39" s="102">
        <v>1991</v>
      </c>
      <c r="B39" s="102">
        <v>98.8</v>
      </c>
      <c r="C39" s="102">
        <v>57.3</v>
      </c>
      <c r="D39" s="102">
        <v>131.6</v>
      </c>
      <c r="E39" s="102">
        <v>78.8</v>
      </c>
      <c r="F39" s="102">
        <v>173.6</v>
      </c>
      <c r="G39" s="102">
        <v>174.8</v>
      </c>
      <c r="H39" s="102">
        <v>277.7</v>
      </c>
      <c r="I39" s="102">
        <v>82.9</v>
      </c>
      <c r="J39" s="102">
        <v>69</v>
      </c>
      <c r="K39" s="102">
        <v>77.099999999999994</v>
      </c>
      <c r="L39" s="102">
        <v>89.5</v>
      </c>
      <c r="M39" s="102">
        <v>43.4</v>
      </c>
      <c r="N39" s="102">
        <f t="shared" si="1"/>
        <v>366.5</v>
      </c>
      <c r="O39" s="102">
        <f t="shared" si="2"/>
        <v>777.99999999999989</v>
      </c>
      <c r="P39" s="102">
        <f t="shared" si="3"/>
        <v>210</v>
      </c>
      <c r="Q39" s="102">
        <f t="shared" si="4"/>
        <v>1354.5000000000002</v>
      </c>
    </row>
    <row r="40" spans="1:17">
      <c r="A40" s="102">
        <v>1992</v>
      </c>
      <c r="B40" s="102">
        <v>15.9</v>
      </c>
      <c r="C40" s="102">
        <v>55.1</v>
      </c>
      <c r="D40" s="102">
        <v>169.5</v>
      </c>
      <c r="E40" s="102">
        <v>149.69999999999999</v>
      </c>
      <c r="F40" s="102">
        <v>249.1</v>
      </c>
      <c r="G40" s="102">
        <v>183.9</v>
      </c>
      <c r="H40" s="102">
        <v>119.1</v>
      </c>
      <c r="I40" s="102">
        <v>57.9</v>
      </c>
      <c r="J40" s="102">
        <v>49.6</v>
      </c>
      <c r="K40" s="102">
        <v>26.6</v>
      </c>
      <c r="L40" s="102">
        <v>9.4</v>
      </c>
      <c r="M40" s="102">
        <v>58</v>
      </c>
      <c r="N40" s="102">
        <f t="shared" si="1"/>
        <v>390.2</v>
      </c>
      <c r="O40" s="102">
        <f t="shared" si="2"/>
        <v>659.6</v>
      </c>
      <c r="P40" s="102">
        <f t="shared" si="3"/>
        <v>94</v>
      </c>
      <c r="Q40" s="102">
        <f t="shared" si="4"/>
        <v>1143.8</v>
      </c>
    </row>
    <row r="41" spans="1:17">
      <c r="A41" s="102">
        <v>1993</v>
      </c>
      <c r="B41" s="102">
        <v>62.3</v>
      </c>
      <c r="C41" s="102">
        <v>72.400000000000006</v>
      </c>
      <c r="D41" s="102">
        <v>102</v>
      </c>
      <c r="E41" s="102">
        <v>59.1</v>
      </c>
      <c r="F41" s="102">
        <v>167.4</v>
      </c>
      <c r="G41" s="102">
        <v>182.8</v>
      </c>
      <c r="H41" s="102">
        <v>304.3</v>
      </c>
      <c r="I41" s="102">
        <v>136.69999999999999</v>
      </c>
      <c r="J41" s="102">
        <v>64.3</v>
      </c>
      <c r="K41" s="102">
        <v>61.6</v>
      </c>
      <c r="L41" s="102">
        <v>53.1</v>
      </c>
      <c r="M41" s="102">
        <v>37.1</v>
      </c>
      <c r="N41" s="102">
        <f t="shared" si="1"/>
        <v>295.8</v>
      </c>
      <c r="O41" s="102">
        <f t="shared" si="2"/>
        <v>855.5</v>
      </c>
      <c r="P41" s="102">
        <f t="shared" si="3"/>
        <v>151.80000000000001</v>
      </c>
      <c r="Q41" s="102">
        <f t="shared" si="4"/>
        <v>1303.0999999999997</v>
      </c>
    </row>
    <row r="42" spans="1:17">
      <c r="A42" s="102">
        <v>1994</v>
      </c>
      <c r="B42" s="102">
        <v>27.2</v>
      </c>
      <c r="C42" s="102">
        <v>46.7</v>
      </c>
      <c r="D42" s="102">
        <v>79.900000000000006</v>
      </c>
      <c r="E42" s="102">
        <v>176.2</v>
      </c>
      <c r="F42" s="102">
        <v>99.5</v>
      </c>
      <c r="G42" s="102">
        <v>126.3</v>
      </c>
      <c r="H42" s="102">
        <v>170.1</v>
      </c>
      <c r="I42" s="102">
        <v>72.900000000000006</v>
      </c>
      <c r="J42" s="102">
        <v>115.1</v>
      </c>
      <c r="K42" s="102">
        <v>253.3</v>
      </c>
      <c r="L42" s="102">
        <v>82.5</v>
      </c>
      <c r="M42" s="102">
        <v>55.1</v>
      </c>
      <c r="N42" s="102">
        <f t="shared" si="1"/>
        <v>330</v>
      </c>
      <c r="O42" s="102">
        <f t="shared" si="2"/>
        <v>583.9</v>
      </c>
      <c r="P42" s="102">
        <f t="shared" si="3"/>
        <v>390.90000000000003</v>
      </c>
      <c r="Q42" s="102">
        <f t="shared" si="4"/>
        <v>1304.8</v>
      </c>
    </row>
    <row r="43" spans="1:17">
      <c r="A43" s="102">
        <v>1995</v>
      </c>
      <c r="B43" s="102">
        <v>42.1</v>
      </c>
      <c r="C43" s="102">
        <v>78.8</v>
      </c>
      <c r="D43" s="102">
        <v>52.3</v>
      </c>
      <c r="E43" s="102">
        <v>104.7</v>
      </c>
      <c r="F43" s="102">
        <v>188.2</v>
      </c>
      <c r="G43" s="102">
        <v>287.8</v>
      </c>
      <c r="H43" s="102">
        <v>58.4</v>
      </c>
      <c r="I43" s="102">
        <v>89.9</v>
      </c>
      <c r="J43" s="102">
        <v>74</v>
      </c>
      <c r="K43" s="102">
        <v>26</v>
      </c>
      <c r="L43" s="102">
        <v>52.1</v>
      </c>
      <c r="M43" s="102">
        <v>11.4</v>
      </c>
      <c r="N43" s="102">
        <f t="shared" si="1"/>
        <v>277.89999999999998</v>
      </c>
      <c r="O43" s="102">
        <f t="shared" si="2"/>
        <v>698.3</v>
      </c>
      <c r="P43" s="102">
        <f t="shared" si="3"/>
        <v>89.5</v>
      </c>
      <c r="Q43" s="102">
        <f t="shared" si="4"/>
        <v>1065.7</v>
      </c>
    </row>
    <row r="44" spans="1:17">
      <c r="A44" s="102">
        <v>1996</v>
      </c>
      <c r="B44" s="102">
        <v>36.6</v>
      </c>
      <c r="C44" s="102">
        <v>7.9</v>
      </c>
      <c r="D44" s="102">
        <v>122.6</v>
      </c>
      <c r="E44" s="102">
        <v>68</v>
      </c>
      <c r="F44" s="102">
        <v>134</v>
      </c>
      <c r="G44" s="102">
        <v>117.4</v>
      </c>
      <c r="H44" s="102">
        <v>335.3</v>
      </c>
      <c r="I44" s="102">
        <v>114.5</v>
      </c>
      <c r="J44" s="102">
        <v>3.3</v>
      </c>
      <c r="K44" s="102">
        <v>101</v>
      </c>
      <c r="L44" s="102">
        <v>21.1</v>
      </c>
      <c r="M44" s="102">
        <v>24.1</v>
      </c>
      <c r="N44" s="102">
        <f t="shared" si="1"/>
        <v>235.1</v>
      </c>
      <c r="O44" s="102">
        <f t="shared" si="2"/>
        <v>704.5</v>
      </c>
      <c r="P44" s="102">
        <f t="shared" si="3"/>
        <v>146.19999999999999</v>
      </c>
      <c r="Q44" s="102">
        <f t="shared" si="4"/>
        <v>1085.7999999999997</v>
      </c>
    </row>
    <row r="45" spans="1:17">
      <c r="A45" s="102">
        <v>1997</v>
      </c>
      <c r="B45" s="102">
        <v>73</v>
      </c>
      <c r="C45" s="102">
        <v>59.4</v>
      </c>
      <c r="D45" s="102">
        <v>94.5</v>
      </c>
      <c r="E45" s="102">
        <v>141.9</v>
      </c>
      <c r="F45" s="102">
        <v>202.4</v>
      </c>
      <c r="G45" s="102">
        <v>184.2</v>
      </c>
      <c r="H45" s="102">
        <v>232.6</v>
      </c>
      <c r="I45" s="102">
        <v>62.6</v>
      </c>
      <c r="J45" s="102">
        <v>214.5</v>
      </c>
      <c r="K45" s="102">
        <v>218.7</v>
      </c>
      <c r="L45" s="102">
        <v>79.5</v>
      </c>
      <c r="M45" s="102">
        <v>45.9</v>
      </c>
      <c r="N45" s="102">
        <f t="shared" si="1"/>
        <v>368.8</v>
      </c>
      <c r="O45" s="102">
        <f t="shared" si="2"/>
        <v>896.30000000000007</v>
      </c>
      <c r="P45" s="102">
        <f t="shared" si="3"/>
        <v>344.09999999999997</v>
      </c>
      <c r="Q45" s="102">
        <f t="shared" si="4"/>
        <v>1609.2000000000003</v>
      </c>
    </row>
    <row r="46" spans="1:17">
      <c r="A46" s="102">
        <v>1998</v>
      </c>
      <c r="B46" s="102">
        <v>60.8</v>
      </c>
      <c r="C46" s="102">
        <v>41.6</v>
      </c>
      <c r="D46" s="102">
        <v>60.9</v>
      </c>
      <c r="E46" s="102">
        <v>119.3</v>
      </c>
      <c r="F46" s="102">
        <v>146.80000000000001</v>
      </c>
      <c r="G46" s="102">
        <v>221.8</v>
      </c>
      <c r="H46" s="102">
        <v>248.8</v>
      </c>
      <c r="I46" s="102">
        <v>120.2</v>
      </c>
      <c r="J46" s="102">
        <v>52.7</v>
      </c>
      <c r="K46" s="102">
        <v>123.6</v>
      </c>
      <c r="L46" s="102">
        <v>26.1</v>
      </c>
      <c r="M46" s="102">
        <v>24.1</v>
      </c>
      <c r="N46" s="102">
        <f t="shared" si="1"/>
        <v>282.60000000000002</v>
      </c>
      <c r="O46" s="102">
        <f t="shared" si="2"/>
        <v>790.30000000000018</v>
      </c>
      <c r="P46" s="102">
        <f t="shared" si="3"/>
        <v>173.79999999999998</v>
      </c>
      <c r="Q46" s="102">
        <f t="shared" si="4"/>
        <v>1246.6999999999998</v>
      </c>
    </row>
    <row r="47" spans="1:17">
      <c r="A47" s="102">
        <v>1999</v>
      </c>
      <c r="B47" s="102">
        <v>32.9</v>
      </c>
      <c r="C47" s="102">
        <v>24.9</v>
      </c>
      <c r="D47" s="102">
        <v>69.400000000000006</v>
      </c>
      <c r="E47" s="102">
        <v>160.9</v>
      </c>
      <c r="F47" s="102">
        <v>208</v>
      </c>
      <c r="G47" s="102">
        <v>191.5</v>
      </c>
      <c r="H47" s="102">
        <v>193.3</v>
      </c>
      <c r="I47" s="102">
        <v>95.7</v>
      </c>
      <c r="J47" s="102">
        <v>33.700000000000003</v>
      </c>
      <c r="K47" s="102">
        <v>68.900000000000006</v>
      </c>
      <c r="L47" s="102">
        <v>56</v>
      </c>
      <c r="M47" s="102">
        <v>0</v>
      </c>
      <c r="N47" s="102">
        <f t="shared" si="1"/>
        <v>288.10000000000002</v>
      </c>
      <c r="O47" s="102">
        <f t="shared" si="2"/>
        <v>722.2</v>
      </c>
      <c r="P47" s="102">
        <f t="shared" si="3"/>
        <v>124.9</v>
      </c>
      <c r="Q47" s="102">
        <f t="shared" si="4"/>
        <v>1135.2000000000003</v>
      </c>
    </row>
    <row r="48" spans="1:17">
      <c r="A48" s="102">
        <v>2000</v>
      </c>
      <c r="B48" s="102">
        <v>38.9</v>
      </c>
      <c r="C48" s="102">
        <v>35.1</v>
      </c>
      <c r="D48" s="102">
        <v>151</v>
      </c>
      <c r="E48" s="102">
        <v>111.8</v>
      </c>
      <c r="F48" s="102">
        <v>95.3</v>
      </c>
      <c r="G48" s="102">
        <v>215.8</v>
      </c>
      <c r="H48" s="102">
        <v>140.19999999999999</v>
      </c>
      <c r="I48" s="102">
        <v>356.5</v>
      </c>
      <c r="J48" s="102">
        <v>59.2</v>
      </c>
      <c r="K48" s="102">
        <v>127.3</v>
      </c>
      <c r="L48" s="102">
        <v>45.7</v>
      </c>
      <c r="M48" s="102">
        <v>23</v>
      </c>
      <c r="N48" s="102">
        <f t="shared" si="1"/>
        <v>336.8</v>
      </c>
      <c r="O48" s="102">
        <f t="shared" si="2"/>
        <v>867</v>
      </c>
      <c r="P48" s="102">
        <f t="shared" si="3"/>
        <v>196</v>
      </c>
      <c r="Q48" s="102">
        <f t="shared" si="4"/>
        <v>1399.8000000000002</v>
      </c>
    </row>
    <row r="49" spans="1:33">
      <c r="A49" s="102">
        <v>2001</v>
      </c>
      <c r="B49" s="102">
        <v>41.7</v>
      </c>
      <c r="C49" s="102">
        <v>27.2</v>
      </c>
      <c r="D49" s="102">
        <v>58.1</v>
      </c>
      <c r="E49" s="102">
        <v>98.4</v>
      </c>
      <c r="F49" s="102">
        <v>205.6</v>
      </c>
      <c r="G49" s="102">
        <v>155.69999999999999</v>
      </c>
      <c r="H49" s="102">
        <v>98.5</v>
      </c>
      <c r="I49" s="102">
        <v>115.6</v>
      </c>
      <c r="J49" s="102">
        <v>16.5</v>
      </c>
      <c r="K49" s="102">
        <v>76.7</v>
      </c>
      <c r="L49" s="102">
        <v>56.4</v>
      </c>
      <c r="M49" s="102">
        <v>24.4</v>
      </c>
      <c r="N49" s="102">
        <f t="shared" si="1"/>
        <v>225.4</v>
      </c>
      <c r="O49" s="102">
        <f t="shared" si="2"/>
        <v>591.9</v>
      </c>
      <c r="P49" s="102">
        <f t="shared" si="3"/>
        <v>157.5</v>
      </c>
      <c r="Q49" s="102">
        <f t="shared" si="4"/>
        <v>974.80000000000007</v>
      </c>
    </row>
    <row r="50" spans="1:33">
      <c r="A50" s="102">
        <v>2002</v>
      </c>
      <c r="B50" s="102">
        <v>19.5</v>
      </c>
      <c r="C50" s="102">
        <v>28.7</v>
      </c>
      <c r="D50" s="102">
        <v>53.7</v>
      </c>
      <c r="E50" s="102">
        <v>139.30000000000001</v>
      </c>
      <c r="F50" s="102">
        <v>256</v>
      </c>
      <c r="G50" s="102">
        <v>244.6</v>
      </c>
      <c r="H50" s="102">
        <v>149.30000000000001</v>
      </c>
      <c r="I50" s="102">
        <v>195.4</v>
      </c>
      <c r="J50" s="102">
        <v>37.299999999999997</v>
      </c>
      <c r="K50" s="102">
        <v>137.19999999999999</v>
      </c>
      <c r="L50" s="102">
        <v>24.6</v>
      </c>
      <c r="M50" s="102">
        <v>96.1</v>
      </c>
      <c r="N50" s="102">
        <f t="shared" si="1"/>
        <v>241.20000000000002</v>
      </c>
      <c r="O50" s="102">
        <f t="shared" si="2"/>
        <v>882.6</v>
      </c>
      <c r="P50" s="102">
        <f t="shared" si="3"/>
        <v>257.89999999999998</v>
      </c>
      <c r="Q50" s="102">
        <f t="shared" si="4"/>
        <v>1381.7</v>
      </c>
    </row>
    <row r="51" spans="1:33">
      <c r="A51" s="102">
        <v>2003</v>
      </c>
      <c r="B51" s="102">
        <v>72.599999999999994</v>
      </c>
      <c r="C51" s="102">
        <v>29.3</v>
      </c>
      <c r="D51" s="102">
        <v>65.599999999999994</v>
      </c>
      <c r="E51" s="102">
        <v>190.6</v>
      </c>
      <c r="F51" s="102">
        <v>241.2</v>
      </c>
      <c r="G51" s="102">
        <v>255.9</v>
      </c>
      <c r="H51" s="102">
        <v>45.5</v>
      </c>
      <c r="I51" s="102">
        <v>48.2</v>
      </c>
      <c r="J51" s="102">
        <v>63.5</v>
      </c>
      <c r="K51" s="102">
        <v>97.4</v>
      </c>
      <c r="L51" s="102">
        <v>17.399999999999999</v>
      </c>
      <c r="M51" s="102">
        <v>35</v>
      </c>
      <c r="N51" s="102">
        <f t="shared" si="1"/>
        <v>358.1</v>
      </c>
      <c r="O51" s="102">
        <f t="shared" si="2"/>
        <v>654.30000000000007</v>
      </c>
      <c r="P51" s="102">
        <f t="shared" si="3"/>
        <v>149.80000000000001</v>
      </c>
      <c r="Q51" s="102">
        <f t="shared" si="4"/>
        <v>1162.2</v>
      </c>
    </row>
    <row r="52" spans="1:33">
      <c r="A52" s="102">
        <v>2004</v>
      </c>
      <c r="B52" s="103">
        <v>43.5</v>
      </c>
      <c r="C52" s="103">
        <v>89.4</v>
      </c>
      <c r="D52" s="103">
        <v>99.9</v>
      </c>
      <c r="E52" s="103">
        <v>73.3</v>
      </c>
      <c r="F52" s="103">
        <v>120.5</v>
      </c>
      <c r="G52" s="103">
        <v>121.5</v>
      </c>
      <c r="H52" s="103">
        <v>343</v>
      </c>
      <c r="I52" s="103">
        <v>87</v>
      </c>
      <c r="J52" s="103">
        <v>68.7</v>
      </c>
      <c r="K52" s="103">
        <v>29.8</v>
      </c>
      <c r="L52" s="103">
        <v>96</v>
      </c>
      <c r="M52" s="103">
        <v>56.7</v>
      </c>
      <c r="N52" s="102">
        <f t="shared" si="1"/>
        <v>306.10000000000002</v>
      </c>
      <c r="O52" s="102">
        <f t="shared" si="2"/>
        <v>740.7</v>
      </c>
      <c r="P52" s="102">
        <f t="shared" si="3"/>
        <v>182.5</v>
      </c>
      <c r="Q52" s="102">
        <f t="shared" si="4"/>
        <v>1229.3</v>
      </c>
    </row>
    <row r="53" spans="1:33">
      <c r="A53" s="102">
        <v>2005</v>
      </c>
      <c r="B53" s="102">
        <v>56.5</v>
      </c>
      <c r="C53" s="102">
        <v>77.8</v>
      </c>
      <c r="D53" s="102">
        <v>53.5</v>
      </c>
      <c r="E53" s="102">
        <v>51.6</v>
      </c>
      <c r="F53" s="102">
        <v>171</v>
      </c>
      <c r="G53" s="102">
        <v>142.4</v>
      </c>
      <c r="H53" s="102">
        <v>72.099999999999994</v>
      </c>
      <c r="I53" s="102">
        <v>115.8</v>
      </c>
      <c r="J53" s="102">
        <v>0</v>
      </c>
      <c r="K53" s="102">
        <v>63.3</v>
      </c>
      <c r="L53" s="104">
        <v>40.9</v>
      </c>
      <c r="M53" s="104">
        <v>21.2</v>
      </c>
      <c r="N53" s="102">
        <f t="shared" si="1"/>
        <v>239.4</v>
      </c>
      <c r="O53" s="102">
        <f t="shared" si="2"/>
        <v>501.3</v>
      </c>
      <c r="P53" s="102">
        <f t="shared" si="3"/>
        <v>125.39999999999999</v>
      </c>
      <c r="Q53" s="102">
        <f t="shared" si="4"/>
        <v>866.09999999999991</v>
      </c>
    </row>
    <row r="54" spans="1:33">
      <c r="A54" s="102">
        <v>2006</v>
      </c>
      <c r="B54" s="102">
        <v>38.5</v>
      </c>
      <c r="C54" s="102">
        <v>93.8</v>
      </c>
      <c r="D54" s="102">
        <v>58.9</v>
      </c>
      <c r="E54" s="102">
        <v>108.5</v>
      </c>
      <c r="F54" s="102">
        <v>158.6</v>
      </c>
      <c r="G54" s="102">
        <v>192</v>
      </c>
      <c r="H54" s="102">
        <v>171.3</v>
      </c>
      <c r="I54" s="102">
        <v>183.8</v>
      </c>
      <c r="J54" s="102">
        <v>66.5</v>
      </c>
      <c r="K54" s="102">
        <v>91</v>
      </c>
      <c r="L54" s="102">
        <v>93.5</v>
      </c>
      <c r="M54" s="102">
        <v>21</v>
      </c>
      <c r="N54" s="102">
        <f t="shared" si="1"/>
        <v>299.70000000000005</v>
      </c>
      <c r="O54" s="102">
        <f t="shared" si="2"/>
        <v>772.2</v>
      </c>
      <c r="P54" s="102">
        <f t="shared" si="3"/>
        <v>205.5</v>
      </c>
      <c r="Q54" s="102">
        <f t="shared" si="4"/>
        <v>1277.4000000000001</v>
      </c>
    </row>
    <row r="55" spans="1:33">
      <c r="A55" s="102">
        <v>2007</v>
      </c>
      <c r="B55" s="102">
        <v>43.9</v>
      </c>
      <c r="C55" s="102">
        <v>29.2</v>
      </c>
      <c r="D55" s="102">
        <v>50.7</v>
      </c>
      <c r="E55" s="102">
        <v>99.8</v>
      </c>
      <c r="F55" s="102">
        <v>105</v>
      </c>
      <c r="G55" s="102">
        <v>115.4</v>
      </c>
      <c r="H55" s="102">
        <v>271.39999999999998</v>
      </c>
      <c r="I55" s="102">
        <v>103.2</v>
      </c>
      <c r="J55" s="102">
        <v>91.2</v>
      </c>
      <c r="K55" s="102">
        <v>39.799999999999997</v>
      </c>
      <c r="L55" s="102">
        <v>0.8</v>
      </c>
      <c r="M55" s="102">
        <v>27.2</v>
      </c>
      <c r="N55" s="102">
        <f t="shared" si="1"/>
        <v>223.6</v>
      </c>
      <c r="O55" s="102">
        <f t="shared" si="2"/>
        <v>686.2</v>
      </c>
      <c r="P55" s="102">
        <f t="shared" si="3"/>
        <v>67.8</v>
      </c>
      <c r="Q55" s="102">
        <f t="shared" si="4"/>
        <v>977.6</v>
      </c>
    </row>
    <row r="56" spans="1:33">
      <c r="A56" s="102">
        <v>2008</v>
      </c>
      <c r="B56" s="102">
        <v>19.5</v>
      </c>
      <c r="C56" s="102">
        <v>27.6</v>
      </c>
      <c r="D56" s="102">
        <v>111.3</v>
      </c>
      <c r="E56" s="102">
        <v>37.6</v>
      </c>
      <c r="F56" s="102">
        <v>158.19999999999999</v>
      </c>
      <c r="G56" s="102">
        <v>143.19999999999999</v>
      </c>
      <c r="H56" s="102">
        <v>280.8</v>
      </c>
      <c r="I56" s="102">
        <v>128.30000000000001</v>
      </c>
      <c r="J56" s="102">
        <v>33</v>
      </c>
      <c r="K56" s="102">
        <v>129.80000000000001</v>
      </c>
      <c r="L56" s="102">
        <v>178.8</v>
      </c>
      <c r="M56" s="102">
        <v>13</v>
      </c>
      <c r="N56" s="102">
        <f t="shared" si="1"/>
        <v>196</v>
      </c>
      <c r="O56" s="102">
        <f t="shared" si="2"/>
        <v>743.5</v>
      </c>
      <c r="P56" s="102">
        <f t="shared" si="3"/>
        <v>321.60000000000002</v>
      </c>
      <c r="Q56" s="102">
        <f t="shared" si="4"/>
        <v>1261.0999999999999</v>
      </c>
    </row>
    <row r="57" spans="1:33">
      <c r="A57" s="102">
        <v>2009</v>
      </c>
      <c r="B57" s="102">
        <v>23.8</v>
      </c>
      <c r="C57" s="102">
        <v>79.5</v>
      </c>
      <c r="D57" s="102">
        <v>60.4</v>
      </c>
      <c r="E57" s="102">
        <v>271</v>
      </c>
      <c r="F57" s="102">
        <v>163.5</v>
      </c>
      <c r="G57" s="102">
        <v>153.4</v>
      </c>
      <c r="H57" s="102">
        <v>196.7</v>
      </c>
      <c r="I57" s="102">
        <v>26.7</v>
      </c>
      <c r="J57" s="102">
        <v>19.5</v>
      </c>
      <c r="K57" s="102">
        <v>61.3</v>
      </c>
      <c r="L57" s="102">
        <v>31.1</v>
      </c>
      <c r="M57" s="102">
        <v>49.9</v>
      </c>
      <c r="N57" s="102">
        <f t="shared" si="1"/>
        <v>434.7</v>
      </c>
      <c r="O57" s="102">
        <f t="shared" si="2"/>
        <v>559.79999999999995</v>
      </c>
      <c r="P57" s="102">
        <f t="shared" si="3"/>
        <v>142.30000000000001</v>
      </c>
      <c r="Q57" s="102">
        <f t="shared" si="4"/>
        <v>1136.8</v>
      </c>
    </row>
    <row r="58" spans="1:33">
      <c r="A58" s="102">
        <v>2010</v>
      </c>
      <c r="B58" s="102">
        <v>13</v>
      </c>
      <c r="C58" s="102">
        <v>9.6999999999999993</v>
      </c>
      <c r="D58" s="102">
        <v>50.3</v>
      </c>
      <c r="E58" s="102">
        <v>91.5</v>
      </c>
      <c r="F58" s="102">
        <v>163.1</v>
      </c>
      <c r="G58" s="102">
        <v>195.5</v>
      </c>
      <c r="H58" s="102">
        <v>53.9</v>
      </c>
      <c r="I58" s="102">
        <v>203.7</v>
      </c>
      <c r="J58" s="102">
        <v>138</v>
      </c>
      <c r="K58" s="102">
        <v>110.8</v>
      </c>
      <c r="L58" s="102">
        <v>42.6</v>
      </c>
      <c r="M58" s="102">
        <v>68.400000000000006</v>
      </c>
      <c r="N58" s="102">
        <f t="shared" si="1"/>
        <v>164.5</v>
      </c>
      <c r="O58" s="102">
        <f t="shared" si="2"/>
        <v>754.2</v>
      </c>
      <c r="P58" s="102">
        <f t="shared" si="3"/>
        <v>221.8</v>
      </c>
      <c r="Q58" s="102">
        <f t="shared" si="4"/>
        <v>1140.5</v>
      </c>
    </row>
    <row r="59" spans="1:33">
      <c r="A59" s="102" t="s">
        <v>196</v>
      </c>
      <c r="B59" s="102">
        <v>13.2</v>
      </c>
      <c r="C59" s="102">
        <v>27.4</v>
      </c>
      <c r="D59" s="102">
        <v>35.200000000000003</v>
      </c>
      <c r="E59" s="102">
        <v>38.799999999999997</v>
      </c>
      <c r="F59" s="102">
        <v>94.1</v>
      </c>
      <c r="G59" s="102">
        <v>267.60000000000002</v>
      </c>
      <c r="H59" s="102">
        <v>23.9</v>
      </c>
      <c r="I59" s="102">
        <v>77.3</v>
      </c>
      <c r="J59" s="102">
        <v>86.9</v>
      </c>
      <c r="K59" s="102">
        <v>120.2</v>
      </c>
      <c r="L59" s="102">
        <v>42.7</v>
      </c>
      <c r="M59" s="102">
        <v>11</v>
      </c>
      <c r="N59" s="102">
        <f t="shared" si="1"/>
        <v>114.6</v>
      </c>
      <c r="O59" s="102">
        <f t="shared" si="2"/>
        <v>549.80000000000007</v>
      </c>
      <c r="P59" s="102">
        <f t="shared" si="3"/>
        <v>173.9</v>
      </c>
      <c r="Q59" s="102">
        <f t="shared" si="4"/>
        <v>838.30000000000007</v>
      </c>
      <c r="R59" s="104"/>
      <c r="S59" s="104"/>
      <c r="T59" s="104"/>
      <c r="U59" s="104"/>
      <c r="V59" s="104"/>
      <c r="W59" s="104"/>
      <c r="X59" s="104"/>
      <c r="Y59" s="104"/>
      <c r="Z59" s="104"/>
      <c r="AA59" s="104"/>
      <c r="AB59" s="104"/>
      <c r="AC59" s="104"/>
      <c r="AD59" s="104"/>
      <c r="AE59" s="104"/>
      <c r="AF59" s="104"/>
      <c r="AG59" s="104"/>
    </row>
    <row r="60" spans="1:33">
      <c r="A60" s="102">
        <v>2012</v>
      </c>
      <c r="B60" s="102">
        <v>58.2</v>
      </c>
      <c r="C60" s="102">
        <v>47</v>
      </c>
      <c r="D60" s="102">
        <v>94.3</v>
      </c>
      <c r="E60" s="102">
        <v>96.6</v>
      </c>
      <c r="F60" s="102">
        <v>215.1</v>
      </c>
      <c r="G60" s="102">
        <v>133.5</v>
      </c>
      <c r="H60" s="102">
        <v>244.3</v>
      </c>
      <c r="I60" s="102">
        <v>41.6</v>
      </c>
      <c r="J60" s="102">
        <v>178.4</v>
      </c>
      <c r="K60" s="102">
        <v>71.8</v>
      </c>
      <c r="L60" s="102">
        <v>102.7</v>
      </c>
      <c r="M60" s="102">
        <v>43.5</v>
      </c>
      <c r="N60" s="102">
        <f t="shared" si="1"/>
        <v>296.10000000000002</v>
      </c>
      <c r="O60" s="102">
        <f t="shared" si="2"/>
        <v>812.90000000000009</v>
      </c>
      <c r="P60" s="102">
        <f t="shared" si="3"/>
        <v>218</v>
      </c>
      <c r="Q60" s="102">
        <f t="shared" si="4"/>
        <v>1327</v>
      </c>
      <c r="R60" s="104"/>
      <c r="S60" s="104"/>
      <c r="T60" s="104"/>
      <c r="U60" s="104"/>
      <c r="V60" s="104"/>
      <c r="W60" s="104"/>
      <c r="X60" s="104"/>
      <c r="Y60" s="104"/>
      <c r="Z60" s="104"/>
      <c r="AA60" s="104"/>
      <c r="AB60" s="104"/>
      <c r="AC60" s="104"/>
      <c r="AD60" s="104"/>
      <c r="AE60" s="104"/>
      <c r="AF60" s="104"/>
      <c r="AG60" s="104"/>
    </row>
    <row r="61" spans="1:33">
      <c r="A61" s="102">
        <v>2013</v>
      </c>
      <c r="B61" s="102">
        <v>17</v>
      </c>
      <c r="C61" s="102">
        <v>46</v>
      </c>
      <c r="D61" s="102">
        <v>170.5</v>
      </c>
      <c r="E61" s="102">
        <v>141.69999999999999</v>
      </c>
      <c r="F61" s="102">
        <v>189</v>
      </c>
      <c r="G61" s="102">
        <v>110.5</v>
      </c>
      <c r="H61" s="102">
        <v>18.5</v>
      </c>
      <c r="I61" s="102">
        <v>88.4</v>
      </c>
      <c r="J61" s="102">
        <v>232.9</v>
      </c>
      <c r="K61" s="102">
        <v>50.6</v>
      </c>
      <c r="L61" s="102">
        <v>81.7</v>
      </c>
      <c r="M61" s="102">
        <v>40</v>
      </c>
      <c r="N61" s="102">
        <f t="shared" si="1"/>
        <v>375.2</v>
      </c>
      <c r="O61" s="102">
        <f t="shared" si="2"/>
        <v>639.29999999999995</v>
      </c>
      <c r="P61" s="102">
        <f t="shared" si="3"/>
        <v>172.3</v>
      </c>
      <c r="Q61" s="102">
        <f t="shared" si="4"/>
        <v>1186.8</v>
      </c>
      <c r="R61" s="104"/>
      <c r="S61" s="104"/>
      <c r="T61" s="104"/>
      <c r="U61" s="104"/>
      <c r="V61" s="104"/>
      <c r="W61" s="104"/>
      <c r="X61" s="104"/>
      <c r="Y61" s="104"/>
      <c r="Z61" s="104"/>
      <c r="AA61" s="104"/>
      <c r="AB61" s="104"/>
      <c r="AC61" s="104"/>
      <c r="AD61" s="104"/>
      <c r="AE61" s="104"/>
      <c r="AF61" s="104"/>
      <c r="AG61" s="104"/>
    </row>
    <row r="62" spans="1:33">
      <c r="A62" s="102">
        <v>2014</v>
      </c>
      <c r="B62" s="128">
        <v>4.3</v>
      </c>
      <c r="C62" s="128">
        <v>38.6</v>
      </c>
      <c r="D62" s="128">
        <v>81.900000000000006</v>
      </c>
      <c r="E62" s="128">
        <v>97.3</v>
      </c>
      <c r="F62" s="128">
        <v>207.6</v>
      </c>
      <c r="G62" s="128">
        <v>174.8</v>
      </c>
      <c r="H62" s="128">
        <v>235.5</v>
      </c>
      <c r="I62" s="128">
        <v>99.6</v>
      </c>
      <c r="J62" s="128">
        <v>76.099999999999994</v>
      </c>
      <c r="K62" s="128">
        <v>101.3</v>
      </c>
      <c r="L62" s="128">
        <v>72.8</v>
      </c>
      <c r="M62" s="128">
        <v>3</v>
      </c>
      <c r="N62" s="102">
        <f t="shared" si="1"/>
        <v>222.10000000000002</v>
      </c>
      <c r="O62" s="102">
        <f t="shared" si="2"/>
        <v>793.6</v>
      </c>
      <c r="P62" s="102">
        <f t="shared" si="3"/>
        <v>177.1</v>
      </c>
      <c r="Q62" s="102">
        <f t="shared" si="4"/>
        <v>1192.8</v>
      </c>
    </row>
    <row r="63" spans="1:33">
      <c r="A63" s="102">
        <v>2015</v>
      </c>
      <c r="B63" s="128">
        <v>33.9</v>
      </c>
      <c r="C63" s="128">
        <v>30.8</v>
      </c>
      <c r="D63" s="128">
        <v>51.5</v>
      </c>
      <c r="E63" s="128">
        <v>71.900000000000006</v>
      </c>
      <c r="F63" s="128">
        <v>156.30000000000001</v>
      </c>
      <c r="G63" s="128">
        <v>305.8</v>
      </c>
      <c r="H63" s="128">
        <v>53.9</v>
      </c>
      <c r="I63" s="128">
        <v>76.5</v>
      </c>
      <c r="J63" s="128">
        <v>67.7</v>
      </c>
      <c r="K63" s="128">
        <v>78.099999999999994</v>
      </c>
      <c r="L63" s="128">
        <v>56.4</v>
      </c>
      <c r="M63" s="128">
        <v>85.4</v>
      </c>
      <c r="N63" s="102">
        <f t="shared" si="1"/>
        <v>188.10000000000002</v>
      </c>
      <c r="O63" s="102">
        <f t="shared" si="2"/>
        <v>660.2</v>
      </c>
      <c r="P63" s="102">
        <f t="shared" si="3"/>
        <v>219.9</v>
      </c>
      <c r="Q63" s="102">
        <f t="shared" si="4"/>
        <v>1068.2</v>
      </c>
    </row>
    <row r="64" spans="1:33" ht="13.5">
      <c r="A64" s="102">
        <v>2016</v>
      </c>
      <c r="B64" s="128">
        <v>76.599999999999994</v>
      </c>
      <c r="C64" s="128">
        <v>19.8</v>
      </c>
      <c r="D64" s="128">
        <v>103</v>
      </c>
      <c r="E64" s="128">
        <v>243.2</v>
      </c>
      <c r="F64" s="128">
        <v>136.9</v>
      </c>
      <c r="G64" s="128">
        <v>90.3</v>
      </c>
      <c r="H64" s="128">
        <v>120.6</v>
      </c>
      <c r="I64" s="128">
        <v>96.7</v>
      </c>
      <c r="J64" s="128">
        <v>21.6</v>
      </c>
      <c r="K64" s="128">
        <v>122.4</v>
      </c>
      <c r="L64" s="128">
        <v>83.9</v>
      </c>
      <c r="M64" s="128">
        <v>55.2</v>
      </c>
      <c r="N64" s="102">
        <f>SUM(B64:E64)</f>
        <v>442.59999999999997</v>
      </c>
      <c r="O64" s="102">
        <f>SUM(F64:J64)</f>
        <v>466.09999999999997</v>
      </c>
      <c r="P64" s="102">
        <f>SUM(K64:M64)</f>
        <v>261.5</v>
      </c>
      <c r="Q64" s="102">
        <f>SUM(B64:M64)</f>
        <v>1170.2000000000003</v>
      </c>
      <c r="R64" s="129">
        <f t="shared" ref="R64:AG64" si="5">100*(B64-B4)/B4</f>
        <v>92.462311557788908</v>
      </c>
      <c r="S64" s="129">
        <f t="shared" si="5"/>
        <v>-58.236808236808244</v>
      </c>
      <c r="T64" s="129">
        <f t="shared" si="5"/>
        <v>34.079075103697797</v>
      </c>
      <c r="U64" s="129">
        <f t="shared" si="5"/>
        <v>99.757764753379391</v>
      </c>
      <c r="V64" s="129">
        <f t="shared" si="5"/>
        <v>-27.84438091834911</v>
      </c>
      <c r="W64" s="129">
        <f t="shared" si="5"/>
        <v>-47.244227036875678</v>
      </c>
      <c r="X64" s="129">
        <f t="shared" si="5"/>
        <v>-14.834586106190462</v>
      </c>
      <c r="Y64" s="129">
        <f t="shared" si="5"/>
        <v>-17.97898187150475</v>
      </c>
      <c r="Z64" s="129">
        <f t="shared" si="5"/>
        <v>-71.509691265565266</v>
      </c>
      <c r="AA64" s="129">
        <f t="shared" si="5"/>
        <v>26.031413612565434</v>
      </c>
      <c r="AB64" s="129">
        <f t="shared" si="5"/>
        <v>33.732270701067165</v>
      </c>
      <c r="AC64" s="129">
        <f t="shared" si="5"/>
        <v>59.381423118332151</v>
      </c>
      <c r="AD64" s="129">
        <f t="shared" si="5"/>
        <v>54.87548114276224</v>
      </c>
      <c r="AE64" s="129">
        <f t="shared" si="5"/>
        <v>-33.052151346508722</v>
      </c>
      <c r="AF64" s="129">
        <f t="shared" si="5"/>
        <v>34.454330756695136</v>
      </c>
      <c r="AG64" s="129">
        <f t="shared" si="5"/>
        <v>-0.53391036760001498</v>
      </c>
    </row>
  </sheetData>
  <mergeCells count="6">
    <mergeCell ref="A1:A3"/>
    <mergeCell ref="B1:Q1"/>
    <mergeCell ref="B2:M2"/>
    <mergeCell ref="R1:AG1"/>
    <mergeCell ref="N2:Q2"/>
    <mergeCell ref="R2:AG2"/>
  </mergeCells>
  <phoneticPr fontId="2" type="noConversion"/>
  <pageMargins left="0.75" right="0.75" top="1" bottom="1" header="0.5" footer="0.5"/>
  <headerFooter alignWithMargins="0"/>
</worksheet>
</file>

<file path=xl/worksheets/sheet60.xml><?xml version="1.0" encoding="utf-8"?>
<worksheet xmlns="http://schemas.openxmlformats.org/spreadsheetml/2006/main" xmlns:r="http://schemas.openxmlformats.org/officeDocument/2006/relationships">
  <sheetPr codeName="Sheet60"/>
  <dimension ref="A1:AG67"/>
  <sheetViews>
    <sheetView zoomScale="85" zoomScaleNormal="85" workbookViewId="0">
      <pane ySplit="5" topLeftCell="A6" activePane="bottomLeft" state="frozen"/>
      <selection pane="bottomLeft" activeCell="R67" sqref="R67"/>
    </sheetView>
  </sheetViews>
  <sheetFormatPr defaultRowHeight="12"/>
  <cols>
    <col min="1" max="1" width="10.25" style="102" bestFit="1" customWidth="1"/>
    <col min="2" max="33" width="7.125" style="102" customWidth="1"/>
    <col min="34" max="16384" width="9" style="102"/>
  </cols>
  <sheetData>
    <row r="1" spans="1:33" s="118" customFormat="1" ht="14.25" customHeight="1">
      <c r="A1" s="176" t="s">
        <v>172</v>
      </c>
      <c r="B1" s="176" t="s">
        <v>180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181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173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174</v>
      </c>
      <c r="O2" s="176"/>
      <c r="P2" s="176"/>
      <c r="Q2" s="176"/>
      <c r="R2" s="176" t="s">
        <v>175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 ht="24">
      <c r="A3" s="176"/>
      <c r="B3" s="124" t="s">
        <v>182</v>
      </c>
      <c r="C3" s="124" t="s">
        <v>183</v>
      </c>
      <c r="D3" s="124" t="s">
        <v>9</v>
      </c>
      <c r="E3" s="124" t="s">
        <v>10</v>
      </c>
      <c r="F3" s="124" t="s">
        <v>11</v>
      </c>
      <c r="G3" s="124" t="s">
        <v>12</v>
      </c>
      <c r="H3" s="124" t="s">
        <v>13</v>
      </c>
      <c r="I3" s="124" t="s">
        <v>14</v>
      </c>
      <c r="J3" s="124" t="s">
        <v>15</v>
      </c>
      <c r="K3" s="124" t="s">
        <v>16</v>
      </c>
      <c r="L3" s="124" t="s">
        <v>17</v>
      </c>
      <c r="M3" s="124" t="s">
        <v>18</v>
      </c>
      <c r="N3" s="124" t="s">
        <v>184</v>
      </c>
      <c r="O3" s="124" t="s">
        <v>185</v>
      </c>
      <c r="P3" s="124" t="s">
        <v>186</v>
      </c>
      <c r="Q3" s="124" t="s">
        <v>187</v>
      </c>
      <c r="R3" s="124" t="s">
        <v>182</v>
      </c>
      <c r="S3" s="124" t="s">
        <v>183</v>
      </c>
      <c r="T3" s="124" t="s">
        <v>188</v>
      </c>
      <c r="U3" s="124" t="s">
        <v>189</v>
      </c>
      <c r="V3" s="124" t="s">
        <v>190</v>
      </c>
      <c r="W3" s="124" t="s">
        <v>191</v>
      </c>
      <c r="X3" s="124" t="s">
        <v>25</v>
      </c>
      <c r="Y3" s="124" t="s">
        <v>26</v>
      </c>
      <c r="Z3" s="124" t="s">
        <v>27</v>
      </c>
      <c r="AA3" s="124" t="s">
        <v>192</v>
      </c>
      <c r="AB3" s="124" t="s">
        <v>193</v>
      </c>
      <c r="AC3" s="124" t="s">
        <v>194</v>
      </c>
      <c r="AD3" s="124" t="s">
        <v>176</v>
      </c>
      <c r="AE3" s="124" t="s">
        <v>177</v>
      </c>
      <c r="AF3" s="124" t="s">
        <v>178</v>
      </c>
      <c r="AG3" s="124" t="s">
        <v>179</v>
      </c>
    </row>
    <row r="4" spans="1:33" s="118" customFormat="1">
      <c r="A4" s="150" t="s">
        <v>261</v>
      </c>
      <c r="B4" s="150">
        <f t="shared" ref="B4:Q4" si="0">AVERAGE(B5:B66)</f>
        <v>35.896774193548396</v>
      </c>
      <c r="C4" s="150">
        <f t="shared" si="0"/>
        <v>43.351612903225806</v>
      </c>
      <c r="D4" s="150">
        <f t="shared" si="0"/>
        <v>70.995161290322599</v>
      </c>
      <c r="E4" s="150">
        <f t="shared" si="0"/>
        <v>141.23225806451612</v>
      </c>
      <c r="F4" s="150">
        <f t="shared" si="0"/>
        <v>194.06451612903231</v>
      </c>
      <c r="G4" s="150">
        <f t="shared" si="0"/>
        <v>198.71451612903226</v>
      </c>
      <c r="H4" s="150">
        <f t="shared" si="0"/>
        <v>168.68870967741933</v>
      </c>
      <c r="I4" s="150">
        <f t="shared" si="0"/>
        <v>132.60161290322583</v>
      </c>
      <c r="J4" s="150">
        <f t="shared" si="0"/>
        <v>74.429032258064524</v>
      </c>
      <c r="K4" s="150">
        <f t="shared" si="0"/>
        <v>102.02580645161289</v>
      </c>
      <c r="L4" s="150">
        <f t="shared" si="0"/>
        <v>61.680645161290322</v>
      </c>
      <c r="M4" s="150">
        <f t="shared" si="0"/>
        <v>30.038709677419355</v>
      </c>
      <c r="N4" s="150">
        <f t="shared" si="0"/>
        <v>291.47580645161293</v>
      </c>
      <c r="O4" s="150">
        <f t="shared" si="0"/>
        <v>768.49838709677397</v>
      </c>
      <c r="P4" s="150">
        <f t="shared" si="0"/>
        <v>193.74516129032259</v>
      </c>
      <c r="Q4" s="150">
        <f t="shared" si="0"/>
        <v>1253.7193548387095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1954</v>
      </c>
      <c r="B5" s="102">
        <v>34.9</v>
      </c>
      <c r="C5" s="102">
        <v>44.7</v>
      </c>
      <c r="D5" s="102">
        <v>39.5</v>
      </c>
      <c r="E5" s="102">
        <v>165.7</v>
      </c>
      <c r="F5" s="102">
        <v>228.9</v>
      </c>
      <c r="G5" s="102">
        <v>214.6</v>
      </c>
      <c r="H5" s="102">
        <v>414.4</v>
      </c>
      <c r="I5" s="102">
        <v>191.3</v>
      </c>
      <c r="J5" s="102">
        <v>28.1</v>
      </c>
      <c r="K5" s="102">
        <v>92.1</v>
      </c>
      <c r="L5" s="102">
        <v>22.3</v>
      </c>
      <c r="M5" s="102">
        <v>25.5</v>
      </c>
      <c r="N5" s="102">
        <f>SUM(B5:E5)</f>
        <v>284.79999999999995</v>
      </c>
      <c r="O5" s="102">
        <f>SUM(F5:J5)</f>
        <v>1077.3</v>
      </c>
      <c r="P5" s="102">
        <f>SUM(K5:M5)</f>
        <v>139.89999999999998</v>
      </c>
      <c r="Q5" s="102">
        <f>SUM(B5:M5)</f>
        <v>1501.9999999999995</v>
      </c>
    </row>
    <row r="6" spans="1:33">
      <c r="A6" s="102">
        <v>1955</v>
      </c>
      <c r="B6" s="102">
        <v>18.8</v>
      </c>
      <c r="C6" s="102">
        <v>24.3</v>
      </c>
      <c r="D6" s="102">
        <v>95.4</v>
      </c>
      <c r="E6" s="102">
        <v>141</v>
      </c>
      <c r="F6" s="102">
        <v>285</v>
      </c>
      <c r="G6" s="102">
        <v>148.30000000000001</v>
      </c>
      <c r="H6" s="102">
        <v>106.3</v>
      </c>
      <c r="I6" s="102">
        <v>148.9</v>
      </c>
      <c r="J6" s="102">
        <v>10.9</v>
      </c>
      <c r="K6" s="102">
        <v>100.6</v>
      </c>
      <c r="L6" s="102">
        <v>79.400000000000006</v>
      </c>
      <c r="M6" s="102">
        <v>18.8</v>
      </c>
      <c r="N6" s="102">
        <f t="shared" ref="N6:N66" si="1">SUM(B6:E6)</f>
        <v>279.5</v>
      </c>
      <c r="O6" s="102">
        <f t="shared" ref="O6:O66" si="2">SUM(F6:J6)</f>
        <v>699.4</v>
      </c>
      <c r="P6" s="102">
        <f t="shared" ref="P6:P66" si="3">SUM(K6:M6)</f>
        <v>198.8</v>
      </c>
      <c r="Q6" s="102">
        <f t="shared" ref="Q6:Q66" si="4">SUM(B6:M6)</f>
        <v>1177.6999999999998</v>
      </c>
    </row>
    <row r="7" spans="1:33">
      <c r="A7" s="102">
        <v>1956</v>
      </c>
      <c r="B7" s="102">
        <v>39.1</v>
      </c>
      <c r="C7" s="102">
        <v>55.4</v>
      </c>
      <c r="D7" s="102">
        <v>53.6</v>
      </c>
      <c r="E7" s="102">
        <v>141.5</v>
      </c>
      <c r="F7" s="102">
        <v>271.5</v>
      </c>
      <c r="G7" s="102">
        <v>170.9</v>
      </c>
      <c r="H7" s="102">
        <v>39.4</v>
      </c>
      <c r="I7" s="102">
        <v>52.1</v>
      </c>
      <c r="J7" s="102">
        <v>77</v>
      </c>
      <c r="K7" s="102">
        <v>40.4</v>
      </c>
      <c r="L7" s="102">
        <v>70.8</v>
      </c>
      <c r="M7" s="102">
        <v>5.7</v>
      </c>
      <c r="N7" s="102">
        <f t="shared" si="1"/>
        <v>289.60000000000002</v>
      </c>
      <c r="O7" s="102">
        <f t="shared" si="2"/>
        <v>610.9</v>
      </c>
      <c r="P7" s="102">
        <f t="shared" si="3"/>
        <v>116.89999999999999</v>
      </c>
      <c r="Q7" s="102">
        <f t="shared" si="4"/>
        <v>1017.4</v>
      </c>
    </row>
    <row r="8" spans="1:33">
      <c r="A8" s="102">
        <v>1957</v>
      </c>
      <c r="B8" s="102">
        <v>52.9</v>
      </c>
      <c r="C8" s="102">
        <v>46.8</v>
      </c>
      <c r="D8" s="102">
        <v>45</v>
      </c>
      <c r="E8" s="102">
        <v>241.1</v>
      </c>
      <c r="F8" s="102">
        <v>169.7</v>
      </c>
      <c r="G8" s="102">
        <v>174.6</v>
      </c>
      <c r="H8" s="102">
        <v>178</v>
      </c>
      <c r="I8" s="102">
        <v>139.4</v>
      </c>
      <c r="J8" s="102">
        <v>30.1</v>
      </c>
      <c r="K8" s="102">
        <v>99.8</v>
      </c>
      <c r="L8" s="102">
        <v>115.3</v>
      </c>
      <c r="M8" s="102">
        <v>60.7</v>
      </c>
      <c r="N8" s="102">
        <f t="shared" si="1"/>
        <v>385.79999999999995</v>
      </c>
      <c r="O8" s="102">
        <f t="shared" si="2"/>
        <v>691.8</v>
      </c>
      <c r="P8" s="102">
        <f t="shared" si="3"/>
        <v>275.8</v>
      </c>
      <c r="Q8" s="102">
        <f t="shared" si="4"/>
        <v>1353.3999999999999</v>
      </c>
    </row>
    <row r="9" spans="1:33">
      <c r="A9" s="102">
        <v>1958</v>
      </c>
      <c r="B9" s="102">
        <v>30.5</v>
      </c>
      <c r="C9" s="102">
        <v>28.5</v>
      </c>
      <c r="D9" s="102">
        <v>73.8</v>
      </c>
      <c r="E9" s="102">
        <v>62.7</v>
      </c>
      <c r="F9" s="102">
        <v>236.2</v>
      </c>
      <c r="G9" s="102">
        <v>277.5</v>
      </c>
      <c r="H9" s="102">
        <v>160.80000000000001</v>
      </c>
      <c r="I9" s="102">
        <v>196.6</v>
      </c>
      <c r="J9" s="102">
        <v>129.9</v>
      </c>
      <c r="K9" s="102">
        <v>101.8</v>
      </c>
      <c r="L9" s="102">
        <v>6.1</v>
      </c>
      <c r="M9" s="102">
        <v>22.5</v>
      </c>
      <c r="N9" s="102">
        <f t="shared" si="1"/>
        <v>195.5</v>
      </c>
      <c r="O9" s="102">
        <f t="shared" si="2"/>
        <v>1001</v>
      </c>
      <c r="P9" s="102">
        <f t="shared" si="3"/>
        <v>130.39999999999998</v>
      </c>
      <c r="Q9" s="102">
        <f t="shared" si="4"/>
        <v>1326.8999999999999</v>
      </c>
    </row>
    <row r="10" spans="1:33">
      <c r="A10" s="102">
        <v>1959</v>
      </c>
      <c r="B10" s="102">
        <v>26.1</v>
      </c>
      <c r="C10" s="102">
        <v>85.7</v>
      </c>
      <c r="D10" s="102">
        <v>106.1</v>
      </c>
      <c r="E10" s="102">
        <v>85.2</v>
      </c>
      <c r="F10" s="102">
        <v>169.2</v>
      </c>
      <c r="G10" s="102">
        <v>182</v>
      </c>
      <c r="H10" s="102">
        <v>29</v>
      </c>
      <c r="I10" s="102">
        <v>44.3</v>
      </c>
      <c r="J10" s="102">
        <v>68.5</v>
      </c>
      <c r="K10" s="102">
        <v>129.9</v>
      </c>
      <c r="L10" s="102">
        <v>70</v>
      </c>
      <c r="M10" s="102">
        <v>24.9</v>
      </c>
      <c r="N10" s="102">
        <f t="shared" si="1"/>
        <v>303.10000000000002</v>
      </c>
      <c r="O10" s="102">
        <f t="shared" si="2"/>
        <v>493</v>
      </c>
      <c r="P10" s="102">
        <f t="shared" si="3"/>
        <v>224.8</v>
      </c>
      <c r="Q10" s="102">
        <f t="shared" si="4"/>
        <v>1020.8999999999999</v>
      </c>
    </row>
    <row r="11" spans="1:33">
      <c r="A11" s="102">
        <v>1960</v>
      </c>
      <c r="B11" s="102">
        <v>18.7</v>
      </c>
      <c r="C11" s="102">
        <v>49.3</v>
      </c>
      <c r="D11" s="102">
        <v>43.4</v>
      </c>
      <c r="E11" s="102">
        <v>96.5</v>
      </c>
      <c r="F11" s="102">
        <v>157.1</v>
      </c>
      <c r="G11" s="102">
        <v>182.5</v>
      </c>
      <c r="H11" s="102">
        <v>255.8</v>
      </c>
      <c r="I11" s="102">
        <v>30.8</v>
      </c>
      <c r="J11" s="102">
        <v>29.6</v>
      </c>
      <c r="K11" s="102">
        <v>60.4</v>
      </c>
      <c r="L11" s="102">
        <v>89.4</v>
      </c>
      <c r="M11" s="102">
        <v>10</v>
      </c>
      <c r="N11" s="102">
        <f t="shared" si="1"/>
        <v>207.9</v>
      </c>
      <c r="O11" s="102">
        <f t="shared" si="2"/>
        <v>655.80000000000007</v>
      </c>
      <c r="P11" s="102">
        <f t="shared" si="3"/>
        <v>159.80000000000001</v>
      </c>
      <c r="Q11" s="102">
        <f t="shared" si="4"/>
        <v>1023.4999999999999</v>
      </c>
    </row>
    <row r="12" spans="1:33">
      <c r="A12" s="102">
        <v>1961</v>
      </c>
      <c r="B12" s="102">
        <v>9.9</v>
      </c>
      <c r="C12" s="102">
        <v>38.200000000000003</v>
      </c>
      <c r="D12" s="102">
        <v>151.5</v>
      </c>
      <c r="E12" s="102">
        <v>230.3</v>
      </c>
      <c r="F12" s="102">
        <v>226.3</v>
      </c>
      <c r="G12" s="102">
        <v>39.4</v>
      </c>
      <c r="H12" s="102">
        <v>141.4</v>
      </c>
      <c r="I12" s="102">
        <v>93.5</v>
      </c>
      <c r="J12" s="102">
        <v>53.8</v>
      </c>
      <c r="K12" s="102">
        <v>152.19999999999999</v>
      </c>
      <c r="L12" s="102">
        <v>161.5</v>
      </c>
      <c r="M12" s="102">
        <v>50.5</v>
      </c>
      <c r="N12" s="102">
        <f t="shared" si="1"/>
        <v>429.9</v>
      </c>
      <c r="O12" s="102">
        <f t="shared" si="2"/>
        <v>554.4</v>
      </c>
      <c r="P12" s="102">
        <f t="shared" si="3"/>
        <v>364.2</v>
      </c>
      <c r="Q12" s="102">
        <f t="shared" si="4"/>
        <v>1348.5</v>
      </c>
    </row>
    <row r="13" spans="1:33">
      <c r="A13" s="102">
        <v>1962</v>
      </c>
      <c r="B13" s="102">
        <v>43.2</v>
      </c>
      <c r="C13" s="102">
        <v>18</v>
      </c>
      <c r="D13" s="102">
        <v>115.6</v>
      </c>
      <c r="E13" s="102">
        <v>169.3</v>
      </c>
      <c r="F13" s="102">
        <v>196.2</v>
      </c>
      <c r="G13" s="102">
        <v>268.89999999999998</v>
      </c>
      <c r="H13" s="102">
        <v>33.700000000000003</v>
      </c>
      <c r="I13" s="102">
        <v>227.3</v>
      </c>
      <c r="J13" s="102">
        <v>54.4</v>
      </c>
      <c r="K13" s="102">
        <v>157.80000000000001</v>
      </c>
      <c r="L13" s="102">
        <v>50.8</v>
      </c>
      <c r="M13" s="102">
        <v>40.299999999999997</v>
      </c>
      <c r="N13" s="102">
        <f t="shared" si="1"/>
        <v>346.1</v>
      </c>
      <c r="O13" s="102">
        <f t="shared" si="2"/>
        <v>780.49999999999989</v>
      </c>
      <c r="P13" s="102">
        <f t="shared" si="3"/>
        <v>248.90000000000003</v>
      </c>
      <c r="Q13" s="102">
        <f t="shared" si="4"/>
        <v>1375.5</v>
      </c>
    </row>
    <row r="14" spans="1:33">
      <c r="A14" s="102">
        <v>1963</v>
      </c>
      <c r="B14" s="102">
        <v>0</v>
      </c>
      <c r="C14" s="102">
        <v>74.599999999999994</v>
      </c>
      <c r="D14" s="102">
        <v>28.9</v>
      </c>
      <c r="E14" s="102">
        <v>122.1</v>
      </c>
      <c r="F14" s="102">
        <v>166.3</v>
      </c>
      <c r="G14" s="102">
        <v>64.5</v>
      </c>
      <c r="H14" s="102">
        <v>210</v>
      </c>
      <c r="I14" s="102">
        <v>28.4</v>
      </c>
      <c r="J14" s="102">
        <v>45</v>
      </c>
      <c r="K14" s="102">
        <v>181.8</v>
      </c>
      <c r="L14" s="102">
        <v>206.9</v>
      </c>
      <c r="M14" s="102">
        <v>39.299999999999997</v>
      </c>
      <c r="N14" s="102">
        <f t="shared" si="1"/>
        <v>225.6</v>
      </c>
      <c r="O14" s="102">
        <f t="shared" si="2"/>
        <v>514.20000000000005</v>
      </c>
      <c r="P14" s="102">
        <f t="shared" si="3"/>
        <v>428.00000000000006</v>
      </c>
      <c r="Q14" s="102">
        <f t="shared" si="4"/>
        <v>1167.8</v>
      </c>
    </row>
    <row r="15" spans="1:33">
      <c r="A15" s="102">
        <v>1964</v>
      </c>
      <c r="B15" s="102">
        <v>35.6</v>
      </c>
      <c r="C15" s="102">
        <v>60</v>
      </c>
      <c r="D15" s="102">
        <v>101.4</v>
      </c>
      <c r="E15" s="102">
        <v>282.7</v>
      </c>
      <c r="F15" s="102">
        <v>96.4</v>
      </c>
      <c r="G15" s="102">
        <v>330</v>
      </c>
      <c r="H15" s="102">
        <v>170.7</v>
      </c>
      <c r="I15" s="102">
        <v>89.1</v>
      </c>
      <c r="J15" s="102">
        <v>110.7</v>
      </c>
      <c r="K15" s="102">
        <v>112.3</v>
      </c>
      <c r="L15" s="102">
        <v>16.8</v>
      </c>
      <c r="M15" s="102">
        <v>45.4</v>
      </c>
      <c r="N15" s="102">
        <f t="shared" si="1"/>
        <v>479.7</v>
      </c>
      <c r="O15" s="102">
        <f t="shared" si="2"/>
        <v>796.9</v>
      </c>
      <c r="P15" s="102">
        <f t="shared" si="3"/>
        <v>174.5</v>
      </c>
      <c r="Q15" s="102">
        <f t="shared" si="4"/>
        <v>1451.1</v>
      </c>
    </row>
    <row r="16" spans="1:33">
      <c r="A16" s="102">
        <v>1965</v>
      </c>
      <c r="B16" s="102">
        <v>30.3</v>
      </c>
      <c r="C16" s="102">
        <v>24.9</v>
      </c>
      <c r="D16" s="102">
        <v>85.9</v>
      </c>
      <c r="E16" s="102">
        <v>151.19999999999999</v>
      </c>
      <c r="F16" s="102">
        <v>236.8</v>
      </c>
      <c r="G16" s="102">
        <v>140.6</v>
      </c>
      <c r="H16" s="102">
        <v>100.2</v>
      </c>
      <c r="I16" s="102">
        <v>232.1</v>
      </c>
      <c r="J16" s="102">
        <v>41.8</v>
      </c>
      <c r="K16" s="102">
        <v>126.8</v>
      </c>
      <c r="L16" s="102">
        <v>36.299999999999997</v>
      </c>
      <c r="M16" s="102">
        <v>43.5</v>
      </c>
      <c r="N16" s="102">
        <f t="shared" si="1"/>
        <v>292.3</v>
      </c>
      <c r="O16" s="102">
        <f t="shared" si="2"/>
        <v>751.49999999999989</v>
      </c>
      <c r="P16" s="102">
        <f t="shared" si="3"/>
        <v>206.6</v>
      </c>
      <c r="Q16" s="102">
        <f t="shared" si="4"/>
        <v>1250.4000000000001</v>
      </c>
    </row>
    <row r="17" spans="1:17">
      <c r="A17" s="102">
        <v>1966</v>
      </c>
      <c r="B17" s="102">
        <v>20.7</v>
      </c>
      <c r="C17" s="102">
        <v>53</v>
      </c>
      <c r="D17" s="102">
        <v>35.6</v>
      </c>
      <c r="E17" s="102">
        <v>207.7</v>
      </c>
      <c r="F17" s="102">
        <v>183.5</v>
      </c>
      <c r="G17" s="102">
        <v>141.80000000000001</v>
      </c>
      <c r="H17" s="102">
        <v>189.4</v>
      </c>
      <c r="I17" s="102">
        <v>12.5</v>
      </c>
      <c r="J17" s="102">
        <v>20.3</v>
      </c>
      <c r="K17" s="102">
        <v>152.5</v>
      </c>
      <c r="L17" s="102">
        <v>31.5</v>
      </c>
      <c r="M17" s="102">
        <v>56.2</v>
      </c>
      <c r="N17" s="102">
        <f t="shared" si="1"/>
        <v>317</v>
      </c>
      <c r="O17" s="102">
        <f t="shared" si="2"/>
        <v>547.5</v>
      </c>
      <c r="P17" s="102">
        <f t="shared" si="3"/>
        <v>240.2</v>
      </c>
      <c r="Q17" s="102">
        <f t="shared" si="4"/>
        <v>1104.7</v>
      </c>
    </row>
    <row r="18" spans="1:17">
      <c r="A18" s="102">
        <v>1967</v>
      </c>
      <c r="B18" s="102">
        <v>19.7</v>
      </c>
      <c r="C18" s="102">
        <v>50.1</v>
      </c>
      <c r="D18" s="102">
        <v>73.900000000000006</v>
      </c>
      <c r="E18" s="102">
        <v>197.2</v>
      </c>
      <c r="F18" s="102">
        <v>209.6</v>
      </c>
      <c r="G18" s="102">
        <v>205.7</v>
      </c>
      <c r="H18" s="102">
        <v>131.9</v>
      </c>
      <c r="I18" s="102">
        <v>210.9</v>
      </c>
      <c r="J18" s="102">
        <v>145.5</v>
      </c>
      <c r="K18" s="102">
        <v>95.3</v>
      </c>
      <c r="L18" s="102">
        <v>79.099999999999994</v>
      </c>
      <c r="M18" s="102">
        <v>15.9</v>
      </c>
      <c r="N18" s="102">
        <f t="shared" si="1"/>
        <v>340.9</v>
      </c>
      <c r="O18" s="102">
        <f t="shared" si="2"/>
        <v>903.59999999999991</v>
      </c>
      <c r="P18" s="102">
        <f t="shared" si="3"/>
        <v>190.29999999999998</v>
      </c>
      <c r="Q18" s="102">
        <f t="shared" si="4"/>
        <v>1434.8</v>
      </c>
    </row>
    <row r="19" spans="1:17">
      <c r="A19" s="102">
        <v>1968</v>
      </c>
      <c r="B19" s="102">
        <v>21.8</v>
      </c>
      <c r="C19" s="102">
        <v>28.2</v>
      </c>
      <c r="D19" s="102">
        <v>83.4</v>
      </c>
      <c r="E19" s="102">
        <v>174.5</v>
      </c>
      <c r="F19" s="102">
        <v>135.6</v>
      </c>
      <c r="G19" s="102">
        <v>123.9</v>
      </c>
      <c r="H19" s="102">
        <v>161</v>
      </c>
      <c r="I19" s="102">
        <v>158.6</v>
      </c>
      <c r="J19" s="102">
        <v>39.200000000000003</v>
      </c>
      <c r="K19" s="102">
        <v>97.7</v>
      </c>
      <c r="L19" s="102">
        <v>96</v>
      </c>
      <c r="M19" s="102">
        <v>37.299999999999997</v>
      </c>
      <c r="N19" s="102">
        <f t="shared" si="1"/>
        <v>307.89999999999998</v>
      </c>
      <c r="O19" s="102">
        <f t="shared" si="2"/>
        <v>618.30000000000007</v>
      </c>
      <c r="P19" s="102">
        <f t="shared" si="3"/>
        <v>231</v>
      </c>
      <c r="Q19" s="102">
        <f t="shared" si="4"/>
        <v>1157.2</v>
      </c>
    </row>
    <row r="20" spans="1:17">
      <c r="A20" s="102">
        <v>1969</v>
      </c>
      <c r="B20" s="102">
        <v>55.3</v>
      </c>
      <c r="C20" s="102">
        <v>4.9000000000000004</v>
      </c>
      <c r="D20" s="102">
        <v>56.5</v>
      </c>
      <c r="E20" s="102">
        <v>67.8</v>
      </c>
      <c r="F20" s="102">
        <v>235.1</v>
      </c>
      <c r="G20" s="102">
        <v>216.3</v>
      </c>
      <c r="H20" s="102">
        <v>217.9</v>
      </c>
      <c r="I20" s="102">
        <v>401.9</v>
      </c>
      <c r="J20" s="102">
        <v>11.1</v>
      </c>
      <c r="K20" s="102">
        <v>242.3</v>
      </c>
      <c r="L20" s="102">
        <v>90</v>
      </c>
      <c r="M20" s="102">
        <v>5.5</v>
      </c>
      <c r="N20" s="102">
        <f t="shared" si="1"/>
        <v>184.5</v>
      </c>
      <c r="O20" s="102">
        <f t="shared" si="2"/>
        <v>1082.2999999999997</v>
      </c>
      <c r="P20" s="102">
        <f t="shared" si="3"/>
        <v>337.8</v>
      </c>
      <c r="Q20" s="102">
        <f t="shared" si="4"/>
        <v>1604.6</v>
      </c>
    </row>
    <row r="21" spans="1:17">
      <c r="A21" s="102">
        <v>1970</v>
      </c>
      <c r="B21" s="102">
        <v>42.1</v>
      </c>
      <c r="C21" s="102">
        <v>47.2</v>
      </c>
      <c r="D21" s="102">
        <v>60.9</v>
      </c>
      <c r="E21" s="102">
        <v>177.3</v>
      </c>
      <c r="F21" s="102">
        <v>232</v>
      </c>
      <c r="G21" s="102">
        <v>126.4</v>
      </c>
      <c r="H21" s="102">
        <v>277.10000000000002</v>
      </c>
      <c r="I21" s="102">
        <v>108.4</v>
      </c>
      <c r="J21" s="102">
        <v>118.4</v>
      </c>
      <c r="K21" s="102">
        <v>17.8</v>
      </c>
      <c r="L21" s="102">
        <v>62.3</v>
      </c>
      <c r="M21" s="102">
        <v>53</v>
      </c>
      <c r="N21" s="102">
        <f t="shared" si="1"/>
        <v>327.5</v>
      </c>
      <c r="O21" s="102">
        <f t="shared" si="2"/>
        <v>862.3</v>
      </c>
      <c r="P21" s="102">
        <f t="shared" si="3"/>
        <v>133.1</v>
      </c>
      <c r="Q21" s="102">
        <f t="shared" si="4"/>
        <v>1322.9</v>
      </c>
    </row>
    <row r="22" spans="1:17">
      <c r="A22" s="102">
        <v>1971</v>
      </c>
      <c r="B22" s="102">
        <v>41.8</v>
      </c>
      <c r="C22" s="102">
        <v>50</v>
      </c>
      <c r="D22" s="102">
        <v>107.6</v>
      </c>
      <c r="E22" s="102">
        <v>135.30000000000001</v>
      </c>
      <c r="F22" s="102">
        <v>226.1</v>
      </c>
      <c r="G22" s="102">
        <v>228.8</v>
      </c>
      <c r="H22" s="102">
        <v>58.6</v>
      </c>
      <c r="I22" s="102">
        <v>72.8</v>
      </c>
      <c r="J22" s="102">
        <v>26.3</v>
      </c>
      <c r="K22" s="102">
        <v>65.599999999999994</v>
      </c>
      <c r="L22" s="102">
        <v>11.9</v>
      </c>
      <c r="M22" s="102">
        <v>60.1</v>
      </c>
      <c r="N22" s="102">
        <f t="shared" si="1"/>
        <v>334.7</v>
      </c>
      <c r="O22" s="102">
        <f t="shared" si="2"/>
        <v>612.59999999999991</v>
      </c>
      <c r="P22" s="102">
        <f t="shared" si="3"/>
        <v>137.6</v>
      </c>
      <c r="Q22" s="102">
        <f t="shared" si="4"/>
        <v>1084.8999999999999</v>
      </c>
    </row>
    <row r="23" spans="1:17">
      <c r="A23" s="102">
        <v>1972</v>
      </c>
      <c r="B23" s="102">
        <v>32.799999999999997</v>
      </c>
      <c r="C23" s="102">
        <v>34.1</v>
      </c>
      <c r="D23" s="102">
        <v>60.1</v>
      </c>
      <c r="E23" s="102">
        <v>207.4</v>
      </c>
      <c r="F23" s="102">
        <v>155.19999999999999</v>
      </c>
      <c r="G23" s="102">
        <v>164.9</v>
      </c>
      <c r="H23" s="102">
        <v>40.1</v>
      </c>
      <c r="I23" s="102">
        <v>27.7</v>
      </c>
      <c r="J23" s="102">
        <v>182.8</v>
      </c>
      <c r="K23" s="102">
        <v>170</v>
      </c>
      <c r="L23" s="102">
        <v>81.8</v>
      </c>
      <c r="M23" s="102">
        <v>26.5</v>
      </c>
      <c r="N23" s="102">
        <f t="shared" si="1"/>
        <v>334.4</v>
      </c>
      <c r="O23" s="102">
        <f t="shared" si="2"/>
        <v>570.70000000000005</v>
      </c>
      <c r="P23" s="102">
        <f t="shared" si="3"/>
        <v>278.3</v>
      </c>
      <c r="Q23" s="102">
        <f t="shared" si="4"/>
        <v>1183.4000000000001</v>
      </c>
    </row>
    <row r="24" spans="1:17">
      <c r="A24" s="102">
        <v>1973</v>
      </c>
      <c r="B24" s="102">
        <v>38.299999999999997</v>
      </c>
      <c r="C24" s="102">
        <v>40.4</v>
      </c>
      <c r="D24" s="102">
        <v>70.3</v>
      </c>
      <c r="E24" s="102">
        <v>148.6</v>
      </c>
      <c r="F24" s="102">
        <v>290.3</v>
      </c>
      <c r="G24" s="102">
        <v>138.9</v>
      </c>
      <c r="H24" s="102">
        <v>179.7</v>
      </c>
      <c r="I24" s="102">
        <v>208.9</v>
      </c>
      <c r="J24" s="102">
        <v>121.9</v>
      </c>
      <c r="K24" s="102">
        <v>28.1</v>
      </c>
      <c r="L24" s="102">
        <v>21.6</v>
      </c>
      <c r="M24" s="102">
        <v>3.7</v>
      </c>
      <c r="N24" s="102">
        <f t="shared" si="1"/>
        <v>297.60000000000002</v>
      </c>
      <c r="O24" s="102">
        <f t="shared" si="2"/>
        <v>939.7</v>
      </c>
      <c r="P24" s="102">
        <f t="shared" si="3"/>
        <v>53.400000000000006</v>
      </c>
      <c r="Q24" s="102">
        <f t="shared" si="4"/>
        <v>1290.7</v>
      </c>
    </row>
    <row r="25" spans="1:17">
      <c r="A25" s="102">
        <v>1974</v>
      </c>
      <c r="B25" s="102">
        <v>57</v>
      </c>
      <c r="C25" s="102">
        <v>12.3</v>
      </c>
      <c r="D25" s="102">
        <v>72</v>
      </c>
      <c r="E25" s="102">
        <v>143.9</v>
      </c>
      <c r="F25" s="102">
        <v>229.3</v>
      </c>
      <c r="G25" s="102">
        <v>201.9</v>
      </c>
      <c r="H25" s="102">
        <v>97.3</v>
      </c>
      <c r="I25" s="102">
        <v>140.69999999999999</v>
      </c>
      <c r="J25" s="102">
        <v>45.7</v>
      </c>
      <c r="K25" s="102">
        <v>18.899999999999999</v>
      </c>
      <c r="L25" s="102">
        <v>7.9</v>
      </c>
      <c r="M25" s="102">
        <v>23.5</v>
      </c>
      <c r="N25" s="102">
        <f t="shared" si="1"/>
        <v>285.20000000000005</v>
      </c>
      <c r="O25" s="102">
        <f t="shared" si="2"/>
        <v>714.90000000000009</v>
      </c>
      <c r="P25" s="102">
        <f t="shared" si="3"/>
        <v>50.3</v>
      </c>
      <c r="Q25" s="102">
        <f t="shared" si="4"/>
        <v>1050.3999999999999</v>
      </c>
    </row>
    <row r="26" spans="1:17">
      <c r="A26" s="102">
        <v>1975</v>
      </c>
      <c r="B26" s="102">
        <v>25.6</v>
      </c>
      <c r="C26" s="102">
        <v>25.1</v>
      </c>
      <c r="D26" s="102">
        <v>37.5</v>
      </c>
      <c r="E26" s="102">
        <v>253.9</v>
      </c>
      <c r="F26" s="102">
        <v>248.1</v>
      </c>
      <c r="G26" s="102">
        <v>116.7</v>
      </c>
      <c r="H26" s="102">
        <v>42.3</v>
      </c>
      <c r="I26" s="102">
        <v>275.5</v>
      </c>
      <c r="J26" s="102">
        <v>56.7</v>
      </c>
      <c r="K26" s="102">
        <v>80.5</v>
      </c>
      <c r="L26" s="102">
        <v>138.5</v>
      </c>
      <c r="M26" s="102">
        <v>20.3</v>
      </c>
      <c r="N26" s="102">
        <f t="shared" si="1"/>
        <v>342.1</v>
      </c>
      <c r="O26" s="102">
        <f t="shared" si="2"/>
        <v>739.30000000000007</v>
      </c>
      <c r="P26" s="102">
        <f t="shared" si="3"/>
        <v>239.3</v>
      </c>
      <c r="Q26" s="102">
        <f t="shared" si="4"/>
        <v>1320.7</v>
      </c>
    </row>
    <row r="27" spans="1:17">
      <c r="A27" s="102">
        <v>1976</v>
      </c>
      <c r="B27" s="102">
        <v>42.8</v>
      </c>
      <c r="C27" s="102">
        <v>36</v>
      </c>
      <c r="D27" s="102">
        <v>62.6</v>
      </c>
      <c r="E27" s="102">
        <v>131.9</v>
      </c>
      <c r="F27" s="102">
        <v>244.7</v>
      </c>
      <c r="G27" s="102">
        <v>330.7</v>
      </c>
      <c r="H27" s="102">
        <v>183.3</v>
      </c>
      <c r="I27" s="102">
        <v>77</v>
      </c>
      <c r="J27" s="102">
        <v>88.1</v>
      </c>
      <c r="K27" s="102">
        <v>126.3</v>
      </c>
      <c r="L27" s="102">
        <v>90.8</v>
      </c>
      <c r="M27" s="102">
        <v>40.4</v>
      </c>
      <c r="N27" s="102">
        <f t="shared" si="1"/>
        <v>273.3</v>
      </c>
      <c r="O27" s="102">
        <f t="shared" si="2"/>
        <v>923.80000000000007</v>
      </c>
      <c r="P27" s="102">
        <f t="shared" si="3"/>
        <v>257.5</v>
      </c>
      <c r="Q27" s="102">
        <f t="shared" si="4"/>
        <v>1454.6</v>
      </c>
    </row>
    <row r="28" spans="1:17">
      <c r="A28" s="102">
        <v>1977</v>
      </c>
      <c r="B28" s="102">
        <v>33.700000000000003</v>
      </c>
      <c r="C28" s="102">
        <v>42.7</v>
      </c>
      <c r="D28" s="102">
        <v>94.1</v>
      </c>
      <c r="E28" s="102">
        <v>266.89999999999998</v>
      </c>
      <c r="F28" s="102">
        <v>254.2</v>
      </c>
      <c r="G28" s="102">
        <v>250.6</v>
      </c>
      <c r="H28" s="102">
        <v>155.80000000000001</v>
      </c>
      <c r="I28" s="102">
        <v>121.9</v>
      </c>
      <c r="J28" s="102">
        <v>50.2</v>
      </c>
      <c r="K28" s="102">
        <v>137.6</v>
      </c>
      <c r="L28" s="102">
        <v>68.900000000000006</v>
      </c>
      <c r="M28" s="102">
        <v>29.6</v>
      </c>
      <c r="N28" s="102">
        <f t="shared" si="1"/>
        <v>437.4</v>
      </c>
      <c r="O28" s="102">
        <f t="shared" si="2"/>
        <v>832.69999999999993</v>
      </c>
      <c r="P28" s="102">
        <f t="shared" si="3"/>
        <v>236.1</v>
      </c>
      <c r="Q28" s="102">
        <f t="shared" si="4"/>
        <v>1506.2</v>
      </c>
    </row>
    <row r="29" spans="1:17">
      <c r="A29" s="102">
        <v>1978</v>
      </c>
      <c r="B29" s="102">
        <v>36.4</v>
      </c>
      <c r="C29" s="102">
        <v>2.2999999999999998</v>
      </c>
      <c r="D29" s="102">
        <v>28.9</v>
      </c>
      <c r="E29" s="102">
        <v>134</v>
      </c>
      <c r="F29" s="102">
        <v>382.4</v>
      </c>
      <c r="G29" s="102">
        <v>206.1</v>
      </c>
      <c r="H29" s="102">
        <v>53.7</v>
      </c>
      <c r="I29" s="102">
        <v>39.4</v>
      </c>
      <c r="J29" s="102">
        <v>133</v>
      </c>
      <c r="K29" s="102">
        <v>123.2</v>
      </c>
      <c r="L29" s="102">
        <v>103.9</v>
      </c>
      <c r="M29" s="102">
        <v>11</v>
      </c>
      <c r="N29" s="102">
        <f t="shared" si="1"/>
        <v>201.6</v>
      </c>
      <c r="O29" s="102">
        <f t="shared" si="2"/>
        <v>814.6</v>
      </c>
      <c r="P29" s="102">
        <f t="shared" si="3"/>
        <v>238.10000000000002</v>
      </c>
      <c r="Q29" s="102">
        <f t="shared" si="4"/>
        <v>1254.3000000000002</v>
      </c>
    </row>
    <row r="30" spans="1:17">
      <c r="A30" s="102">
        <v>1979</v>
      </c>
      <c r="B30" s="102">
        <v>27.2</v>
      </c>
      <c r="C30" s="102">
        <v>21.2</v>
      </c>
      <c r="D30" s="102">
        <v>61.8</v>
      </c>
      <c r="E30" s="102">
        <v>57.8</v>
      </c>
      <c r="F30" s="102">
        <v>72.5</v>
      </c>
      <c r="G30" s="102">
        <v>409</v>
      </c>
      <c r="H30" s="102">
        <v>153.6</v>
      </c>
      <c r="I30" s="102">
        <v>137.1</v>
      </c>
      <c r="J30" s="102">
        <v>56.5</v>
      </c>
      <c r="K30" s="102">
        <v>60.7</v>
      </c>
      <c r="L30" s="102">
        <v>8.4</v>
      </c>
      <c r="M30" s="102">
        <v>21.2</v>
      </c>
      <c r="N30" s="102">
        <f t="shared" si="1"/>
        <v>168</v>
      </c>
      <c r="O30" s="102">
        <f t="shared" si="2"/>
        <v>828.7</v>
      </c>
      <c r="P30" s="102">
        <f t="shared" si="3"/>
        <v>90.300000000000011</v>
      </c>
      <c r="Q30" s="102">
        <f t="shared" si="4"/>
        <v>1087.0000000000002</v>
      </c>
    </row>
    <row r="31" spans="1:17">
      <c r="A31" s="102">
        <v>1980</v>
      </c>
      <c r="B31" s="102">
        <v>81.8</v>
      </c>
      <c r="C31" s="102">
        <v>47.5</v>
      </c>
      <c r="D31" s="102">
        <v>73.2</v>
      </c>
      <c r="E31" s="102">
        <v>178.9</v>
      </c>
      <c r="F31" s="102">
        <v>191</v>
      </c>
      <c r="G31" s="102">
        <v>156.69999999999999</v>
      </c>
      <c r="H31" s="102">
        <v>172.4</v>
      </c>
      <c r="I31" s="102">
        <v>209.3</v>
      </c>
      <c r="J31" s="102">
        <v>20.9</v>
      </c>
      <c r="K31" s="102">
        <v>206.5</v>
      </c>
      <c r="L31" s="102">
        <v>50.6</v>
      </c>
      <c r="M31" s="102">
        <v>18.3</v>
      </c>
      <c r="N31" s="102">
        <f t="shared" si="1"/>
        <v>381.4</v>
      </c>
      <c r="O31" s="102">
        <f t="shared" si="2"/>
        <v>750.30000000000007</v>
      </c>
      <c r="P31" s="102">
        <f t="shared" si="3"/>
        <v>275.40000000000003</v>
      </c>
      <c r="Q31" s="102">
        <f t="shared" si="4"/>
        <v>1407.1</v>
      </c>
    </row>
    <row r="32" spans="1:17">
      <c r="A32" s="102">
        <v>1981</v>
      </c>
      <c r="B32" s="102">
        <v>43.8</v>
      </c>
      <c r="C32" s="102">
        <v>30.5</v>
      </c>
      <c r="D32" s="102">
        <v>46.4</v>
      </c>
      <c r="E32" s="102">
        <v>131.5</v>
      </c>
      <c r="F32" s="102">
        <v>189.7</v>
      </c>
      <c r="G32" s="102">
        <v>105.2</v>
      </c>
      <c r="H32" s="102">
        <v>62.6</v>
      </c>
      <c r="I32" s="102">
        <v>50.5</v>
      </c>
      <c r="J32" s="102">
        <v>97</v>
      </c>
      <c r="K32" s="102">
        <v>182.7</v>
      </c>
      <c r="L32" s="102">
        <v>92.2</v>
      </c>
      <c r="M32" s="102">
        <v>0.4</v>
      </c>
      <c r="N32" s="102">
        <f t="shared" si="1"/>
        <v>252.2</v>
      </c>
      <c r="O32" s="102">
        <f t="shared" si="2"/>
        <v>505</v>
      </c>
      <c r="P32" s="102">
        <f t="shared" si="3"/>
        <v>275.29999999999995</v>
      </c>
      <c r="Q32" s="102">
        <f t="shared" si="4"/>
        <v>1032.5000000000002</v>
      </c>
    </row>
    <row r="33" spans="1:17">
      <c r="A33" s="102">
        <v>1982</v>
      </c>
      <c r="B33" s="102">
        <v>28.2</v>
      </c>
      <c r="C33" s="102">
        <v>120.1</v>
      </c>
      <c r="D33" s="102">
        <v>26.3</v>
      </c>
      <c r="E33" s="102">
        <v>107</v>
      </c>
      <c r="F33" s="102">
        <v>181.5</v>
      </c>
      <c r="G33" s="102">
        <v>171.1</v>
      </c>
      <c r="H33" s="102">
        <v>103.5</v>
      </c>
      <c r="I33" s="102">
        <v>242.3</v>
      </c>
      <c r="J33" s="102">
        <v>191.5</v>
      </c>
      <c r="K33" s="102">
        <v>107.2</v>
      </c>
      <c r="L33" s="102">
        <v>117.1</v>
      </c>
      <c r="M33" s="102">
        <v>25.9</v>
      </c>
      <c r="N33" s="102">
        <f t="shared" si="1"/>
        <v>281.60000000000002</v>
      </c>
      <c r="O33" s="102">
        <f t="shared" si="2"/>
        <v>889.90000000000009</v>
      </c>
      <c r="P33" s="102">
        <f t="shared" si="3"/>
        <v>250.20000000000002</v>
      </c>
      <c r="Q33" s="102">
        <f t="shared" si="4"/>
        <v>1421.7</v>
      </c>
    </row>
    <row r="34" spans="1:17">
      <c r="A34" s="102">
        <v>1983</v>
      </c>
      <c r="B34" s="102">
        <v>76.7</v>
      </c>
      <c r="C34" s="102">
        <v>66</v>
      </c>
      <c r="D34" s="102">
        <v>39.799999999999997</v>
      </c>
      <c r="E34" s="102">
        <v>186.9</v>
      </c>
      <c r="F34" s="102">
        <v>156.5</v>
      </c>
      <c r="G34" s="102">
        <v>170.9</v>
      </c>
      <c r="H34" s="102">
        <v>96</v>
      </c>
      <c r="I34" s="102">
        <v>70.3</v>
      </c>
      <c r="J34" s="102">
        <v>94.9</v>
      </c>
      <c r="K34" s="102">
        <v>89</v>
      </c>
      <c r="L34" s="102">
        <v>56.1</v>
      </c>
      <c r="M34" s="102">
        <v>34.4</v>
      </c>
      <c r="N34" s="102">
        <f t="shared" si="1"/>
        <v>369.4</v>
      </c>
      <c r="O34" s="102">
        <f t="shared" si="2"/>
        <v>588.6</v>
      </c>
      <c r="P34" s="102">
        <f t="shared" si="3"/>
        <v>179.5</v>
      </c>
      <c r="Q34" s="102">
        <f t="shared" si="4"/>
        <v>1137.5</v>
      </c>
    </row>
    <row r="35" spans="1:17">
      <c r="A35" s="102">
        <v>1984</v>
      </c>
      <c r="B35" s="102">
        <v>21.2</v>
      </c>
      <c r="C35" s="102">
        <v>14.4</v>
      </c>
      <c r="D35" s="102">
        <v>42.1</v>
      </c>
      <c r="E35" s="102">
        <v>123.1</v>
      </c>
      <c r="F35" s="102">
        <v>229.9</v>
      </c>
      <c r="G35" s="102">
        <v>201.2</v>
      </c>
      <c r="H35" s="102">
        <v>149.80000000000001</v>
      </c>
      <c r="I35" s="102">
        <v>168.7</v>
      </c>
      <c r="J35" s="102">
        <v>41.4</v>
      </c>
      <c r="K35" s="102">
        <v>96.3</v>
      </c>
      <c r="L35" s="102">
        <v>19</v>
      </c>
      <c r="M35" s="102">
        <v>72.900000000000006</v>
      </c>
      <c r="N35" s="102">
        <f t="shared" si="1"/>
        <v>200.8</v>
      </c>
      <c r="O35" s="102">
        <f t="shared" si="2"/>
        <v>791.00000000000011</v>
      </c>
      <c r="P35" s="102">
        <f t="shared" si="3"/>
        <v>188.2</v>
      </c>
      <c r="Q35" s="102">
        <f t="shared" si="4"/>
        <v>1180.0000000000002</v>
      </c>
    </row>
    <row r="36" spans="1:17">
      <c r="A36" s="102">
        <v>1985</v>
      </c>
      <c r="B36" s="102">
        <v>7.2</v>
      </c>
      <c r="C36" s="102">
        <v>56.8</v>
      </c>
      <c r="D36" s="102">
        <v>67.599999999999994</v>
      </c>
      <c r="E36" s="102">
        <v>81.5</v>
      </c>
      <c r="F36" s="102">
        <v>167.5</v>
      </c>
      <c r="G36" s="102">
        <v>95</v>
      </c>
      <c r="H36" s="102">
        <v>155.9</v>
      </c>
      <c r="I36" s="102">
        <v>257.10000000000002</v>
      </c>
      <c r="J36" s="102">
        <v>44.5</v>
      </c>
      <c r="K36" s="102">
        <v>108.9</v>
      </c>
      <c r="L36" s="102">
        <v>56.3</v>
      </c>
      <c r="M36" s="102">
        <v>36.799999999999997</v>
      </c>
      <c r="N36" s="102">
        <f t="shared" si="1"/>
        <v>213.1</v>
      </c>
      <c r="O36" s="102">
        <f t="shared" si="2"/>
        <v>720</v>
      </c>
      <c r="P36" s="102">
        <f t="shared" si="3"/>
        <v>202</v>
      </c>
      <c r="Q36" s="102">
        <f t="shared" si="4"/>
        <v>1135.0999999999999</v>
      </c>
    </row>
    <row r="37" spans="1:17">
      <c r="A37" s="102">
        <v>1986</v>
      </c>
      <c r="B37" s="102">
        <v>33.299999999999997</v>
      </c>
      <c r="C37" s="102">
        <v>37.799999999999997</v>
      </c>
      <c r="D37" s="102">
        <v>58</v>
      </c>
      <c r="E37" s="102">
        <v>83.1</v>
      </c>
      <c r="F37" s="102">
        <v>62.3</v>
      </c>
      <c r="G37" s="102">
        <v>294.3</v>
      </c>
      <c r="H37" s="102">
        <v>247</v>
      </c>
      <c r="I37" s="102">
        <v>28.9</v>
      </c>
      <c r="J37" s="102">
        <v>47.5</v>
      </c>
      <c r="K37" s="102">
        <v>103.4</v>
      </c>
      <c r="L37" s="102">
        <v>52.4</v>
      </c>
      <c r="M37" s="102">
        <v>8.5</v>
      </c>
      <c r="N37" s="102">
        <f t="shared" si="1"/>
        <v>212.2</v>
      </c>
      <c r="O37" s="102">
        <f t="shared" si="2"/>
        <v>680</v>
      </c>
      <c r="P37" s="102">
        <f t="shared" si="3"/>
        <v>164.3</v>
      </c>
      <c r="Q37" s="102">
        <f t="shared" si="4"/>
        <v>1056.5</v>
      </c>
    </row>
    <row r="38" spans="1:17">
      <c r="A38" s="102">
        <v>1987</v>
      </c>
      <c r="B38" s="102">
        <v>38.200000000000003</v>
      </c>
      <c r="C38" s="102">
        <v>24.9</v>
      </c>
      <c r="D38" s="102">
        <v>42</v>
      </c>
      <c r="E38" s="102">
        <v>81.5</v>
      </c>
      <c r="F38" s="102">
        <v>335.3</v>
      </c>
      <c r="G38" s="102">
        <v>206.2</v>
      </c>
      <c r="H38" s="102">
        <v>149.6</v>
      </c>
      <c r="I38" s="102">
        <v>106.5</v>
      </c>
      <c r="J38" s="102">
        <v>85.2</v>
      </c>
      <c r="K38" s="102">
        <v>177.4</v>
      </c>
      <c r="L38" s="102">
        <v>76.599999999999994</v>
      </c>
      <c r="M38" s="102">
        <v>9.4</v>
      </c>
      <c r="N38" s="102">
        <f t="shared" si="1"/>
        <v>186.6</v>
      </c>
      <c r="O38" s="102">
        <f t="shared" si="2"/>
        <v>882.80000000000007</v>
      </c>
      <c r="P38" s="102">
        <f t="shared" si="3"/>
        <v>263.39999999999998</v>
      </c>
      <c r="Q38" s="102">
        <f t="shared" si="4"/>
        <v>1332.8</v>
      </c>
    </row>
    <row r="39" spans="1:17">
      <c r="A39" s="102">
        <v>1988</v>
      </c>
      <c r="B39" s="102">
        <v>34.200000000000003</v>
      </c>
      <c r="C39" s="102">
        <v>25.5</v>
      </c>
      <c r="D39" s="102">
        <v>37.9</v>
      </c>
      <c r="E39" s="102">
        <v>38</v>
      </c>
      <c r="F39" s="102">
        <v>143.30000000000001</v>
      </c>
      <c r="G39" s="102">
        <v>182.7</v>
      </c>
      <c r="H39" s="102">
        <v>18.8</v>
      </c>
      <c r="I39" s="102">
        <v>318.39999999999998</v>
      </c>
      <c r="J39" s="102">
        <v>112.5</v>
      </c>
      <c r="K39" s="102">
        <v>62.7</v>
      </c>
      <c r="L39" s="102">
        <v>0.4</v>
      </c>
      <c r="M39" s="102">
        <v>6.2</v>
      </c>
      <c r="N39" s="102">
        <f t="shared" si="1"/>
        <v>135.6</v>
      </c>
      <c r="O39" s="102">
        <f t="shared" si="2"/>
        <v>775.7</v>
      </c>
      <c r="P39" s="102">
        <f t="shared" si="3"/>
        <v>69.3</v>
      </c>
      <c r="Q39" s="102">
        <f t="shared" si="4"/>
        <v>980.6</v>
      </c>
    </row>
    <row r="40" spans="1:17">
      <c r="A40" s="102">
        <v>1989</v>
      </c>
      <c r="B40" s="102">
        <v>29.9</v>
      </c>
      <c r="C40" s="102">
        <v>56.4</v>
      </c>
      <c r="D40" s="102">
        <v>104.5</v>
      </c>
      <c r="E40" s="102">
        <v>171.1</v>
      </c>
      <c r="F40" s="102">
        <v>41.5</v>
      </c>
      <c r="G40" s="102">
        <v>187.3</v>
      </c>
      <c r="H40" s="102">
        <v>98.6</v>
      </c>
      <c r="I40" s="102">
        <v>174.1</v>
      </c>
      <c r="J40" s="102">
        <v>99.4</v>
      </c>
      <c r="K40" s="102">
        <v>83.3</v>
      </c>
      <c r="L40" s="102">
        <v>38.5</v>
      </c>
      <c r="M40" s="102">
        <v>43.3</v>
      </c>
      <c r="N40" s="102">
        <f t="shared" si="1"/>
        <v>361.9</v>
      </c>
      <c r="O40" s="102">
        <f t="shared" si="2"/>
        <v>600.9</v>
      </c>
      <c r="P40" s="102">
        <f t="shared" si="3"/>
        <v>165.1</v>
      </c>
      <c r="Q40" s="102">
        <f t="shared" si="4"/>
        <v>1127.9000000000001</v>
      </c>
    </row>
    <row r="41" spans="1:17">
      <c r="A41" s="102">
        <v>1990</v>
      </c>
      <c r="B41" s="102">
        <v>35.9</v>
      </c>
      <c r="C41" s="102">
        <v>32.5</v>
      </c>
      <c r="D41" s="102">
        <v>128.19999999999999</v>
      </c>
      <c r="E41" s="102">
        <v>97.9</v>
      </c>
      <c r="F41" s="102">
        <v>146.80000000000001</v>
      </c>
      <c r="G41" s="102">
        <v>208.6</v>
      </c>
      <c r="H41" s="102">
        <v>131.1</v>
      </c>
      <c r="I41" s="102">
        <v>48.5</v>
      </c>
      <c r="J41" s="102">
        <v>178.3</v>
      </c>
      <c r="K41" s="102">
        <v>120.4</v>
      </c>
      <c r="L41" s="102">
        <v>94</v>
      </c>
      <c r="M41" s="102">
        <v>32.4</v>
      </c>
      <c r="N41" s="102">
        <f t="shared" si="1"/>
        <v>294.5</v>
      </c>
      <c r="O41" s="102">
        <f t="shared" si="2"/>
        <v>713.3</v>
      </c>
      <c r="P41" s="102">
        <f t="shared" si="3"/>
        <v>246.8</v>
      </c>
      <c r="Q41" s="102">
        <f t="shared" si="4"/>
        <v>1254.6000000000001</v>
      </c>
    </row>
    <row r="42" spans="1:17">
      <c r="A42" s="102">
        <v>1991</v>
      </c>
      <c r="B42" s="102">
        <v>144.5</v>
      </c>
      <c r="C42" s="102">
        <v>24.2</v>
      </c>
      <c r="D42" s="102">
        <v>115.3</v>
      </c>
      <c r="E42" s="102">
        <v>123.2</v>
      </c>
      <c r="F42" s="102">
        <v>96.6</v>
      </c>
      <c r="G42" s="102">
        <v>131.1</v>
      </c>
      <c r="H42" s="102">
        <v>318.60000000000002</v>
      </c>
      <c r="I42" s="102">
        <v>100.5</v>
      </c>
      <c r="J42" s="102">
        <v>63</v>
      </c>
      <c r="K42" s="102">
        <v>73.2</v>
      </c>
      <c r="L42" s="102">
        <v>49</v>
      </c>
      <c r="M42" s="102">
        <v>23.4</v>
      </c>
      <c r="N42" s="102">
        <f t="shared" si="1"/>
        <v>407.2</v>
      </c>
      <c r="O42" s="102">
        <f t="shared" si="2"/>
        <v>709.8</v>
      </c>
      <c r="P42" s="102">
        <f t="shared" si="3"/>
        <v>145.6</v>
      </c>
      <c r="Q42" s="102">
        <f t="shared" si="4"/>
        <v>1262.6000000000001</v>
      </c>
    </row>
    <row r="43" spans="1:17">
      <c r="A43" s="102">
        <v>1992</v>
      </c>
      <c r="B43" s="102">
        <v>10.6</v>
      </c>
      <c r="C43" s="102">
        <v>34</v>
      </c>
      <c r="D43" s="102">
        <v>109.3</v>
      </c>
      <c r="E43" s="102">
        <v>307.39999999999998</v>
      </c>
      <c r="F43" s="102">
        <v>208.2</v>
      </c>
      <c r="G43" s="102">
        <v>329</v>
      </c>
      <c r="H43" s="102">
        <v>211.4</v>
      </c>
      <c r="I43" s="102">
        <v>42.4</v>
      </c>
      <c r="J43" s="102">
        <v>36.200000000000003</v>
      </c>
      <c r="K43" s="102">
        <v>18.8</v>
      </c>
      <c r="L43" s="102">
        <v>28.2</v>
      </c>
      <c r="M43" s="102">
        <v>37.9</v>
      </c>
      <c r="N43" s="102">
        <f t="shared" si="1"/>
        <v>461.29999999999995</v>
      </c>
      <c r="O43" s="102">
        <f t="shared" si="2"/>
        <v>827.2</v>
      </c>
      <c r="P43" s="102">
        <f t="shared" si="3"/>
        <v>84.9</v>
      </c>
      <c r="Q43" s="102">
        <f t="shared" si="4"/>
        <v>1373.4000000000003</v>
      </c>
    </row>
    <row r="44" spans="1:17">
      <c r="A44" s="102">
        <v>1993</v>
      </c>
      <c r="B44" s="102">
        <v>51.9</v>
      </c>
      <c r="C44" s="102">
        <v>81.099999999999994</v>
      </c>
      <c r="D44" s="102">
        <v>77.900000000000006</v>
      </c>
      <c r="E44" s="102">
        <v>93.5</v>
      </c>
      <c r="F44" s="102">
        <v>159.80000000000001</v>
      </c>
      <c r="G44" s="102">
        <v>133.4</v>
      </c>
      <c r="H44" s="102">
        <v>463.6</v>
      </c>
      <c r="I44" s="102">
        <v>124.6</v>
      </c>
      <c r="J44" s="102">
        <v>65.5</v>
      </c>
      <c r="K44" s="102">
        <v>77.5</v>
      </c>
      <c r="L44" s="102">
        <v>82.4</v>
      </c>
      <c r="M44" s="102">
        <v>35.700000000000003</v>
      </c>
      <c r="N44" s="102">
        <f t="shared" si="1"/>
        <v>304.39999999999998</v>
      </c>
      <c r="O44" s="102">
        <f t="shared" si="2"/>
        <v>946.90000000000009</v>
      </c>
      <c r="P44" s="102">
        <f t="shared" si="3"/>
        <v>195.60000000000002</v>
      </c>
      <c r="Q44" s="102">
        <f t="shared" si="4"/>
        <v>1446.9</v>
      </c>
    </row>
    <row r="45" spans="1:17">
      <c r="A45" s="102">
        <v>1994</v>
      </c>
      <c r="B45" s="102">
        <v>13.7</v>
      </c>
      <c r="C45" s="102">
        <v>32.6</v>
      </c>
      <c r="D45" s="102">
        <v>67.099999999999994</v>
      </c>
      <c r="E45" s="102">
        <v>172</v>
      </c>
      <c r="F45" s="102">
        <v>165.6</v>
      </c>
      <c r="G45" s="102">
        <v>58</v>
      </c>
      <c r="H45" s="102">
        <v>347</v>
      </c>
      <c r="I45" s="102">
        <v>53.2</v>
      </c>
      <c r="J45" s="102">
        <v>142.4</v>
      </c>
      <c r="K45" s="102">
        <v>193.8</v>
      </c>
      <c r="L45" s="102">
        <v>102.8</v>
      </c>
      <c r="M45" s="102">
        <v>60.7</v>
      </c>
      <c r="N45" s="102">
        <f t="shared" si="1"/>
        <v>285.39999999999998</v>
      </c>
      <c r="O45" s="102">
        <f t="shared" si="2"/>
        <v>766.2</v>
      </c>
      <c r="P45" s="102">
        <f t="shared" si="3"/>
        <v>357.3</v>
      </c>
      <c r="Q45" s="102">
        <f t="shared" si="4"/>
        <v>1408.9</v>
      </c>
    </row>
    <row r="46" spans="1:17">
      <c r="A46" s="102">
        <v>1995</v>
      </c>
      <c r="B46" s="102">
        <v>37.799999999999997</v>
      </c>
      <c r="C46" s="102">
        <v>77.400000000000006</v>
      </c>
      <c r="D46" s="102">
        <v>40.1</v>
      </c>
      <c r="E46" s="102">
        <v>173.1</v>
      </c>
      <c r="F46" s="102">
        <v>201.1</v>
      </c>
      <c r="G46" s="102">
        <v>514.20000000000005</v>
      </c>
      <c r="H46" s="102">
        <v>119.8</v>
      </c>
      <c r="I46" s="102">
        <v>173.1</v>
      </c>
      <c r="J46" s="102">
        <v>48.8</v>
      </c>
      <c r="K46" s="102">
        <v>34.799999999999997</v>
      </c>
      <c r="L46" s="102">
        <v>45</v>
      </c>
      <c r="M46" s="102">
        <v>11.5</v>
      </c>
      <c r="N46" s="102">
        <f t="shared" si="1"/>
        <v>328.4</v>
      </c>
      <c r="O46" s="102">
        <f t="shared" si="2"/>
        <v>1057</v>
      </c>
      <c r="P46" s="102">
        <f t="shared" si="3"/>
        <v>91.3</v>
      </c>
      <c r="Q46" s="102">
        <f t="shared" si="4"/>
        <v>1476.6999999999998</v>
      </c>
    </row>
    <row r="47" spans="1:17">
      <c r="A47" s="102">
        <v>1996</v>
      </c>
      <c r="B47" s="102">
        <v>46</v>
      </c>
      <c r="C47" s="102">
        <v>9.6</v>
      </c>
      <c r="D47" s="102">
        <v>79.3</v>
      </c>
      <c r="E47" s="102">
        <v>49.6</v>
      </c>
      <c r="F47" s="102">
        <v>239.1</v>
      </c>
      <c r="G47" s="102">
        <v>208.5</v>
      </c>
      <c r="H47" s="102">
        <v>395</v>
      </c>
      <c r="I47" s="102">
        <v>212</v>
      </c>
      <c r="J47" s="102">
        <v>10.7</v>
      </c>
      <c r="K47" s="102">
        <v>181.2</v>
      </c>
      <c r="L47" s="102">
        <v>36.9</v>
      </c>
      <c r="M47" s="102">
        <v>19.899999999999999</v>
      </c>
      <c r="N47" s="102">
        <f t="shared" si="1"/>
        <v>184.5</v>
      </c>
      <c r="O47" s="102">
        <f t="shared" si="2"/>
        <v>1065.3</v>
      </c>
      <c r="P47" s="102">
        <f t="shared" si="3"/>
        <v>238</v>
      </c>
      <c r="Q47" s="102">
        <f t="shared" si="4"/>
        <v>1487.8000000000002</v>
      </c>
    </row>
    <row r="48" spans="1:17">
      <c r="A48" s="102">
        <v>1997</v>
      </c>
      <c r="B48" s="102">
        <v>76.2</v>
      </c>
      <c r="C48" s="102">
        <v>71.400000000000006</v>
      </c>
      <c r="D48" s="102">
        <v>55.9</v>
      </c>
      <c r="E48" s="102">
        <v>203.2</v>
      </c>
      <c r="F48" s="102">
        <v>253.6</v>
      </c>
      <c r="G48" s="102">
        <v>166.5</v>
      </c>
      <c r="H48" s="102">
        <v>147.9</v>
      </c>
      <c r="I48" s="102">
        <v>90.5</v>
      </c>
      <c r="J48" s="102">
        <v>155.30000000000001</v>
      </c>
      <c r="K48" s="102">
        <v>126.5</v>
      </c>
      <c r="L48" s="102">
        <v>51.5</v>
      </c>
      <c r="M48" s="102">
        <v>40.6</v>
      </c>
      <c r="N48" s="102">
        <f t="shared" si="1"/>
        <v>406.70000000000005</v>
      </c>
      <c r="O48" s="102">
        <f t="shared" si="2"/>
        <v>813.8</v>
      </c>
      <c r="P48" s="102">
        <f t="shared" si="3"/>
        <v>218.6</v>
      </c>
      <c r="Q48" s="102">
        <f t="shared" si="4"/>
        <v>1439.1</v>
      </c>
    </row>
    <row r="49" spans="1:33">
      <c r="A49" s="102">
        <v>1998</v>
      </c>
      <c r="B49" s="102">
        <v>40.4</v>
      </c>
      <c r="C49" s="102">
        <v>53.1</v>
      </c>
      <c r="D49" s="102">
        <v>69.5</v>
      </c>
      <c r="E49" s="102">
        <v>62.9</v>
      </c>
      <c r="F49" s="102">
        <v>125.7</v>
      </c>
      <c r="G49" s="102">
        <v>227.7</v>
      </c>
      <c r="H49" s="102">
        <v>155.9</v>
      </c>
      <c r="I49" s="102">
        <v>57</v>
      </c>
      <c r="J49" s="102">
        <v>57.7</v>
      </c>
      <c r="K49" s="102">
        <v>100</v>
      </c>
      <c r="L49" s="102">
        <v>23.2</v>
      </c>
      <c r="M49" s="102">
        <v>23.6</v>
      </c>
      <c r="N49" s="102">
        <f t="shared" si="1"/>
        <v>225.9</v>
      </c>
      <c r="O49" s="102">
        <f t="shared" si="2"/>
        <v>624</v>
      </c>
      <c r="P49" s="102">
        <f t="shared" si="3"/>
        <v>146.80000000000001</v>
      </c>
      <c r="Q49" s="102">
        <f t="shared" si="4"/>
        <v>996.7</v>
      </c>
    </row>
    <row r="50" spans="1:33">
      <c r="A50" s="102">
        <v>1999</v>
      </c>
      <c r="B50" s="102">
        <v>42.5</v>
      </c>
      <c r="C50" s="102">
        <v>11.2</v>
      </c>
      <c r="D50" s="102">
        <v>44.4</v>
      </c>
      <c r="E50" s="102">
        <v>238.2</v>
      </c>
      <c r="F50" s="102">
        <v>190.7</v>
      </c>
      <c r="G50" s="102">
        <v>385.6</v>
      </c>
      <c r="H50" s="102">
        <v>295.8</v>
      </c>
      <c r="I50" s="102">
        <v>185.5</v>
      </c>
      <c r="J50" s="102">
        <v>34.299999999999997</v>
      </c>
      <c r="K50" s="102">
        <v>71.599999999999994</v>
      </c>
      <c r="L50" s="102">
        <v>36.4</v>
      </c>
      <c r="M50" s="102">
        <v>0</v>
      </c>
      <c r="N50" s="102">
        <f t="shared" si="1"/>
        <v>336.29999999999995</v>
      </c>
      <c r="O50" s="102">
        <f t="shared" si="2"/>
        <v>1091.8999999999999</v>
      </c>
      <c r="P50" s="102">
        <f t="shared" si="3"/>
        <v>108</v>
      </c>
      <c r="Q50" s="102">
        <f t="shared" si="4"/>
        <v>1536.2</v>
      </c>
    </row>
    <row r="51" spans="1:33">
      <c r="A51" s="102">
        <v>2000</v>
      </c>
      <c r="B51" s="102">
        <v>27.3</v>
      </c>
      <c r="C51" s="102">
        <v>37</v>
      </c>
      <c r="D51" s="102">
        <v>125</v>
      </c>
      <c r="E51" s="102">
        <v>123.4</v>
      </c>
      <c r="F51" s="102">
        <v>121.8</v>
      </c>
      <c r="G51" s="102">
        <v>184.7</v>
      </c>
      <c r="H51" s="102">
        <v>117.4</v>
      </c>
      <c r="I51" s="102">
        <v>178.8</v>
      </c>
      <c r="J51" s="102">
        <v>42.9</v>
      </c>
      <c r="K51" s="102">
        <v>103.5</v>
      </c>
      <c r="L51" s="102">
        <v>43.9</v>
      </c>
      <c r="M51" s="102">
        <v>17.100000000000001</v>
      </c>
      <c r="N51" s="102">
        <f t="shared" si="1"/>
        <v>312.70000000000005</v>
      </c>
      <c r="O51" s="102">
        <f t="shared" si="2"/>
        <v>645.6</v>
      </c>
      <c r="P51" s="102">
        <f t="shared" si="3"/>
        <v>164.5</v>
      </c>
      <c r="Q51" s="102">
        <f t="shared" si="4"/>
        <v>1122.8000000000002</v>
      </c>
    </row>
    <row r="52" spans="1:33">
      <c r="A52" s="102">
        <v>2001</v>
      </c>
      <c r="B52" s="102">
        <v>43</v>
      </c>
      <c r="C52" s="102">
        <v>35.299999999999997</v>
      </c>
      <c r="D52" s="102">
        <v>41.9</v>
      </c>
      <c r="E52" s="102">
        <v>136.19999999999999</v>
      </c>
      <c r="F52" s="102">
        <v>241.3</v>
      </c>
      <c r="G52" s="102">
        <v>210.5</v>
      </c>
      <c r="H52" s="102">
        <v>193.5</v>
      </c>
      <c r="I52" s="102">
        <v>223.4</v>
      </c>
      <c r="J52" s="102">
        <v>16.899999999999999</v>
      </c>
      <c r="K52" s="102">
        <v>104</v>
      </c>
      <c r="L52" s="102">
        <v>39.299999999999997</v>
      </c>
      <c r="M52" s="102">
        <v>15.9</v>
      </c>
      <c r="N52" s="102">
        <f t="shared" si="1"/>
        <v>256.39999999999998</v>
      </c>
      <c r="O52" s="102">
        <f t="shared" si="2"/>
        <v>885.59999999999991</v>
      </c>
      <c r="P52" s="102">
        <f t="shared" si="3"/>
        <v>159.20000000000002</v>
      </c>
      <c r="Q52" s="102">
        <f t="shared" si="4"/>
        <v>1301.2000000000003</v>
      </c>
    </row>
    <row r="53" spans="1:33">
      <c r="A53" s="102">
        <v>2002</v>
      </c>
      <c r="B53" s="102">
        <v>30.4</v>
      </c>
      <c r="C53" s="102">
        <v>58.8</v>
      </c>
      <c r="D53" s="102">
        <v>60</v>
      </c>
      <c r="E53" s="102">
        <v>194.5</v>
      </c>
      <c r="F53" s="102">
        <v>224.2</v>
      </c>
      <c r="G53" s="102">
        <v>209.6</v>
      </c>
      <c r="H53" s="102">
        <v>138.5</v>
      </c>
      <c r="I53" s="102">
        <v>200.5</v>
      </c>
      <c r="J53" s="102">
        <v>18.7</v>
      </c>
      <c r="K53" s="102">
        <v>113.8</v>
      </c>
      <c r="L53" s="102">
        <v>33.700000000000003</v>
      </c>
      <c r="M53" s="102">
        <v>72.5</v>
      </c>
      <c r="N53" s="102">
        <f t="shared" si="1"/>
        <v>343.7</v>
      </c>
      <c r="O53" s="102">
        <f t="shared" si="2"/>
        <v>791.5</v>
      </c>
      <c r="P53" s="102">
        <f t="shared" si="3"/>
        <v>220</v>
      </c>
      <c r="Q53" s="102">
        <f t="shared" si="4"/>
        <v>1355.2</v>
      </c>
    </row>
    <row r="54" spans="1:33">
      <c r="A54" s="102">
        <v>2003</v>
      </c>
      <c r="B54" s="102">
        <v>56.2</v>
      </c>
      <c r="C54" s="102">
        <v>43.3</v>
      </c>
      <c r="D54" s="102">
        <v>70.400000000000006</v>
      </c>
      <c r="E54" s="102">
        <v>195.1</v>
      </c>
      <c r="F54" s="102">
        <v>346</v>
      </c>
      <c r="G54" s="102">
        <v>163</v>
      </c>
      <c r="H54" s="102">
        <v>208</v>
      </c>
      <c r="I54" s="102">
        <v>90</v>
      </c>
      <c r="J54" s="102">
        <v>56</v>
      </c>
      <c r="K54" s="102">
        <v>84</v>
      </c>
      <c r="L54" s="102">
        <v>21</v>
      </c>
      <c r="M54" s="102">
        <v>62.5</v>
      </c>
      <c r="N54" s="102">
        <f t="shared" si="1"/>
        <v>365</v>
      </c>
      <c r="O54" s="102">
        <f t="shared" si="2"/>
        <v>863</v>
      </c>
      <c r="P54" s="102">
        <f t="shared" si="3"/>
        <v>167.5</v>
      </c>
      <c r="Q54" s="102">
        <f t="shared" si="4"/>
        <v>1395.5</v>
      </c>
    </row>
    <row r="55" spans="1:33">
      <c r="A55" s="102">
        <v>2004</v>
      </c>
      <c r="B55" s="103">
        <v>39.700000000000003</v>
      </c>
      <c r="C55" s="103">
        <v>88</v>
      </c>
      <c r="D55" s="103">
        <v>102.1</v>
      </c>
      <c r="E55" s="103">
        <v>72</v>
      </c>
      <c r="F55" s="103">
        <v>124</v>
      </c>
      <c r="G55" s="103">
        <v>171.5</v>
      </c>
      <c r="H55" s="103">
        <v>242.9</v>
      </c>
      <c r="I55" s="103">
        <v>71.3</v>
      </c>
      <c r="J55" s="103">
        <v>41.5</v>
      </c>
      <c r="K55" s="103">
        <v>35.799999999999997</v>
      </c>
      <c r="L55" s="103">
        <v>101.1</v>
      </c>
      <c r="M55" s="103">
        <v>24.6</v>
      </c>
      <c r="N55" s="102">
        <f t="shared" si="1"/>
        <v>301.8</v>
      </c>
      <c r="O55" s="102">
        <f t="shared" si="2"/>
        <v>651.19999999999993</v>
      </c>
      <c r="P55" s="102">
        <f t="shared" si="3"/>
        <v>161.49999999999997</v>
      </c>
      <c r="Q55" s="102">
        <f t="shared" si="4"/>
        <v>1114.4999999999998</v>
      </c>
    </row>
    <row r="56" spans="1:33">
      <c r="A56" s="102">
        <v>2005</v>
      </c>
      <c r="B56" s="102">
        <v>58</v>
      </c>
      <c r="C56" s="102">
        <v>85</v>
      </c>
      <c r="D56" s="102">
        <v>58</v>
      </c>
      <c r="E56" s="102">
        <v>78</v>
      </c>
      <c r="F56" s="102">
        <v>201</v>
      </c>
      <c r="G56" s="102">
        <v>102</v>
      </c>
      <c r="H56" s="102">
        <v>99</v>
      </c>
      <c r="I56" s="102">
        <v>93.6</v>
      </c>
      <c r="J56" s="102">
        <v>0.5</v>
      </c>
      <c r="K56" s="102">
        <v>85</v>
      </c>
      <c r="L56" s="104">
        <v>42.7</v>
      </c>
      <c r="M56" s="104">
        <v>7.3</v>
      </c>
      <c r="N56" s="102">
        <f t="shared" si="1"/>
        <v>279</v>
      </c>
      <c r="O56" s="102">
        <f t="shared" si="2"/>
        <v>496.1</v>
      </c>
      <c r="P56" s="102">
        <f t="shared" si="3"/>
        <v>135</v>
      </c>
      <c r="Q56" s="102">
        <f t="shared" si="4"/>
        <v>910.1</v>
      </c>
    </row>
    <row r="57" spans="1:33">
      <c r="A57" s="102">
        <v>2006</v>
      </c>
      <c r="B57" s="102">
        <v>37.200000000000003</v>
      </c>
      <c r="C57" s="102">
        <v>135.4</v>
      </c>
      <c r="D57" s="102">
        <v>76.599999999999994</v>
      </c>
      <c r="E57" s="102">
        <v>151.4</v>
      </c>
      <c r="F57" s="102">
        <v>152.80000000000001</v>
      </c>
      <c r="G57" s="102">
        <v>183.4</v>
      </c>
      <c r="H57" s="102">
        <v>173.3</v>
      </c>
      <c r="I57" s="102">
        <v>82.6</v>
      </c>
      <c r="J57" s="102">
        <v>79.8</v>
      </c>
      <c r="K57" s="102">
        <v>78.099999999999994</v>
      </c>
      <c r="L57" s="102">
        <v>80.400000000000006</v>
      </c>
      <c r="M57" s="102">
        <v>22.7</v>
      </c>
      <c r="N57" s="102">
        <f t="shared" si="1"/>
        <v>400.6</v>
      </c>
      <c r="O57" s="102">
        <f t="shared" si="2"/>
        <v>671.9</v>
      </c>
      <c r="P57" s="102">
        <f t="shared" si="3"/>
        <v>181.2</v>
      </c>
      <c r="Q57" s="102">
        <f t="shared" si="4"/>
        <v>1253.7000000000003</v>
      </c>
    </row>
    <row r="58" spans="1:33">
      <c r="A58" s="102">
        <v>2007</v>
      </c>
      <c r="B58" s="102">
        <v>9.9</v>
      </c>
      <c r="C58" s="102">
        <v>49.7</v>
      </c>
      <c r="D58" s="102">
        <v>18</v>
      </c>
      <c r="E58" s="102">
        <v>133.30000000000001</v>
      </c>
      <c r="F58" s="102">
        <v>132.19999999999999</v>
      </c>
      <c r="G58" s="102">
        <v>211.9</v>
      </c>
      <c r="H58" s="102">
        <v>350.7</v>
      </c>
      <c r="I58" s="102">
        <v>172.2</v>
      </c>
      <c r="J58" s="102">
        <v>87.7</v>
      </c>
      <c r="K58" s="102">
        <v>28.9</v>
      </c>
      <c r="L58" s="102">
        <v>5.2</v>
      </c>
      <c r="M58" s="102">
        <v>26.4</v>
      </c>
      <c r="N58" s="102">
        <f t="shared" si="1"/>
        <v>210.9</v>
      </c>
      <c r="O58" s="102">
        <f t="shared" si="2"/>
        <v>954.7</v>
      </c>
      <c r="P58" s="102">
        <f t="shared" si="3"/>
        <v>60.5</v>
      </c>
      <c r="Q58" s="102">
        <f t="shared" si="4"/>
        <v>1226.1000000000004</v>
      </c>
    </row>
    <row r="59" spans="1:33">
      <c r="A59" s="102">
        <v>2008</v>
      </c>
      <c r="B59" s="102">
        <v>31.5</v>
      </c>
      <c r="C59" s="102">
        <v>43.5</v>
      </c>
      <c r="D59" s="102">
        <v>134.1</v>
      </c>
      <c r="E59" s="102">
        <v>53.4</v>
      </c>
      <c r="F59" s="102">
        <v>65.599999999999994</v>
      </c>
      <c r="G59" s="102">
        <v>226.3</v>
      </c>
      <c r="H59" s="102">
        <v>140.6</v>
      </c>
      <c r="I59" s="102">
        <v>129.5</v>
      </c>
      <c r="J59" s="102">
        <v>42</v>
      </c>
      <c r="K59" s="102">
        <v>141.5</v>
      </c>
      <c r="L59" s="102">
        <v>182</v>
      </c>
      <c r="M59" s="102">
        <v>19.3</v>
      </c>
      <c r="N59" s="102">
        <f t="shared" si="1"/>
        <v>262.5</v>
      </c>
      <c r="O59" s="102">
        <f t="shared" si="2"/>
        <v>604</v>
      </c>
      <c r="P59" s="102">
        <f t="shared" si="3"/>
        <v>342.8</v>
      </c>
      <c r="Q59" s="102">
        <f t="shared" si="4"/>
        <v>1209.3</v>
      </c>
    </row>
    <row r="60" spans="1:33">
      <c r="A60" s="102">
        <v>2009</v>
      </c>
      <c r="B60" s="102">
        <v>31.6</v>
      </c>
      <c r="C60" s="102">
        <v>50.2</v>
      </c>
      <c r="D60" s="102">
        <v>88.3</v>
      </c>
      <c r="E60" s="102">
        <v>166.4</v>
      </c>
      <c r="F60" s="102">
        <v>221.3</v>
      </c>
      <c r="G60" s="102">
        <v>112</v>
      </c>
      <c r="H60" s="102">
        <v>119.9</v>
      </c>
      <c r="I60" s="102">
        <v>71.599999999999994</v>
      </c>
      <c r="J60" s="102">
        <v>8.4</v>
      </c>
      <c r="K60" s="102">
        <v>56.4</v>
      </c>
      <c r="L60" s="102">
        <v>46</v>
      </c>
      <c r="M60" s="102">
        <v>48.8</v>
      </c>
      <c r="N60" s="102">
        <f t="shared" si="1"/>
        <v>336.5</v>
      </c>
      <c r="O60" s="102">
        <f t="shared" si="2"/>
        <v>533.20000000000005</v>
      </c>
      <c r="P60" s="102">
        <f t="shared" si="3"/>
        <v>151.19999999999999</v>
      </c>
      <c r="Q60" s="102">
        <f t="shared" si="4"/>
        <v>1020.8999999999999</v>
      </c>
    </row>
    <row r="61" spans="1:33">
      <c r="A61" s="102">
        <v>2010</v>
      </c>
      <c r="B61" s="102">
        <v>10.4</v>
      </c>
      <c r="C61" s="102">
        <v>10</v>
      </c>
      <c r="D61" s="102">
        <v>91.3</v>
      </c>
      <c r="E61" s="102">
        <v>85.9</v>
      </c>
      <c r="F61" s="102">
        <v>267</v>
      </c>
      <c r="G61" s="102">
        <v>205.8</v>
      </c>
      <c r="H61" s="102">
        <v>120.4</v>
      </c>
      <c r="I61" s="102">
        <v>157.19999999999999</v>
      </c>
      <c r="J61" s="102">
        <v>101.3</v>
      </c>
      <c r="K61" s="102">
        <v>93.2</v>
      </c>
      <c r="L61" s="102">
        <v>37.5</v>
      </c>
      <c r="M61" s="102">
        <v>79.7</v>
      </c>
      <c r="N61" s="102">
        <f t="shared" si="1"/>
        <v>197.6</v>
      </c>
      <c r="O61" s="102">
        <f t="shared" si="2"/>
        <v>851.7</v>
      </c>
      <c r="P61" s="102">
        <f t="shared" si="3"/>
        <v>210.39999999999998</v>
      </c>
      <c r="Q61" s="102">
        <f t="shared" si="4"/>
        <v>1259.7</v>
      </c>
    </row>
    <row r="62" spans="1:33">
      <c r="A62" s="102" t="s">
        <v>197</v>
      </c>
      <c r="B62" s="102">
        <v>33.5</v>
      </c>
      <c r="C62" s="102">
        <v>14.5</v>
      </c>
      <c r="D62" s="102">
        <v>24</v>
      </c>
      <c r="E62" s="102">
        <v>34</v>
      </c>
      <c r="F62" s="102">
        <v>119.5</v>
      </c>
      <c r="G62" s="102">
        <v>359.5</v>
      </c>
      <c r="H62" s="102">
        <v>21.5</v>
      </c>
      <c r="I62" s="102">
        <v>117.5</v>
      </c>
      <c r="J62" s="102">
        <v>68.5</v>
      </c>
      <c r="K62" s="102">
        <v>118.5</v>
      </c>
      <c r="L62" s="102">
        <v>41.5</v>
      </c>
      <c r="M62" s="102">
        <v>8</v>
      </c>
      <c r="N62" s="102">
        <f t="shared" si="1"/>
        <v>106</v>
      </c>
      <c r="O62" s="102">
        <f t="shared" si="2"/>
        <v>686.5</v>
      </c>
      <c r="P62" s="102">
        <f t="shared" si="3"/>
        <v>168</v>
      </c>
      <c r="Q62" s="102">
        <f t="shared" si="4"/>
        <v>960.5</v>
      </c>
      <c r="R62" s="104"/>
      <c r="S62" s="104"/>
      <c r="T62" s="104"/>
      <c r="U62" s="104"/>
      <c r="V62" s="104"/>
      <c r="W62" s="104"/>
      <c r="X62" s="104"/>
      <c r="Y62" s="104"/>
      <c r="Z62" s="104"/>
      <c r="AA62" s="104"/>
      <c r="AB62" s="104"/>
      <c r="AC62" s="104"/>
      <c r="AD62" s="104"/>
      <c r="AE62" s="104"/>
      <c r="AF62" s="104"/>
      <c r="AG62" s="104"/>
    </row>
    <row r="63" spans="1:33">
      <c r="A63" s="102">
        <v>2012</v>
      </c>
      <c r="B63" s="102">
        <v>34.5</v>
      </c>
      <c r="C63" s="102">
        <v>20.5</v>
      </c>
      <c r="D63" s="102">
        <v>114.5</v>
      </c>
      <c r="E63" s="102">
        <v>100</v>
      </c>
      <c r="F63" s="102">
        <v>253</v>
      </c>
      <c r="G63" s="102">
        <v>148</v>
      </c>
      <c r="H63" s="102">
        <v>228</v>
      </c>
      <c r="I63" s="102">
        <v>76.5</v>
      </c>
      <c r="J63" s="102">
        <v>80.5</v>
      </c>
      <c r="K63" s="102">
        <v>47.5</v>
      </c>
      <c r="L63" s="102">
        <v>58</v>
      </c>
      <c r="M63" s="102">
        <v>27.5</v>
      </c>
      <c r="N63" s="102">
        <f t="shared" si="1"/>
        <v>269.5</v>
      </c>
      <c r="O63" s="102">
        <f t="shared" si="2"/>
        <v>786</v>
      </c>
      <c r="P63" s="102">
        <f t="shared" si="3"/>
        <v>133</v>
      </c>
      <c r="Q63" s="102">
        <f t="shared" si="4"/>
        <v>1188.5</v>
      </c>
      <c r="R63" s="104"/>
      <c r="S63" s="104"/>
      <c r="T63" s="104"/>
      <c r="U63" s="104"/>
      <c r="V63" s="104"/>
      <c r="W63" s="104"/>
      <c r="X63" s="104"/>
      <c r="Y63" s="104"/>
      <c r="Z63" s="104"/>
      <c r="AA63" s="104"/>
      <c r="AB63" s="104"/>
      <c r="AC63" s="104"/>
      <c r="AD63" s="104"/>
      <c r="AE63" s="104"/>
      <c r="AF63" s="104"/>
      <c r="AG63" s="104"/>
    </row>
    <row r="64" spans="1:33">
      <c r="A64" s="102">
        <v>2013</v>
      </c>
      <c r="B64" s="102">
        <v>15.7</v>
      </c>
      <c r="C64" s="102">
        <v>34.299999999999997</v>
      </c>
      <c r="D64" s="102">
        <v>114</v>
      </c>
      <c r="E64" s="102">
        <v>191.6</v>
      </c>
      <c r="F64" s="102">
        <v>144.69999999999999</v>
      </c>
      <c r="G64" s="102">
        <v>108</v>
      </c>
      <c r="H64" s="102">
        <v>41.8</v>
      </c>
      <c r="I64" s="102">
        <v>92.4</v>
      </c>
      <c r="J64" s="102">
        <v>301</v>
      </c>
      <c r="K64" s="102">
        <v>65.8</v>
      </c>
      <c r="L64" s="102">
        <v>64.599999999999994</v>
      </c>
      <c r="M64" s="102">
        <v>27</v>
      </c>
      <c r="N64" s="102">
        <f t="shared" si="1"/>
        <v>355.6</v>
      </c>
      <c r="O64" s="102">
        <f t="shared" si="2"/>
        <v>687.9</v>
      </c>
      <c r="P64" s="102">
        <f t="shared" si="3"/>
        <v>157.39999999999998</v>
      </c>
      <c r="Q64" s="102">
        <f t="shared" si="4"/>
        <v>1200.8999999999999</v>
      </c>
      <c r="R64" s="104"/>
      <c r="S64" s="104"/>
      <c r="T64" s="104"/>
      <c r="U64" s="104"/>
      <c r="V64" s="104"/>
      <c r="W64" s="104"/>
      <c r="X64" s="104"/>
      <c r="Y64" s="104"/>
      <c r="Z64" s="104"/>
      <c r="AA64" s="104"/>
      <c r="AB64" s="104"/>
      <c r="AC64" s="104"/>
      <c r="AD64" s="104"/>
      <c r="AE64" s="104"/>
      <c r="AF64" s="104"/>
      <c r="AG64" s="104"/>
    </row>
    <row r="65" spans="1:33">
      <c r="A65" s="102">
        <v>2014</v>
      </c>
      <c r="B65" s="128">
        <v>13.5</v>
      </c>
      <c r="C65" s="134">
        <v>44.9</v>
      </c>
      <c r="D65" s="134">
        <v>58.9</v>
      </c>
      <c r="E65" s="134">
        <v>104.1</v>
      </c>
      <c r="F65" s="134">
        <v>217.7</v>
      </c>
      <c r="G65" s="134">
        <v>231.9</v>
      </c>
      <c r="H65" s="134">
        <v>531</v>
      </c>
      <c r="I65" s="134">
        <v>148.19999999999999</v>
      </c>
      <c r="J65" s="134">
        <v>105.4</v>
      </c>
      <c r="K65" s="134">
        <v>113</v>
      </c>
      <c r="L65" s="128">
        <v>65.5</v>
      </c>
      <c r="M65" s="134">
        <v>6.5</v>
      </c>
      <c r="N65" s="102">
        <f t="shared" si="1"/>
        <v>221.39999999999998</v>
      </c>
      <c r="O65" s="102">
        <f t="shared" si="2"/>
        <v>1234.2</v>
      </c>
      <c r="P65" s="102">
        <f t="shared" si="3"/>
        <v>185</v>
      </c>
      <c r="Q65" s="102">
        <f t="shared" si="4"/>
        <v>1640.6000000000001</v>
      </c>
    </row>
    <row r="66" spans="1:33">
      <c r="A66" s="102">
        <v>2015</v>
      </c>
      <c r="B66" s="128">
        <v>24</v>
      </c>
      <c r="C66" s="128">
        <v>32.5</v>
      </c>
      <c r="D66" s="128">
        <v>54.5</v>
      </c>
      <c r="E66" s="128">
        <v>40</v>
      </c>
      <c r="F66" s="128">
        <v>176</v>
      </c>
      <c r="G66" s="128">
        <v>303.5</v>
      </c>
      <c r="H66" s="128">
        <v>110.5</v>
      </c>
      <c r="I66" s="128">
        <v>135.5</v>
      </c>
      <c r="J66" s="128">
        <v>161</v>
      </c>
      <c r="K66" s="134">
        <v>69</v>
      </c>
      <c r="L66" s="134">
        <v>35</v>
      </c>
      <c r="M66" s="134">
        <v>63.5</v>
      </c>
      <c r="N66" s="102">
        <f t="shared" si="1"/>
        <v>151</v>
      </c>
      <c r="O66" s="102">
        <f t="shared" si="2"/>
        <v>886.5</v>
      </c>
      <c r="P66" s="102">
        <f t="shared" si="3"/>
        <v>167.5</v>
      </c>
      <c r="Q66" s="102">
        <f t="shared" si="4"/>
        <v>1205</v>
      </c>
    </row>
    <row r="67" spans="1:33" ht="13.5">
      <c r="A67" s="102">
        <v>2016</v>
      </c>
      <c r="B67" s="128">
        <v>63.5</v>
      </c>
      <c r="C67" s="128">
        <v>24.5</v>
      </c>
      <c r="D67" s="128">
        <v>97.5</v>
      </c>
      <c r="E67" s="128">
        <v>165.5</v>
      </c>
      <c r="F67" s="128">
        <v>136.5</v>
      </c>
      <c r="G67" s="128">
        <v>220</v>
      </c>
      <c r="H67" s="128">
        <v>332.5</v>
      </c>
      <c r="I67" s="128">
        <v>222.5</v>
      </c>
      <c r="J67" s="128">
        <v>24</v>
      </c>
      <c r="K67" s="128">
        <v>123</v>
      </c>
      <c r="L67" s="128">
        <v>63</v>
      </c>
      <c r="M67" s="128">
        <v>62.5</v>
      </c>
      <c r="N67" s="102">
        <f>SUM(B67:E67)</f>
        <v>351</v>
      </c>
      <c r="O67" s="102">
        <f>SUM(F67:J67)</f>
        <v>935.5</v>
      </c>
      <c r="P67" s="102">
        <f>SUM(K67:M67)</f>
        <v>248.5</v>
      </c>
      <c r="Q67" s="102">
        <f>SUM(B67:M67)</f>
        <v>1535</v>
      </c>
      <c r="R67" s="129">
        <f t="shared" ref="R67:AG67" si="5">100*(B67-B4)/B4</f>
        <v>76.896117900790756</v>
      </c>
      <c r="S67" s="129">
        <f t="shared" si="5"/>
        <v>-43.485378376367294</v>
      </c>
      <c r="T67" s="129">
        <f t="shared" si="5"/>
        <v>37.333303042006463</v>
      </c>
      <c r="U67" s="129">
        <f t="shared" si="5"/>
        <v>17.182860536293465</v>
      </c>
      <c r="V67" s="129">
        <f t="shared" si="5"/>
        <v>-29.662566489361719</v>
      </c>
      <c r="W67" s="129">
        <f t="shared" si="5"/>
        <v>10.71158981518307</v>
      </c>
      <c r="X67" s="129">
        <f t="shared" si="5"/>
        <v>97.108627267251222</v>
      </c>
      <c r="Y67" s="129">
        <f t="shared" si="5"/>
        <v>67.795847372070085</v>
      </c>
      <c r="Z67" s="129">
        <f t="shared" si="5"/>
        <v>-67.754518268105585</v>
      </c>
      <c r="AA67" s="129">
        <f t="shared" si="5"/>
        <v>20.557733653724558</v>
      </c>
      <c r="AB67" s="129">
        <f t="shared" si="5"/>
        <v>2.1390094660321126</v>
      </c>
      <c r="AC67" s="129">
        <f t="shared" si="5"/>
        <v>108.06486254295532</v>
      </c>
      <c r="AD67" s="129">
        <f t="shared" si="5"/>
        <v>20.421658412417333</v>
      </c>
      <c r="AE67" s="129">
        <f t="shared" si="5"/>
        <v>21.730899596825854</v>
      </c>
      <c r="AF67" s="129">
        <f t="shared" si="5"/>
        <v>28.261267711160318</v>
      </c>
      <c r="AG67" s="129">
        <f t="shared" si="5"/>
        <v>22.435694565589376</v>
      </c>
    </row>
  </sheetData>
  <mergeCells count="6">
    <mergeCell ref="A1:A3"/>
    <mergeCell ref="B1:Q1"/>
    <mergeCell ref="B2:M2"/>
    <mergeCell ref="R1:AG1"/>
    <mergeCell ref="N2:Q2"/>
    <mergeCell ref="R2:AG2"/>
  </mergeCells>
  <phoneticPr fontId="2" type="noConversion"/>
  <pageMargins left="0.75" right="0.75" top="1" bottom="1" header="0.5" footer="0.5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>
  <sheetPr codeName="Sheet61"/>
  <dimension ref="A1:AG56"/>
  <sheetViews>
    <sheetView zoomScale="70" zoomScaleNormal="70" workbookViewId="0">
      <pane ySplit="5" topLeftCell="A6" activePane="bottomLeft" state="frozen"/>
      <selection pane="bottomLeft" activeCell="R56" sqref="R56"/>
    </sheetView>
  </sheetViews>
  <sheetFormatPr defaultRowHeight="12"/>
  <cols>
    <col min="1" max="1" width="20.625" style="102" bestFit="1" customWidth="1"/>
    <col min="2" max="33" width="7.125" style="102" customWidth="1"/>
    <col min="34" max="16384" width="9" style="102"/>
  </cols>
  <sheetData>
    <row r="1" spans="1:33" s="118" customFormat="1" ht="14.25" customHeight="1">
      <c r="A1" s="176" t="s">
        <v>53</v>
      </c>
      <c r="B1" s="176" t="s">
        <v>171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2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116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32</v>
      </c>
      <c r="O2" s="176"/>
      <c r="P2" s="176"/>
      <c r="Q2" s="176"/>
      <c r="R2" s="176" t="s">
        <v>38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 ht="24">
      <c r="A3" s="176"/>
      <c r="B3" s="124" t="s">
        <v>149</v>
      </c>
      <c r="C3" s="124" t="s">
        <v>150</v>
      </c>
      <c r="D3" s="124" t="s">
        <v>9</v>
      </c>
      <c r="E3" s="124" t="s">
        <v>10</v>
      </c>
      <c r="F3" s="124" t="s">
        <v>11</v>
      </c>
      <c r="G3" s="124" t="s">
        <v>12</v>
      </c>
      <c r="H3" s="124" t="s">
        <v>13</v>
      </c>
      <c r="I3" s="124" t="s">
        <v>14</v>
      </c>
      <c r="J3" s="124" t="s">
        <v>15</v>
      </c>
      <c r="K3" s="124" t="s">
        <v>16</v>
      </c>
      <c r="L3" s="124" t="s">
        <v>17</v>
      </c>
      <c r="M3" s="124" t="s">
        <v>18</v>
      </c>
      <c r="N3" s="124" t="s">
        <v>145</v>
      </c>
      <c r="O3" s="124" t="s">
        <v>146</v>
      </c>
      <c r="P3" s="124" t="s">
        <v>147</v>
      </c>
      <c r="Q3" s="124" t="s">
        <v>148</v>
      </c>
      <c r="R3" s="124" t="s">
        <v>149</v>
      </c>
      <c r="S3" s="124" t="s">
        <v>150</v>
      </c>
      <c r="T3" s="124" t="s">
        <v>151</v>
      </c>
      <c r="U3" s="124" t="s">
        <v>152</v>
      </c>
      <c r="V3" s="124" t="s">
        <v>153</v>
      </c>
      <c r="W3" s="124" t="s">
        <v>154</v>
      </c>
      <c r="X3" s="124" t="s">
        <v>25</v>
      </c>
      <c r="Y3" s="124" t="s">
        <v>26</v>
      </c>
      <c r="Z3" s="124" t="s">
        <v>27</v>
      </c>
      <c r="AA3" s="124" t="s">
        <v>155</v>
      </c>
      <c r="AB3" s="124" t="s">
        <v>156</v>
      </c>
      <c r="AC3" s="124" t="s">
        <v>157</v>
      </c>
      <c r="AD3" s="124" t="s">
        <v>90</v>
      </c>
      <c r="AE3" s="124" t="s">
        <v>42</v>
      </c>
      <c r="AF3" s="124" t="s">
        <v>111</v>
      </c>
      <c r="AG3" s="124" t="s">
        <v>66</v>
      </c>
    </row>
    <row r="4" spans="1:33" s="118" customFormat="1">
      <c r="A4" s="150" t="s">
        <v>261</v>
      </c>
      <c r="B4" s="150">
        <f t="shared" ref="B4:Q4" si="0">AVERAGE(B5:B55)</f>
        <v>34.854901960784318</v>
      </c>
      <c r="C4" s="150">
        <f t="shared" si="0"/>
        <v>40.052941176470583</v>
      </c>
      <c r="D4" s="150">
        <f t="shared" si="0"/>
        <v>67.050980392156873</v>
      </c>
      <c r="E4" s="150">
        <f t="shared" si="0"/>
        <v>133.14901960784314</v>
      </c>
      <c r="F4" s="150">
        <f t="shared" si="0"/>
        <v>200.94705882352943</v>
      </c>
      <c r="G4" s="150">
        <f t="shared" si="0"/>
        <v>212.97450980392153</v>
      </c>
      <c r="H4" s="150">
        <f t="shared" si="0"/>
        <v>174.23725490196077</v>
      </c>
      <c r="I4" s="150">
        <f t="shared" si="0"/>
        <v>133.94117647058826</v>
      </c>
      <c r="J4" s="150">
        <f t="shared" si="0"/>
        <v>100.33725490196078</v>
      </c>
      <c r="K4" s="150">
        <f t="shared" si="0"/>
        <v>102.60000000000001</v>
      </c>
      <c r="L4" s="150">
        <f t="shared" si="0"/>
        <v>58.478431372549032</v>
      </c>
      <c r="M4" s="150">
        <f t="shared" si="0"/>
        <v>28.578431372549023</v>
      </c>
      <c r="N4" s="150">
        <f t="shared" si="0"/>
        <v>275.1078431372548</v>
      </c>
      <c r="O4" s="150">
        <f t="shared" si="0"/>
        <v>822.43725490196073</v>
      </c>
      <c r="P4" s="150">
        <f t="shared" si="0"/>
        <v>189.65686274509804</v>
      </c>
      <c r="Q4" s="150">
        <f t="shared" si="0"/>
        <v>1287.2019607843138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1965</v>
      </c>
      <c r="B5" s="102">
        <v>23.5</v>
      </c>
      <c r="C5" s="102">
        <v>21.6</v>
      </c>
      <c r="D5" s="102">
        <v>78</v>
      </c>
      <c r="E5" s="102">
        <v>143.4</v>
      </c>
      <c r="F5" s="102">
        <v>146.4</v>
      </c>
      <c r="G5" s="102">
        <v>149.80000000000001</v>
      </c>
      <c r="H5" s="102">
        <v>132.1</v>
      </c>
      <c r="I5" s="102">
        <v>108.1</v>
      </c>
      <c r="J5" s="102">
        <v>100</v>
      </c>
      <c r="K5" s="102">
        <v>126.4</v>
      </c>
      <c r="L5" s="102">
        <v>42.9</v>
      </c>
      <c r="M5" s="102">
        <v>28.7</v>
      </c>
      <c r="N5" s="102">
        <f>SUM(B5:E5)</f>
        <v>266.5</v>
      </c>
      <c r="O5" s="102">
        <f>SUM(F5:J5)</f>
        <v>636.40000000000009</v>
      </c>
      <c r="P5" s="102">
        <f>SUM(K5:M5)</f>
        <v>198</v>
      </c>
      <c r="Q5" s="102">
        <f>SUM(B5:M5)</f>
        <v>1100.9000000000003</v>
      </c>
    </row>
    <row r="6" spans="1:33">
      <c r="A6" s="102">
        <v>1966</v>
      </c>
      <c r="B6" s="102">
        <v>20.399999999999999</v>
      </c>
      <c r="C6" s="102">
        <v>52.7</v>
      </c>
      <c r="D6" s="102">
        <v>56.4</v>
      </c>
      <c r="E6" s="102">
        <v>223.5</v>
      </c>
      <c r="F6" s="102">
        <v>122.6</v>
      </c>
      <c r="G6" s="102">
        <v>162.30000000000001</v>
      </c>
      <c r="H6" s="102">
        <v>107</v>
      </c>
      <c r="I6" s="102">
        <v>72.7</v>
      </c>
      <c r="J6" s="102">
        <v>30.8</v>
      </c>
      <c r="K6" s="102">
        <v>124.8</v>
      </c>
      <c r="L6" s="102">
        <v>13.9</v>
      </c>
      <c r="M6" s="102">
        <v>36.4</v>
      </c>
      <c r="N6" s="102">
        <f t="shared" ref="N6:N55" si="1">SUM(B6:E6)</f>
        <v>353</v>
      </c>
      <c r="O6" s="102">
        <f t="shared" ref="O6:O55" si="2">SUM(F6:J6)</f>
        <v>495.4</v>
      </c>
      <c r="P6" s="102">
        <f t="shared" ref="P6:P55" si="3">SUM(K6:M6)</f>
        <v>175.1</v>
      </c>
      <c r="Q6" s="102">
        <f t="shared" ref="Q6:Q55" si="4">SUM(B6:M6)</f>
        <v>1023.5</v>
      </c>
    </row>
    <row r="7" spans="1:33">
      <c r="A7" s="102">
        <v>1967</v>
      </c>
      <c r="B7" s="102">
        <v>17.2</v>
      </c>
      <c r="C7" s="102">
        <v>57.7</v>
      </c>
      <c r="D7" s="102">
        <v>96.4</v>
      </c>
      <c r="E7" s="102">
        <v>137.80000000000001</v>
      </c>
      <c r="F7" s="102">
        <v>407.5</v>
      </c>
      <c r="G7" s="102">
        <v>248.9</v>
      </c>
      <c r="H7" s="102">
        <v>193.6</v>
      </c>
      <c r="I7" s="102">
        <v>223.2</v>
      </c>
      <c r="J7" s="102">
        <v>190.2</v>
      </c>
      <c r="K7" s="102">
        <v>86.1</v>
      </c>
      <c r="L7" s="102">
        <v>59.6</v>
      </c>
      <c r="M7" s="102">
        <v>17</v>
      </c>
      <c r="N7" s="102">
        <f t="shared" si="1"/>
        <v>309.10000000000002</v>
      </c>
      <c r="O7" s="102">
        <f t="shared" si="2"/>
        <v>1263.4000000000001</v>
      </c>
      <c r="P7" s="102">
        <f t="shared" si="3"/>
        <v>162.69999999999999</v>
      </c>
      <c r="Q7" s="102">
        <f t="shared" si="4"/>
        <v>1735.1999999999998</v>
      </c>
    </row>
    <row r="8" spans="1:33">
      <c r="A8" s="102">
        <v>1968</v>
      </c>
      <c r="B8" s="102">
        <v>34.1</v>
      </c>
      <c r="C8" s="102">
        <v>24</v>
      </c>
      <c r="D8" s="102">
        <v>92.6</v>
      </c>
      <c r="E8" s="102">
        <v>188</v>
      </c>
      <c r="F8" s="102">
        <v>241.5</v>
      </c>
      <c r="G8" s="102">
        <v>95.2</v>
      </c>
      <c r="H8" s="102">
        <v>158.30000000000001</v>
      </c>
      <c r="I8" s="102">
        <v>84.2</v>
      </c>
      <c r="J8" s="102">
        <v>259.2</v>
      </c>
      <c r="K8" s="102">
        <v>80.7</v>
      </c>
      <c r="L8" s="102">
        <v>56</v>
      </c>
      <c r="M8" s="102">
        <v>30.4</v>
      </c>
      <c r="N8" s="102">
        <f t="shared" si="1"/>
        <v>338.7</v>
      </c>
      <c r="O8" s="102">
        <f t="shared" si="2"/>
        <v>838.40000000000009</v>
      </c>
      <c r="P8" s="102">
        <f t="shared" si="3"/>
        <v>167.1</v>
      </c>
      <c r="Q8" s="102">
        <f t="shared" si="4"/>
        <v>1344.2000000000003</v>
      </c>
    </row>
    <row r="9" spans="1:33">
      <c r="A9" s="102">
        <v>1969</v>
      </c>
      <c r="B9" s="102">
        <v>27.8</v>
      </c>
      <c r="C9" s="102">
        <v>7.7</v>
      </c>
      <c r="D9" s="102">
        <v>106.3</v>
      </c>
      <c r="E9" s="102">
        <v>65.900000000000006</v>
      </c>
      <c r="F9" s="102">
        <v>234.3</v>
      </c>
      <c r="G9" s="102">
        <v>122</v>
      </c>
      <c r="H9" s="102">
        <v>222.5</v>
      </c>
      <c r="I9" s="102">
        <v>317.10000000000002</v>
      </c>
      <c r="J9" s="102">
        <v>7</v>
      </c>
      <c r="K9" s="102">
        <v>172.5</v>
      </c>
      <c r="L9" s="102">
        <v>50</v>
      </c>
      <c r="M9" s="102">
        <v>5.6</v>
      </c>
      <c r="N9" s="102">
        <f t="shared" si="1"/>
        <v>207.70000000000002</v>
      </c>
      <c r="O9" s="102">
        <f t="shared" si="2"/>
        <v>902.9</v>
      </c>
      <c r="P9" s="102">
        <f t="shared" si="3"/>
        <v>228.1</v>
      </c>
      <c r="Q9" s="102">
        <f t="shared" si="4"/>
        <v>1338.6999999999998</v>
      </c>
    </row>
    <row r="10" spans="1:33">
      <c r="A10" s="102">
        <v>1970</v>
      </c>
      <c r="B10" s="102">
        <v>22.7</v>
      </c>
      <c r="C10" s="102">
        <v>57.3</v>
      </c>
      <c r="D10" s="102">
        <v>49.7</v>
      </c>
      <c r="E10" s="102">
        <v>129.80000000000001</v>
      </c>
      <c r="F10" s="102">
        <v>258.10000000000002</v>
      </c>
      <c r="G10" s="102">
        <v>242.7</v>
      </c>
      <c r="H10" s="102">
        <v>172.1</v>
      </c>
      <c r="I10" s="102">
        <v>139</v>
      </c>
      <c r="J10" s="102">
        <v>174.1</v>
      </c>
      <c r="K10" s="102">
        <v>27.3</v>
      </c>
      <c r="L10" s="102">
        <v>55.7</v>
      </c>
      <c r="M10" s="102">
        <v>47</v>
      </c>
      <c r="N10" s="102">
        <f t="shared" si="1"/>
        <v>259.5</v>
      </c>
      <c r="O10" s="102">
        <f t="shared" si="2"/>
        <v>986</v>
      </c>
      <c r="P10" s="102">
        <f t="shared" si="3"/>
        <v>130</v>
      </c>
      <c r="Q10" s="102">
        <f t="shared" si="4"/>
        <v>1375.5</v>
      </c>
    </row>
    <row r="11" spans="1:33">
      <c r="A11" s="102">
        <v>1971</v>
      </c>
      <c r="B11" s="102">
        <v>80.5</v>
      </c>
      <c r="C11" s="102">
        <v>78.2</v>
      </c>
      <c r="D11" s="102">
        <v>48.7</v>
      </c>
      <c r="E11" s="102">
        <v>136.80000000000001</v>
      </c>
      <c r="F11" s="102">
        <v>210.8</v>
      </c>
      <c r="G11" s="102">
        <v>292.8</v>
      </c>
      <c r="H11" s="102">
        <v>97.3</v>
      </c>
      <c r="I11" s="102">
        <v>134.1</v>
      </c>
      <c r="J11" s="102">
        <v>69.900000000000006</v>
      </c>
      <c r="K11" s="102">
        <v>66.2</v>
      </c>
      <c r="L11" s="102">
        <v>20.9</v>
      </c>
      <c r="M11" s="102">
        <v>39.5</v>
      </c>
      <c r="N11" s="102">
        <f t="shared" si="1"/>
        <v>344.2</v>
      </c>
      <c r="O11" s="102">
        <f t="shared" si="2"/>
        <v>804.9</v>
      </c>
      <c r="P11" s="102">
        <f t="shared" si="3"/>
        <v>126.6</v>
      </c>
      <c r="Q11" s="102">
        <f t="shared" si="4"/>
        <v>1275.7</v>
      </c>
    </row>
    <row r="12" spans="1:33">
      <c r="A12" s="102">
        <v>1972</v>
      </c>
      <c r="B12" s="102">
        <v>25.2</v>
      </c>
      <c r="C12" s="102">
        <v>52.5</v>
      </c>
      <c r="D12" s="102">
        <v>41.2</v>
      </c>
      <c r="E12" s="102">
        <v>166.1</v>
      </c>
      <c r="F12" s="102">
        <v>231.5</v>
      </c>
      <c r="G12" s="102">
        <v>126.6</v>
      </c>
      <c r="H12" s="102">
        <v>34.700000000000003</v>
      </c>
      <c r="I12" s="102">
        <v>23.5</v>
      </c>
      <c r="J12" s="102">
        <v>235</v>
      </c>
      <c r="K12" s="102">
        <v>170.5</v>
      </c>
      <c r="L12" s="102">
        <v>82</v>
      </c>
      <c r="M12" s="102">
        <v>24.9</v>
      </c>
      <c r="N12" s="102">
        <f t="shared" si="1"/>
        <v>285</v>
      </c>
      <c r="O12" s="102">
        <f t="shared" si="2"/>
        <v>651.29999999999995</v>
      </c>
      <c r="P12" s="102">
        <f t="shared" si="3"/>
        <v>277.39999999999998</v>
      </c>
      <c r="Q12" s="102">
        <f t="shared" si="4"/>
        <v>1213.7000000000003</v>
      </c>
    </row>
    <row r="13" spans="1:33">
      <c r="A13" s="102">
        <v>1973</v>
      </c>
      <c r="B13" s="102">
        <v>29.9</v>
      </c>
      <c r="C13" s="102">
        <v>51.3</v>
      </c>
      <c r="D13" s="102">
        <v>96.2</v>
      </c>
      <c r="E13" s="102">
        <v>156.9</v>
      </c>
      <c r="F13" s="102">
        <v>222.2</v>
      </c>
      <c r="G13" s="102">
        <v>245.5</v>
      </c>
      <c r="H13" s="102">
        <v>117.1</v>
      </c>
      <c r="I13" s="102">
        <v>187.4</v>
      </c>
      <c r="J13" s="102">
        <v>143.30000000000001</v>
      </c>
      <c r="K13" s="102">
        <v>15.7</v>
      </c>
      <c r="L13" s="102">
        <v>10.9</v>
      </c>
      <c r="M13" s="102">
        <v>3.4</v>
      </c>
      <c r="N13" s="102">
        <f t="shared" si="1"/>
        <v>334.29999999999995</v>
      </c>
      <c r="O13" s="102">
        <f t="shared" si="2"/>
        <v>915.5</v>
      </c>
      <c r="P13" s="102">
        <f t="shared" si="3"/>
        <v>30</v>
      </c>
      <c r="Q13" s="102">
        <f t="shared" si="4"/>
        <v>1279.8000000000002</v>
      </c>
    </row>
    <row r="14" spans="1:33">
      <c r="A14" s="102">
        <v>1974</v>
      </c>
      <c r="B14" s="102">
        <v>47.7</v>
      </c>
      <c r="C14" s="102">
        <v>10.199999999999999</v>
      </c>
      <c r="D14" s="102">
        <v>76.2</v>
      </c>
      <c r="E14" s="102">
        <v>182.5</v>
      </c>
      <c r="F14" s="102">
        <v>285.89999999999998</v>
      </c>
      <c r="G14" s="102">
        <v>245.8</v>
      </c>
      <c r="H14" s="102">
        <v>169.7</v>
      </c>
      <c r="I14" s="102">
        <v>91.4</v>
      </c>
      <c r="J14" s="102">
        <v>109.1</v>
      </c>
      <c r="K14" s="102">
        <v>47.2</v>
      </c>
      <c r="L14" s="102">
        <v>22.7</v>
      </c>
      <c r="M14" s="102">
        <v>26.4</v>
      </c>
      <c r="N14" s="102">
        <f t="shared" si="1"/>
        <v>316.60000000000002</v>
      </c>
      <c r="O14" s="102">
        <f t="shared" si="2"/>
        <v>901.90000000000009</v>
      </c>
      <c r="P14" s="102">
        <f t="shared" si="3"/>
        <v>96.300000000000011</v>
      </c>
      <c r="Q14" s="102">
        <f t="shared" si="4"/>
        <v>1314.8000000000002</v>
      </c>
    </row>
    <row r="15" spans="1:33">
      <c r="A15" s="102">
        <v>1975</v>
      </c>
      <c r="B15" s="102">
        <v>24.6</v>
      </c>
      <c r="C15" s="102">
        <v>22.9</v>
      </c>
      <c r="D15" s="102">
        <v>35.5</v>
      </c>
      <c r="E15" s="102">
        <v>223.8</v>
      </c>
      <c r="F15" s="102">
        <v>295</v>
      </c>
      <c r="G15" s="102">
        <v>198</v>
      </c>
      <c r="H15" s="102">
        <v>35.9</v>
      </c>
      <c r="I15" s="102">
        <v>219</v>
      </c>
      <c r="J15" s="102">
        <v>74.8</v>
      </c>
      <c r="K15" s="102">
        <v>108.7</v>
      </c>
      <c r="L15" s="102">
        <v>114.3</v>
      </c>
      <c r="M15" s="102">
        <v>50.8</v>
      </c>
      <c r="N15" s="102">
        <f t="shared" si="1"/>
        <v>306.8</v>
      </c>
      <c r="O15" s="102">
        <f t="shared" si="2"/>
        <v>822.69999999999993</v>
      </c>
      <c r="P15" s="102">
        <f t="shared" si="3"/>
        <v>273.8</v>
      </c>
      <c r="Q15" s="102">
        <f t="shared" si="4"/>
        <v>1403.2999999999997</v>
      </c>
    </row>
    <row r="16" spans="1:33">
      <c r="A16" s="102">
        <v>1976</v>
      </c>
      <c r="B16" s="102">
        <v>47</v>
      </c>
      <c r="C16" s="102">
        <v>27.4</v>
      </c>
      <c r="D16" s="102">
        <v>66.5</v>
      </c>
      <c r="E16" s="102">
        <v>146.9</v>
      </c>
      <c r="F16" s="102">
        <v>270.89999999999998</v>
      </c>
      <c r="G16" s="102">
        <v>183.9</v>
      </c>
      <c r="H16" s="102">
        <v>259.60000000000002</v>
      </c>
      <c r="I16" s="102">
        <v>62.2</v>
      </c>
      <c r="J16" s="102">
        <v>115.9</v>
      </c>
      <c r="K16" s="102">
        <v>126.4</v>
      </c>
      <c r="L16" s="102">
        <v>95.2</v>
      </c>
      <c r="M16" s="102">
        <v>13.6</v>
      </c>
      <c r="N16" s="102">
        <f t="shared" si="1"/>
        <v>287.8</v>
      </c>
      <c r="O16" s="102">
        <f t="shared" si="2"/>
        <v>892.5</v>
      </c>
      <c r="P16" s="102">
        <f t="shared" si="3"/>
        <v>235.20000000000002</v>
      </c>
      <c r="Q16" s="102">
        <f t="shared" si="4"/>
        <v>1415.5000000000002</v>
      </c>
    </row>
    <row r="17" spans="1:17">
      <c r="A17" s="102">
        <v>1977</v>
      </c>
      <c r="B17" s="102">
        <v>21.2</v>
      </c>
      <c r="C17" s="102">
        <v>44.8</v>
      </c>
      <c r="D17" s="102">
        <v>70.7</v>
      </c>
      <c r="E17" s="102">
        <v>206.7</v>
      </c>
      <c r="F17" s="102">
        <v>232.9</v>
      </c>
      <c r="G17" s="102">
        <v>381.5</v>
      </c>
      <c r="H17" s="102">
        <v>168</v>
      </c>
      <c r="I17" s="102">
        <v>112.1</v>
      </c>
      <c r="J17" s="102">
        <v>74.099999999999994</v>
      </c>
      <c r="K17" s="102">
        <v>117.9</v>
      </c>
      <c r="L17" s="102">
        <v>78</v>
      </c>
      <c r="M17" s="102">
        <v>20.7</v>
      </c>
      <c r="N17" s="102">
        <f t="shared" si="1"/>
        <v>343.4</v>
      </c>
      <c r="O17" s="102">
        <f t="shared" si="2"/>
        <v>968.6</v>
      </c>
      <c r="P17" s="102">
        <f t="shared" si="3"/>
        <v>216.6</v>
      </c>
      <c r="Q17" s="102">
        <f t="shared" si="4"/>
        <v>1528.6</v>
      </c>
    </row>
    <row r="18" spans="1:17">
      <c r="A18" s="102">
        <v>1978</v>
      </c>
      <c r="B18" s="102">
        <v>17.100000000000001</v>
      </c>
      <c r="C18" s="102">
        <v>8.6</v>
      </c>
      <c r="D18" s="102">
        <v>50.5</v>
      </c>
      <c r="E18" s="102">
        <v>91.8</v>
      </c>
      <c r="F18" s="102">
        <v>184.9</v>
      </c>
      <c r="G18" s="102">
        <v>305.7</v>
      </c>
      <c r="H18" s="102">
        <v>113.3</v>
      </c>
      <c r="I18" s="102">
        <v>74.099999999999994</v>
      </c>
      <c r="J18" s="102">
        <v>106</v>
      </c>
      <c r="K18" s="102">
        <v>104.3</v>
      </c>
      <c r="L18" s="102">
        <v>120.7</v>
      </c>
      <c r="M18" s="102">
        <v>12.4</v>
      </c>
      <c r="N18" s="102">
        <f t="shared" si="1"/>
        <v>168</v>
      </c>
      <c r="O18" s="102">
        <f t="shared" si="2"/>
        <v>784</v>
      </c>
      <c r="P18" s="102">
        <f t="shared" si="3"/>
        <v>237.4</v>
      </c>
      <c r="Q18" s="102">
        <f t="shared" si="4"/>
        <v>1189.4000000000001</v>
      </c>
    </row>
    <row r="19" spans="1:17">
      <c r="A19" s="102">
        <v>1979</v>
      </c>
      <c r="B19" s="102">
        <v>20.6</v>
      </c>
      <c r="C19" s="102">
        <v>23</v>
      </c>
      <c r="D19" s="102">
        <v>53.8</v>
      </c>
      <c r="E19" s="102">
        <v>80.400000000000006</v>
      </c>
      <c r="F19" s="102">
        <v>125.5</v>
      </c>
      <c r="G19" s="102">
        <v>297.5</v>
      </c>
      <c r="H19" s="102">
        <v>86</v>
      </c>
      <c r="I19" s="102">
        <v>60.7</v>
      </c>
      <c r="J19" s="102">
        <v>109.5</v>
      </c>
      <c r="K19" s="102">
        <v>34.700000000000003</v>
      </c>
      <c r="L19" s="102">
        <v>12.7</v>
      </c>
      <c r="M19" s="102">
        <v>77</v>
      </c>
      <c r="N19" s="102">
        <f t="shared" si="1"/>
        <v>177.8</v>
      </c>
      <c r="O19" s="102">
        <f t="shared" si="2"/>
        <v>679.2</v>
      </c>
      <c r="P19" s="102">
        <f t="shared" si="3"/>
        <v>124.4</v>
      </c>
      <c r="Q19" s="102">
        <f t="shared" si="4"/>
        <v>981.40000000000009</v>
      </c>
    </row>
    <row r="20" spans="1:17">
      <c r="A20" s="102">
        <v>1980</v>
      </c>
      <c r="B20" s="102">
        <v>53</v>
      </c>
      <c r="C20" s="102">
        <v>28.4</v>
      </c>
      <c r="D20" s="102">
        <v>89.2</v>
      </c>
      <c r="E20" s="102">
        <v>108.2</v>
      </c>
      <c r="F20" s="102">
        <v>141.9</v>
      </c>
      <c r="G20" s="102">
        <v>255.6</v>
      </c>
      <c r="H20" s="102">
        <v>298.3</v>
      </c>
      <c r="I20" s="102">
        <v>185.7</v>
      </c>
      <c r="J20" s="102">
        <v>16.100000000000001</v>
      </c>
      <c r="K20" s="102">
        <v>214.6</v>
      </c>
      <c r="L20" s="102">
        <v>68.599999999999994</v>
      </c>
      <c r="M20" s="102">
        <v>24.1</v>
      </c>
      <c r="N20" s="102">
        <f t="shared" si="1"/>
        <v>278.8</v>
      </c>
      <c r="O20" s="102">
        <f t="shared" si="2"/>
        <v>897.6</v>
      </c>
      <c r="P20" s="102">
        <f t="shared" si="3"/>
        <v>307.3</v>
      </c>
      <c r="Q20" s="102">
        <f t="shared" si="4"/>
        <v>1483.6999999999998</v>
      </c>
    </row>
    <row r="21" spans="1:17">
      <c r="A21" s="102">
        <v>1981</v>
      </c>
      <c r="B21" s="102">
        <v>37.4</v>
      </c>
      <c r="C21" s="102">
        <v>22.3</v>
      </c>
      <c r="D21" s="102">
        <v>48</v>
      </c>
      <c r="E21" s="102">
        <v>130.4</v>
      </c>
      <c r="F21" s="102">
        <v>236.2</v>
      </c>
      <c r="G21" s="102">
        <v>124.6</v>
      </c>
      <c r="H21" s="102">
        <v>27.2</v>
      </c>
      <c r="I21" s="102">
        <v>48.9</v>
      </c>
      <c r="J21" s="102">
        <v>85</v>
      </c>
      <c r="K21" s="102">
        <v>80.8</v>
      </c>
      <c r="L21" s="102">
        <v>61.6</v>
      </c>
      <c r="M21" s="102">
        <v>0.4</v>
      </c>
      <c r="N21" s="102">
        <f t="shared" si="1"/>
        <v>238.10000000000002</v>
      </c>
      <c r="O21" s="102">
        <f t="shared" si="2"/>
        <v>521.89999999999986</v>
      </c>
      <c r="P21" s="102">
        <f t="shared" si="3"/>
        <v>142.80000000000001</v>
      </c>
      <c r="Q21" s="102">
        <f t="shared" si="4"/>
        <v>902.8</v>
      </c>
    </row>
    <row r="22" spans="1:17">
      <c r="A22" s="102">
        <v>1982</v>
      </c>
      <c r="B22" s="102">
        <v>34</v>
      </c>
      <c r="C22" s="102">
        <v>76.3</v>
      </c>
      <c r="D22" s="102">
        <v>36.200000000000003</v>
      </c>
      <c r="E22" s="102">
        <v>134.9</v>
      </c>
      <c r="F22" s="102">
        <v>144.9</v>
      </c>
      <c r="G22" s="102">
        <v>196.4</v>
      </c>
      <c r="H22" s="102">
        <v>211.4</v>
      </c>
      <c r="I22" s="102">
        <v>313.39999999999998</v>
      </c>
      <c r="J22" s="102">
        <v>203.9</v>
      </c>
      <c r="K22" s="102">
        <v>101</v>
      </c>
      <c r="L22" s="102">
        <v>127.6</v>
      </c>
      <c r="M22" s="102">
        <v>26</v>
      </c>
      <c r="N22" s="102">
        <f t="shared" si="1"/>
        <v>281.39999999999998</v>
      </c>
      <c r="O22" s="102">
        <f t="shared" si="2"/>
        <v>1070</v>
      </c>
      <c r="P22" s="102">
        <f t="shared" si="3"/>
        <v>254.6</v>
      </c>
      <c r="Q22" s="102">
        <f t="shared" si="4"/>
        <v>1606</v>
      </c>
    </row>
    <row r="23" spans="1:17">
      <c r="A23" s="102">
        <v>1983</v>
      </c>
      <c r="B23" s="102">
        <v>70.400000000000006</v>
      </c>
      <c r="C23" s="102">
        <v>42</v>
      </c>
      <c r="D23" s="102">
        <v>44.8</v>
      </c>
      <c r="E23" s="102">
        <v>163.5</v>
      </c>
      <c r="F23" s="102">
        <v>199.5</v>
      </c>
      <c r="G23" s="102">
        <v>201.4</v>
      </c>
      <c r="H23" s="102">
        <v>205</v>
      </c>
      <c r="I23" s="102">
        <v>121.1</v>
      </c>
      <c r="J23" s="102">
        <v>194.5</v>
      </c>
      <c r="K23" s="102">
        <v>159</v>
      </c>
      <c r="L23" s="102">
        <v>56.6</v>
      </c>
      <c r="M23" s="102">
        <v>16.600000000000001</v>
      </c>
      <c r="N23" s="102">
        <f t="shared" si="1"/>
        <v>320.7</v>
      </c>
      <c r="O23" s="102">
        <f t="shared" si="2"/>
        <v>921.5</v>
      </c>
      <c r="P23" s="102">
        <f t="shared" si="3"/>
        <v>232.2</v>
      </c>
      <c r="Q23" s="102">
        <f t="shared" si="4"/>
        <v>1474.3999999999999</v>
      </c>
    </row>
    <row r="24" spans="1:17">
      <c r="A24" s="102">
        <v>1984</v>
      </c>
      <c r="B24" s="102">
        <v>13.7</v>
      </c>
      <c r="C24" s="102">
        <v>10.4</v>
      </c>
      <c r="D24" s="102">
        <v>27.9</v>
      </c>
      <c r="E24" s="102">
        <v>97.5</v>
      </c>
      <c r="F24" s="102">
        <v>218.9</v>
      </c>
      <c r="G24" s="102">
        <v>241.6</v>
      </c>
      <c r="H24" s="102">
        <v>139.1</v>
      </c>
      <c r="I24" s="102">
        <v>176.2</v>
      </c>
      <c r="J24" s="102">
        <v>64</v>
      </c>
      <c r="K24" s="102">
        <v>109</v>
      </c>
      <c r="L24" s="102">
        <v>18.100000000000001</v>
      </c>
      <c r="M24" s="102">
        <v>59.1</v>
      </c>
      <c r="N24" s="102">
        <f t="shared" si="1"/>
        <v>149.5</v>
      </c>
      <c r="O24" s="102">
        <f t="shared" si="2"/>
        <v>839.8</v>
      </c>
      <c r="P24" s="102">
        <f t="shared" si="3"/>
        <v>186.2</v>
      </c>
      <c r="Q24" s="102">
        <f t="shared" si="4"/>
        <v>1175.4999999999998</v>
      </c>
    </row>
    <row r="25" spans="1:17">
      <c r="A25" s="102">
        <v>1985</v>
      </c>
      <c r="B25" s="102">
        <v>15.7</v>
      </c>
      <c r="C25" s="102">
        <v>52</v>
      </c>
      <c r="D25" s="102">
        <v>73.3</v>
      </c>
      <c r="E25" s="102">
        <v>89.8</v>
      </c>
      <c r="F25" s="102">
        <v>186.9</v>
      </c>
      <c r="G25" s="102">
        <v>125</v>
      </c>
      <c r="H25" s="102">
        <v>151.9</v>
      </c>
      <c r="I25" s="102">
        <v>135.6</v>
      </c>
      <c r="J25" s="102">
        <v>37.4</v>
      </c>
      <c r="K25" s="102">
        <v>77</v>
      </c>
      <c r="L25" s="102">
        <v>47.4</v>
      </c>
      <c r="M25" s="102">
        <v>43.2</v>
      </c>
      <c r="N25" s="102">
        <f t="shared" si="1"/>
        <v>230.8</v>
      </c>
      <c r="O25" s="102">
        <f t="shared" si="2"/>
        <v>636.79999999999995</v>
      </c>
      <c r="P25" s="102">
        <f t="shared" si="3"/>
        <v>167.60000000000002</v>
      </c>
      <c r="Q25" s="102">
        <f t="shared" si="4"/>
        <v>1035.2</v>
      </c>
    </row>
    <row r="26" spans="1:17">
      <c r="A26" s="102">
        <v>1986</v>
      </c>
      <c r="B26" s="102">
        <v>30.2</v>
      </c>
      <c r="C26" s="102">
        <v>31.3</v>
      </c>
      <c r="D26" s="102">
        <v>67.2</v>
      </c>
      <c r="E26" s="102">
        <v>193.7</v>
      </c>
      <c r="F26" s="102">
        <v>107.1</v>
      </c>
      <c r="G26" s="102">
        <v>188.2</v>
      </c>
      <c r="H26" s="102">
        <v>305.5</v>
      </c>
      <c r="I26" s="102">
        <v>48.6</v>
      </c>
      <c r="J26" s="102">
        <v>80.099999999999994</v>
      </c>
      <c r="K26" s="102">
        <v>66.400000000000006</v>
      </c>
      <c r="L26" s="102">
        <v>64.2</v>
      </c>
      <c r="M26" s="102">
        <v>23.9</v>
      </c>
      <c r="N26" s="102">
        <f t="shared" si="1"/>
        <v>322.39999999999998</v>
      </c>
      <c r="O26" s="102">
        <f t="shared" si="2"/>
        <v>729.5</v>
      </c>
      <c r="P26" s="102">
        <f t="shared" si="3"/>
        <v>154.50000000000003</v>
      </c>
      <c r="Q26" s="102">
        <f t="shared" si="4"/>
        <v>1206.4000000000003</v>
      </c>
    </row>
    <row r="27" spans="1:17">
      <c r="A27" s="102">
        <v>1987</v>
      </c>
      <c r="B27" s="102">
        <v>34.799999999999997</v>
      </c>
      <c r="C27" s="102">
        <v>12.1</v>
      </c>
      <c r="D27" s="102">
        <v>31.3</v>
      </c>
      <c r="E27" s="102">
        <v>133.30000000000001</v>
      </c>
      <c r="F27" s="102">
        <v>212.5</v>
      </c>
      <c r="G27" s="102">
        <v>163.69999999999999</v>
      </c>
      <c r="H27" s="102">
        <v>198</v>
      </c>
      <c r="I27" s="102">
        <v>126.5</v>
      </c>
      <c r="J27" s="102">
        <v>57.3</v>
      </c>
      <c r="K27" s="102">
        <v>217.6</v>
      </c>
      <c r="L27" s="102">
        <v>60.1</v>
      </c>
      <c r="M27" s="102">
        <v>7.4</v>
      </c>
      <c r="N27" s="102">
        <f t="shared" si="1"/>
        <v>211.5</v>
      </c>
      <c r="O27" s="102">
        <f t="shared" si="2"/>
        <v>758</v>
      </c>
      <c r="P27" s="102">
        <f t="shared" si="3"/>
        <v>285.09999999999997</v>
      </c>
      <c r="Q27" s="102">
        <f t="shared" si="4"/>
        <v>1254.5999999999999</v>
      </c>
    </row>
    <row r="28" spans="1:17">
      <c r="A28" s="102">
        <v>1988</v>
      </c>
      <c r="B28" s="102">
        <v>24.7</v>
      </c>
      <c r="C28" s="102">
        <v>24.1</v>
      </c>
      <c r="D28" s="102">
        <v>34.4</v>
      </c>
      <c r="E28" s="102">
        <v>48.5</v>
      </c>
      <c r="F28" s="102">
        <v>292.10000000000002</v>
      </c>
      <c r="G28" s="102">
        <v>162.9</v>
      </c>
      <c r="H28" s="102">
        <v>21.9</v>
      </c>
      <c r="I28" s="102">
        <v>321.3</v>
      </c>
      <c r="J28" s="102">
        <v>155.4</v>
      </c>
      <c r="K28" s="102">
        <v>64.7</v>
      </c>
      <c r="L28" s="102">
        <v>0</v>
      </c>
      <c r="M28" s="102">
        <v>9.1999999999999993</v>
      </c>
      <c r="N28" s="102">
        <f t="shared" si="1"/>
        <v>131.69999999999999</v>
      </c>
      <c r="O28" s="102">
        <f t="shared" si="2"/>
        <v>953.6</v>
      </c>
      <c r="P28" s="102">
        <f t="shared" si="3"/>
        <v>73.900000000000006</v>
      </c>
      <c r="Q28" s="102">
        <f t="shared" si="4"/>
        <v>1159.2000000000003</v>
      </c>
    </row>
    <row r="29" spans="1:17">
      <c r="A29" s="102">
        <v>1989</v>
      </c>
      <c r="B29" s="102">
        <v>16.2</v>
      </c>
      <c r="C29" s="102">
        <v>54.3</v>
      </c>
      <c r="D29" s="102">
        <v>73.5</v>
      </c>
      <c r="E29" s="102">
        <v>209.9</v>
      </c>
      <c r="F29" s="102">
        <v>104.3</v>
      </c>
      <c r="G29" s="102">
        <v>239.6</v>
      </c>
      <c r="H29" s="102">
        <v>71.2</v>
      </c>
      <c r="I29" s="102">
        <v>134</v>
      </c>
      <c r="J29" s="102">
        <v>199.7</v>
      </c>
      <c r="K29" s="102">
        <v>102.9</v>
      </c>
      <c r="L29" s="102">
        <v>68.2</v>
      </c>
      <c r="M29" s="102">
        <v>60.6</v>
      </c>
      <c r="N29" s="102">
        <f t="shared" si="1"/>
        <v>353.9</v>
      </c>
      <c r="O29" s="102">
        <f t="shared" si="2"/>
        <v>748.8</v>
      </c>
      <c r="P29" s="102">
        <f t="shared" si="3"/>
        <v>231.70000000000002</v>
      </c>
      <c r="Q29" s="102">
        <f t="shared" si="4"/>
        <v>1334.4</v>
      </c>
    </row>
    <row r="30" spans="1:17">
      <c r="A30" s="102">
        <v>1990</v>
      </c>
      <c r="B30" s="102">
        <v>35.5</v>
      </c>
      <c r="C30" s="102">
        <v>42.5</v>
      </c>
      <c r="D30" s="102">
        <v>85.9</v>
      </c>
      <c r="E30" s="102">
        <v>93.9</v>
      </c>
      <c r="F30" s="102">
        <v>99.5</v>
      </c>
      <c r="G30" s="102">
        <v>150</v>
      </c>
      <c r="H30" s="102">
        <v>104</v>
      </c>
      <c r="I30" s="102">
        <v>20.5</v>
      </c>
      <c r="J30" s="102">
        <v>89.1</v>
      </c>
      <c r="K30" s="102">
        <v>74.099999999999994</v>
      </c>
      <c r="L30" s="102">
        <v>113.4</v>
      </c>
      <c r="M30" s="102">
        <v>26.5</v>
      </c>
      <c r="N30" s="102">
        <f t="shared" si="1"/>
        <v>257.8</v>
      </c>
      <c r="O30" s="102">
        <f t="shared" si="2"/>
        <v>463.1</v>
      </c>
      <c r="P30" s="102">
        <f t="shared" si="3"/>
        <v>214</v>
      </c>
      <c r="Q30" s="102">
        <f t="shared" si="4"/>
        <v>934.9</v>
      </c>
    </row>
    <row r="31" spans="1:17">
      <c r="A31" s="102">
        <v>1991</v>
      </c>
      <c r="B31" s="102">
        <v>86.4</v>
      </c>
      <c r="C31" s="102">
        <v>47.8</v>
      </c>
      <c r="D31" s="102">
        <v>91.1</v>
      </c>
      <c r="E31" s="102">
        <v>95</v>
      </c>
      <c r="F31" s="102">
        <v>131.9</v>
      </c>
      <c r="G31" s="102">
        <v>157.30000000000001</v>
      </c>
      <c r="H31" s="102">
        <v>423.7</v>
      </c>
      <c r="I31" s="102">
        <v>170.9</v>
      </c>
      <c r="J31" s="102">
        <v>64.900000000000006</v>
      </c>
      <c r="K31" s="102">
        <v>80.599999999999994</v>
      </c>
      <c r="L31" s="102">
        <v>40.4</v>
      </c>
      <c r="M31" s="102">
        <v>22.7</v>
      </c>
      <c r="N31" s="102">
        <f t="shared" si="1"/>
        <v>320.29999999999995</v>
      </c>
      <c r="O31" s="102">
        <f t="shared" si="2"/>
        <v>948.7</v>
      </c>
      <c r="P31" s="102">
        <f t="shared" si="3"/>
        <v>143.69999999999999</v>
      </c>
      <c r="Q31" s="102">
        <f t="shared" si="4"/>
        <v>1412.7000000000003</v>
      </c>
    </row>
    <row r="32" spans="1:17">
      <c r="A32" s="102">
        <v>1992</v>
      </c>
      <c r="B32" s="102">
        <v>8.4</v>
      </c>
      <c r="C32" s="102">
        <v>39.799999999999997</v>
      </c>
      <c r="D32" s="102">
        <v>94.8</v>
      </c>
      <c r="E32" s="102">
        <v>153.1</v>
      </c>
      <c r="F32" s="102">
        <v>176.4</v>
      </c>
      <c r="G32" s="102">
        <v>248.8</v>
      </c>
      <c r="H32" s="102">
        <v>105.4</v>
      </c>
      <c r="I32" s="102">
        <v>139.6</v>
      </c>
      <c r="J32" s="102">
        <v>33.299999999999997</v>
      </c>
      <c r="K32" s="102">
        <v>23.6</v>
      </c>
      <c r="L32" s="102">
        <v>13.9</v>
      </c>
      <c r="M32" s="102">
        <v>35.5</v>
      </c>
      <c r="N32" s="102">
        <f t="shared" si="1"/>
        <v>296.10000000000002</v>
      </c>
      <c r="O32" s="102">
        <f t="shared" si="2"/>
        <v>703.5</v>
      </c>
      <c r="P32" s="102">
        <f t="shared" si="3"/>
        <v>73</v>
      </c>
      <c r="Q32" s="102">
        <f t="shared" si="4"/>
        <v>1072.5999999999999</v>
      </c>
    </row>
    <row r="33" spans="1:17">
      <c r="A33" s="102">
        <v>1993</v>
      </c>
      <c r="B33" s="102">
        <v>50.2</v>
      </c>
      <c r="C33" s="102">
        <v>80.8</v>
      </c>
      <c r="D33" s="102">
        <v>95.3</v>
      </c>
      <c r="E33" s="102">
        <v>85.6</v>
      </c>
      <c r="F33" s="102">
        <v>126</v>
      </c>
      <c r="G33" s="102">
        <v>203.5</v>
      </c>
      <c r="H33" s="102">
        <v>397.2</v>
      </c>
      <c r="I33" s="102">
        <v>109.6</v>
      </c>
      <c r="J33" s="102">
        <v>81.2</v>
      </c>
      <c r="K33" s="102">
        <v>84.1</v>
      </c>
      <c r="L33" s="102">
        <v>60.5</v>
      </c>
      <c r="M33" s="102">
        <v>20.3</v>
      </c>
      <c r="N33" s="102">
        <f t="shared" si="1"/>
        <v>311.89999999999998</v>
      </c>
      <c r="O33" s="102">
        <f t="shared" si="2"/>
        <v>917.50000000000011</v>
      </c>
      <c r="P33" s="102">
        <f t="shared" si="3"/>
        <v>164.9</v>
      </c>
      <c r="Q33" s="102">
        <f t="shared" si="4"/>
        <v>1394.2999999999997</v>
      </c>
    </row>
    <row r="34" spans="1:17">
      <c r="A34" s="102">
        <v>1994</v>
      </c>
      <c r="B34" s="102">
        <v>24.2</v>
      </c>
      <c r="C34" s="102">
        <v>23</v>
      </c>
      <c r="D34" s="102">
        <v>53.1</v>
      </c>
      <c r="E34" s="102">
        <v>103.7</v>
      </c>
      <c r="F34" s="102">
        <v>163.9</v>
      </c>
      <c r="G34" s="102">
        <v>88.9</v>
      </c>
      <c r="H34" s="102">
        <v>97.7</v>
      </c>
      <c r="I34" s="102">
        <v>31.8</v>
      </c>
      <c r="J34" s="102">
        <v>133.19999999999999</v>
      </c>
      <c r="K34" s="102">
        <v>149.1</v>
      </c>
      <c r="L34" s="102">
        <v>93.3</v>
      </c>
      <c r="M34" s="102">
        <v>31.7</v>
      </c>
      <c r="N34" s="102">
        <f t="shared" si="1"/>
        <v>204</v>
      </c>
      <c r="O34" s="102">
        <f t="shared" si="2"/>
        <v>515.5</v>
      </c>
      <c r="P34" s="102">
        <f t="shared" si="3"/>
        <v>274.09999999999997</v>
      </c>
      <c r="Q34" s="102">
        <f t="shared" si="4"/>
        <v>993.6</v>
      </c>
    </row>
    <row r="35" spans="1:17">
      <c r="A35" s="102">
        <v>1995</v>
      </c>
      <c r="B35" s="102">
        <v>41.2</v>
      </c>
      <c r="C35" s="102">
        <v>82.3</v>
      </c>
      <c r="D35" s="102">
        <v>38.299999999999997</v>
      </c>
      <c r="E35" s="102">
        <v>166.2</v>
      </c>
      <c r="F35" s="102">
        <v>184.3</v>
      </c>
      <c r="G35" s="102">
        <v>298.89999999999998</v>
      </c>
      <c r="H35" s="102">
        <v>144</v>
      </c>
      <c r="I35" s="102">
        <v>275.3</v>
      </c>
      <c r="J35" s="102">
        <v>46.2</v>
      </c>
      <c r="K35" s="102">
        <v>50.1</v>
      </c>
      <c r="L35" s="102">
        <v>39.1</v>
      </c>
      <c r="M35" s="102">
        <v>4.9000000000000004</v>
      </c>
      <c r="N35" s="102">
        <f t="shared" si="1"/>
        <v>328</v>
      </c>
      <c r="O35" s="102">
        <f t="shared" si="2"/>
        <v>948.7</v>
      </c>
      <c r="P35" s="102">
        <f t="shared" si="3"/>
        <v>94.100000000000009</v>
      </c>
      <c r="Q35" s="102">
        <f t="shared" si="4"/>
        <v>1370.8</v>
      </c>
    </row>
    <row r="36" spans="1:17">
      <c r="A36" s="102">
        <v>1996</v>
      </c>
      <c r="B36" s="102">
        <v>57.8</v>
      </c>
      <c r="C36" s="102">
        <v>8</v>
      </c>
      <c r="D36" s="102">
        <v>53.6</v>
      </c>
      <c r="E36" s="102">
        <v>71.900000000000006</v>
      </c>
      <c r="F36" s="102">
        <v>124.2</v>
      </c>
      <c r="G36" s="102">
        <v>225.3</v>
      </c>
      <c r="H36" s="102">
        <v>416.4</v>
      </c>
      <c r="I36" s="102">
        <v>103.8</v>
      </c>
      <c r="J36" s="102">
        <v>67.7</v>
      </c>
      <c r="K36" s="102">
        <v>136.19999999999999</v>
      </c>
      <c r="L36" s="102">
        <v>81</v>
      </c>
      <c r="M36" s="102">
        <v>14.1</v>
      </c>
      <c r="N36" s="102">
        <f t="shared" si="1"/>
        <v>191.3</v>
      </c>
      <c r="O36" s="102">
        <f t="shared" si="2"/>
        <v>937.4</v>
      </c>
      <c r="P36" s="102">
        <f t="shared" si="3"/>
        <v>231.29999999999998</v>
      </c>
      <c r="Q36" s="102">
        <f t="shared" si="4"/>
        <v>1360</v>
      </c>
    </row>
    <row r="37" spans="1:17">
      <c r="A37" s="102">
        <v>1997</v>
      </c>
      <c r="B37" s="102">
        <v>89.9</v>
      </c>
      <c r="C37" s="102">
        <v>53.2</v>
      </c>
      <c r="D37" s="102">
        <v>77.8</v>
      </c>
      <c r="E37" s="102">
        <v>187.6</v>
      </c>
      <c r="F37" s="102">
        <v>160.69999999999999</v>
      </c>
      <c r="G37" s="102">
        <v>223</v>
      </c>
      <c r="H37" s="102">
        <v>151.80000000000001</v>
      </c>
      <c r="I37" s="102">
        <v>59.6</v>
      </c>
      <c r="J37" s="102">
        <v>125.5</v>
      </c>
      <c r="K37" s="102">
        <v>117.3</v>
      </c>
      <c r="L37" s="102">
        <v>54.3</v>
      </c>
      <c r="M37" s="102">
        <v>47.6</v>
      </c>
      <c r="N37" s="102">
        <f t="shared" si="1"/>
        <v>408.5</v>
      </c>
      <c r="O37" s="102">
        <f t="shared" si="2"/>
        <v>720.6</v>
      </c>
      <c r="P37" s="102">
        <f t="shared" si="3"/>
        <v>219.2</v>
      </c>
      <c r="Q37" s="102">
        <f t="shared" si="4"/>
        <v>1348.2999999999997</v>
      </c>
    </row>
    <row r="38" spans="1:17">
      <c r="A38" s="102">
        <v>1998</v>
      </c>
      <c r="B38" s="102">
        <v>25.4</v>
      </c>
      <c r="C38" s="102">
        <v>42.1</v>
      </c>
      <c r="D38" s="102">
        <v>88.1</v>
      </c>
      <c r="E38" s="102">
        <v>180.2</v>
      </c>
      <c r="F38" s="102">
        <v>183.4</v>
      </c>
      <c r="G38" s="102">
        <v>147.19999999999999</v>
      </c>
      <c r="H38" s="102">
        <v>176.3</v>
      </c>
      <c r="I38" s="102">
        <v>225.7</v>
      </c>
      <c r="J38" s="102">
        <v>79.099999999999994</v>
      </c>
      <c r="K38" s="102">
        <v>66.099999999999994</v>
      </c>
      <c r="L38" s="102">
        <v>8.4</v>
      </c>
      <c r="M38" s="102">
        <v>31.7</v>
      </c>
      <c r="N38" s="102">
        <f t="shared" si="1"/>
        <v>335.79999999999995</v>
      </c>
      <c r="O38" s="102">
        <f t="shared" si="2"/>
        <v>811.7</v>
      </c>
      <c r="P38" s="102">
        <f t="shared" si="3"/>
        <v>106.2</v>
      </c>
      <c r="Q38" s="102">
        <f t="shared" si="4"/>
        <v>1253.6999999999998</v>
      </c>
    </row>
    <row r="39" spans="1:17">
      <c r="A39" s="102">
        <v>1999</v>
      </c>
      <c r="B39" s="102">
        <v>51.3</v>
      </c>
      <c r="C39" s="102">
        <v>10.7</v>
      </c>
      <c r="D39" s="102">
        <v>30.4</v>
      </c>
      <c r="E39" s="102">
        <v>240.4</v>
      </c>
      <c r="F39" s="102">
        <v>217.3</v>
      </c>
      <c r="G39" s="102">
        <v>520.6</v>
      </c>
      <c r="H39" s="102">
        <v>256.60000000000002</v>
      </c>
      <c r="I39" s="102">
        <v>83.2</v>
      </c>
      <c r="J39" s="102">
        <v>40.200000000000003</v>
      </c>
      <c r="K39" s="102">
        <v>68.2</v>
      </c>
      <c r="L39" s="102">
        <v>29.5</v>
      </c>
      <c r="M39" s="102">
        <v>0.7</v>
      </c>
      <c r="N39" s="102">
        <f t="shared" si="1"/>
        <v>332.8</v>
      </c>
      <c r="O39" s="102">
        <f t="shared" si="2"/>
        <v>1117.9000000000001</v>
      </c>
      <c r="P39" s="102">
        <f t="shared" si="3"/>
        <v>98.4</v>
      </c>
      <c r="Q39" s="102">
        <f t="shared" si="4"/>
        <v>1549.1000000000004</v>
      </c>
    </row>
    <row r="40" spans="1:17">
      <c r="A40" s="102">
        <v>2000</v>
      </c>
      <c r="B40" s="102">
        <v>52.2</v>
      </c>
      <c r="C40" s="102">
        <v>32.799999999999997</v>
      </c>
      <c r="D40" s="102">
        <v>78</v>
      </c>
      <c r="E40" s="102">
        <v>115.7</v>
      </c>
      <c r="F40" s="102">
        <v>127.7</v>
      </c>
      <c r="G40" s="102">
        <v>241.2</v>
      </c>
      <c r="H40" s="102">
        <v>105.8</v>
      </c>
      <c r="I40" s="102">
        <v>143.69999999999999</v>
      </c>
      <c r="J40" s="102">
        <v>37.6</v>
      </c>
      <c r="K40" s="102">
        <v>134.1</v>
      </c>
      <c r="L40" s="102">
        <v>50.5</v>
      </c>
      <c r="M40" s="102">
        <v>25.7</v>
      </c>
      <c r="N40" s="102">
        <f t="shared" si="1"/>
        <v>278.7</v>
      </c>
      <c r="O40" s="102">
        <f t="shared" si="2"/>
        <v>656</v>
      </c>
      <c r="P40" s="102">
        <f t="shared" si="3"/>
        <v>210.29999999999998</v>
      </c>
      <c r="Q40" s="102">
        <f t="shared" si="4"/>
        <v>1145</v>
      </c>
    </row>
    <row r="41" spans="1:17">
      <c r="A41" s="102">
        <v>2001</v>
      </c>
      <c r="B41" s="102">
        <v>31.9</v>
      </c>
      <c r="C41" s="102">
        <v>39.6</v>
      </c>
      <c r="D41" s="102">
        <v>45.2</v>
      </c>
      <c r="E41" s="102">
        <v>137.69999999999999</v>
      </c>
      <c r="F41" s="102">
        <v>185</v>
      </c>
      <c r="G41" s="102">
        <v>145.9</v>
      </c>
      <c r="H41" s="102">
        <v>104.3</v>
      </c>
      <c r="I41" s="102">
        <v>172.7</v>
      </c>
      <c r="J41" s="102">
        <v>9.4</v>
      </c>
      <c r="K41" s="102">
        <v>160.9</v>
      </c>
      <c r="L41" s="102">
        <v>35</v>
      </c>
      <c r="M41" s="102">
        <v>18.7</v>
      </c>
      <c r="N41" s="102">
        <f t="shared" si="1"/>
        <v>254.39999999999998</v>
      </c>
      <c r="O41" s="102">
        <f t="shared" si="2"/>
        <v>617.29999999999995</v>
      </c>
      <c r="P41" s="102">
        <f t="shared" si="3"/>
        <v>214.6</v>
      </c>
      <c r="Q41" s="102">
        <f t="shared" si="4"/>
        <v>1086.3</v>
      </c>
    </row>
    <row r="42" spans="1:17">
      <c r="A42" s="102">
        <v>2002</v>
      </c>
      <c r="B42" s="102">
        <v>28.6</v>
      </c>
      <c r="C42" s="102">
        <v>49.2</v>
      </c>
      <c r="D42" s="102">
        <v>89.1</v>
      </c>
      <c r="E42" s="102">
        <v>132.80000000000001</v>
      </c>
      <c r="F42" s="102">
        <v>342</v>
      </c>
      <c r="G42" s="102">
        <v>281</v>
      </c>
      <c r="H42" s="102">
        <v>180</v>
      </c>
      <c r="I42" s="102">
        <v>187</v>
      </c>
      <c r="J42" s="102">
        <v>53</v>
      </c>
      <c r="K42" s="102">
        <v>163</v>
      </c>
      <c r="L42" s="102">
        <v>42</v>
      </c>
      <c r="M42" s="102">
        <v>51.4</v>
      </c>
      <c r="N42" s="102">
        <f t="shared" si="1"/>
        <v>299.70000000000005</v>
      </c>
      <c r="O42" s="102">
        <f t="shared" si="2"/>
        <v>1043</v>
      </c>
      <c r="P42" s="102">
        <f t="shared" si="3"/>
        <v>256.39999999999998</v>
      </c>
      <c r="Q42" s="102">
        <f t="shared" si="4"/>
        <v>1599.1000000000001</v>
      </c>
    </row>
    <row r="43" spans="1:17">
      <c r="A43" s="102">
        <v>2003</v>
      </c>
      <c r="B43" s="102">
        <v>66.3</v>
      </c>
      <c r="C43" s="102">
        <v>44</v>
      </c>
      <c r="D43" s="102">
        <v>105.3</v>
      </c>
      <c r="E43" s="102">
        <v>144.80000000000001</v>
      </c>
      <c r="F43" s="102">
        <v>196.3</v>
      </c>
      <c r="G43" s="102">
        <v>278.3</v>
      </c>
      <c r="H43" s="102">
        <v>167.2</v>
      </c>
      <c r="I43" s="102">
        <v>60.8</v>
      </c>
      <c r="J43" s="102">
        <v>62.3</v>
      </c>
      <c r="K43" s="102">
        <v>91</v>
      </c>
      <c r="L43" s="102">
        <v>56</v>
      </c>
      <c r="M43" s="102">
        <v>68.099999999999994</v>
      </c>
      <c r="N43" s="102">
        <f t="shared" si="1"/>
        <v>360.4</v>
      </c>
      <c r="O43" s="102">
        <f t="shared" si="2"/>
        <v>764.89999999999986</v>
      </c>
      <c r="P43" s="102">
        <f t="shared" si="3"/>
        <v>215.1</v>
      </c>
      <c r="Q43" s="102">
        <f t="shared" si="4"/>
        <v>1340.3999999999999</v>
      </c>
    </row>
    <row r="44" spans="1:17">
      <c r="A44" s="102">
        <v>2004</v>
      </c>
      <c r="B44" s="103">
        <v>29</v>
      </c>
      <c r="C44" s="103">
        <v>81.2</v>
      </c>
      <c r="D44" s="103">
        <v>56.8</v>
      </c>
      <c r="E44" s="103">
        <v>131.6</v>
      </c>
      <c r="F44" s="103">
        <v>277.2</v>
      </c>
      <c r="G44" s="103">
        <v>250.2</v>
      </c>
      <c r="H44" s="103">
        <v>200.3</v>
      </c>
      <c r="I44" s="103">
        <v>80.099999999999994</v>
      </c>
      <c r="J44" s="103">
        <v>66.3</v>
      </c>
      <c r="K44" s="103">
        <v>65.099999999999994</v>
      </c>
      <c r="L44" s="103">
        <v>103.8</v>
      </c>
      <c r="M44" s="103">
        <v>32.5</v>
      </c>
      <c r="N44" s="102">
        <f t="shared" si="1"/>
        <v>298.60000000000002</v>
      </c>
      <c r="O44" s="102">
        <f t="shared" si="2"/>
        <v>874.1</v>
      </c>
      <c r="P44" s="102">
        <f t="shared" si="3"/>
        <v>201.39999999999998</v>
      </c>
      <c r="Q44" s="102">
        <f t="shared" si="4"/>
        <v>1374.0999999999997</v>
      </c>
    </row>
    <row r="45" spans="1:17">
      <c r="A45" s="102">
        <v>2005</v>
      </c>
      <c r="B45" s="102">
        <v>43.6</v>
      </c>
      <c r="C45" s="102">
        <v>56.2</v>
      </c>
      <c r="D45" s="102">
        <v>60.6</v>
      </c>
      <c r="E45" s="102">
        <v>56.9</v>
      </c>
      <c r="F45" s="102">
        <v>308.7</v>
      </c>
      <c r="G45" s="102">
        <v>83.7</v>
      </c>
      <c r="H45" s="102">
        <v>75.2</v>
      </c>
      <c r="I45" s="102">
        <v>150.69999999999999</v>
      </c>
      <c r="J45" s="102">
        <v>57.4</v>
      </c>
      <c r="K45" s="102">
        <v>62</v>
      </c>
      <c r="L45" s="102">
        <v>38.200000000000003</v>
      </c>
      <c r="M45" s="102">
        <v>18.100000000000001</v>
      </c>
      <c r="N45" s="102">
        <f t="shared" si="1"/>
        <v>217.3</v>
      </c>
      <c r="O45" s="102">
        <f t="shared" si="2"/>
        <v>675.69999999999993</v>
      </c>
      <c r="P45" s="102">
        <f t="shared" si="3"/>
        <v>118.30000000000001</v>
      </c>
      <c r="Q45" s="102">
        <f t="shared" si="4"/>
        <v>1011.3000000000002</v>
      </c>
    </row>
    <row r="46" spans="1:17">
      <c r="A46" s="102">
        <v>2006</v>
      </c>
      <c r="B46" s="102">
        <v>27</v>
      </c>
      <c r="C46" s="102">
        <v>101.3</v>
      </c>
      <c r="D46" s="102">
        <v>56.9</v>
      </c>
      <c r="E46" s="102">
        <v>123.8</v>
      </c>
      <c r="F46" s="102">
        <v>197.7</v>
      </c>
      <c r="G46" s="102">
        <v>133.30000000000001</v>
      </c>
      <c r="H46" s="102">
        <v>74.2</v>
      </c>
      <c r="I46" s="102">
        <v>17.100000000000001</v>
      </c>
      <c r="J46" s="102">
        <v>117.1</v>
      </c>
      <c r="K46" s="102">
        <v>149.30000000000001</v>
      </c>
      <c r="L46" s="102">
        <v>75.7</v>
      </c>
      <c r="M46" s="102">
        <v>28.1</v>
      </c>
      <c r="N46" s="102">
        <f t="shared" si="1"/>
        <v>309</v>
      </c>
      <c r="O46" s="102">
        <f t="shared" si="2"/>
        <v>539.4</v>
      </c>
      <c r="P46" s="102">
        <f t="shared" si="3"/>
        <v>253.1</v>
      </c>
      <c r="Q46" s="102">
        <f t="shared" si="4"/>
        <v>1101.5</v>
      </c>
    </row>
    <row r="47" spans="1:17">
      <c r="A47" s="102">
        <v>2007</v>
      </c>
      <c r="B47" s="102">
        <v>58.8</v>
      </c>
      <c r="C47" s="102">
        <v>50.9</v>
      </c>
      <c r="D47" s="102">
        <v>65.5</v>
      </c>
      <c r="E47" s="102">
        <v>102.3</v>
      </c>
      <c r="F47" s="102">
        <v>123.3</v>
      </c>
      <c r="G47" s="102">
        <v>179.8</v>
      </c>
      <c r="H47" s="102">
        <v>406.5</v>
      </c>
      <c r="I47" s="102">
        <v>229.5</v>
      </c>
      <c r="J47" s="102">
        <v>97.3</v>
      </c>
      <c r="K47" s="102">
        <v>50.1</v>
      </c>
      <c r="L47" s="102">
        <v>6.9</v>
      </c>
      <c r="M47" s="102">
        <v>23</v>
      </c>
      <c r="N47" s="102">
        <f t="shared" si="1"/>
        <v>277.5</v>
      </c>
      <c r="O47" s="102">
        <f t="shared" si="2"/>
        <v>1036.4000000000001</v>
      </c>
      <c r="P47" s="102">
        <f t="shared" si="3"/>
        <v>80</v>
      </c>
      <c r="Q47" s="102">
        <f t="shared" si="4"/>
        <v>1393.8999999999999</v>
      </c>
    </row>
    <row r="48" spans="1:17">
      <c r="A48" s="102">
        <v>2008</v>
      </c>
      <c r="B48" s="102">
        <v>35.5</v>
      </c>
      <c r="C48" s="102">
        <v>39.799999999999997</v>
      </c>
      <c r="D48" s="102">
        <v>101</v>
      </c>
      <c r="E48" s="102">
        <v>75.599999999999994</v>
      </c>
      <c r="F48" s="102">
        <v>122.2</v>
      </c>
      <c r="G48" s="102">
        <v>145.5</v>
      </c>
      <c r="H48" s="102">
        <v>112.9</v>
      </c>
      <c r="I48" s="102">
        <v>138.30000000000001</v>
      </c>
      <c r="J48" s="102">
        <v>56.3</v>
      </c>
      <c r="K48" s="102">
        <v>172</v>
      </c>
      <c r="L48" s="102">
        <v>136.4</v>
      </c>
      <c r="M48" s="102">
        <v>8.4</v>
      </c>
      <c r="N48" s="102">
        <f t="shared" si="1"/>
        <v>251.9</v>
      </c>
      <c r="O48" s="102">
        <f t="shared" si="2"/>
        <v>575.20000000000005</v>
      </c>
      <c r="P48" s="102">
        <f t="shared" si="3"/>
        <v>316.79999999999995</v>
      </c>
      <c r="Q48" s="102">
        <f t="shared" si="4"/>
        <v>1143.9000000000001</v>
      </c>
    </row>
    <row r="49" spans="1:33">
      <c r="A49" s="102">
        <v>2009</v>
      </c>
      <c r="B49" s="102">
        <v>19.399999999999999</v>
      </c>
      <c r="C49" s="102">
        <v>60.6</v>
      </c>
      <c r="D49" s="102">
        <v>60.3</v>
      </c>
      <c r="E49" s="102">
        <v>207.3</v>
      </c>
      <c r="F49" s="102">
        <v>189.1</v>
      </c>
      <c r="G49" s="102">
        <v>167.5</v>
      </c>
      <c r="H49" s="102">
        <v>78.5</v>
      </c>
      <c r="I49" s="102">
        <v>42.2</v>
      </c>
      <c r="J49" s="102">
        <v>128.80000000000001</v>
      </c>
      <c r="K49" s="102">
        <v>95.7</v>
      </c>
      <c r="L49" s="102">
        <v>54.8</v>
      </c>
      <c r="M49" s="102">
        <v>42.2</v>
      </c>
      <c r="N49" s="102">
        <f t="shared" si="1"/>
        <v>347.6</v>
      </c>
      <c r="O49" s="102">
        <f t="shared" si="2"/>
        <v>606.1</v>
      </c>
      <c r="P49" s="102">
        <f t="shared" si="3"/>
        <v>192.7</v>
      </c>
      <c r="Q49" s="102">
        <f t="shared" si="4"/>
        <v>1146.4000000000001</v>
      </c>
    </row>
    <row r="50" spans="1:33">
      <c r="A50" s="102">
        <v>2010</v>
      </c>
      <c r="B50" s="102">
        <v>9.5</v>
      </c>
      <c r="C50" s="102">
        <v>2.8</v>
      </c>
      <c r="D50" s="102">
        <v>125.2</v>
      </c>
      <c r="E50" s="102">
        <v>93.8</v>
      </c>
      <c r="F50" s="102">
        <v>296.2</v>
      </c>
      <c r="G50" s="102">
        <v>232.9</v>
      </c>
      <c r="H50" s="102">
        <v>164.2</v>
      </c>
      <c r="I50" s="102">
        <v>287.39999999999998</v>
      </c>
      <c r="J50" s="102">
        <v>159.80000000000001</v>
      </c>
      <c r="K50" s="102">
        <v>132.4</v>
      </c>
      <c r="L50" s="102">
        <v>46.9</v>
      </c>
      <c r="M50" s="102">
        <v>63</v>
      </c>
      <c r="N50" s="102">
        <f t="shared" si="1"/>
        <v>231.3</v>
      </c>
      <c r="O50" s="102">
        <f t="shared" si="2"/>
        <v>1140.5</v>
      </c>
      <c r="P50" s="102">
        <f t="shared" si="3"/>
        <v>242.3</v>
      </c>
      <c r="Q50" s="102">
        <f t="shared" si="4"/>
        <v>1614.1000000000001</v>
      </c>
    </row>
    <row r="51" spans="1:33">
      <c r="A51" s="102">
        <v>2011</v>
      </c>
      <c r="B51" s="102">
        <v>21.8</v>
      </c>
      <c r="C51" s="102">
        <v>15</v>
      </c>
      <c r="D51" s="102">
        <v>31.4</v>
      </c>
      <c r="E51" s="102">
        <v>35.6</v>
      </c>
      <c r="F51" s="102">
        <v>97.1</v>
      </c>
      <c r="G51" s="102">
        <v>322.8</v>
      </c>
      <c r="H51" s="102">
        <v>102.7</v>
      </c>
      <c r="I51" s="102">
        <v>67.599999999999994</v>
      </c>
      <c r="J51" s="102">
        <v>82.5</v>
      </c>
      <c r="K51" s="102">
        <v>150.80000000000001</v>
      </c>
      <c r="L51" s="102">
        <v>96.9</v>
      </c>
      <c r="M51" s="102">
        <v>17.3</v>
      </c>
      <c r="N51" s="102">
        <f t="shared" si="1"/>
        <v>103.79999999999998</v>
      </c>
      <c r="O51" s="102">
        <f t="shared" si="2"/>
        <v>672.7</v>
      </c>
      <c r="P51" s="102">
        <f t="shared" si="3"/>
        <v>265</v>
      </c>
      <c r="Q51" s="102">
        <f t="shared" si="4"/>
        <v>1041.5000000000002</v>
      </c>
      <c r="R51" s="104"/>
      <c r="S51" s="104"/>
      <c r="T51" s="104"/>
      <c r="U51" s="104"/>
      <c r="V51" s="104"/>
      <c r="W51" s="104"/>
      <c r="X51" s="104"/>
      <c r="Y51" s="104"/>
      <c r="Z51" s="104"/>
      <c r="AA51" s="104"/>
      <c r="AB51" s="104"/>
      <c r="AC51" s="104"/>
      <c r="AD51" s="104"/>
      <c r="AE51" s="104"/>
      <c r="AF51" s="104"/>
      <c r="AG51" s="104"/>
    </row>
    <row r="52" spans="1:33">
      <c r="A52" s="102" t="s">
        <v>86</v>
      </c>
      <c r="B52" s="102">
        <v>27.6</v>
      </c>
      <c r="C52" s="102">
        <v>30.6</v>
      </c>
      <c r="D52" s="102">
        <v>85</v>
      </c>
      <c r="E52" s="102">
        <v>129.9</v>
      </c>
      <c r="F52" s="102">
        <v>294.39999999999998</v>
      </c>
      <c r="G52" s="102">
        <v>240.6</v>
      </c>
      <c r="H52" s="102">
        <v>248.6</v>
      </c>
      <c r="I52" s="102">
        <v>77</v>
      </c>
      <c r="J52" s="102">
        <v>66</v>
      </c>
      <c r="K52" s="102">
        <v>113.5</v>
      </c>
      <c r="L52" s="102">
        <v>77.3</v>
      </c>
      <c r="M52" s="102">
        <v>32.1</v>
      </c>
      <c r="N52" s="102">
        <f t="shared" si="1"/>
        <v>273.10000000000002</v>
      </c>
      <c r="O52" s="102">
        <f t="shared" si="2"/>
        <v>926.6</v>
      </c>
      <c r="P52" s="102">
        <f t="shared" si="3"/>
        <v>222.9</v>
      </c>
      <c r="Q52" s="102">
        <f t="shared" si="4"/>
        <v>1422.6</v>
      </c>
      <c r="R52" s="104"/>
      <c r="S52" s="104"/>
      <c r="T52" s="104"/>
      <c r="U52" s="104"/>
      <c r="V52" s="104"/>
      <c r="W52" s="104"/>
      <c r="X52" s="104"/>
      <c r="Y52" s="104"/>
      <c r="Z52" s="104"/>
      <c r="AA52" s="104"/>
      <c r="AB52" s="104"/>
      <c r="AC52" s="104"/>
      <c r="AD52" s="104"/>
      <c r="AE52" s="104"/>
      <c r="AF52" s="104"/>
      <c r="AG52" s="104"/>
    </row>
    <row r="53" spans="1:33">
      <c r="A53" s="102">
        <v>2013</v>
      </c>
      <c r="B53" s="102">
        <v>33.700000000000003</v>
      </c>
      <c r="C53" s="102">
        <v>30</v>
      </c>
      <c r="D53" s="102">
        <v>76.400000000000006</v>
      </c>
      <c r="E53" s="102">
        <v>183</v>
      </c>
      <c r="F53" s="102">
        <v>141.5</v>
      </c>
      <c r="G53" s="102">
        <v>129.69999999999999</v>
      </c>
      <c r="H53" s="102">
        <v>19.399999999999999</v>
      </c>
      <c r="I53" s="102">
        <v>106.6</v>
      </c>
      <c r="J53" s="102">
        <v>288.7</v>
      </c>
      <c r="K53" s="102">
        <v>44.8</v>
      </c>
      <c r="L53" s="102">
        <v>65.5</v>
      </c>
      <c r="M53" s="102">
        <v>12.8</v>
      </c>
      <c r="N53" s="102">
        <f t="shared" si="1"/>
        <v>323.10000000000002</v>
      </c>
      <c r="O53" s="102">
        <f t="shared" si="2"/>
        <v>685.89999999999986</v>
      </c>
      <c r="P53" s="102">
        <f t="shared" si="3"/>
        <v>123.1</v>
      </c>
      <c r="Q53" s="102">
        <f t="shared" si="4"/>
        <v>1132.0999999999999</v>
      </c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  <c r="AD53" s="104"/>
      <c r="AE53" s="104"/>
      <c r="AF53" s="104"/>
      <c r="AG53" s="104"/>
    </row>
    <row r="54" spans="1:33">
      <c r="A54" s="102">
        <v>2014</v>
      </c>
      <c r="B54" s="134">
        <v>13.1</v>
      </c>
      <c r="C54" s="134">
        <v>36.9</v>
      </c>
      <c r="D54" s="134">
        <v>61.6</v>
      </c>
      <c r="E54" s="134">
        <v>91.3</v>
      </c>
      <c r="F54" s="134">
        <v>243</v>
      </c>
      <c r="G54" s="128">
        <v>158.9</v>
      </c>
      <c r="H54" s="128">
        <v>624.29999999999995</v>
      </c>
      <c r="I54" s="128">
        <v>203</v>
      </c>
      <c r="J54" s="128">
        <v>45.1</v>
      </c>
      <c r="K54" s="134">
        <v>161.1</v>
      </c>
      <c r="L54" s="134">
        <v>94.6</v>
      </c>
      <c r="M54" s="134">
        <v>6.2</v>
      </c>
      <c r="N54" s="102">
        <f t="shared" si="1"/>
        <v>202.89999999999998</v>
      </c>
      <c r="O54" s="102">
        <f t="shared" si="2"/>
        <v>1274.2999999999997</v>
      </c>
      <c r="P54" s="102">
        <f t="shared" si="3"/>
        <v>261.89999999999998</v>
      </c>
      <c r="Q54" s="102">
        <f t="shared" si="4"/>
        <v>1739.0999999999997</v>
      </c>
    </row>
    <row r="55" spans="1:33">
      <c r="A55" s="102">
        <v>2015</v>
      </c>
      <c r="B55" s="134">
        <v>19.7</v>
      </c>
      <c r="C55" s="134">
        <v>48.5</v>
      </c>
      <c r="D55" s="134">
        <v>68.400000000000006</v>
      </c>
      <c r="E55" s="134">
        <v>60.9</v>
      </c>
      <c r="F55" s="134">
        <v>225</v>
      </c>
      <c r="G55" s="134">
        <v>409.7</v>
      </c>
      <c r="H55" s="134">
        <v>252.2</v>
      </c>
      <c r="I55" s="134">
        <v>127.2</v>
      </c>
      <c r="J55" s="134">
        <v>136.9</v>
      </c>
      <c r="K55" s="134">
        <v>35</v>
      </c>
      <c r="L55" s="128">
        <v>60.2</v>
      </c>
      <c r="M55" s="128">
        <v>69.900000000000006</v>
      </c>
      <c r="N55" s="102">
        <f t="shared" si="1"/>
        <v>197.50000000000003</v>
      </c>
      <c r="O55" s="102">
        <f t="shared" si="2"/>
        <v>1151.0000000000002</v>
      </c>
      <c r="P55" s="102">
        <f t="shared" si="3"/>
        <v>165.10000000000002</v>
      </c>
      <c r="Q55" s="102">
        <f t="shared" si="4"/>
        <v>1513.6000000000004</v>
      </c>
    </row>
    <row r="56" spans="1:33" ht="13.5">
      <c r="A56" s="102">
        <v>2016</v>
      </c>
      <c r="B56" s="128">
        <v>38.6</v>
      </c>
      <c r="C56" s="128">
        <v>17</v>
      </c>
      <c r="D56" s="128">
        <v>112.9</v>
      </c>
      <c r="E56" s="128">
        <v>142.1</v>
      </c>
      <c r="F56" s="128">
        <v>279.60000000000002</v>
      </c>
      <c r="G56" s="128">
        <v>164</v>
      </c>
      <c r="H56" s="128">
        <v>145.30000000000001</v>
      </c>
      <c r="I56" s="128">
        <v>146.1</v>
      </c>
      <c r="J56" s="128">
        <v>28.6</v>
      </c>
      <c r="K56" s="128">
        <v>140.4</v>
      </c>
      <c r="L56" s="128">
        <v>59.7</v>
      </c>
      <c r="M56" s="128">
        <v>61</v>
      </c>
      <c r="N56" s="102">
        <f>SUM(B56:E56)</f>
        <v>310.60000000000002</v>
      </c>
      <c r="O56" s="102">
        <f>SUM(F56:J56)</f>
        <v>763.60000000000014</v>
      </c>
      <c r="P56" s="102">
        <f>SUM(K56:M56)</f>
        <v>261.10000000000002</v>
      </c>
      <c r="Q56" s="102">
        <f>SUM(B56:M56)</f>
        <v>1335.3</v>
      </c>
      <c r="R56" s="129">
        <f t="shared" ref="R56:AG56" si="5">100*(B56-B4)/B4</f>
        <v>10.744824482448237</v>
      </c>
      <c r="S56" s="129">
        <f t="shared" si="5"/>
        <v>-57.556175649875158</v>
      </c>
      <c r="T56" s="129">
        <f t="shared" si="5"/>
        <v>68.379342613171104</v>
      </c>
      <c r="U56" s="129">
        <f t="shared" si="5"/>
        <v>6.7225282007480835</v>
      </c>
      <c r="V56" s="129">
        <f t="shared" si="5"/>
        <v>39.141125845262138</v>
      </c>
      <c r="W56" s="129">
        <f t="shared" si="5"/>
        <v>-22.995479528987165</v>
      </c>
      <c r="X56" s="129">
        <f t="shared" si="5"/>
        <v>-16.607960747684572</v>
      </c>
      <c r="Y56" s="129">
        <f t="shared" si="5"/>
        <v>9.0777338603425317</v>
      </c>
      <c r="Z56" s="129">
        <f t="shared" si="5"/>
        <v>-71.496130696474623</v>
      </c>
      <c r="AA56" s="129">
        <f t="shared" si="5"/>
        <v>36.84210526315789</v>
      </c>
      <c r="AB56" s="129">
        <f t="shared" si="5"/>
        <v>2.0889216738197254</v>
      </c>
      <c r="AC56" s="129">
        <f t="shared" si="5"/>
        <v>113.4476843910806</v>
      </c>
      <c r="AD56" s="129">
        <f t="shared" si="5"/>
        <v>12.901179573072996</v>
      </c>
      <c r="AE56" s="129">
        <f t="shared" si="5"/>
        <v>-7.154011391297483</v>
      </c>
      <c r="AF56" s="129">
        <f t="shared" si="5"/>
        <v>37.66968208839495</v>
      </c>
      <c r="AG56" s="129">
        <f t="shared" si="5"/>
        <v>3.7366350177387271</v>
      </c>
    </row>
  </sheetData>
  <mergeCells count="6">
    <mergeCell ref="A1:A3"/>
    <mergeCell ref="B1:Q1"/>
    <mergeCell ref="B2:M2"/>
    <mergeCell ref="R1:AG1"/>
    <mergeCell ref="N2:Q2"/>
    <mergeCell ref="R2:AG2"/>
  </mergeCells>
  <phoneticPr fontId="2" type="noConversion"/>
  <pageMargins left="0.75" right="0.75" top="1" bottom="1" header="0.5" footer="0.5"/>
  <headerFooter alignWithMargins="0"/>
</worksheet>
</file>

<file path=xl/worksheets/sheet62.xml><?xml version="1.0" encoding="utf-8"?>
<worksheet xmlns="http://schemas.openxmlformats.org/spreadsheetml/2006/main" xmlns:r="http://schemas.openxmlformats.org/officeDocument/2006/relationships">
  <sheetPr codeName="Sheet62"/>
  <dimension ref="A1:AG11"/>
  <sheetViews>
    <sheetView zoomScale="70" zoomScaleNormal="70" workbookViewId="0">
      <pane ySplit="5" topLeftCell="A6" activePane="bottomLeft" state="frozen"/>
      <selection pane="bottomLeft" activeCell="A5" sqref="A5"/>
    </sheetView>
  </sheetViews>
  <sheetFormatPr defaultRowHeight="12"/>
  <cols>
    <col min="1" max="16384" width="9" style="102"/>
  </cols>
  <sheetData>
    <row r="1" spans="1:33" s="118" customFormat="1" ht="14.25" customHeight="1">
      <c r="A1" s="176" t="s">
        <v>53</v>
      </c>
      <c r="B1" s="176" t="s">
        <v>171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2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116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32</v>
      </c>
      <c r="O2" s="176"/>
      <c r="P2" s="176"/>
      <c r="Q2" s="176"/>
      <c r="R2" s="176" t="s">
        <v>38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>
      <c r="A3" s="176"/>
      <c r="B3" s="124" t="s">
        <v>149</v>
      </c>
      <c r="C3" s="124" t="s">
        <v>150</v>
      </c>
      <c r="D3" s="124" t="s">
        <v>9</v>
      </c>
      <c r="E3" s="124" t="s">
        <v>10</v>
      </c>
      <c r="F3" s="124" t="s">
        <v>11</v>
      </c>
      <c r="G3" s="124" t="s">
        <v>12</v>
      </c>
      <c r="H3" s="124" t="s">
        <v>13</v>
      </c>
      <c r="I3" s="124" t="s">
        <v>14</v>
      </c>
      <c r="J3" s="124" t="s">
        <v>15</v>
      </c>
      <c r="K3" s="124" t="s">
        <v>16</v>
      </c>
      <c r="L3" s="124" t="s">
        <v>17</v>
      </c>
      <c r="M3" s="124" t="s">
        <v>18</v>
      </c>
      <c r="N3" s="124" t="s">
        <v>145</v>
      </c>
      <c r="O3" s="124" t="s">
        <v>146</v>
      </c>
      <c r="P3" s="124" t="s">
        <v>147</v>
      </c>
      <c r="Q3" s="124" t="s">
        <v>148</v>
      </c>
      <c r="R3" s="124" t="s">
        <v>149</v>
      </c>
      <c r="S3" s="124" t="s">
        <v>150</v>
      </c>
      <c r="T3" s="124" t="s">
        <v>151</v>
      </c>
      <c r="U3" s="124" t="s">
        <v>152</v>
      </c>
      <c r="V3" s="124" t="s">
        <v>153</v>
      </c>
      <c r="W3" s="124" t="s">
        <v>154</v>
      </c>
      <c r="X3" s="124" t="s">
        <v>25</v>
      </c>
      <c r="Y3" s="124" t="s">
        <v>26</v>
      </c>
      <c r="Z3" s="124" t="s">
        <v>27</v>
      </c>
      <c r="AA3" s="124" t="s">
        <v>155</v>
      </c>
      <c r="AB3" s="124" t="s">
        <v>156</v>
      </c>
      <c r="AC3" s="124" t="s">
        <v>157</v>
      </c>
      <c r="AD3" s="124" t="s">
        <v>90</v>
      </c>
      <c r="AE3" s="124" t="s">
        <v>42</v>
      </c>
      <c r="AF3" s="124" t="s">
        <v>111</v>
      </c>
      <c r="AG3" s="124" t="s">
        <v>66</v>
      </c>
    </row>
    <row r="4" spans="1:33" s="118" customFormat="1">
      <c r="A4" s="150" t="s">
        <v>261</v>
      </c>
      <c r="B4" s="150">
        <f t="shared" ref="B4:Q4" si="0">AVERAGE(B5:B10)</f>
        <v>24.533333333333331</v>
      </c>
      <c r="C4" s="150">
        <f t="shared" si="0"/>
        <v>34.25</v>
      </c>
      <c r="D4" s="150">
        <f t="shared" si="0"/>
        <v>58.750000000000007</v>
      </c>
      <c r="E4" s="150">
        <f t="shared" si="0"/>
        <v>81.083333333333329</v>
      </c>
      <c r="F4" s="150">
        <f t="shared" si="0"/>
        <v>234.44999999999996</v>
      </c>
      <c r="G4" s="150">
        <f t="shared" si="0"/>
        <v>227.28333333333333</v>
      </c>
      <c r="H4" s="150">
        <f t="shared" si="0"/>
        <v>163.61666666666665</v>
      </c>
      <c r="I4" s="150">
        <f t="shared" si="0"/>
        <v>161.36666666666667</v>
      </c>
      <c r="J4" s="150">
        <f t="shared" si="0"/>
        <v>175.7833333333333</v>
      </c>
      <c r="K4" s="150">
        <f t="shared" si="0"/>
        <v>101.66666666666667</v>
      </c>
      <c r="L4" s="150">
        <f t="shared" si="0"/>
        <v>53.783333333333324</v>
      </c>
      <c r="M4" s="150">
        <f t="shared" si="0"/>
        <v>36.6</v>
      </c>
      <c r="N4" s="150">
        <f t="shared" si="0"/>
        <v>198.61666666666667</v>
      </c>
      <c r="O4" s="150">
        <f t="shared" si="0"/>
        <v>962.5</v>
      </c>
      <c r="P4" s="150">
        <f t="shared" si="0"/>
        <v>192.05000000000004</v>
      </c>
      <c r="Q4" s="150">
        <f t="shared" si="0"/>
        <v>1353.1666666666667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2010</v>
      </c>
      <c r="B5" s="102">
        <v>8.6999999999999993</v>
      </c>
      <c r="C5" s="102">
        <v>8.1</v>
      </c>
      <c r="D5" s="102">
        <v>63.5</v>
      </c>
      <c r="E5" s="102">
        <v>82.8</v>
      </c>
      <c r="F5" s="102">
        <v>290.5</v>
      </c>
      <c r="G5" s="102">
        <v>240.8</v>
      </c>
      <c r="H5" s="102">
        <v>101.1</v>
      </c>
      <c r="I5" s="102">
        <v>176.9</v>
      </c>
      <c r="J5" s="102">
        <v>157.30000000000001</v>
      </c>
      <c r="K5" s="102">
        <v>130.19999999999999</v>
      </c>
      <c r="L5" s="102">
        <v>33.299999999999997</v>
      </c>
      <c r="M5" s="102">
        <v>74.099999999999994</v>
      </c>
      <c r="N5" s="102">
        <f>SUM(B5:E5)</f>
        <v>163.1</v>
      </c>
      <c r="O5" s="102">
        <f>SUM(F5:J5)</f>
        <v>966.59999999999991</v>
      </c>
      <c r="P5" s="102">
        <f>SUM(K5:M5)</f>
        <v>237.6</v>
      </c>
      <c r="Q5" s="102">
        <f>SUM(B5:M5)</f>
        <v>1367.3</v>
      </c>
    </row>
    <row r="6" spans="1:33">
      <c r="A6" s="102">
        <v>2011</v>
      </c>
      <c r="B6" s="102">
        <v>34.6</v>
      </c>
      <c r="C6" s="102">
        <v>15.9</v>
      </c>
      <c r="D6" s="102">
        <v>28.5</v>
      </c>
      <c r="E6" s="102">
        <v>32.700000000000003</v>
      </c>
      <c r="F6" s="102">
        <v>76.7</v>
      </c>
      <c r="G6" s="102">
        <v>309.8</v>
      </c>
      <c r="H6" s="102">
        <v>37.6</v>
      </c>
      <c r="I6" s="102">
        <v>79.099999999999994</v>
      </c>
      <c r="J6" s="102">
        <v>158.1</v>
      </c>
      <c r="K6" s="102">
        <v>169.7</v>
      </c>
      <c r="L6" s="102">
        <v>38.4</v>
      </c>
      <c r="M6" s="102">
        <v>9.4</v>
      </c>
      <c r="N6" s="102">
        <f t="shared" ref="N6:N10" si="1">SUM(B6:E6)</f>
        <v>111.7</v>
      </c>
      <c r="O6" s="102">
        <f t="shared" ref="O6:O10" si="2">SUM(F6:J6)</f>
        <v>661.30000000000007</v>
      </c>
      <c r="P6" s="102">
        <f t="shared" ref="P6:P10" si="3">SUM(K6:M6)</f>
        <v>217.5</v>
      </c>
      <c r="Q6" s="102">
        <f t="shared" ref="Q6:Q10" si="4">SUM(B6:M6)</f>
        <v>990.5</v>
      </c>
    </row>
    <row r="7" spans="1:33">
      <c r="A7" s="102">
        <v>2012</v>
      </c>
      <c r="B7" s="102">
        <v>48.2</v>
      </c>
      <c r="C7" s="102">
        <v>26</v>
      </c>
      <c r="D7" s="102">
        <v>80.400000000000006</v>
      </c>
      <c r="E7" s="102">
        <v>89.7</v>
      </c>
      <c r="F7" s="102">
        <v>298.89999999999998</v>
      </c>
      <c r="G7" s="102">
        <v>213.7</v>
      </c>
      <c r="H7" s="102">
        <v>309.2</v>
      </c>
      <c r="I7" s="102">
        <v>108.5</v>
      </c>
      <c r="J7" s="102">
        <v>105</v>
      </c>
      <c r="K7" s="102">
        <v>58.8</v>
      </c>
      <c r="L7" s="102">
        <v>73.7</v>
      </c>
      <c r="M7" s="102">
        <v>33.299999999999997</v>
      </c>
      <c r="N7" s="102">
        <f t="shared" si="1"/>
        <v>244.3</v>
      </c>
      <c r="O7" s="102">
        <f t="shared" si="2"/>
        <v>1035.3</v>
      </c>
      <c r="P7" s="102">
        <f t="shared" si="3"/>
        <v>165.8</v>
      </c>
      <c r="Q7" s="102">
        <f t="shared" si="4"/>
        <v>1445.4</v>
      </c>
    </row>
    <row r="8" spans="1:33">
      <c r="A8" s="102">
        <v>2013</v>
      </c>
      <c r="B8" s="102">
        <v>16.7</v>
      </c>
      <c r="C8" s="102">
        <v>48.8</v>
      </c>
      <c r="D8" s="102">
        <v>88.4</v>
      </c>
      <c r="E8" s="102">
        <v>124.4</v>
      </c>
      <c r="F8" s="102">
        <v>208.3</v>
      </c>
      <c r="G8" s="102">
        <v>70.2</v>
      </c>
      <c r="H8" s="102">
        <v>36</v>
      </c>
      <c r="I8" s="102">
        <v>168.9</v>
      </c>
      <c r="J8" s="102">
        <v>363.9</v>
      </c>
      <c r="K8" s="102">
        <v>71.900000000000006</v>
      </c>
      <c r="L8" s="102">
        <v>42.2</v>
      </c>
      <c r="M8" s="102">
        <v>22.4</v>
      </c>
      <c r="N8" s="102">
        <f t="shared" si="1"/>
        <v>278.3</v>
      </c>
      <c r="O8" s="102">
        <f t="shared" si="2"/>
        <v>847.3</v>
      </c>
      <c r="P8" s="102">
        <f t="shared" si="3"/>
        <v>136.5</v>
      </c>
      <c r="Q8" s="102">
        <f t="shared" si="4"/>
        <v>1262.1000000000001</v>
      </c>
    </row>
    <row r="9" spans="1:33">
      <c r="A9" s="102">
        <v>2014</v>
      </c>
      <c r="B9" s="128">
        <v>10.3</v>
      </c>
      <c r="C9" s="134">
        <v>49.1</v>
      </c>
      <c r="D9" s="134">
        <v>51.6</v>
      </c>
      <c r="E9" s="134">
        <v>108.4</v>
      </c>
      <c r="F9" s="134">
        <v>285.2</v>
      </c>
      <c r="G9" s="134">
        <v>194.2</v>
      </c>
      <c r="H9" s="134">
        <v>441.4</v>
      </c>
      <c r="I9" s="134">
        <v>217.6</v>
      </c>
      <c r="J9" s="134">
        <v>99.3</v>
      </c>
      <c r="K9" s="134">
        <v>134.4</v>
      </c>
      <c r="L9" s="128">
        <v>61.1</v>
      </c>
      <c r="M9" s="134">
        <v>4.5</v>
      </c>
      <c r="N9" s="102">
        <f t="shared" si="1"/>
        <v>219.4</v>
      </c>
      <c r="O9" s="102">
        <f t="shared" si="2"/>
        <v>1237.6999999999998</v>
      </c>
      <c r="P9" s="102">
        <f t="shared" si="3"/>
        <v>200</v>
      </c>
      <c r="Q9" s="102">
        <f t="shared" si="4"/>
        <v>1657.0999999999997</v>
      </c>
    </row>
    <row r="10" spans="1:33">
      <c r="A10" s="102">
        <v>2015</v>
      </c>
      <c r="B10" s="128">
        <v>28.7</v>
      </c>
      <c r="C10" s="128">
        <v>57.6</v>
      </c>
      <c r="D10" s="128">
        <v>40.1</v>
      </c>
      <c r="E10" s="128">
        <v>48.5</v>
      </c>
      <c r="F10" s="128">
        <v>247.1</v>
      </c>
      <c r="G10" s="128">
        <v>335</v>
      </c>
      <c r="H10" s="128">
        <v>56.4</v>
      </c>
      <c r="I10" s="128">
        <v>217.2</v>
      </c>
      <c r="J10" s="128">
        <v>171.1</v>
      </c>
      <c r="K10" s="134">
        <v>45</v>
      </c>
      <c r="L10" s="134">
        <v>74</v>
      </c>
      <c r="M10" s="134">
        <v>75.900000000000006</v>
      </c>
      <c r="N10" s="102">
        <f t="shared" si="1"/>
        <v>174.9</v>
      </c>
      <c r="O10" s="102">
        <f t="shared" si="2"/>
        <v>1026.8</v>
      </c>
      <c r="P10" s="102">
        <f t="shared" si="3"/>
        <v>194.9</v>
      </c>
      <c r="Q10" s="102">
        <f t="shared" si="4"/>
        <v>1396.6</v>
      </c>
    </row>
    <row r="11" spans="1:33" ht="13.5">
      <c r="A11" s="102">
        <v>2016</v>
      </c>
      <c r="B11" s="128">
        <v>64.099999999999994</v>
      </c>
      <c r="C11" s="128">
        <v>21.1</v>
      </c>
      <c r="D11" s="128">
        <v>102.7</v>
      </c>
      <c r="E11" s="128">
        <v>178.5</v>
      </c>
      <c r="F11" s="128">
        <v>230.3</v>
      </c>
      <c r="G11" s="128">
        <v>163.19999999999999</v>
      </c>
      <c r="H11" s="128">
        <v>339.3</v>
      </c>
      <c r="I11" s="128">
        <v>116.4</v>
      </c>
      <c r="J11" s="128">
        <v>25.1</v>
      </c>
      <c r="K11" s="128">
        <v>150.80000000000001</v>
      </c>
      <c r="L11" s="128">
        <v>74.900000000000006</v>
      </c>
      <c r="M11" s="128">
        <v>57.2</v>
      </c>
      <c r="N11" s="102">
        <f>SUM(B11:E11)</f>
        <v>366.4</v>
      </c>
      <c r="O11" s="102">
        <f>SUM(F11:J11)</f>
        <v>874.3</v>
      </c>
      <c r="P11" s="102">
        <f>SUM(K11:M11)</f>
        <v>282.90000000000003</v>
      </c>
      <c r="Q11" s="102">
        <f>SUM(B11:M11)</f>
        <v>1523.6000000000001</v>
      </c>
      <c r="R11" s="129">
        <f t="shared" ref="R11:AG11" si="5">100*(B11-B4)/B4</f>
        <v>161.27717391304347</v>
      </c>
      <c r="S11" s="129">
        <f t="shared" si="5"/>
        <v>-38.394160583941598</v>
      </c>
      <c r="T11" s="129">
        <f t="shared" si="5"/>
        <v>74.808510638297861</v>
      </c>
      <c r="U11" s="129">
        <f t="shared" si="5"/>
        <v>120.14388489208635</v>
      </c>
      <c r="V11" s="129">
        <f t="shared" si="5"/>
        <v>-1.7701002345915757</v>
      </c>
      <c r="W11" s="129">
        <f t="shared" si="5"/>
        <v>-28.195350883625434</v>
      </c>
      <c r="X11" s="129">
        <f t="shared" si="5"/>
        <v>107.37496180095755</v>
      </c>
      <c r="Y11" s="129">
        <f t="shared" si="5"/>
        <v>-27.866143358810163</v>
      </c>
      <c r="Z11" s="129">
        <f t="shared" si="5"/>
        <v>-85.721058120792634</v>
      </c>
      <c r="AA11" s="129">
        <f t="shared" si="5"/>
        <v>48.327868852459019</v>
      </c>
      <c r="AB11" s="129">
        <f t="shared" si="5"/>
        <v>39.262472885032572</v>
      </c>
      <c r="AC11" s="129">
        <f t="shared" si="5"/>
        <v>56.284153005464482</v>
      </c>
      <c r="AD11" s="129">
        <f t="shared" si="5"/>
        <v>84.475958714441532</v>
      </c>
      <c r="AE11" s="129">
        <f t="shared" si="5"/>
        <v>-9.1636363636363676</v>
      </c>
      <c r="AF11" s="129">
        <f t="shared" si="5"/>
        <v>47.305389221556879</v>
      </c>
      <c r="AG11" s="129">
        <f t="shared" si="5"/>
        <v>12.595147185613996</v>
      </c>
    </row>
  </sheetData>
  <mergeCells count="6">
    <mergeCell ref="A1:A3"/>
    <mergeCell ref="B1:Q1"/>
    <mergeCell ref="R1:AG1"/>
    <mergeCell ref="B2:M2"/>
    <mergeCell ref="N2:Q2"/>
    <mergeCell ref="R2:AG2"/>
  </mergeCells>
  <phoneticPr fontId="2" type="noConversion"/>
  <pageMargins left="0.75" right="0.75" top="1" bottom="1" header="0.5" footer="0.5"/>
  <headerFooter alignWithMargins="0"/>
</worksheet>
</file>

<file path=xl/worksheets/sheet63.xml><?xml version="1.0" encoding="utf-8"?>
<worksheet xmlns="http://schemas.openxmlformats.org/spreadsheetml/2006/main" xmlns:r="http://schemas.openxmlformats.org/officeDocument/2006/relationships">
  <sheetPr codeName="Sheet63"/>
  <dimension ref="A1:AG59"/>
  <sheetViews>
    <sheetView zoomScaleNormal="100" workbookViewId="0">
      <pane ySplit="5" topLeftCell="A6" activePane="bottomLeft" state="frozen"/>
      <selection pane="bottomLeft" activeCell="O62" sqref="O62"/>
    </sheetView>
  </sheetViews>
  <sheetFormatPr defaultRowHeight="12"/>
  <cols>
    <col min="1" max="37" width="7.125" style="102" customWidth="1"/>
    <col min="38" max="16384" width="9" style="102"/>
  </cols>
  <sheetData>
    <row r="1" spans="1:33" s="118" customFormat="1" ht="14.25" customHeight="1">
      <c r="A1" s="176" t="s">
        <v>53</v>
      </c>
      <c r="B1" s="176" t="s">
        <v>171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2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116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32</v>
      </c>
      <c r="O2" s="176"/>
      <c r="P2" s="176"/>
      <c r="Q2" s="176"/>
      <c r="R2" s="176" t="s">
        <v>38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 ht="24">
      <c r="A3" s="176"/>
      <c r="B3" s="125" t="s">
        <v>149</v>
      </c>
      <c r="C3" s="125" t="s">
        <v>150</v>
      </c>
      <c r="D3" s="125" t="s">
        <v>9</v>
      </c>
      <c r="E3" s="125" t="s">
        <v>10</v>
      </c>
      <c r="F3" s="125" t="s">
        <v>11</v>
      </c>
      <c r="G3" s="125" t="s">
        <v>12</v>
      </c>
      <c r="H3" s="125" t="s">
        <v>13</v>
      </c>
      <c r="I3" s="125" t="s">
        <v>14</v>
      </c>
      <c r="J3" s="125" t="s">
        <v>15</v>
      </c>
      <c r="K3" s="125" t="s">
        <v>16</v>
      </c>
      <c r="L3" s="125" t="s">
        <v>17</v>
      </c>
      <c r="M3" s="125" t="s">
        <v>18</v>
      </c>
      <c r="N3" s="125" t="s">
        <v>145</v>
      </c>
      <c r="O3" s="125" t="s">
        <v>146</v>
      </c>
      <c r="P3" s="125" t="s">
        <v>147</v>
      </c>
      <c r="Q3" s="125" t="s">
        <v>148</v>
      </c>
      <c r="R3" s="125" t="s">
        <v>149</v>
      </c>
      <c r="S3" s="125" t="s">
        <v>150</v>
      </c>
      <c r="T3" s="125" t="s">
        <v>151</v>
      </c>
      <c r="U3" s="125" t="s">
        <v>152</v>
      </c>
      <c r="V3" s="125" t="s">
        <v>153</v>
      </c>
      <c r="W3" s="125" t="s">
        <v>154</v>
      </c>
      <c r="X3" s="125" t="s">
        <v>25</v>
      </c>
      <c r="Y3" s="125" t="s">
        <v>26</v>
      </c>
      <c r="Z3" s="125" t="s">
        <v>27</v>
      </c>
      <c r="AA3" s="125" t="s">
        <v>155</v>
      </c>
      <c r="AB3" s="125" t="s">
        <v>156</v>
      </c>
      <c r="AC3" s="125" t="s">
        <v>157</v>
      </c>
      <c r="AD3" s="125" t="s">
        <v>132</v>
      </c>
      <c r="AE3" s="125" t="s">
        <v>42</v>
      </c>
      <c r="AF3" s="125" t="s">
        <v>91</v>
      </c>
      <c r="AG3" s="125" t="s">
        <v>66</v>
      </c>
    </row>
    <row r="4" spans="1:33" s="118" customFormat="1">
      <c r="A4" s="150" t="s">
        <v>261</v>
      </c>
      <c r="B4" s="150">
        <f t="shared" ref="B4:Q4" si="0">AVERAGE(B5:B58)</f>
        <v>9.731481481481481</v>
      </c>
      <c r="C4" s="150">
        <f t="shared" si="0"/>
        <v>8.007407407407408</v>
      </c>
      <c r="D4" s="150">
        <f t="shared" si="0"/>
        <v>17.411111111111108</v>
      </c>
      <c r="E4" s="150">
        <f t="shared" si="0"/>
        <v>42.45</v>
      </c>
      <c r="F4" s="150">
        <f t="shared" si="0"/>
        <v>95.151851851851831</v>
      </c>
      <c r="G4" s="150">
        <f t="shared" si="0"/>
        <v>122.86092592592595</v>
      </c>
      <c r="H4" s="150">
        <f t="shared" si="0"/>
        <v>138.56481481481481</v>
      </c>
      <c r="I4" s="150">
        <f t="shared" si="0"/>
        <v>127.91481481481482</v>
      </c>
      <c r="J4" s="150">
        <f t="shared" si="0"/>
        <v>79.411111111111097</v>
      </c>
      <c r="K4" s="150">
        <f t="shared" si="0"/>
        <v>49.805555555555536</v>
      </c>
      <c r="L4" s="150">
        <f t="shared" si="0"/>
        <v>21.43703703703703</v>
      </c>
      <c r="M4" s="150">
        <f t="shared" si="0"/>
        <v>8.2629629629629608</v>
      </c>
      <c r="N4" s="150">
        <f t="shared" si="0"/>
        <v>77.600000000000009</v>
      </c>
      <c r="O4" s="150">
        <f t="shared" si="0"/>
        <v>563.90351851851858</v>
      </c>
      <c r="P4" s="150">
        <f t="shared" si="0"/>
        <v>79.50555555555556</v>
      </c>
      <c r="Q4" s="150">
        <f t="shared" si="0"/>
        <v>721.00907407407419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1962</v>
      </c>
      <c r="B5" s="102">
        <v>17.600000000000001</v>
      </c>
      <c r="C5" s="102">
        <v>5.9</v>
      </c>
      <c r="D5" s="102">
        <v>13</v>
      </c>
      <c r="E5" s="102">
        <v>15.6</v>
      </c>
      <c r="F5" s="102">
        <v>95.8</v>
      </c>
      <c r="G5" s="102">
        <v>89.5</v>
      </c>
      <c r="H5" s="102">
        <v>153.1</v>
      </c>
      <c r="I5" s="102">
        <v>101.5</v>
      </c>
      <c r="J5" s="102">
        <v>47.2</v>
      </c>
      <c r="K5" s="102">
        <v>53.5</v>
      </c>
      <c r="L5" s="102">
        <v>11.1</v>
      </c>
      <c r="M5" s="102">
        <v>0.7</v>
      </c>
      <c r="N5" s="102">
        <f>SUM(B5:E5)</f>
        <v>52.1</v>
      </c>
      <c r="O5" s="102">
        <f>SUM(F5:J5)</f>
        <v>487.09999999999997</v>
      </c>
      <c r="P5" s="102">
        <f>SUM(K5:M5)</f>
        <v>65.3</v>
      </c>
      <c r="Q5" s="102">
        <f>SUM(B5:M5)</f>
        <v>604.50000000000011</v>
      </c>
    </row>
    <row r="6" spans="1:33">
      <c r="A6" s="102">
        <v>1963</v>
      </c>
      <c r="B6" s="102">
        <v>7.4</v>
      </c>
      <c r="C6" s="102">
        <v>4.9000000000000004</v>
      </c>
      <c r="D6" s="102">
        <v>4.7</v>
      </c>
      <c r="E6" s="102">
        <v>17.600000000000001</v>
      </c>
      <c r="F6" s="102">
        <v>93.2</v>
      </c>
      <c r="G6" s="102">
        <v>86.9</v>
      </c>
      <c r="H6" s="102">
        <v>70.8</v>
      </c>
      <c r="I6" s="102">
        <v>119.8</v>
      </c>
      <c r="J6" s="102">
        <v>23.6</v>
      </c>
      <c r="K6" s="102">
        <v>112.9</v>
      </c>
      <c r="L6" s="102">
        <v>37.5</v>
      </c>
      <c r="M6" s="102">
        <v>11.2</v>
      </c>
      <c r="N6" s="102">
        <f t="shared" ref="N6:N58" si="1">SUM(B6:E6)</f>
        <v>34.6</v>
      </c>
      <c r="O6" s="102">
        <f t="shared" ref="O6:O58" si="2">SUM(F6:J6)</f>
        <v>394.30000000000007</v>
      </c>
      <c r="P6" s="102">
        <f t="shared" ref="P6:P58" si="3">SUM(K6:M6)</f>
        <v>161.6</v>
      </c>
      <c r="Q6" s="102">
        <f t="shared" ref="Q6:Q58" si="4">SUM(B6:M6)</f>
        <v>590.50000000000011</v>
      </c>
    </row>
    <row r="7" spans="1:33">
      <c r="A7" s="102">
        <v>1964</v>
      </c>
      <c r="B7" s="102">
        <v>7.5</v>
      </c>
      <c r="C7" s="102">
        <v>2.6</v>
      </c>
      <c r="D7" s="102">
        <v>7.7</v>
      </c>
      <c r="E7" s="102">
        <v>56.3</v>
      </c>
      <c r="F7" s="102">
        <v>79.400000000000006</v>
      </c>
      <c r="G7" s="102">
        <v>157.4</v>
      </c>
      <c r="H7" s="102">
        <v>71.2</v>
      </c>
      <c r="I7" s="102">
        <v>129.19999999999999</v>
      </c>
      <c r="J7" s="102">
        <v>212.6</v>
      </c>
      <c r="K7" s="102">
        <v>26.4</v>
      </c>
      <c r="L7" s="102">
        <v>15</v>
      </c>
      <c r="M7" s="102">
        <v>9.1</v>
      </c>
      <c r="N7" s="102">
        <f t="shared" si="1"/>
        <v>74.099999999999994</v>
      </c>
      <c r="O7" s="102">
        <f t="shared" si="2"/>
        <v>649.79999999999995</v>
      </c>
      <c r="P7" s="102">
        <f t="shared" si="3"/>
        <v>50.5</v>
      </c>
      <c r="Q7" s="102">
        <f t="shared" si="4"/>
        <v>774.4</v>
      </c>
    </row>
    <row r="8" spans="1:33">
      <c r="A8" s="102">
        <v>1965</v>
      </c>
      <c r="B8" s="102">
        <v>20.6</v>
      </c>
      <c r="C8" s="102">
        <v>4.4000000000000004</v>
      </c>
      <c r="D8" s="102">
        <v>16.899999999999999</v>
      </c>
      <c r="E8" s="102">
        <v>45.6</v>
      </c>
      <c r="F8" s="102">
        <v>84.3</v>
      </c>
      <c r="G8" s="102">
        <v>114.4</v>
      </c>
      <c r="H8" s="102">
        <v>42.1</v>
      </c>
      <c r="I8" s="102">
        <v>98.5</v>
      </c>
      <c r="J8" s="102">
        <v>120.6</v>
      </c>
      <c r="K8" s="102">
        <v>52</v>
      </c>
      <c r="L8" s="102">
        <v>10.8</v>
      </c>
      <c r="M8" s="102">
        <v>9.9</v>
      </c>
      <c r="N8" s="102">
        <f t="shared" si="1"/>
        <v>87.5</v>
      </c>
      <c r="O8" s="102">
        <f t="shared" si="2"/>
        <v>459.9</v>
      </c>
      <c r="P8" s="102">
        <f t="shared" si="3"/>
        <v>72.7</v>
      </c>
      <c r="Q8" s="102">
        <f t="shared" si="4"/>
        <v>620.1</v>
      </c>
    </row>
    <row r="9" spans="1:33">
      <c r="A9" s="102">
        <v>1966</v>
      </c>
      <c r="B9" s="102">
        <v>1.4</v>
      </c>
      <c r="C9" s="102">
        <v>12.1</v>
      </c>
      <c r="D9" s="102">
        <v>8</v>
      </c>
      <c r="E9" s="102">
        <v>32.200000000000003</v>
      </c>
      <c r="F9" s="102">
        <v>139.1</v>
      </c>
      <c r="G9" s="102">
        <v>81.3</v>
      </c>
      <c r="H9" s="102">
        <v>88</v>
      </c>
      <c r="I9" s="102">
        <v>122.5</v>
      </c>
      <c r="J9" s="102">
        <v>41.1</v>
      </c>
      <c r="K9" s="102">
        <v>41.6</v>
      </c>
      <c r="L9" s="102">
        <v>4.0999999999999996</v>
      </c>
      <c r="M9" s="102">
        <v>2.6</v>
      </c>
      <c r="N9" s="102">
        <f t="shared" si="1"/>
        <v>53.7</v>
      </c>
      <c r="O9" s="102">
        <f t="shared" si="2"/>
        <v>472</v>
      </c>
      <c r="P9" s="102">
        <f t="shared" si="3"/>
        <v>48.300000000000004</v>
      </c>
      <c r="Q9" s="102">
        <f t="shared" si="4"/>
        <v>574.00000000000011</v>
      </c>
    </row>
    <row r="10" spans="1:33">
      <c r="A10" s="102">
        <v>1967</v>
      </c>
      <c r="B10" s="102">
        <v>6.2</v>
      </c>
      <c r="C10" s="102">
        <v>11.1</v>
      </c>
      <c r="D10" s="102">
        <v>8.6</v>
      </c>
      <c r="E10" s="102">
        <v>30.6</v>
      </c>
      <c r="F10" s="102">
        <v>63.5</v>
      </c>
      <c r="G10" s="102">
        <v>317.69</v>
      </c>
      <c r="H10" s="102">
        <v>93.8</v>
      </c>
      <c r="I10" s="102">
        <v>136.1</v>
      </c>
      <c r="J10" s="102">
        <v>153.9</v>
      </c>
      <c r="K10" s="102">
        <v>18.5</v>
      </c>
      <c r="L10" s="102">
        <v>38.200000000000003</v>
      </c>
      <c r="M10" s="102">
        <v>13.6</v>
      </c>
      <c r="N10" s="102">
        <f t="shared" si="1"/>
        <v>56.5</v>
      </c>
      <c r="O10" s="102">
        <f t="shared" si="2"/>
        <v>764.99</v>
      </c>
      <c r="P10" s="102">
        <f t="shared" si="3"/>
        <v>70.3</v>
      </c>
      <c r="Q10" s="102">
        <f t="shared" si="4"/>
        <v>891.79000000000008</v>
      </c>
    </row>
    <row r="11" spans="1:33">
      <c r="A11" s="102">
        <v>1968</v>
      </c>
      <c r="B11" s="102">
        <v>4.9000000000000004</v>
      </c>
      <c r="C11" s="102">
        <v>22</v>
      </c>
      <c r="D11" s="102">
        <v>3.7</v>
      </c>
      <c r="E11" s="102">
        <v>31.4</v>
      </c>
      <c r="F11" s="102">
        <v>114.1</v>
      </c>
      <c r="G11" s="102">
        <v>147.30000000000001</v>
      </c>
      <c r="H11" s="102">
        <v>21.5</v>
      </c>
      <c r="I11" s="102">
        <v>167.9</v>
      </c>
      <c r="J11" s="102">
        <v>118.4</v>
      </c>
      <c r="K11" s="102">
        <v>44</v>
      </c>
      <c r="L11" s="102">
        <v>10.8</v>
      </c>
      <c r="M11" s="102">
        <v>3.6</v>
      </c>
      <c r="N11" s="102">
        <f t="shared" si="1"/>
        <v>62</v>
      </c>
      <c r="O11" s="102">
        <f t="shared" si="2"/>
        <v>569.19999999999993</v>
      </c>
      <c r="P11" s="102">
        <f t="shared" si="3"/>
        <v>58.4</v>
      </c>
      <c r="Q11" s="102">
        <f t="shared" si="4"/>
        <v>689.59999999999991</v>
      </c>
    </row>
    <row r="12" spans="1:33">
      <c r="A12" s="102">
        <v>1969</v>
      </c>
      <c r="B12" s="102">
        <v>3</v>
      </c>
      <c r="C12" s="102">
        <v>1.8</v>
      </c>
      <c r="D12" s="102">
        <v>8.9</v>
      </c>
      <c r="E12" s="102">
        <v>12.1</v>
      </c>
      <c r="F12" s="102">
        <v>44.2</v>
      </c>
      <c r="G12" s="102">
        <v>105.9</v>
      </c>
      <c r="H12" s="102">
        <v>205.2</v>
      </c>
      <c r="I12" s="102">
        <v>141.6</v>
      </c>
      <c r="J12" s="102">
        <v>57.1</v>
      </c>
      <c r="K12" s="102">
        <v>75.8</v>
      </c>
      <c r="L12" s="102">
        <v>31</v>
      </c>
      <c r="M12" s="102">
        <v>3.8</v>
      </c>
      <c r="N12" s="102">
        <f t="shared" si="1"/>
        <v>25.799999999999997</v>
      </c>
      <c r="O12" s="102">
        <f t="shared" si="2"/>
        <v>554</v>
      </c>
      <c r="P12" s="102">
        <f t="shared" si="3"/>
        <v>110.6</v>
      </c>
      <c r="Q12" s="102">
        <f t="shared" si="4"/>
        <v>690.4</v>
      </c>
    </row>
    <row r="13" spans="1:33">
      <c r="A13" s="102">
        <v>1970</v>
      </c>
      <c r="B13" s="102">
        <v>7.9</v>
      </c>
      <c r="C13" s="102">
        <v>4.5999999999999996</v>
      </c>
      <c r="D13" s="102">
        <v>22</v>
      </c>
      <c r="E13" s="102">
        <v>65.5</v>
      </c>
      <c r="F13" s="102">
        <v>97.9</v>
      </c>
      <c r="G13" s="102">
        <v>52.9</v>
      </c>
      <c r="H13" s="102">
        <v>251.6</v>
      </c>
      <c r="I13" s="102">
        <v>52.6</v>
      </c>
      <c r="J13" s="102">
        <v>106.4</v>
      </c>
      <c r="K13" s="102">
        <v>42</v>
      </c>
      <c r="L13" s="102">
        <v>29.4</v>
      </c>
      <c r="M13" s="102">
        <v>26.2</v>
      </c>
      <c r="N13" s="102">
        <f t="shared" si="1"/>
        <v>100</v>
      </c>
      <c r="O13" s="102">
        <f t="shared" si="2"/>
        <v>561.4</v>
      </c>
      <c r="P13" s="102">
        <f t="shared" si="3"/>
        <v>97.600000000000009</v>
      </c>
      <c r="Q13" s="102">
        <f t="shared" si="4"/>
        <v>759</v>
      </c>
    </row>
    <row r="14" spans="1:33">
      <c r="A14" s="102">
        <v>1971</v>
      </c>
      <c r="B14" s="102">
        <v>11</v>
      </c>
      <c r="C14" s="102">
        <v>10.4</v>
      </c>
      <c r="D14" s="102">
        <v>5</v>
      </c>
      <c r="E14" s="102">
        <v>44.9</v>
      </c>
      <c r="F14" s="102">
        <v>319.5</v>
      </c>
      <c r="G14" s="102">
        <v>135.1</v>
      </c>
      <c r="H14" s="102">
        <v>63.3</v>
      </c>
      <c r="I14" s="102">
        <v>96.6</v>
      </c>
      <c r="J14" s="102">
        <v>99.3</v>
      </c>
      <c r="K14" s="102">
        <v>33</v>
      </c>
      <c r="L14" s="102">
        <v>18.8</v>
      </c>
      <c r="M14" s="102">
        <v>7.6</v>
      </c>
      <c r="N14" s="102">
        <f t="shared" si="1"/>
        <v>71.3</v>
      </c>
      <c r="O14" s="102">
        <f t="shared" si="2"/>
        <v>713.8</v>
      </c>
      <c r="P14" s="102">
        <f t="shared" si="3"/>
        <v>59.4</v>
      </c>
      <c r="Q14" s="102">
        <f t="shared" si="4"/>
        <v>844.49999999999989</v>
      </c>
    </row>
    <row r="15" spans="1:33">
      <c r="A15" s="102">
        <v>1972</v>
      </c>
      <c r="B15" s="102">
        <v>5.3</v>
      </c>
      <c r="C15" s="102">
        <v>8.3000000000000007</v>
      </c>
      <c r="D15" s="102">
        <v>4.5999999999999996</v>
      </c>
      <c r="E15" s="102">
        <v>30.8</v>
      </c>
      <c r="F15" s="102">
        <v>179.1</v>
      </c>
      <c r="G15" s="102">
        <v>129.5</v>
      </c>
      <c r="H15" s="102">
        <v>152.5</v>
      </c>
      <c r="I15" s="102">
        <v>108.7</v>
      </c>
      <c r="J15" s="102">
        <v>85.2</v>
      </c>
      <c r="K15" s="102">
        <v>29.3</v>
      </c>
      <c r="L15" s="102">
        <v>61.1</v>
      </c>
      <c r="M15" s="102">
        <v>5.9</v>
      </c>
      <c r="N15" s="102">
        <f t="shared" si="1"/>
        <v>49</v>
      </c>
      <c r="O15" s="102">
        <f t="shared" si="2"/>
        <v>655.00000000000011</v>
      </c>
      <c r="P15" s="102">
        <f t="shared" si="3"/>
        <v>96.300000000000011</v>
      </c>
      <c r="Q15" s="102">
        <f t="shared" si="4"/>
        <v>800.30000000000007</v>
      </c>
    </row>
    <row r="16" spans="1:33">
      <c r="A16" s="102">
        <v>1973</v>
      </c>
      <c r="B16" s="102">
        <v>14.4</v>
      </c>
      <c r="C16" s="102">
        <v>5.7</v>
      </c>
      <c r="D16" s="102">
        <v>5.0999999999999996</v>
      </c>
      <c r="E16" s="102">
        <v>55</v>
      </c>
      <c r="F16" s="102">
        <v>129.69999999999999</v>
      </c>
      <c r="G16" s="102">
        <v>172.4</v>
      </c>
      <c r="H16" s="102">
        <v>81</v>
      </c>
      <c r="I16" s="102">
        <v>106.8</v>
      </c>
      <c r="J16" s="102">
        <v>50.1</v>
      </c>
      <c r="K16" s="102">
        <v>18.899999999999999</v>
      </c>
      <c r="L16" s="102">
        <v>44.2</v>
      </c>
      <c r="M16" s="102">
        <v>6.8</v>
      </c>
      <c r="N16" s="102">
        <f t="shared" si="1"/>
        <v>80.2</v>
      </c>
      <c r="O16" s="102">
        <f t="shared" si="2"/>
        <v>540</v>
      </c>
      <c r="P16" s="102">
        <f t="shared" si="3"/>
        <v>69.900000000000006</v>
      </c>
      <c r="Q16" s="102">
        <f t="shared" si="4"/>
        <v>690.09999999999991</v>
      </c>
    </row>
    <row r="17" spans="1:17">
      <c r="A17" s="102">
        <v>1974</v>
      </c>
      <c r="B17" s="102">
        <v>4.7</v>
      </c>
      <c r="C17" s="102">
        <v>2.2999999999999998</v>
      </c>
      <c r="D17" s="102">
        <v>32.799999999999997</v>
      </c>
      <c r="E17" s="102">
        <v>95.9</v>
      </c>
      <c r="F17" s="102">
        <v>49.5</v>
      </c>
      <c r="G17" s="102">
        <v>100.4</v>
      </c>
      <c r="H17" s="102">
        <v>179.5</v>
      </c>
      <c r="I17" s="102">
        <v>296</v>
      </c>
      <c r="J17" s="102">
        <v>83.5</v>
      </c>
      <c r="K17" s="102">
        <v>18.100000000000001</v>
      </c>
      <c r="L17" s="102">
        <v>7.9</v>
      </c>
      <c r="M17" s="102">
        <v>11.1</v>
      </c>
      <c r="N17" s="102">
        <f t="shared" si="1"/>
        <v>135.69999999999999</v>
      </c>
      <c r="O17" s="102">
        <f t="shared" si="2"/>
        <v>708.9</v>
      </c>
      <c r="P17" s="102">
        <f t="shared" si="3"/>
        <v>37.1</v>
      </c>
      <c r="Q17" s="102">
        <f t="shared" si="4"/>
        <v>881.7</v>
      </c>
    </row>
    <row r="18" spans="1:17">
      <c r="A18" s="102">
        <v>1975</v>
      </c>
      <c r="B18" s="102">
        <v>11.9</v>
      </c>
      <c r="C18" s="102">
        <v>1.2</v>
      </c>
      <c r="D18" s="102">
        <v>15.9</v>
      </c>
      <c r="E18" s="102">
        <v>34.700000000000003</v>
      </c>
      <c r="F18" s="102">
        <v>75.3</v>
      </c>
      <c r="G18" s="102">
        <v>129.9</v>
      </c>
      <c r="H18" s="102">
        <v>140.9</v>
      </c>
      <c r="I18" s="102">
        <v>151.1</v>
      </c>
      <c r="J18" s="102">
        <v>65.7</v>
      </c>
      <c r="K18" s="102">
        <v>22.8</v>
      </c>
      <c r="L18" s="102">
        <v>50</v>
      </c>
      <c r="M18" s="102">
        <v>4.5999999999999996</v>
      </c>
      <c r="N18" s="102">
        <f t="shared" si="1"/>
        <v>63.7</v>
      </c>
      <c r="O18" s="102">
        <f t="shared" si="2"/>
        <v>562.90000000000009</v>
      </c>
      <c r="P18" s="102">
        <f t="shared" si="3"/>
        <v>77.399999999999991</v>
      </c>
      <c r="Q18" s="102">
        <f t="shared" si="4"/>
        <v>704</v>
      </c>
    </row>
    <row r="19" spans="1:17">
      <c r="A19" s="102">
        <v>1976</v>
      </c>
      <c r="B19" s="102">
        <v>18.5</v>
      </c>
      <c r="C19" s="102">
        <v>5.8</v>
      </c>
      <c r="D19" s="102">
        <v>12.4</v>
      </c>
      <c r="E19" s="102">
        <v>30.7</v>
      </c>
      <c r="F19" s="102">
        <v>76.400000000000006</v>
      </c>
      <c r="G19" s="102">
        <v>106.4</v>
      </c>
      <c r="H19" s="102">
        <v>106.6</v>
      </c>
      <c r="I19" s="102">
        <v>67.400000000000006</v>
      </c>
      <c r="J19" s="102">
        <v>60.7</v>
      </c>
      <c r="K19" s="102">
        <v>57.4</v>
      </c>
      <c r="L19" s="102">
        <v>15.1</v>
      </c>
      <c r="M19" s="102">
        <v>6.7</v>
      </c>
      <c r="N19" s="102">
        <f t="shared" si="1"/>
        <v>67.400000000000006</v>
      </c>
      <c r="O19" s="102">
        <f t="shared" si="2"/>
        <v>417.49999999999994</v>
      </c>
      <c r="P19" s="102">
        <f t="shared" si="3"/>
        <v>79.2</v>
      </c>
      <c r="Q19" s="102">
        <f t="shared" si="4"/>
        <v>564.10000000000014</v>
      </c>
    </row>
    <row r="20" spans="1:17">
      <c r="A20" s="102">
        <v>1977</v>
      </c>
      <c r="B20" s="102">
        <v>8.4</v>
      </c>
      <c r="C20" s="102">
        <v>11.4</v>
      </c>
      <c r="D20" s="102">
        <v>14.3</v>
      </c>
      <c r="E20" s="102">
        <v>52.6</v>
      </c>
      <c r="F20" s="102">
        <v>69.5</v>
      </c>
      <c r="G20" s="102">
        <v>153.9</v>
      </c>
      <c r="H20" s="102">
        <v>166.3</v>
      </c>
      <c r="I20" s="102">
        <v>132.19999999999999</v>
      </c>
      <c r="J20" s="102">
        <v>111.2</v>
      </c>
      <c r="K20" s="102">
        <v>40.299999999999997</v>
      </c>
      <c r="L20" s="102">
        <v>32.5</v>
      </c>
      <c r="M20" s="102">
        <v>3.7</v>
      </c>
      <c r="N20" s="102">
        <f t="shared" si="1"/>
        <v>86.7</v>
      </c>
      <c r="O20" s="102">
        <f t="shared" si="2"/>
        <v>633.10000000000014</v>
      </c>
      <c r="P20" s="102">
        <f t="shared" si="3"/>
        <v>76.5</v>
      </c>
      <c r="Q20" s="102">
        <f t="shared" si="4"/>
        <v>796.30000000000007</v>
      </c>
    </row>
    <row r="21" spans="1:17">
      <c r="A21" s="102">
        <v>1978</v>
      </c>
      <c r="B21" s="102">
        <v>14.8</v>
      </c>
      <c r="C21" s="102">
        <v>1.6</v>
      </c>
      <c r="D21" s="102">
        <v>7.3</v>
      </c>
      <c r="E21" s="102">
        <v>18.7</v>
      </c>
      <c r="F21" s="102">
        <v>149.1</v>
      </c>
      <c r="G21" s="102">
        <v>158.4</v>
      </c>
      <c r="H21" s="102">
        <v>34.4</v>
      </c>
      <c r="I21" s="102">
        <v>64.8</v>
      </c>
      <c r="J21" s="102">
        <v>18.8</v>
      </c>
      <c r="K21" s="102">
        <v>42.3</v>
      </c>
      <c r="L21" s="102">
        <v>41.4</v>
      </c>
      <c r="M21" s="102">
        <v>1.7</v>
      </c>
      <c r="N21" s="102">
        <f t="shared" si="1"/>
        <v>42.400000000000006</v>
      </c>
      <c r="O21" s="102">
        <f t="shared" si="2"/>
        <v>425.5</v>
      </c>
      <c r="P21" s="102">
        <f t="shared" si="3"/>
        <v>85.399999999999991</v>
      </c>
      <c r="Q21" s="102">
        <f t="shared" si="4"/>
        <v>553.30000000000007</v>
      </c>
    </row>
    <row r="22" spans="1:17">
      <c r="A22" s="102">
        <v>1979</v>
      </c>
      <c r="B22" s="102">
        <v>3.9</v>
      </c>
      <c r="C22" s="102">
        <v>1.3</v>
      </c>
      <c r="D22" s="102">
        <v>13.4</v>
      </c>
      <c r="E22" s="102">
        <v>8.3000000000000007</v>
      </c>
      <c r="F22" s="102">
        <v>44.9</v>
      </c>
      <c r="G22" s="102">
        <v>123.8</v>
      </c>
      <c r="H22" s="102">
        <v>180.6</v>
      </c>
      <c r="I22" s="102">
        <v>306.8</v>
      </c>
      <c r="J22" s="102">
        <v>139.5</v>
      </c>
      <c r="K22" s="102">
        <v>72.099999999999994</v>
      </c>
      <c r="L22" s="102">
        <v>15.5</v>
      </c>
      <c r="M22" s="102">
        <v>26.5</v>
      </c>
      <c r="N22" s="102">
        <f t="shared" si="1"/>
        <v>26.900000000000002</v>
      </c>
      <c r="O22" s="102">
        <f t="shared" si="2"/>
        <v>795.59999999999991</v>
      </c>
      <c r="P22" s="102">
        <f t="shared" si="3"/>
        <v>114.1</v>
      </c>
      <c r="Q22" s="102">
        <f t="shared" si="4"/>
        <v>936.6</v>
      </c>
    </row>
    <row r="23" spans="1:17">
      <c r="A23" s="102">
        <v>1980</v>
      </c>
      <c r="B23" s="102">
        <v>10.3</v>
      </c>
      <c r="C23" s="102">
        <v>6.5</v>
      </c>
      <c r="D23" s="102">
        <v>12.2</v>
      </c>
      <c r="E23" s="102">
        <v>29.6</v>
      </c>
      <c r="F23" s="102">
        <v>151.9</v>
      </c>
      <c r="G23" s="102">
        <v>51.1</v>
      </c>
      <c r="H23" s="102">
        <v>267.2</v>
      </c>
      <c r="I23" s="102">
        <v>123.3</v>
      </c>
      <c r="J23" s="102">
        <v>55.2</v>
      </c>
      <c r="K23" s="102">
        <v>60.4</v>
      </c>
      <c r="L23" s="102">
        <v>11.2</v>
      </c>
      <c r="M23" s="102">
        <v>18.3</v>
      </c>
      <c r="N23" s="102">
        <f t="shared" si="1"/>
        <v>58.6</v>
      </c>
      <c r="O23" s="102">
        <f t="shared" si="2"/>
        <v>648.70000000000005</v>
      </c>
      <c r="P23" s="102">
        <f t="shared" si="3"/>
        <v>89.899999999999991</v>
      </c>
      <c r="Q23" s="102">
        <f t="shared" si="4"/>
        <v>797.19999999999993</v>
      </c>
    </row>
    <row r="24" spans="1:17">
      <c r="A24" s="102">
        <v>1981</v>
      </c>
      <c r="B24" s="102">
        <v>16.600000000000001</v>
      </c>
      <c r="C24" s="102">
        <v>7.2</v>
      </c>
      <c r="D24" s="102">
        <v>17</v>
      </c>
      <c r="E24" s="102">
        <v>38.799999999999997</v>
      </c>
      <c r="F24" s="102">
        <v>101.2</v>
      </c>
      <c r="G24" s="102">
        <v>169.9</v>
      </c>
      <c r="H24" s="102">
        <v>115.5</v>
      </c>
      <c r="I24" s="102">
        <v>71.2</v>
      </c>
      <c r="J24" s="102">
        <v>29.1</v>
      </c>
      <c r="K24" s="102">
        <v>22.2</v>
      </c>
      <c r="L24" s="102">
        <v>10</v>
      </c>
      <c r="M24" s="102">
        <v>8.1</v>
      </c>
      <c r="N24" s="102">
        <f t="shared" si="1"/>
        <v>79.599999999999994</v>
      </c>
      <c r="O24" s="102">
        <f t="shared" si="2"/>
        <v>486.90000000000003</v>
      </c>
      <c r="P24" s="102">
        <f t="shared" si="3"/>
        <v>40.300000000000004</v>
      </c>
      <c r="Q24" s="102">
        <f t="shared" si="4"/>
        <v>606.80000000000018</v>
      </c>
    </row>
    <row r="25" spans="1:17">
      <c r="A25" s="102">
        <v>1982</v>
      </c>
      <c r="B25" s="102">
        <v>10.4</v>
      </c>
      <c r="C25" s="102">
        <v>16.3</v>
      </c>
      <c r="D25" s="102">
        <v>3.2</v>
      </c>
      <c r="E25" s="102">
        <v>34.5</v>
      </c>
      <c r="F25" s="102">
        <v>91.2</v>
      </c>
      <c r="G25" s="102">
        <v>112.2</v>
      </c>
      <c r="H25" s="102">
        <v>86.5</v>
      </c>
      <c r="I25" s="102">
        <v>160.1</v>
      </c>
      <c r="J25" s="102">
        <v>92.9</v>
      </c>
      <c r="K25" s="102">
        <v>26.4</v>
      </c>
      <c r="L25" s="102">
        <v>40.4</v>
      </c>
      <c r="M25" s="102">
        <v>8</v>
      </c>
      <c r="N25" s="102">
        <f t="shared" si="1"/>
        <v>64.400000000000006</v>
      </c>
      <c r="O25" s="102">
        <f t="shared" si="2"/>
        <v>542.9</v>
      </c>
      <c r="P25" s="102">
        <f t="shared" si="3"/>
        <v>74.8</v>
      </c>
      <c r="Q25" s="102">
        <f t="shared" si="4"/>
        <v>682.09999999999991</v>
      </c>
    </row>
    <row r="26" spans="1:17">
      <c r="A26" s="102">
        <v>1983</v>
      </c>
      <c r="B26" s="102">
        <v>12.2</v>
      </c>
      <c r="C26" s="102">
        <v>21.3</v>
      </c>
      <c r="D26" s="102">
        <v>30.6</v>
      </c>
      <c r="E26" s="102">
        <v>44.1</v>
      </c>
      <c r="F26" s="102">
        <v>191</v>
      </c>
      <c r="G26" s="102">
        <v>136.9</v>
      </c>
      <c r="H26" s="102">
        <v>256.5</v>
      </c>
      <c r="I26" s="102">
        <v>147.4</v>
      </c>
      <c r="J26" s="102">
        <v>133.4</v>
      </c>
      <c r="K26" s="102">
        <v>19.3</v>
      </c>
      <c r="L26" s="102">
        <v>36.1</v>
      </c>
      <c r="M26" s="102">
        <v>13.6</v>
      </c>
      <c r="N26" s="102">
        <f t="shared" si="1"/>
        <v>108.19999999999999</v>
      </c>
      <c r="O26" s="102">
        <f t="shared" si="2"/>
        <v>865.19999999999993</v>
      </c>
      <c r="P26" s="102">
        <f t="shared" si="3"/>
        <v>69</v>
      </c>
      <c r="Q26" s="102">
        <f t="shared" si="4"/>
        <v>1042.3999999999999</v>
      </c>
    </row>
    <row r="27" spans="1:17">
      <c r="A27" s="102">
        <v>1984</v>
      </c>
      <c r="B27" s="102">
        <v>7.1</v>
      </c>
      <c r="C27" s="102">
        <v>4.8</v>
      </c>
      <c r="D27" s="102">
        <v>12.3</v>
      </c>
      <c r="E27" s="102">
        <v>39.4</v>
      </c>
      <c r="F27" s="102">
        <v>134.80000000000001</v>
      </c>
      <c r="G27" s="102">
        <v>49.1</v>
      </c>
      <c r="H27" s="102">
        <v>181.3</v>
      </c>
      <c r="I27" s="102">
        <v>246</v>
      </c>
      <c r="J27" s="102">
        <v>93.5</v>
      </c>
      <c r="K27" s="102">
        <v>21.6</v>
      </c>
      <c r="L27" s="102">
        <v>2.2999999999999998</v>
      </c>
      <c r="M27" s="102">
        <v>7.5</v>
      </c>
      <c r="N27" s="102">
        <f t="shared" si="1"/>
        <v>63.599999999999994</v>
      </c>
      <c r="O27" s="102">
        <f t="shared" si="2"/>
        <v>704.7</v>
      </c>
      <c r="P27" s="102">
        <f t="shared" si="3"/>
        <v>31.400000000000002</v>
      </c>
      <c r="Q27" s="102">
        <f t="shared" si="4"/>
        <v>799.69999999999993</v>
      </c>
    </row>
    <row r="28" spans="1:17">
      <c r="A28" s="102">
        <v>1985</v>
      </c>
      <c r="B28" s="102">
        <v>9.8000000000000007</v>
      </c>
      <c r="C28" s="102">
        <v>5</v>
      </c>
      <c r="D28" s="102">
        <v>17.399999999999999</v>
      </c>
      <c r="E28" s="102">
        <v>105.2</v>
      </c>
      <c r="F28" s="102">
        <v>155.6</v>
      </c>
      <c r="G28" s="102">
        <v>130.5</v>
      </c>
      <c r="H28" s="102">
        <v>49.2</v>
      </c>
      <c r="I28" s="102">
        <v>39.299999999999997</v>
      </c>
      <c r="J28" s="102">
        <v>57.8</v>
      </c>
      <c r="K28" s="102">
        <v>41.3</v>
      </c>
      <c r="L28" s="102">
        <v>29.2</v>
      </c>
      <c r="M28" s="102">
        <v>5.8</v>
      </c>
      <c r="N28" s="102">
        <f t="shared" si="1"/>
        <v>137.4</v>
      </c>
      <c r="O28" s="102">
        <f t="shared" si="2"/>
        <v>432.40000000000003</v>
      </c>
      <c r="P28" s="102">
        <f t="shared" si="3"/>
        <v>76.3</v>
      </c>
      <c r="Q28" s="102">
        <f t="shared" si="4"/>
        <v>646.09999999999991</v>
      </c>
    </row>
    <row r="29" spans="1:17">
      <c r="A29" s="102">
        <v>1986</v>
      </c>
      <c r="B29" s="102">
        <v>6</v>
      </c>
      <c r="C29" s="102">
        <v>8.1999999999999993</v>
      </c>
      <c r="D29" s="102">
        <v>10.5</v>
      </c>
      <c r="E29" s="102">
        <v>18</v>
      </c>
      <c r="F29" s="102">
        <v>44.1</v>
      </c>
      <c r="G29" s="102">
        <v>104.6</v>
      </c>
      <c r="H29" s="102">
        <v>294.5</v>
      </c>
      <c r="I29" s="102">
        <v>78.099999999999994</v>
      </c>
      <c r="J29" s="102">
        <v>98.2</v>
      </c>
      <c r="K29" s="102">
        <v>40.1</v>
      </c>
      <c r="L29" s="102">
        <v>29</v>
      </c>
      <c r="M29" s="102">
        <v>2.6</v>
      </c>
      <c r="N29" s="102">
        <f t="shared" si="1"/>
        <v>42.7</v>
      </c>
      <c r="O29" s="102">
        <f t="shared" si="2"/>
        <v>619.5</v>
      </c>
      <c r="P29" s="102">
        <f t="shared" si="3"/>
        <v>71.699999999999989</v>
      </c>
      <c r="Q29" s="102">
        <f t="shared" si="4"/>
        <v>733.90000000000009</v>
      </c>
    </row>
    <row r="30" spans="1:17">
      <c r="A30" s="102">
        <v>1987</v>
      </c>
      <c r="B30" s="102">
        <v>8.1999999999999993</v>
      </c>
      <c r="C30" s="102">
        <v>11.2</v>
      </c>
      <c r="D30" s="102">
        <v>15</v>
      </c>
      <c r="E30" s="102">
        <v>25</v>
      </c>
      <c r="F30" s="102">
        <v>152.19999999999999</v>
      </c>
      <c r="G30" s="102">
        <v>84.3</v>
      </c>
      <c r="H30" s="102">
        <v>109.3</v>
      </c>
      <c r="I30" s="102">
        <v>118.2</v>
      </c>
      <c r="J30" s="102">
        <v>93.9</v>
      </c>
      <c r="K30" s="102">
        <v>48.2</v>
      </c>
      <c r="L30" s="102">
        <v>20.9</v>
      </c>
      <c r="M30" s="102">
        <v>5.9</v>
      </c>
      <c r="N30" s="102">
        <f t="shared" si="1"/>
        <v>59.4</v>
      </c>
      <c r="O30" s="102">
        <f t="shared" si="2"/>
        <v>557.9</v>
      </c>
      <c r="P30" s="102">
        <f t="shared" si="3"/>
        <v>75</v>
      </c>
      <c r="Q30" s="102">
        <f t="shared" si="4"/>
        <v>692.3</v>
      </c>
    </row>
    <row r="31" spans="1:17">
      <c r="A31" s="102">
        <v>1988</v>
      </c>
      <c r="B31" s="102">
        <v>1.9</v>
      </c>
      <c r="C31" s="102">
        <v>4</v>
      </c>
      <c r="D31" s="102">
        <v>10.199999999999999</v>
      </c>
      <c r="E31" s="102">
        <v>41.6</v>
      </c>
      <c r="F31" s="102">
        <v>38.9</v>
      </c>
      <c r="G31" s="102">
        <v>46.6</v>
      </c>
      <c r="H31" s="102">
        <v>166</v>
      </c>
      <c r="I31" s="102">
        <v>82.8</v>
      </c>
      <c r="J31" s="102">
        <v>100.3</v>
      </c>
      <c r="K31" s="102">
        <v>36.1</v>
      </c>
      <c r="L31" s="102">
        <v>4.2</v>
      </c>
      <c r="M31" s="102">
        <v>2.2000000000000002</v>
      </c>
      <c r="N31" s="102">
        <f t="shared" si="1"/>
        <v>57.7</v>
      </c>
      <c r="O31" s="102">
        <f t="shared" si="2"/>
        <v>434.6</v>
      </c>
      <c r="P31" s="102">
        <f t="shared" si="3"/>
        <v>42.500000000000007</v>
      </c>
      <c r="Q31" s="102">
        <f t="shared" si="4"/>
        <v>534.80000000000007</v>
      </c>
    </row>
    <row r="32" spans="1:17">
      <c r="A32" s="102">
        <v>1989</v>
      </c>
      <c r="B32" s="102">
        <v>2.2000000000000002</v>
      </c>
      <c r="C32" s="102">
        <v>14.5</v>
      </c>
      <c r="D32" s="102">
        <v>33</v>
      </c>
      <c r="E32" s="102">
        <v>27.2</v>
      </c>
      <c r="F32" s="102">
        <v>52.9</v>
      </c>
      <c r="G32" s="102">
        <v>113.3</v>
      </c>
      <c r="H32" s="102">
        <v>204.2</v>
      </c>
      <c r="I32" s="102">
        <v>88.2</v>
      </c>
      <c r="J32" s="102">
        <v>39.5</v>
      </c>
      <c r="K32" s="102">
        <v>34.9</v>
      </c>
      <c r="L32" s="102">
        <v>25.9</v>
      </c>
      <c r="M32" s="102">
        <v>15.5</v>
      </c>
      <c r="N32" s="102">
        <f t="shared" si="1"/>
        <v>76.900000000000006</v>
      </c>
      <c r="O32" s="102">
        <f t="shared" si="2"/>
        <v>498.09999999999997</v>
      </c>
      <c r="P32" s="102">
        <f t="shared" si="3"/>
        <v>76.3</v>
      </c>
      <c r="Q32" s="102">
        <f t="shared" si="4"/>
        <v>651.29999999999995</v>
      </c>
    </row>
    <row r="33" spans="1:17">
      <c r="A33" s="102">
        <v>1990</v>
      </c>
      <c r="B33" s="102">
        <v>8.5</v>
      </c>
      <c r="C33" s="102">
        <v>2.6</v>
      </c>
      <c r="D33" s="102">
        <v>31.5</v>
      </c>
      <c r="E33" s="102">
        <v>48.7</v>
      </c>
      <c r="F33" s="102">
        <v>72.900000000000006</v>
      </c>
      <c r="G33" s="102">
        <v>101.4</v>
      </c>
      <c r="H33" s="102">
        <v>202.4</v>
      </c>
      <c r="I33" s="102">
        <v>69.8</v>
      </c>
      <c r="J33" s="102">
        <v>75.400000000000006</v>
      </c>
      <c r="K33" s="102">
        <v>75.900000000000006</v>
      </c>
      <c r="L33" s="102">
        <v>18.3</v>
      </c>
      <c r="M33" s="102">
        <v>2</v>
      </c>
      <c r="N33" s="102">
        <f t="shared" si="1"/>
        <v>91.300000000000011</v>
      </c>
      <c r="O33" s="102">
        <f t="shared" si="2"/>
        <v>521.90000000000009</v>
      </c>
      <c r="P33" s="102">
        <f t="shared" si="3"/>
        <v>96.2</v>
      </c>
      <c r="Q33" s="102">
        <f t="shared" si="4"/>
        <v>709.39999999999986</v>
      </c>
    </row>
    <row r="34" spans="1:17">
      <c r="A34" s="102">
        <v>1991</v>
      </c>
      <c r="B34" s="102">
        <v>16.600000000000001</v>
      </c>
      <c r="C34" s="102">
        <v>4.5999999999999996</v>
      </c>
      <c r="D34" s="102">
        <v>9.3000000000000007</v>
      </c>
      <c r="E34" s="102">
        <v>13.4</v>
      </c>
      <c r="F34" s="102">
        <v>24.7</v>
      </c>
      <c r="G34" s="102">
        <v>96.8</v>
      </c>
      <c r="H34" s="102">
        <v>79.099999999999994</v>
      </c>
      <c r="I34" s="102">
        <v>195.4</v>
      </c>
      <c r="J34" s="102">
        <v>68.2</v>
      </c>
      <c r="K34" s="102">
        <v>78.8</v>
      </c>
      <c r="L34" s="102">
        <v>17.100000000000001</v>
      </c>
      <c r="M34" s="102">
        <v>9.6999999999999993</v>
      </c>
      <c r="N34" s="102">
        <f t="shared" si="1"/>
        <v>43.900000000000006</v>
      </c>
      <c r="O34" s="102">
        <f t="shared" si="2"/>
        <v>464.2</v>
      </c>
      <c r="P34" s="102">
        <f t="shared" si="3"/>
        <v>105.60000000000001</v>
      </c>
      <c r="Q34" s="102">
        <f t="shared" si="4"/>
        <v>613.70000000000005</v>
      </c>
    </row>
    <row r="35" spans="1:17">
      <c r="A35" s="102">
        <v>1992</v>
      </c>
      <c r="B35" s="102">
        <v>25.3</v>
      </c>
      <c r="C35" s="102">
        <v>31.7</v>
      </c>
      <c r="D35" s="102">
        <v>26.4</v>
      </c>
      <c r="E35" s="102">
        <v>99.7</v>
      </c>
      <c r="F35" s="102">
        <v>113.5</v>
      </c>
      <c r="G35" s="102">
        <v>118.1</v>
      </c>
      <c r="H35" s="102">
        <v>48.6</v>
      </c>
      <c r="I35" s="102">
        <v>47.7</v>
      </c>
      <c r="J35" s="102">
        <v>28.6</v>
      </c>
      <c r="K35" s="102">
        <v>114.1</v>
      </c>
      <c r="L35" s="102">
        <v>3.6</v>
      </c>
      <c r="M35" s="102">
        <v>8.1</v>
      </c>
      <c r="N35" s="102">
        <f t="shared" si="1"/>
        <v>183.10000000000002</v>
      </c>
      <c r="O35" s="102">
        <f t="shared" si="2"/>
        <v>356.5</v>
      </c>
      <c r="P35" s="102">
        <f t="shared" si="3"/>
        <v>125.79999999999998</v>
      </c>
      <c r="Q35" s="102">
        <f t="shared" si="4"/>
        <v>665.40000000000009</v>
      </c>
    </row>
    <row r="36" spans="1:17">
      <c r="A36" s="102">
        <v>1993</v>
      </c>
      <c r="B36" s="102">
        <v>11.4</v>
      </c>
      <c r="C36" s="102">
        <v>19.899999999999999</v>
      </c>
      <c r="D36" s="102">
        <v>10.8</v>
      </c>
      <c r="E36" s="102">
        <v>46.3</v>
      </c>
      <c r="F36" s="102">
        <v>65.5</v>
      </c>
      <c r="G36" s="102">
        <v>83.3</v>
      </c>
      <c r="H36" s="102">
        <v>160.9</v>
      </c>
      <c r="I36" s="102">
        <v>106.6</v>
      </c>
      <c r="J36" s="102">
        <v>46.5</v>
      </c>
      <c r="K36" s="102">
        <v>40.1</v>
      </c>
      <c r="L36" s="102">
        <v>10.3</v>
      </c>
      <c r="M36" s="102">
        <v>3.9</v>
      </c>
      <c r="N36" s="102">
        <f t="shared" si="1"/>
        <v>88.399999999999991</v>
      </c>
      <c r="O36" s="102">
        <f t="shared" si="2"/>
        <v>462.80000000000007</v>
      </c>
      <c r="P36" s="102">
        <f t="shared" si="3"/>
        <v>54.300000000000004</v>
      </c>
      <c r="Q36" s="102">
        <f t="shared" si="4"/>
        <v>605.5</v>
      </c>
    </row>
    <row r="37" spans="1:17">
      <c r="A37" s="102">
        <v>1994</v>
      </c>
      <c r="B37" s="102">
        <v>2.5</v>
      </c>
      <c r="C37" s="102">
        <v>4.8</v>
      </c>
      <c r="D37" s="102">
        <v>60.1</v>
      </c>
      <c r="E37" s="102">
        <v>10.4</v>
      </c>
      <c r="F37" s="102">
        <v>52.3</v>
      </c>
      <c r="G37" s="102">
        <v>107.5</v>
      </c>
      <c r="H37" s="102">
        <v>118.8</v>
      </c>
      <c r="I37" s="102">
        <v>85.4</v>
      </c>
      <c r="J37" s="102">
        <v>103.1</v>
      </c>
      <c r="K37" s="102">
        <v>97</v>
      </c>
      <c r="L37" s="102">
        <v>23.6</v>
      </c>
      <c r="M37" s="102">
        <v>15.4</v>
      </c>
      <c r="N37" s="102">
        <f t="shared" si="1"/>
        <v>77.800000000000011</v>
      </c>
      <c r="O37" s="102">
        <f t="shared" si="2"/>
        <v>467.1</v>
      </c>
      <c r="P37" s="102">
        <f t="shared" si="3"/>
        <v>136</v>
      </c>
      <c r="Q37" s="102">
        <f t="shared" si="4"/>
        <v>680.90000000000009</v>
      </c>
    </row>
    <row r="38" spans="1:17">
      <c r="A38" s="102">
        <v>1995</v>
      </c>
      <c r="B38" s="102">
        <v>10.7</v>
      </c>
      <c r="C38" s="102">
        <v>19</v>
      </c>
      <c r="D38" s="102">
        <v>17.100000000000001</v>
      </c>
      <c r="E38" s="102">
        <v>22.2</v>
      </c>
      <c r="F38" s="102">
        <v>146.4</v>
      </c>
      <c r="G38" s="102">
        <v>148.6</v>
      </c>
      <c r="H38" s="102">
        <v>190.4</v>
      </c>
      <c r="I38" s="102">
        <v>178.9</v>
      </c>
      <c r="J38" s="102">
        <v>79.8</v>
      </c>
      <c r="K38" s="102">
        <v>39.200000000000003</v>
      </c>
      <c r="L38" s="102">
        <v>19.899999999999999</v>
      </c>
      <c r="M38" s="102">
        <v>9.1</v>
      </c>
      <c r="N38" s="102">
        <f t="shared" si="1"/>
        <v>69</v>
      </c>
      <c r="O38" s="102">
        <f t="shared" si="2"/>
        <v>744.09999999999991</v>
      </c>
      <c r="P38" s="102">
        <f t="shared" si="3"/>
        <v>68.2</v>
      </c>
      <c r="Q38" s="102">
        <f t="shared" si="4"/>
        <v>881.3</v>
      </c>
    </row>
    <row r="39" spans="1:17">
      <c r="A39" s="102">
        <v>1996</v>
      </c>
      <c r="B39" s="102">
        <v>9.8000000000000007</v>
      </c>
      <c r="C39" s="102">
        <v>5.4</v>
      </c>
      <c r="D39" s="102">
        <v>14.5</v>
      </c>
      <c r="E39" s="102">
        <v>73.400000000000006</v>
      </c>
      <c r="F39" s="102">
        <v>114.5</v>
      </c>
      <c r="G39" s="102">
        <v>113</v>
      </c>
      <c r="H39" s="102">
        <v>207.1</v>
      </c>
      <c r="I39" s="102">
        <v>96.1</v>
      </c>
      <c r="J39" s="102">
        <v>26.6</v>
      </c>
      <c r="K39" s="102">
        <v>12.1</v>
      </c>
      <c r="L39" s="102">
        <v>42.3</v>
      </c>
      <c r="M39" s="102">
        <v>1.9</v>
      </c>
      <c r="N39" s="102">
        <f t="shared" si="1"/>
        <v>103.10000000000001</v>
      </c>
      <c r="O39" s="102">
        <f t="shared" si="2"/>
        <v>557.30000000000007</v>
      </c>
      <c r="P39" s="102">
        <f t="shared" si="3"/>
        <v>56.3</v>
      </c>
      <c r="Q39" s="102">
        <f t="shared" si="4"/>
        <v>716.7</v>
      </c>
    </row>
    <row r="40" spans="1:17">
      <c r="A40" s="102">
        <v>1997</v>
      </c>
      <c r="B40" s="102">
        <v>12.4</v>
      </c>
      <c r="C40" s="102">
        <v>19.600000000000001</v>
      </c>
      <c r="D40" s="102">
        <v>12.6</v>
      </c>
      <c r="E40" s="102">
        <v>44.7</v>
      </c>
      <c r="F40" s="102">
        <v>87.4</v>
      </c>
      <c r="G40" s="102">
        <v>164.5</v>
      </c>
      <c r="H40" s="102">
        <v>125</v>
      </c>
      <c r="I40" s="102">
        <v>234</v>
      </c>
      <c r="J40" s="102">
        <v>213.6</v>
      </c>
      <c r="K40" s="102">
        <v>51</v>
      </c>
      <c r="L40" s="102">
        <v>1</v>
      </c>
      <c r="M40" s="102">
        <v>5.7</v>
      </c>
      <c r="N40" s="102">
        <f t="shared" si="1"/>
        <v>89.300000000000011</v>
      </c>
      <c r="O40" s="102">
        <f t="shared" si="2"/>
        <v>824.5</v>
      </c>
      <c r="P40" s="102">
        <f t="shared" si="3"/>
        <v>57.7</v>
      </c>
      <c r="Q40" s="102">
        <f t="shared" si="4"/>
        <v>971.50000000000011</v>
      </c>
    </row>
    <row r="41" spans="1:17">
      <c r="A41" s="102">
        <v>1998</v>
      </c>
      <c r="B41" s="102">
        <v>16.399999999999999</v>
      </c>
      <c r="C41" s="102">
        <v>3.7</v>
      </c>
      <c r="D41" s="102">
        <v>6.8</v>
      </c>
      <c r="E41" s="102">
        <v>100</v>
      </c>
      <c r="F41" s="102">
        <v>33.4</v>
      </c>
      <c r="G41" s="102">
        <v>107.3</v>
      </c>
      <c r="H41" s="102">
        <v>399.2</v>
      </c>
      <c r="I41" s="102">
        <v>215.6</v>
      </c>
      <c r="J41" s="102">
        <v>41.9</v>
      </c>
      <c r="K41" s="102">
        <v>64.8</v>
      </c>
      <c r="L41" s="102">
        <v>20.399999999999999</v>
      </c>
      <c r="M41" s="102">
        <v>6.2</v>
      </c>
      <c r="N41" s="102">
        <f t="shared" si="1"/>
        <v>126.9</v>
      </c>
      <c r="O41" s="102">
        <f t="shared" si="2"/>
        <v>797.4</v>
      </c>
      <c r="P41" s="102">
        <f t="shared" si="3"/>
        <v>91.399999999999991</v>
      </c>
      <c r="Q41" s="102">
        <f t="shared" si="4"/>
        <v>1015.6999999999999</v>
      </c>
    </row>
    <row r="42" spans="1:17">
      <c r="A42" s="102">
        <v>1999</v>
      </c>
      <c r="B42" s="102">
        <v>21</v>
      </c>
      <c r="C42" s="102">
        <v>8.5</v>
      </c>
      <c r="D42" s="102">
        <v>1.8</v>
      </c>
      <c r="E42" s="102">
        <v>37.799999999999997</v>
      </c>
      <c r="F42" s="102">
        <v>113.1</v>
      </c>
      <c r="G42" s="102">
        <v>67.599999999999994</v>
      </c>
      <c r="H42" s="102">
        <v>188.1</v>
      </c>
      <c r="I42" s="102">
        <v>119.5</v>
      </c>
      <c r="J42" s="102">
        <v>126.2</v>
      </c>
      <c r="K42" s="102">
        <v>42.6</v>
      </c>
      <c r="L42" s="102">
        <v>28.2</v>
      </c>
      <c r="M42" s="102">
        <v>2.1</v>
      </c>
      <c r="N42" s="102">
        <f t="shared" si="1"/>
        <v>69.099999999999994</v>
      </c>
      <c r="O42" s="102">
        <f t="shared" si="2"/>
        <v>614.5</v>
      </c>
      <c r="P42" s="102">
        <f t="shared" si="3"/>
        <v>72.899999999999991</v>
      </c>
      <c r="Q42" s="102">
        <f t="shared" si="4"/>
        <v>756.50000000000011</v>
      </c>
    </row>
    <row r="43" spans="1:17">
      <c r="A43" s="102">
        <v>2000</v>
      </c>
      <c r="B43" s="102">
        <v>5.6</v>
      </c>
      <c r="C43" s="102">
        <v>9.1</v>
      </c>
      <c r="D43" s="102">
        <v>28.8</v>
      </c>
      <c r="E43" s="102">
        <v>65.2</v>
      </c>
      <c r="F43" s="102">
        <v>90.6</v>
      </c>
      <c r="G43" s="102">
        <v>189.4</v>
      </c>
      <c r="H43" s="102">
        <v>196.8</v>
      </c>
      <c r="I43" s="102">
        <v>183.9</v>
      </c>
      <c r="J43" s="102">
        <v>105.7</v>
      </c>
      <c r="K43" s="102">
        <v>59.8</v>
      </c>
      <c r="L43" s="102">
        <v>8.9</v>
      </c>
      <c r="M43" s="102">
        <v>4.3</v>
      </c>
      <c r="N43" s="102">
        <f t="shared" si="1"/>
        <v>108.7</v>
      </c>
      <c r="O43" s="102">
        <f t="shared" si="2"/>
        <v>766.40000000000009</v>
      </c>
      <c r="P43" s="102">
        <f t="shared" si="3"/>
        <v>73</v>
      </c>
      <c r="Q43" s="102">
        <f t="shared" si="4"/>
        <v>948.09999999999991</v>
      </c>
    </row>
    <row r="44" spans="1:17">
      <c r="A44" s="102">
        <v>2001</v>
      </c>
      <c r="B44" s="102">
        <v>4.0999999999999996</v>
      </c>
      <c r="C44" s="102">
        <v>3</v>
      </c>
      <c r="D44" s="102">
        <v>44.7</v>
      </c>
      <c r="E44" s="102">
        <v>56.3</v>
      </c>
      <c r="F44" s="102">
        <v>94.5</v>
      </c>
      <c r="G44" s="102">
        <v>144.6</v>
      </c>
      <c r="H44" s="102">
        <v>68</v>
      </c>
      <c r="I44" s="102">
        <v>136.19999999999999</v>
      </c>
      <c r="J44" s="102">
        <v>20.2</v>
      </c>
      <c r="K44" s="102">
        <v>58.2</v>
      </c>
      <c r="L44" s="102">
        <v>22.4</v>
      </c>
      <c r="M44" s="102">
        <v>6.6</v>
      </c>
      <c r="N44" s="102">
        <f t="shared" si="1"/>
        <v>108.1</v>
      </c>
      <c r="O44" s="102">
        <f t="shared" si="2"/>
        <v>463.5</v>
      </c>
      <c r="P44" s="102">
        <f t="shared" si="3"/>
        <v>87.199999999999989</v>
      </c>
      <c r="Q44" s="102">
        <f t="shared" si="4"/>
        <v>658.80000000000007</v>
      </c>
    </row>
    <row r="45" spans="1:17">
      <c r="A45" s="102">
        <v>2002</v>
      </c>
      <c r="B45" s="102">
        <v>10.4</v>
      </c>
      <c r="C45" s="102">
        <v>2.1</v>
      </c>
      <c r="D45" s="102">
        <v>36.4</v>
      </c>
      <c r="E45" s="102">
        <v>9.4</v>
      </c>
      <c r="F45" s="102">
        <v>97.3</v>
      </c>
      <c r="G45" s="102">
        <v>77.8</v>
      </c>
      <c r="H45" s="102">
        <v>71</v>
      </c>
      <c r="I45" s="102">
        <v>166.3</v>
      </c>
      <c r="J45" s="102">
        <v>21.6</v>
      </c>
      <c r="K45" s="102">
        <v>40.200000000000003</v>
      </c>
      <c r="L45" s="102">
        <v>18.2</v>
      </c>
      <c r="M45" s="102">
        <v>5.2</v>
      </c>
      <c r="N45" s="102">
        <f t="shared" si="1"/>
        <v>58.3</v>
      </c>
      <c r="O45" s="102">
        <f t="shared" si="2"/>
        <v>434</v>
      </c>
      <c r="P45" s="102">
        <f t="shared" si="3"/>
        <v>63.600000000000009</v>
      </c>
      <c r="Q45" s="102">
        <f t="shared" si="4"/>
        <v>555.90000000000009</v>
      </c>
    </row>
    <row r="46" spans="1:17">
      <c r="A46" s="102">
        <v>2003</v>
      </c>
      <c r="B46" s="102">
        <v>19.2</v>
      </c>
      <c r="C46" s="102">
        <v>0.6</v>
      </c>
      <c r="D46" s="102">
        <v>8</v>
      </c>
      <c r="E46" s="102">
        <v>36.799999999999997</v>
      </c>
      <c r="F46" s="102">
        <v>31</v>
      </c>
      <c r="G46" s="102">
        <v>266.8</v>
      </c>
      <c r="H46" s="102">
        <v>118.3</v>
      </c>
      <c r="I46" s="102">
        <v>44.3</v>
      </c>
      <c r="J46" s="102">
        <v>65.8</v>
      </c>
      <c r="K46" s="102">
        <v>30.8</v>
      </c>
      <c r="L46" s="102">
        <v>12</v>
      </c>
      <c r="M46" s="102">
        <v>20.7</v>
      </c>
      <c r="N46" s="102">
        <f t="shared" si="1"/>
        <v>64.599999999999994</v>
      </c>
      <c r="O46" s="102">
        <f t="shared" si="2"/>
        <v>526.20000000000005</v>
      </c>
      <c r="P46" s="102">
        <f t="shared" si="3"/>
        <v>63.5</v>
      </c>
      <c r="Q46" s="102">
        <f t="shared" si="4"/>
        <v>654.29999999999995</v>
      </c>
    </row>
    <row r="47" spans="1:17">
      <c r="A47" s="102">
        <v>2004</v>
      </c>
      <c r="B47" s="102">
        <v>2.8</v>
      </c>
      <c r="C47" s="102">
        <v>19.399999999999999</v>
      </c>
      <c r="D47" s="102">
        <v>18.399999999999999</v>
      </c>
      <c r="E47" s="102">
        <v>83.5</v>
      </c>
      <c r="F47" s="102">
        <v>89.2</v>
      </c>
      <c r="G47" s="102">
        <v>131</v>
      </c>
      <c r="H47" s="102">
        <v>87.9</v>
      </c>
      <c r="I47" s="102">
        <v>127.7</v>
      </c>
      <c r="J47" s="102">
        <v>124.2</v>
      </c>
      <c r="K47" s="102">
        <v>36.799999999999997</v>
      </c>
      <c r="L47" s="102">
        <v>37.9</v>
      </c>
      <c r="M47" s="102">
        <v>3.8</v>
      </c>
      <c r="N47" s="102">
        <f t="shared" si="1"/>
        <v>124.1</v>
      </c>
      <c r="O47" s="102">
        <f t="shared" si="2"/>
        <v>560</v>
      </c>
      <c r="P47" s="102">
        <f t="shared" si="3"/>
        <v>78.499999999999986</v>
      </c>
      <c r="Q47" s="102">
        <f t="shared" si="4"/>
        <v>762.6</v>
      </c>
    </row>
    <row r="48" spans="1:17">
      <c r="A48" s="102">
        <v>2005</v>
      </c>
      <c r="B48" s="102">
        <v>12.8</v>
      </c>
      <c r="C48" s="102">
        <v>3.3</v>
      </c>
      <c r="D48" s="102">
        <v>33.299999999999997</v>
      </c>
      <c r="E48" s="102">
        <v>64.8</v>
      </c>
      <c r="F48" s="102">
        <v>125.9</v>
      </c>
      <c r="G48" s="102">
        <v>59.3</v>
      </c>
      <c r="H48" s="102">
        <v>88.9</v>
      </c>
      <c r="I48" s="102">
        <v>122.7</v>
      </c>
      <c r="J48" s="102">
        <v>50.8</v>
      </c>
      <c r="K48" s="102">
        <v>29</v>
      </c>
      <c r="L48" s="102">
        <v>8.5</v>
      </c>
      <c r="M48" s="102">
        <v>10</v>
      </c>
      <c r="N48" s="102">
        <f t="shared" si="1"/>
        <v>114.19999999999999</v>
      </c>
      <c r="O48" s="102">
        <f t="shared" si="2"/>
        <v>447.6</v>
      </c>
      <c r="P48" s="102">
        <f t="shared" si="3"/>
        <v>47.5</v>
      </c>
      <c r="Q48" s="102">
        <f t="shared" si="4"/>
        <v>609.29999999999995</v>
      </c>
    </row>
    <row r="49" spans="1:33">
      <c r="A49" s="102">
        <v>2006</v>
      </c>
      <c r="B49" s="102">
        <v>4.2</v>
      </c>
      <c r="C49" s="102">
        <v>10.5</v>
      </c>
      <c r="D49" s="102">
        <v>9.1999999999999993</v>
      </c>
      <c r="E49" s="102">
        <v>40.799999999999997</v>
      </c>
      <c r="F49" s="102">
        <v>99.9</v>
      </c>
      <c r="G49" s="102">
        <v>166</v>
      </c>
      <c r="H49" s="102">
        <v>128.5</v>
      </c>
      <c r="I49" s="102">
        <v>93.2</v>
      </c>
      <c r="J49" s="102">
        <v>85.2</v>
      </c>
      <c r="K49" s="102">
        <v>105</v>
      </c>
      <c r="L49" s="102">
        <v>43.2</v>
      </c>
      <c r="M49" s="102">
        <v>11.4</v>
      </c>
      <c r="N49" s="102">
        <f t="shared" si="1"/>
        <v>64.699999999999989</v>
      </c>
      <c r="O49" s="102">
        <f t="shared" si="2"/>
        <v>572.79999999999995</v>
      </c>
      <c r="P49" s="102">
        <f t="shared" si="3"/>
        <v>159.6</v>
      </c>
      <c r="Q49" s="102">
        <f t="shared" si="4"/>
        <v>797.10000000000014</v>
      </c>
    </row>
    <row r="50" spans="1:33">
      <c r="A50" s="102">
        <v>2007</v>
      </c>
      <c r="B50" s="102">
        <v>22.7</v>
      </c>
      <c r="C50" s="102">
        <v>2.5</v>
      </c>
      <c r="D50" s="102">
        <v>10.9</v>
      </c>
      <c r="E50" s="102">
        <v>62.4</v>
      </c>
      <c r="F50" s="102">
        <v>69.8</v>
      </c>
      <c r="G50" s="102">
        <v>132.6</v>
      </c>
      <c r="H50" s="102">
        <v>158.69999999999999</v>
      </c>
      <c r="I50" s="102">
        <v>105.5</v>
      </c>
      <c r="J50" s="102">
        <v>110.6</v>
      </c>
      <c r="K50" s="102">
        <v>30</v>
      </c>
      <c r="L50" s="102">
        <v>3.2</v>
      </c>
      <c r="M50" s="102">
        <v>14.6</v>
      </c>
      <c r="N50" s="102">
        <f t="shared" si="1"/>
        <v>98.5</v>
      </c>
      <c r="O50" s="102">
        <f t="shared" si="2"/>
        <v>577.19999999999993</v>
      </c>
      <c r="P50" s="102">
        <f t="shared" si="3"/>
        <v>47.800000000000004</v>
      </c>
      <c r="Q50" s="102">
        <f t="shared" si="4"/>
        <v>723.5</v>
      </c>
    </row>
    <row r="51" spans="1:33">
      <c r="A51" s="102">
        <v>2008</v>
      </c>
      <c r="B51" s="102">
        <v>4.9000000000000004</v>
      </c>
      <c r="C51" s="102">
        <v>6.5</v>
      </c>
      <c r="D51" s="102">
        <v>30.4</v>
      </c>
      <c r="E51" s="102">
        <v>33.6</v>
      </c>
      <c r="F51" s="102">
        <v>99.9</v>
      </c>
      <c r="G51" s="102">
        <v>178</v>
      </c>
      <c r="H51" s="102">
        <v>193.2</v>
      </c>
      <c r="I51" s="102">
        <v>167</v>
      </c>
      <c r="J51" s="102">
        <v>26.5</v>
      </c>
      <c r="K51" s="102">
        <v>127.8</v>
      </c>
      <c r="L51" s="102">
        <v>40.9</v>
      </c>
      <c r="M51" s="102">
        <v>4.8</v>
      </c>
      <c r="N51" s="102">
        <f t="shared" si="1"/>
        <v>75.400000000000006</v>
      </c>
      <c r="O51" s="102">
        <f t="shared" si="2"/>
        <v>664.59999999999991</v>
      </c>
      <c r="P51" s="102">
        <f t="shared" si="3"/>
        <v>173.5</v>
      </c>
      <c r="Q51" s="102">
        <f t="shared" si="4"/>
        <v>913.49999999999989</v>
      </c>
    </row>
    <row r="52" spans="1:33">
      <c r="A52" s="102">
        <v>2009</v>
      </c>
      <c r="B52" s="102">
        <v>11.5</v>
      </c>
      <c r="C52" s="102">
        <v>4.7</v>
      </c>
      <c r="D52" s="102">
        <v>27</v>
      </c>
      <c r="E52" s="102">
        <v>36.6</v>
      </c>
      <c r="F52" s="102">
        <v>67.3</v>
      </c>
      <c r="G52" s="102">
        <v>230</v>
      </c>
      <c r="H52" s="102">
        <v>63</v>
      </c>
      <c r="I52" s="102">
        <v>187.3</v>
      </c>
      <c r="J52" s="102">
        <v>8.8000000000000007</v>
      </c>
      <c r="K52" s="102">
        <v>17.600000000000001</v>
      </c>
      <c r="L52" s="102">
        <v>5.4</v>
      </c>
      <c r="M52" s="102">
        <v>9.9</v>
      </c>
      <c r="N52" s="102">
        <f t="shared" si="1"/>
        <v>79.800000000000011</v>
      </c>
      <c r="O52" s="102">
        <f t="shared" si="2"/>
        <v>556.4</v>
      </c>
      <c r="P52" s="102">
        <f t="shared" si="3"/>
        <v>32.9</v>
      </c>
      <c r="Q52" s="102">
        <f t="shared" si="4"/>
        <v>669.1</v>
      </c>
    </row>
    <row r="53" spans="1:33">
      <c r="A53" s="102">
        <v>2010</v>
      </c>
      <c r="B53" s="102">
        <v>1.5</v>
      </c>
      <c r="C53" s="102">
        <v>5.8</v>
      </c>
      <c r="D53" s="102">
        <v>2.2999999999999998</v>
      </c>
      <c r="E53" s="102">
        <v>46.7</v>
      </c>
      <c r="F53" s="102">
        <v>70.8</v>
      </c>
      <c r="G53" s="102">
        <v>101.5</v>
      </c>
      <c r="H53" s="102">
        <v>153.80000000000001</v>
      </c>
      <c r="I53" s="102">
        <v>35.9</v>
      </c>
      <c r="J53" s="102">
        <v>76.400000000000006</v>
      </c>
      <c r="K53" s="102">
        <v>53.3</v>
      </c>
      <c r="L53" s="102">
        <v>14.6</v>
      </c>
      <c r="M53" s="102">
        <v>6.2</v>
      </c>
      <c r="N53" s="102">
        <f t="shared" si="1"/>
        <v>56.300000000000004</v>
      </c>
      <c r="O53" s="102">
        <f t="shared" si="2"/>
        <v>438.4</v>
      </c>
      <c r="P53" s="102">
        <f t="shared" si="3"/>
        <v>74.099999999999994</v>
      </c>
      <c r="Q53" s="102">
        <f t="shared" si="4"/>
        <v>568.79999999999995</v>
      </c>
    </row>
    <row r="54" spans="1:33">
      <c r="A54" s="102">
        <v>2011</v>
      </c>
      <c r="B54" s="102">
        <v>5.4</v>
      </c>
      <c r="C54" s="102">
        <v>5.3</v>
      </c>
      <c r="D54" s="102">
        <v>11.2</v>
      </c>
      <c r="E54" s="102">
        <v>12</v>
      </c>
      <c r="F54" s="102">
        <v>28.5</v>
      </c>
      <c r="G54" s="102">
        <v>78.2</v>
      </c>
      <c r="H54" s="102">
        <v>59.4</v>
      </c>
      <c r="I54" s="102">
        <v>24</v>
      </c>
      <c r="J54" s="102">
        <v>89.2</v>
      </c>
      <c r="K54" s="102">
        <v>147.69999999999999</v>
      </c>
      <c r="L54" s="102">
        <v>28.1</v>
      </c>
      <c r="M54" s="102">
        <v>11.8</v>
      </c>
      <c r="N54" s="102">
        <f t="shared" si="1"/>
        <v>33.9</v>
      </c>
      <c r="O54" s="102">
        <f t="shared" si="2"/>
        <v>279.3</v>
      </c>
      <c r="P54" s="102">
        <f t="shared" si="3"/>
        <v>187.6</v>
      </c>
      <c r="Q54" s="102">
        <f t="shared" si="4"/>
        <v>500.8</v>
      </c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</row>
    <row r="55" spans="1:33">
      <c r="A55" s="102">
        <v>2012</v>
      </c>
      <c r="B55" s="102">
        <v>8.5</v>
      </c>
      <c r="C55" s="102">
        <v>6</v>
      </c>
      <c r="D55" s="102">
        <v>11.5</v>
      </c>
      <c r="E55" s="102">
        <v>18.5</v>
      </c>
      <c r="F55" s="102">
        <v>83.2</v>
      </c>
      <c r="G55" s="102">
        <v>105.8</v>
      </c>
      <c r="H55" s="102">
        <v>240.4</v>
      </c>
      <c r="I55" s="102">
        <v>142.6</v>
      </c>
      <c r="J55" s="102">
        <v>97.4</v>
      </c>
      <c r="K55" s="102">
        <v>31.2</v>
      </c>
      <c r="L55" s="102">
        <v>7.8</v>
      </c>
      <c r="M55" s="102">
        <v>7.5</v>
      </c>
      <c r="N55" s="102">
        <f t="shared" si="1"/>
        <v>44.5</v>
      </c>
      <c r="O55" s="102">
        <f t="shared" si="2"/>
        <v>669.4</v>
      </c>
      <c r="P55" s="102">
        <f t="shared" si="3"/>
        <v>46.5</v>
      </c>
      <c r="Q55" s="102">
        <f t="shared" si="4"/>
        <v>760.4</v>
      </c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  <c r="AD55" s="104"/>
      <c r="AE55" s="104"/>
      <c r="AF55" s="104"/>
      <c r="AG55" s="104"/>
    </row>
    <row r="56" spans="1:33">
      <c r="A56" s="102">
        <v>2013</v>
      </c>
      <c r="B56" s="102">
        <v>3</v>
      </c>
      <c r="C56" s="102">
        <v>1</v>
      </c>
      <c r="D56" s="102">
        <v>34.9</v>
      </c>
      <c r="E56" s="102">
        <v>64.7</v>
      </c>
      <c r="F56" s="102">
        <v>92.7</v>
      </c>
      <c r="G56" s="102">
        <v>106.9</v>
      </c>
      <c r="H56" s="102">
        <v>46.1</v>
      </c>
      <c r="I56" s="102">
        <v>102.3</v>
      </c>
      <c r="J56" s="102">
        <v>87.8</v>
      </c>
      <c r="K56" s="102">
        <v>33</v>
      </c>
      <c r="L56" s="102">
        <v>14.6</v>
      </c>
      <c r="M56" s="102">
        <v>7</v>
      </c>
      <c r="N56" s="102">
        <f t="shared" si="1"/>
        <v>103.6</v>
      </c>
      <c r="O56" s="102">
        <f t="shared" si="2"/>
        <v>435.8</v>
      </c>
      <c r="P56" s="102">
        <f t="shared" si="3"/>
        <v>54.6</v>
      </c>
      <c r="Q56" s="102">
        <f t="shared" si="4"/>
        <v>594.00000000000011</v>
      </c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  <c r="AF56" s="104"/>
      <c r="AG56" s="104"/>
    </row>
    <row r="57" spans="1:33">
      <c r="A57" s="102">
        <v>2014</v>
      </c>
      <c r="B57" s="128">
        <v>5.7</v>
      </c>
      <c r="C57" s="128">
        <v>15.4</v>
      </c>
      <c r="D57" s="128">
        <v>55.6</v>
      </c>
      <c r="E57" s="128">
        <v>43.5</v>
      </c>
      <c r="F57" s="128">
        <v>49.6</v>
      </c>
      <c r="G57" s="128">
        <v>110.4</v>
      </c>
      <c r="H57" s="128">
        <v>195.8</v>
      </c>
      <c r="I57" s="128">
        <v>171.8</v>
      </c>
      <c r="J57" s="128">
        <v>80.400000000000006</v>
      </c>
      <c r="K57" s="128">
        <v>65.599999999999994</v>
      </c>
      <c r="L57" s="128">
        <v>22.6</v>
      </c>
      <c r="M57" s="128">
        <v>7.5</v>
      </c>
      <c r="N57" s="102">
        <f t="shared" si="1"/>
        <v>120.2</v>
      </c>
      <c r="O57" s="102">
        <f t="shared" si="2"/>
        <v>608</v>
      </c>
      <c r="P57" s="102">
        <f t="shared" si="3"/>
        <v>95.699999999999989</v>
      </c>
      <c r="Q57" s="102">
        <f t="shared" si="4"/>
        <v>823.90000000000009</v>
      </c>
    </row>
    <row r="58" spans="1:33">
      <c r="A58" s="102">
        <v>2015</v>
      </c>
      <c r="B58" s="128">
        <v>14.5</v>
      </c>
      <c r="C58" s="128">
        <v>1</v>
      </c>
      <c r="D58" s="128">
        <v>21</v>
      </c>
      <c r="E58" s="128">
        <v>39</v>
      </c>
      <c r="F58" s="128">
        <v>106</v>
      </c>
      <c r="G58" s="128">
        <v>86.5</v>
      </c>
      <c r="H58" s="128">
        <v>60.5</v>
      </c>
      <c r="I58" s="128">
        <v>193</v>
      </c>
      <c r="J58" s="128">
        <v>39</v>
      </c>
      <c r="K58" s="128">
        <v>56.5</v>
      </c>
      <c r="L58" s="128">
        <v>1</v>
      </c>
      <c r="M58" s="128">
        <v>8</v>
      </c>
      <c r="N58" s="102">
        <f t="shared" si="1"/>
        <v>75.5</v>
      </c>
      <c r="O58" s="102">
        <f t="shared" si="2"/>
        <v>485</v>
      </c>
      <c r="P58" s="102">
        <f t="shared" si="3"/>
        <v>65.5</v>
      </c>
      <c r="Q58" s="102">
        <f t="shared" si="4"/>
        <v>626</v>
      </c>
    </row>
    <row r="59" spans="1:33">
      <c r="A59" s="102">
        <v>2016</v>
      </c>
      <c r="B59" s="128">
        <v>5</v>
      </c>
      <c r="C59" s="128">
        <v>4</v>
      </c>
      <c r="D59" s="128">
        <v>40</v>
      </c>
      <c r="E59" s="128">
        <v>72</v>
      </c>
      <c r="F59" s="128">
        <v>79.5</v>
      </c>
      <c r="G59" s="128">
        <v>264.5</v>
      </c>
      <c r="H59" s="128">
        <v>116.5</v>
      </c>
      <c r="I59" s="128">
        <v>162</v>
      </c>
      <c r="J59" s="128">
        <v>45</v>
      </c>
      <c r="K59" s="128">
        <v>29</v>
      </c>
      <c r="L59" s="128">
        <v>15</v>
      </c>
      <c r="M59" s="128">
        <v>8</v>
      </c>
      <c r="N59" s="102">
        <f>SUM(B59:E59)</f>
        <v>121</v>
      </c>
      <c r="O59" s="102">
        <f>SUM(F59:J59)</f>
        <v>667.5</v>
      </c>
      <c r="P59" s="102">
        <f>SUM(K59:M59)</f>
        <v>52</v>
      </c>
      <c r="Q59" s="102">
        <f>SUM(B59:M59)</f>
        <v>840.5</v>
      </c>
      <c r="R59" s="108">
        <f t="shared" ref="R59:AG59" si="5">100*(B59-B4)/B4</f>
        <v>-48.620361560418644</v>
      </c>
      <c r="S59" s="108">
        <f t="shared" si="5"/>
        <v>-50.046253469010182</v>
      </c>
      <c r="T59" s="108">
        <f t="shared" si="5"/>
        <v>129.73835354179965</v>
      </c>
      <c r="U59" s="108">
        <f t="shared" si="5"/>
        <v>69.611307420494683</v>
      </c>
      <c r="V59" s="108">
        <f t="shared" si="5"/>
        <v>-16.44934023588025</v>
      </c>
      <c r="W59" s="108">
        <f t="shared" si="5"/>
        <v>115.28406855688978</v>
      </c>
      <c r="X59" s="108">
        <f t="shared" si="5"/>
        <v>-15.923822251921145</v>
      </c>
      <c r="Y59" s="108">
        <f t="shared" si="5"/>
        <v>26.646784607811909</v>
      </c>
      <c r="Z59" s="108">
        <f t="shared" si="5"/>
        <v>-43.332866937176426</v>
      </c>
      <c r="AA59" s="108">
        <f t="shared" si="5"/>
        <v>-41.773563859453404</v>
      </c>
      <c r="AB59" s="108">
        <f t="shared" si="5"/>
        <v>-30.027643400138196</v>
      </c>
      <c r="AC59" s="108">
        <f t="shared" si="5"/>
        <v>-3.1824294038547487</v>
      </c>
      <c r="AD59" s="108">
        <f t="shared" si="5"/>
        <v>55.927835051546374</v>
      </c>
      <c r="AE59" s="108">
        <f t="shared" si="5"/>
        <v>18.371313190889289</v>
      </c>
      <c r="AF59" s="108">
        <f t="shared" si="5"/>
        <v>-34.595765495073728</v>
      </c>
      <c r="AG59" s="108">
        <f t="shared" si="5"/>
        <v>16.572735381919713</v>
      </c>
    </row>
  </sheetData>
  <mergeCells count="6">
    <mergeCell ref="A1:A3"/>
    <mergeCell ref="B1:Q1"/>
    <mergeCell ref="B2:M2"/>
    <mergeCell ref="R1:AG1"/>
    <mergeCell ref="N2:Q2"/>
    <mergeCell ref="R2:AG2"/>
  </mergeCells>
  <phoneticPr fontId="2" type="noConversion"/>
  <pageMargins left="0.75" right="0.75" top="1" bottom="1" header="0.5" footer="0.5"/>
  <pageSetup paperSize="9" orientation="portrait" horizontalDpi="200" verticalDpi="200" copies="0" r:id="rId1"/>
  <headerFooter alignWithMargins="0"/>
</worksheet>
</file>

<file path=xl/worksheets/sheet64.xml><?xml version="1.0" encoding="utf-8"?>
<worksheet xmlns="http://schemas.openxmlformats.org/spreadsheetml/2006/main" xmlns:r="http://schemas.openxmlformats.org/officeDocument/2006/relationships">
  <sheetPr codeName="Sheet64"/>
  <dimension ref="A1:AG61"/>
  <sheetViews>
    <sheetView zoomScaleNormal="100" workbookViewId="0">
      <pane ySplit="5" topLeftCell="A6" activePane="bottomLeft" state="frozen"/>
      <selection pane="bottomLeft" activeCell="R61" sqref="R61"/>
    </sheetView>
  </sheetViews>
  <sheetFormatPr defaultRowHeight="12"/>
  <cols>
    <col min="1" max="1" width="8.5" style="102" bestFit="1" customWidth="1"/>
    <col min="2" max="2" width="7.25" style="102" bestFit="1" customWidth="1"/>
    <col min="3" max="3" width="6.75" style="102" bestFit="1" customWidth="1"/>
    <col min="4" max="4" width="7.25" style="102" bestFit="1" customWidth="1"/>
    <col min="5" max="5" width="7.625" style="102" bestFit="1" customWidth="1"/>
    <col min="6" max="8" width="8.375" style="102" bestFit="1" customWidth="1"/>
    <col min="9" max="9" width="7.625" style="102" bestFit="1" customWidth="1"/>
    <col min="10" max="10" width="7.125" style="102" customWidth="1"/>
    <col min="11" max="11" width="8.375" style="102" bestFit="1" customWidth="1"/>
    <col min="12" max="12" width="6.75" style="102" bestFit="1" customWidth="1"/>
    <col min="13" max="13" width="7.25" style="102" bestFit="1" customWidth="1"/>
    <col min="14" max="14" width="8.25" style="102" bestFit="1" customWidth="1"/>
    <col min="15" max="15" width="8.5" style="102" bestFit="1" customWidth="1"/>
    <col min="16" max="16" width="10" style="102" bestFit="1" customWidth="1"/>
    <col min="17" max="17" width="9.125" style="102" bestFit="1" customWidth="1"/>
    <col min="18" max="18" width="8.5" style="102" bestFit="1" customWidth="1"/>
    <col min="19" max="33" width="7.625" style="102" bestFit="1" customWidth="1"/>
    <col min="34" max="16384" width="9" style="102"/>
  </cols>
  <sheetData>
    <row r="1" spans="1:33" s="118" customFormat="1" ht="14.25" customHeight="1">
      <c r="A1" s="176" t="s">
        <v>53</v>
      </c>
      <c r="B1" s="176" t="s">
        <v>171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2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116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32</v>
      </c>
      <c r="O2" s="176"/>
      <c r="P2" s="176"/>
      <c r="Q2" s="176"/>
      <c r="R2" s="176" t="s">
        <v>38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>
      <c r="A3" s="176"/>
      <c r="B3" s="125" t="s">
        <v>149</v>
      </c>
      <c r="C3" s="125" t="s">
        <v>150</v>
      </c>
      <c r="D3" s="125" t="s">
        <v>9</v>
      </c>
      <c r="E3" s="125" t="s">
        <v>10</v>
      </c>
      <c r="F3" s="125" t="s">
        <v>11</v>
      </c>
      <c r="G3" s="125" t="s">
        <v>12</v>
      </c>
      <c r="H3" s="125" t="s">
        <v>13</v>
      </c>
      <c r="I3" s="125" t="s">
        <v>14</v>
      </c>
      <c r="J3" s="125" t="s">
        <v>15</v>
      </c>
      <c r="K3" s="125" t="s">
        <v>16</v>
      </c>
      <c r="L3" s="125" t="s">
        <v>17</v>
      </c>
      <c r="M3" s="125" t="s">
        <v>18</v>
      </c>
      <c r="N3" s="125" t="s">
        <v>145</v>
      </c>
      <c r="O3" s="125" t="s">
        <v>146</v>
      </c>
      <c r="P3" s="125" t="s">
        <v>147</v>
      </c>
      <c r="Q3" s="125" t="s">
        <v>148</v>
      </c>
      <c r="R3" s="125" t="s">
        <v>149</v>
      </c>
      <c r="S3" s="125" t="s">
        <v>150</v>
      </c>
      <c r="T3" s="125" t="s">
        <v>151</v>
      </c>
      <c r="U3" s="125" t="s">
        <v>152</v>
      </c>
      <c r="V3" s="125" t="s">
        <v>153</v>
      </c>
      <c r="W3" s="125" t="s">
        <v>154</v>
      </c>
      <c r="X3" s="125" t="s">
        <v>25</v>
      </c>
      <c r="Y3" s="125" t="s">
        <v>26</v>
      </c>
      <c r="Z3" s="125" t="s">
        <v>27</v>
      </c>
      <c r="AA3" s="125" t="s">
        <v>155</v>
      </c>
      <c r="AB3" s="125" t="s">
        <v>156</v>
      </c>
      <c r="AC3" s="125" t="s">
        <v>157</v>
      </c>
      <c r="AD3" s="125" t="s">
        <v>132</v>
      </c>
      <c r="AE3" s="125" t="s">
        <v>42</v>
      </c>
      <c r="AF3" s="125" t="s">
        <v>91</v>
      </c>
      <c r="AG3" s="125" t="s">
        <v>66</v>
      </c>
    </row>
    <row r="4" spans="1:33" s="118" customFormat="1">
      <c r="A4" s="150" t="s">
        <v>261</v>
      </c>
      <c r="B4" s="150">
        <f t="shared" ref="B4:Q4" si="0">AVERAGE(B5:B60)</f>
        <v>12.855357142857143</v>
      </c>
      <c r="C4" s="150">
        <f t="shared" si="0"/>
        <v>11.930357142857146</v>
      </c>
      <c r="D4" s="150">
        <f t="shared" si="0"/>
        <v>20.110714285714288</v>
      </c>
      <c r="E4" s="150">
        <f t="shared" si="0"/>
        <v>69.767857142857139</v>
      </c>
      <c r="F4" s="150">
        <f t="shared" si="0"/>
        <v>143.96071428571432</v>
      </c>
      <c r="G4" s="150">
        <f t="shared" si="0"/>
        <v>183.75892857142858</v>
      </c>
      <c r="H4" s="150">
        <f t="shared" si="0"/>
        <v>160.79821428571432</v>
      </c>
      <c r="I4" s="150">
        <f t="shared" si="0"/>
        <v>145.05714285714282</v>
      </c>
      <c r="J4" s="150">
        <f t="shared" si="0"/>
        <v>109.48392857142858</v>
      </c>
      <c r="K4" s="150">
        <f t="shared" si="0"/>
        <v>77.200000000000031</v>
      </c>
      <c r="L4" s="150">
        <f t="shared" si="0"/>
        <v>31.708928571428576</v>
      </c>
      <c r="M4" s="150">
        <f t="shared" si="0"/>
        <v>13.550000000000002</v>
      </c>
      <c r="N4" s="150">
        <f t="shared" si="0"/>
        <v>114.66428571428573</v>
      </c>
      <c r="O4" s="150">
        <f t="shared" si="0"/>
        <v>743.0589285714284</v>
      </c>
      <c r="P4" s="150">
        <f t="shared" si="0"/>
        <v>122.4589285714286</v>
      </c>
      <c r="Q4" s="150">
        <f t="shared" si="0"/>
        <v>980.18214285714271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1960</v>
      </c>
      <c r="B5" s="102">
        <v>2.7</v>
      </c>
      <c r="C5" s="102">
        <v>44.9</v>
      </c>
      <c r="D5" s="102">
        <v>8.1999999999999993</v>
      </c>
      <c r="E5" s="102">
        <v>53.8</v>
      </c>
      <c r="F5" s="102">
        <v>172.7</v>
      </c>
      <c r="G5" s="102">
        <v>145.9</v>
      </c>
      <c r="H5" s="102">
        <v>214.9</v>
      </c>
      <c r="I5" s="102">
        <v>79.2</v>
      </c>
      <c r="J5" s="102">
        <v>72.400000000000006</v>
      </c>
      <c r="K5" s="102">
        <v>31.9</v>
      </c>
      <c r="L5" s="102">
        <v>22.9</v>
      </c>
      <c r="M5" s="102">
        <v>18</v>
      </c>
      <c r="N5" s="102">
        <f>SUM(B5:E5)</f>
        <v>109.6</v>
      </c>
      <c r="O5" s="102">
        <f>SUM(F5:J5)</f>
        <v>685.1</v>
      </c>
      <c r="P5" s="102">
        <f>SUM(K5:M5)</f>
        <v>72.8</v>
      </c>
      <c r="Q5" s="102">
        <f>SUM(B5:M5)</f>
        <v>867.49999999999989</v>
      </c>
    </row>
    <row r="6" spans="1:33">
      <c r="A6" s="102">
        <v>1961</v>
      </c>
      <c r="B6" s="102">
        <v>7.4</v>
      </c>
      <c r="C6" s="102">
        <v>10.199999999999999</v>
      </c>
      <c r="D6" s="102">
        <v>34.4</v>
      </c>
      <c r="E6" s="102">
        <v>97.2</v>
      </c>
      <c r="F6" s="102">
        <v>95.6</v>
      </c>
      <c r="G6" s="102">
        <v>61.2</v>
      </c>
      <c r="H6" s="102">
        <v>210.4</v>
      </c>
      <c r="I6" s="102">
        <v>129.1</v>
      </c>
      <c r="J6" s="102">
        <v>138.80000000000001</v>
      </c>
      <c r="K6" s="102">
        <v>190.2</v>
      </c>
      <c r="L6" s="102">
        <v>61.8</v>
      </c>
      <c r="M6" s="102">
        <v>25.8</v>
      </c>
      <c r="N6" s="102">
        <f t="shared" ref="N6:N59" si="1">SUM(B6:E6)</f>
        <v>149.19999999999999</v>
      </c>
      <c r="O6" s="102">
        <f t="shared" ref="O6:O59" si="2">SUM(F6:J6)</f>
        <v>635.10000000000014</v>
      </c>
      <c r="P6" s="102">
        <f t="shared" ref="P6:P59" si="3">SUM(K6:M6)</f>
        <v>277.8</v>
      </c>
      <c r="Q6" s="102">
        <f t="shared" ref="Q6:Q59" si="4">SUM(B6:M6)</f>
        <v>1062.0999999999999</v>
      </c>
    </row>
    <row r="7" spans="1:33">
      <c r="A7" s="102">
        <v>1962</v>
      </c>
      <c r="B7" s="102">
        <v>21.3</v>
      </c>
      <c r="C7" s="102">
        <v>9.5</v>
      </c>
      <c r="D7" s="102">
        <v>11.1</v>
      </c>
      <c r="E7" s="102">
        <v>56.6</v>
      </c>
      <c r="F7" s="102">
        <v>148</v>
      </c>
      <c r="G7" s="102">
        <v>162.6</v>
      </c>
      <c r="H7" s="102">
        <v>108.3</v>
      </c>
      <c r="I7" s="102">
        <v>195</v>
      </c>
      <c r="J7" s="102">
        <v>109.5</v>
      </c>
      <c r="K7" s="102">
        <v>91</v>
      </c>
      <c r="L7" s="102">
        <v>16.600000000000001</v>
      </c>
      <c r="M7" s="102">
        <v>3.2</v>
      </c>
      <c r="N7" s="102">
        <f t="shared" si="1"/>
        <v>98.5</v>
      </c>
      <c r="O7" s="102">
        <f t="shared" si="2"/>
        <v>723.40000000000009</v>
      </c>
      <c r="P7" s="102">
        <f t="shared" si="3"/>
        <v>110.8</v>
      </c>
      <c r="Q7" s="102">
        <f t="shared" si="4"/>
        <v>932.7</v>
      </c>
    </row>
    <row r="8" spans="1:33">
      <c r="A8" s="102">
        <v>1963</v>
      </c>
      <c r="B8" s="102">
        <v>9.6</v>
      </c>
      <c r="C8" s="102">
        <v>10.7</v>
      </c>
      <c r="D8" s="102">
        <v>33.1</v>
      </c>
      <c r="E8" s="102">
        <v>18.399999999999999</v>
      </c>
      <c r="F8" s="102">
        <v>281.3</v>
      </c>
      <c r="G8" s="102">
        <v>105.2</v>
      </c>
      <c r="H8" s="102">
        <v>165.7</v>
      </c>
      <c r="I8" s="102">
        <v>214.4</v>
      </c>
      <c r="J8" s="102">
        <v>66.099999999999994</v>
      </c>
      <c r="K8" s="102">
        <v>66.2</v>
      </c>
      <c r="L8" s="102">
        <v>89.7</v>
      </c>
      <c r="M8" s="102">
        <v>23.9</v>
      </c>
      <c r="N8" s="102">
        <f t="shared" si="1"/>
        <v>71.8</v>
      </c>
      <c r="O8" s="102">
        <f t="shared" si="2"/>
        <v>832.7</v>
      </c>
      <c r="P8" s="102">
        <f t="shared" si="3"/>
        <v>179.8</v>
      </c>
      <c r="Q8" s="102">
        <f t="shared" si="4"/>
        <v>1084.3000000000002</v>
      </c>
    </row>
    <row r="9" spans="1:33">
      <c r="A9" s="102">
        <v>1964</v>
      </c>
      <c r="B9" s="102">
        <v>9.6</v>
      </c>
      <c r="C9" s="102">
        <v>14.9</v>
      </c>
      <c r="D9" s="102">
        <v>16.100000000000001</v>
      </c>
      <c r="E9" s="102">
        <v>165.3</v>
      </c>
      <c r="F9" s="102">
        <v>85.5</v>
      </c>
      <c r="G9" s="102">
        <v>425</v>
      </c>
      <c r="H9" s="102">
        <v>158.4</v>
      </c>
      <c r="I9" s="102">
        <v>308.2</v>
      </c>
      <c r="J9" s="102">
        <v>158.80000000000001</v>
      </c>
      <c r="K9" s="102">
        <v>79.5</v>
      </c>
      <c r="L9" s="102">
        <v>36.700000000000003</v>
      </c>
      <c r="M9" s="102">
        <v>20.399999999999999</v>
      </c>
      <c r="N9" s="102">
        <f t="shared" si="1"/>
        <v>205.9</v>
      </c>
      <c r="O9" s="102">
        <f t="shared" si="2"/>
        <v>1135.8999999999999</v>
      </c>
      <c r="P9" s="102">
        <f t="shared" si="3"/>
        <v>136.6</v>
      </c>
      <c r="Q9" s="102">
        <f t="shared" si="4"/>
        <v>1478.4</v>
      </c>
    </row>
    <row r="10" spans="1:33">
      <c r="A10" s="102">
        <v>1965</v>
      </c>
      <c r="B10" s="102">
        <v>16.8</v>
      </c>
      <c r="C10" s="102">
        <v>7.2</v>
      </c>
      <c r="D10" s="102">
        <v>33.799999999999997</v>
      </c>
      <c r="E10" s="102">
        <v>80.7</v>
      </c>
      <c r="F10" s="102">
        <v>152.5</v>
      </c>
      <c r="G10" s="102">
        <v>190.4</v>
      </c>
      <c r="H10" s="102">
        <v>158</v>
      </c>
      <c r="I10" s="102">
        <v>98.3</v>
      </c>
      <c r="J10" s="102">
        <v>52.3</v>
      </c>
      <c r="K10" s="102">
        <v>100.5</v>
      </c>
      <c r="L10" s="102">
        <v>24</v>
      </c>
      <c r="M10" s="102">
        <v>12</v>
      </c>
      <c r="N10" s="102">
        <f t="shared" si="1"/>
        <v>138.5</v>
      </c>
      <c r="O10" s="102">
        <f t="shared" si="2"/>
        <v>651.49999999999989</v>
      </c>
      <c r="P10" s="102">
        <f t="shared" si="3"/>
        <v>136.5</v>
      </c>
      <c r="Q10" s="102">
        <f t="shared" si="4"/>
        <v>926.49999999999989</v>
      </c>
    </row>
    <row r="11" spans="1:33">
      <c r="A11" s="102">
        <v>1966</v>
      </c>
      <c r="B11" s="102">
        <v>5.6</v>
      </c>
      <c r="C11" s="102">
        <v>7.4</v>
      </c>
      <c r="D11" s="102">
        <v>4.5</v>
      </c>
      <c r="E11" s="102">
        <v>40.200000000000003</v>
      </c>
      <c r="F11" s="102">
        <v>168.4</v>
      </c>
      <c r="G11" s="102">
        <v>93.8</v>
      </c>
      <c r="H11" s="102">
        <v>118.9</v>
      </c>
      <c r="I11" s="102">
        <v>113</v>
      </c>
      <c r="J11" s="102">
        <v>67.599999999999994</v>
      </c>
      <c r="K11" s="102">
        <v>65.400000000000006</v>
      </c>
      <c r="L11" s="102">
        <v>12</v>
      </c>
      <c r="M11" s="102">
        <v>2.1</v>
      </c>
      <c r="N11" s="102">
        <f t="shared" si="1"/>
        <v>57.7</v>
      </c>
      <c r="O11" s="102">
        <f t="shared" si="2"/>
        <v>561.70000000000005</v>
      </c>
      <c r="P11" s="102">
        <f t="shared" si="3"/>
        <v>79.5</v>
      </c>
      <c r="Q11" s="102">
        <f t="shared" si="4"/>
        <v>698.90000000000009</v>
      </c>
    </row>
    <row r="12" spans="1:33">
      <c r="A12" s="102">
        <v>1967</v>
      </c>
      <c r="B12" s="102">
        <v>3.6</v>
      </c>
      <c r="C12" s="102">
        <v>27.4</v>
      </c>
      <c r="D12" s="102">
        <v>33.1</v>
      </c>
      <c r="E12" s="102">
        <v>61.2</v>
      </c>
      <c r="F12" s="102">
        <v>167.8</v>
      </c>
      <c r="G12" s="102">
        <v>295.3</v>
      </c>
      <c r="H12" s="102">
        <v>120.8</v>
      </c>
      <c r="I12" s="102">
        <v>247.6</v>
      </c>
      <c r="J12" s="102">
        <v>225.7</v>
      </c>
      <c r="K12" s="102">
        <v>37.5</v>
      </c>
      <c r="L12" s="102">
        <v>72.3</v>
      </c>
      <c r="M12" s="102">
        <v>29.1</v>
      </c>
      <c r="N12" s="102">
        <f t="shared" si="1"/>
        <v>125.3</v>
      </c>
      <c r="O12" s="102">
        <f t="shared" si="2"/>
        <v>1057.2</v>
      </c>
      <c r="P12" s="102">
        <f t="shared" si="3"/>
        <v>138.9</v>
      </c>
      <c r="Q12" s="102">
        <f t="shared" si="4"/>
        <v>1321.3999999999999</v>
      </c>
    </row>
    <row r="13" spans="1:33">
      <c r="A13" s="102">
        <v>1968</v>
      </c>
      <c r="B13" s="102">
        <v>8.1999999999999993</v>
      </c>
      <c r="C13" s="102">
        <v>16.399999999999999</v>
      </c>
      <c r="D13" s="102">
        <v>13.7</v>
      </c>
      <c r="E13" s="102">
        <v>61</v>
      </c>
      <c r="F13" s="102">
        <v>103.3</v>
      </c>
      <c r="G13" s="102">
        <v>151.4</v>
      </c>
      <c r="H13" s="102">
        <v>144.69999999999999</v>
      </c>
      <c r="I13" s="102">
        <v>178.3</v>
      </c>
      <c r="J13" s="102">
        <v>33</v>
      </c>
      <c r="K13" s="102">
        <v>86.8</v>
      </c>
      <c r="L13" s="102">
        <v>29.4</v>
      </c>
      <c r="M13" s="102">
        <v>5.5</v>
      </c>
      <c r="N13" s="102">
        <f t="shared" si="1"/>
        <v>99.3</v>
      </c>
      <c r="O13" s="102">
        <f t="shared" si="2"/>
        <v>610.70000000000005</v>
      </c>
      <c r="P13" s="102">
        <f t="shared" si="3"/>
        <v>121.69999999999999</v>
      </c>
      <c r="Q13" s="102">
        <f t="shared" si="4"/>
        <v>831.69999999999993</v>
      </c>
    </row>
    <row r="14" spans="1:33">
      <c r="A14" s="102">
        <v>1969</v>
      </c>
      <c r="B14" s="102">
        <v>6.5</v>
      </c>
      <c r="C14" s="102">
        <v>2.8</v>
      </c>
      <c r="D14" s="102">
        <v>19.2</v>
      </c>
      <c r="E14" s="102">
        <v>25.1</v>
      </c>
      <c r="F14" s="102">
        <v>79.5</v>
      </c>
      <c r="G14" s="102">
        <v>325</v>
      </c>
      <c r="H14" s="102">
        <v>248.5</v>
      </c>
      <c r="I14" s="102">
        <v>87.3</v>
      </c>
      <c r="J14" s="102">
        <v>26.6</v>
      </c>
      <c r="K14" s="102">
        <v>85.7</v>
      </c>
      <c r="L14" s="102">
        <v>51.6</v>
      </c>
      <c r="M14" s="102">
        <v>9.3000000000000007</v>
      </c>
      <c r="N14" s="102">
        <f t="shared" si="1"/>
        <v>53.6</v>
      </c>
      <c r="O14" s="102">
        <f t="shared" si="2"/>
        <v>766.9</v>
      </c>
      <c r="P14" s="102">
        <f t="shared" si="3"/>
        <v>146.60000000000002</v>
      </c>
      <c r="Q14" s="102">
        <f t="shared" si="4"/>
        <v>967.1</v>
      </c>
    </row>
    <row r="15" spans="1:33">
      <c r="A15" s="102">
        <v>1970</v>
      </c>
      <c r="B15" s="102">
        <v>13.9</v>
      </c>
      <c r="C15" s="102">
        <v>8.4</v>
      </c>
      <c r="D15" s="102">
        <v>24.8</v>
      </c>
      <c r="E15" s="102">
        <v>97.2</v>
      </c>
      <c r="F15" s="102">
        <v>113.8</v>
      </c>
      <c r="G15" s="102">
        <v>96.2</v>
      </c>
      <c r="H15" s="102">
        <v>287.10000000000002</v>
      </c>
      <c r="I15" s="102">
        <v>70.099999999999994</v>
      </c>
      <c r="J15" s="102">
        <v>251.8</v>
      </c>
      <c r="K15" s="102">
        <v>70.8</v>
      </c>
      <c r="L15" s="102">
        <v>36</v>
      </c>
      <c r="M15" s="102">
        <v>45</v>
      </c>
      <c r="N15" s="102">
        <f t="shared" si="1"/>
        <v>144.30000000000001</v>
      </c>
      <c r="O15" s="102">
        <f t="shared" si="2"/>
        <v>819</v>
      </c>
      <c r="P15" s="102">
        <f t="shared" si="3"/>
        <v>151.80000000000001</v>
      </c>
      <c r="Q15" s="102">
        <f t="shared" si="4"/>
        <v>1115.1000000000001</v>
      </c>
    </row>
    <row r="16" spans="1:33">
      <c r="A16" s="102">
        <v>1971</v>
      </c>
      <c r="B16" s="102">
        <v>10.5</v>
      </c>
      <c r="C16" s="102">
        <v>11</v>
      </c>
      <c r="D16" s="102">
        <v>27.6</v>
      </c>
      <c r="E16" s="102">
        <v>108.5</v>
      </c>
      <c r="F16" s="102">
        <v>203.9</v>
      </c>
      <c r="G16" s="102">
        <v>282.10000000000002</v>
      </c>
      <c r="H16" s="102">
        <v>65.2</v>
      </c>
      <c r="I16" s="102">
        <v>106.9</v>
      </c>
      <c r="J16" s="102">
        <v>180.6</v>
      </c>
      <c r="K16" s="102">
        <v>69</v>
      </c>
      <c r="L16" s="102">
        <v>37.5</v>
      </c>
      <c r="M16" s="102">
        <v>30.2</v>
      </c>
      <c r="N16" s="102">
        <f t="shared" si="1"/>
        <v>157.6</v>
      </c>
      <c r="O16" s="102">
        <f t="shared" si="2"/>
        <v>838.7</v>
      </c>
      <c r="P16" s="102">
        <f t="shared" si="3"/>
        <v>136.69999999999999</v>
      </c>
      <c r="Q16" s="102">
        <f t="shared" si="4"/>
        <v>1133.0000000000002</v>
      </c>
    </row>
    <row r="17" spans="1:17">
      <c r="A17" s="102">
        <v>1972</v>
      </c>
      <c r="B17" s="102">
        <v>7.1</v>
      </c>
      <c r="C17" s="102">
        <v>11.5</v>
      </c>
      <c r="D17" s="102">
        <v>7.3</v>
      </c>
      <c r="E17" s="102">
        <v>52</v>
      </c>
      <c r="F17" s="102">
        <v>169.9</v>
      </c>
      <c r="G17" s="102">
        <v>90.7</v>
      </c>
      <c r="H17" s="102">
        <v>55.4</v>
      </c>
      <c r="I17" s="102">
        <v>64.900000000000006</v>
      </c>
      <c r="J17" s="102">
        <v>136.30000000000001</v>
      </c>
      <c r="K17" s="102">
        <v>32.9</v>
      </c>
      <c r="L17" s="102">
        <v>43.3</v>
      </c>
      <c r="M17" s="102">
        <v>9.1</v>
      </c>
      <c r="N17" s="102">
        <f t="shared" si="1"/>
        <v>77.900000000000006</v>
      </c>
      <c r="O17" s="102">
        <f t="shared" si="2"/>
        <v>517.20000000000005</v>
      </c>
      <c r="P17" s="102">
        <f t="shared" si="3"/>
        <v>85.299999999999983</v>
      </c>
      <c r="Q17" s="102">
        <f t="shared" si="4"/>
        <v>680.39999999999986</v>
      </c>
    </row>
    <row r="18" spans="1:17">
      <c r="A18" s="102">
        <v>1973</v>
      </c>
      <c r="B18" s="102">
        <v>8.8000000000000007</v>
      </c>
      <c r="C18" s="102">
        <v>7.6</v>
      </c>
      <c r="D18" s="102">
        <v>22.7</v>
      </c>
      <c r="E18" s="102">
        <v>44.1</v>
      </c>
      <c r="F18" s="102">
        <v>135.4</v>
      </c>
      <c r="G18" s="102">
        <v>210.3</v>
      </c>
      <c r="H18" s="102">
        <v>52.3</v>
      </c>
      <c r="I18" s="102">
        <v>121.5</v>
      </c>
      <c r="J18" s="102">
        <v>98.4</v>
      </c>
      <c r="K18" s="102">
        <v>29.1</v>
      </c>
      <c r="L18" s="102">
        <v>50.6</v>
      </c>
      <c r="M18" s="102">
        <v>5.7</v>
      </c>
      <c r="N18" s="102">
        <f t="shared" si="1"/>
        <v>83.199999999999989</v>
      </c>
      <c r="O18" s="102">
        <f t="shared" si="2"/>
        <v>617.9</v>
      </c>
      <c r="P18" s="102">
        <f t="shared" si="3"/>
        <v>85.4</v>
      </c>
      <c r="Q18" s="102">
        <f t="shared" si="4"/>
        <v>786.50000000000011</v>
      </c>
    </row>
    <row r="19" spans="1:17">
      <c r="A19" s="102">
        <v>1974</v>
      </c>
      <c r="B19" s="102">
        <v>7.5</v>
      </c>
      <c r="C19" s="102">
        <v>4.0999999999999996</v>
      </c>
      <c r="D19" s="102">
        <v>36.799999999999997</v>
      </c>
      <c r="E19" s="102">
        <v>186.9</v>
      </c>
      <c r="F19" s="102">
        <v>187.7</v>
      </c>
      <c r="G19" s="102">
        <v>78.5</v>
      </c>
      <c r="H19" s="102">
        <v>159.30000000000001</v>
      </c>
      <c r="I19" s="102">
        <v>232</v>
      </c>
      <c r="J19" s="102">
        <v>77.7</v>
      </c>
      <c r="K19" s="102">
        <v>67.099999999999994</v>
      </c>
      <c r="L19" s="102">
        <v>12.7</v>
      </c>
      <c r="M19" s="102">
        <v>12.4</v>
      </c>
      <c r="N19" s="102">
        <f t="shared" si="1"/>
        <v>235.3</v>
      </c>
      <c r="O19" s="102">
        <f t="shared" si="2"/>
        <v>735.2</v>
      </c>
      <c r="P19" s="102">
        <f t="shared" si="3"/>
        <v>92.2</v>
      </c>
      <c r="Q19" s="102">
        <f t="shared" si="4"/>
        <v>1062.7</v>
      </c>
    </row>
    <row r="20" spans="1:17">
      <c r="A20" s="102">
        <v>1975</v>
      </c>
      <c r="B20" s="102">
        <v>15.5</v>
      </c>
      <c r="C20" s="102">
        <v>10.1</v>
      </c>
      <c r="D20" s="102">
        <v>29.5</v>
      </c>
      <c r="E20" s="102">
        <v>79.5</v>
      </c>
      <c r="F20" s="102">
        <v>117.9</v>
      </c>
      <c r="G20" s="102">
        <v>147.1</v>
      </c>
      <c r="H20" s="102">
        <v>77.900000000000006</v>
      </c>
      <c r="I20" s="102">
        <v>189.8</v>
      </c>
      <c r="J20" s="102">
        <v>153.9</v>
      </c>
      <c r="K20" s="102">
        <v>64.900000000000006</v>
      </c>
      <c r="L20" s="102">
        <v>60.4</v>
      </c>
      <c r="M20" s="102">
        <v>2.5</v>
      </c>
      <c r="N20" s="102">
        <f t="shared" si="1"/>
        <v>134.6</v>
      </c>
      <c r="O20" s="102">
        <f t="shared" si="2"/>
        <v>686.6</v>
      </c>
      <c r="P20" s="102">
        <f t="shared" si="3"/>
        <v>127.80000000000001</v>
      </c>
      <c r="Q20" s="102">
        <f t="shared" si="4"/>
        <v>948.99999999999989</v>
      </c>
    </row>
    <row r="21" spans="1:17">
      <c r="A21" s="102">
        <v>1976</v>
      </c>
      <c r="B21" s="102">
        <v>25.8</v>
      </c>
      <c r="C21" s="102">
        <v>7.8</v>
      </c>
      <c r="D21" s="102">
        <v>20.3</v>
      </c>
      <c r="E21" s="102">
        <v>82.5</v>
      </c>
      <c r="F21" s="102">
        <v>156</v>
      </c>
      <c r="G21" s="102">
        <v>228.7</v>
      </c>
      <c r="H21" s="102">
        <v>154.6</v>
      </c>
      <c r="I21" s="102">
        <v>65.599999999999994</v>
      </c>
      <c r="J21" s="102">
        <v>131.9</v>
      </c>
      <c r="K21" s="102">
        <v>162.1</v>
      </c>
      <c r="L21" s="102">
        <v>37.799999999999997</v>
      </c>
      <c r="M21" s="102">
        <v>17.5</v>
      </c>
      <c r="N21" s="102">
        <f t="shared" si="1"/>
        <v>136.4</v>
      </c>
      <c r="O21" s="102">
        <f t="shared" si="2"/>
        <v>736.8</v>
      </c>
      <c r="P21" s="102">
        <f t="shared" si="3"/>
        <v>217.39999999999998</v>
      </c>
      <c r="Q21" s="102">
        <f t="shared" si="4"/>
        <v>1090.5999999999999</v>
      </c>
    </row>
    <row r="22" spans="1:17">
      <c r="A22" s="102">
        <v>1977</v>
      </c>
      <c r="B22" s="102">
        <v>11.3</v>
      </c>
      <c r="C22" s="102">
        <v>21.7</v>
      </c>
      <c r="D22" s="102">
        <v>22.7</v>
      </c>
      <c r="E22" s="102">
        <v>126.7</v>
      </c>
      <c r="F22" s="102">
        <v>129.19999999999999</v>
      </c>
      <c r="G22" s="102">
        <v>203.8</v>
      </c>
      <c r="H22" s="102">
        <v>126.3</v>
      </c>
      <c r="I22" s="102">
        <v>88.9</v>
      </c>
      <c r="J22" s="102">
        <v>138.5</v>
      </c>
      <c r="K22" s="102">
        <v>129</v>
      </c>
      <c r="L22" s="102">
        <v>31.1</v>
      </c>
      <c r="M22" s="102">
        <v>2.6</v>
      </c>
      <c r="N22" s="102">
        <f t="shared" si="1"/>
        <v>182.4</v>
      </c>
      <c r="O22" s="102">
        <f t="shared" si="2"/>
        <v>686.7</v>
      </c>
      <c r="P22" s="102">
        <f t="shared" si="3"/>
        <v>162.69999999999999</v>
      </c>
      <c r="Q22" s="102">
        <f t="shared" si="4"/>
        <v>1031.8</v>
      </c>
    </row>
    <row r="23" spans="1:17">
      <c r="A23" s="102">
        <v>1978</v>
      </c>
      <c r="B23" s="102">
        <v>7.6</v>
      </c>
      <c r="C23" s="102">
        <v>2.5</v>
      </c>
      <c r="D23" s="102">
        <v>17.2</v>
      </c>
      <c r="E23" s="102">
        <v>42</v>
      </c>
      <c r="F23" s="102">
        <v>235.8</v>
      </c>
      <c r="G23" s="102">
        <v>256.7</v>
      </c>
      <c r="H23" s="102">
        <v>80.7</v>
      </c>
      <c r="I23" s="102">
        <v>124</v>
      </c>
      <c r="J23" s="102">
        <v>55.7</v>
      </c>
      <c r="K23" s="102">
        <v>80.3</v>
      </c>
      <c r="L23" s="102">
        <v>52.4</v>
      </c>
      <c r="M23" s="102">
        <v>1.6</v>
      </c>
      <c r="N23" s="102">
        <f t="shared" si="1"/>
        <v>69.3</v>
      </c>
      <c r="O23" s="102">
        <f t="shared" si="2"/>
        <v>752.90000000000009</v>
      </c>
      <c r="P23" s="102">
        <f t="shared" si="3"/>
        <v>134.29999999999998</v>
      </c>
      <c r="Q23" s="102">
        <f t="shared" si="4"/>
        <v>956.5</v>
      </c>
    </row>
    <row r="24" spans="1:17">
      <c r="A24" s="102">
        <v>1979</v>
      </c>
      <c r="B24" s="102">
        <v>4</v>
      </c>
      <c r="C24" s="102">
        <v>11.2</v>
      </c>
      <c r="D24" s="102">
        <v>15.5</v>
      </c>
      <c r="E24" s="102">
        <v>64.7</v>
      </c>
      <c r="F24" s="102">
        <v>96.6</v>
      </c>
      <c r="G24" s="102">
        <v>137.80000000000001</v>
      </c>
      <c r="H24" s="102">
        <v>211.4</v>
      </c>
      <c r="I24" s="102">
        <v>319.3</v>
      </c>
      <c r="J24" s="102">
        <v>166.7</v>
      </c>
      <c r="K24" s="102">
        <v>43</v>
      </c>
      <c r="L24" s="102">
        <v>4.8</v>
      </c>
      <c r="M24" s="102">
        <v>32.1</v>
      </c>
      <c r="N24" s="102">
        <f t="shared" si="1"/>
        <v>95.4</v>
      </c>
      <c r="O24" s="102">
        <f t="shared" si="2"/>
        <v>931.8</v>
      </c>
      <c r="P24" s="102">
        <f t="shared" si="3"/>
        <v>79.900000000000006</v>
      </c>
      <c r="Q24" s="102">
        <f t="shared" si="4"/>
        <v>1107.0999999999999</v>
      </c>
    </row>
    <row r="25" spans="1:17">
      <c r="A25" s="102">
        <v>1980</v>
      </c>
      <c r="B25" s="102">
        <v>11.4</v>
      </c>
      <c r="C25" s="102">
        <v>8.5</v>
      </c>
      <c r="D25" s="102">
        <v>10.4</v>
      </c>
      <c r="E25" s="102">
        <v>58</v>
      </c>
      <c r="F25" s="102">
        <v>274.60000000000002</v>
      </c>
      <c r="G25" s="102">
        <v>264.10000000000002</v>
      </c>
      <c r="H25" s="102">
        <v>173.5</v>
      </c>
      <c r="I25" s="102">
        <v>121.3</v>
      </c>
      <c r="J25" s="102">
        <v>68.3</v>
      </c>
      <c r="K25" s="102">
        <v>118.9</v>
      </c>
      <c r="L25" s="102">
        <v>28.1</v>
      </c>
      <c r="M25" s="102">
        <v>21.2</v>
      </c>
      <c r="N25" s="102">
        <f t="shared" si="1"/>
        <v>88.3</v>
      </c>
      <c r="O25" s="102">
        <f t="shared" si="2"/>
        <v>901.8</v>
      </c>
      <c r="P25" s="102">
        <f t="shared" si="3"/>
        <v>168.2</v>
      </c>
      <c r="Q25" s="102">
        <f t="shared" si="4"/>
        <v>1158.3</v>
      </c>
    </row>
    <row r="26" spans="1:17">
      <c r="A26" s="102">
        <v>1981</v>
      </c>
      <c r="B26" s="102">
        <v>12.6</v>
      </c>
      <c r="C26" s="102">
        <v>7.8</v>
      </c>
      <c r="D26" s="102">
        <v>20.3</v>
      </c>
      <c r="E26" s="102">
        <v>76.099999999999994</v>
      </c>
      <c r="F26" s="102">
        <v>88.3</v>
      </c>
      <c r="G26" s="102">
        <v>90.3</v>
      </c>
      <c r="H26" s="102">
        <v>171.1</v>
      </c>
      <c r="I26" s="102">
        <v>75.099999999999994</v>
      </c>
      <c r="J26" s="102">
        <v>108.7</v>
      </c>
      <c r="K26" s="102">
        <v>52.4</v>
      </c>
      <c r="L26" s="102">
        <v>29.1</v>
      </c>
      <c r="M26" s="102">
        <v>9.5</v>
      </c>
      <c r="N26" s="102">
        <f t="shared" si="1"/>
        <v>116.8</v>
      </c>
      <c r="O26" s="102">
        <f t="shared" si="2"/>
        <v>533.5</v>
      </c>
      <c r="P26" s="102">
        <f t="shared" si="3"/>
        <v>91</v>
      </c>
      <c r="Q26" s="102">
        <f t="shared" si="4"/>
        <v>741.30000000000007</v>
      </c>
    </row>
    <row r="27" spans="1:17">
      <c r="A27" s="102">
        <v>1982</v>
      </c>
      <c r="B27" s="102">
        <v>15.7</v>
      </c>
      <c r="C27" s="102">
        <v>26.5</v>
      </c>
      <c r="D27" s="102">
        <v>6.4</v>
      </c>
      <c r="E27" s="102">
        <v>78.8</v>
      </c>
      <c r="F27" s="102">
        <v>162.9</v>
      </c>
      <c r="G27" s="102">
        <v>167.5</v>
      </c>
      <c r="H27" s="102">
        <v>96.6</v>
      </c>
      <c r="I27" s="102">
        <v>266.8</v>
      </c>
      <c r="J27" s="102">
        <v>150.5</v>
      </c>
      <c r="K27" s="102">
        <v>97.6</v>
      </c>
      <c r="L27" s="102">
        <v>62</v>
      </c>
      <c r="M27" s="102">
        <v>14.3</v>
      </c>
      <c r="N27" s="102">
        <f t="shared" si="1"/>
        <v>127.4</v>
      </c>
      <c r="O27" s="102">
        <f t="shared" si="2"/>
        <v>844.3</v>
      </c>
      <c r="P27" s="102">
        <f t="shared" si="3"/>
        <v>173.9</v>
      </c>
      <c r="Q27" s="102">
        <f t="shared" si="4"/>
        <v>1145.5999999999999</v>
      </c>
    </row>
    <row r="28" spans="1:17">
      <c r="A28" s="102">
        <v>1983</v>
      </c>
      <c r="B28" s="102">
        <v>30.1</v>
      </c>
      <c r="C28" s="102">
        <v>18.3</v>
      </c>
      <c r="D28" s="102">
        <v>39.299999999999997</v>
      </c>
      <c r="E28" s="102">
        <v>53.1</v>
      </c>
      <c r="F28" s="102">
        <v>154.30000000000001</v>
      </c>
      <c r="G28" s="102">
        <v>179</v>
      </c>
      <c r="H28" s="102">
        <v>185</v>
      </c>
      <c r="I28" s="102">
        <v>187</v>
      </c>
      <c r="J28" s="102">
        <v>77.099999999999994</v>
      </c>
      <c r="K28" s="102">
        <v>77</v>
      </c>
      <c r="L28" s="102">
        <v>67.099999999999994</v>
      </c>
      <c r="M28" s="102">
        <v>14.6</v>
      </c>
      <c r="N28" s="102">
        <f t="shared" si="1"/>
        <v>140.80000000000001</v>
      </c>
      <c r="O28" s="102">
        <f t="shared" si="2"/>
        <v>782.4</v>
      </c>
      <c r="P28" s="102">
        <f t="shared" si="3"/>
        <v>158.69999999999999</v>
      </c>
      <c r="Q28" s="102">
        <f t="shared" si="4"/>
        <v>1081.8999999999999</v>
      </c>
    </row>
    <row r="29" spans="1:17">
      <c r="A29" s="102">
        <v>1984</v>
      </c>
      <c r="B29" s="102">
        <v>4.9000000000000004</v>
      </c>
      <c r="C29" s="102">
        <v>6.1</v>
      </c>
      <c r="D29" s="102">
        <v>6</v>
      </c>
      <c r="E29" s="102">
        <v>137.4</v>
      </c>
      <c r="F29" s="102">
        <v>227.2</v>
      </c>
      <c r="G29" s="102">
        <v>48</v>
      </c>
      <c r="H29" s="102">
        <v>185.4</v>
      </c>
      <c r="I29" s="102">
        <v>209.6</v>
      </c>
      <c r="J29" s="102">
        <v>163.4</v>
      </c>
      <c r="K29" s="102">
        <v>41.2</v>
      </c>
      <c r="L29" s="102">
        <v>9.3000000000000007</v>
      </c>
      <c r="M29" s="102">
        <v>17.5</v>
      </c>
      <c r="N29" s="102">
        <f t="shared" si="1"/>
        <v>154.4</v>
      </c>
      <c r="O29" s="102">
        <f t="shared" si="2"/>
        <v>833.6</v>
      </c>
      <c r="P29" s="102">
        <f t="shared" si="3"/>
        <v>68</v>
      </c>
      <c r="Q29" s="102">
        <f t="shared" si="4"/>
        <v>1056</v>
      </c>
    </row>
    <row r="30" spans="1:17">
      <c r="A30" s="102">
        <v>1985</v>
      </c>
      <c r="B30" s="102">
        <v>6.4</v>
      </c>
      <c r="C30" s="102">
        <v>8.9</v>
      </c>
      <c r="D30" s="102">
        <v>20.8</v>
      </c>
      <c r="E30" s="102">
        <v>77.2</v>
      </c>
      <c r="F30" s="102">
        <v>78.400000000000006</v>
      </c>
      <c r="G30" s="102">
        <v>278.5</v>
      </c>
      <c r="H30" s="102">
        <v>121.8</v>
      </c>
      <c r="I30" s="102">
        <v>149.19999999999999</v>
      </c>
      <c r="J30" s="102">
        <v>60.4</v>
      </c>
      <c r="K30" s="102">
        <v>30.5</v>
      </c>
      <c r="L30" s="102">
        <v>37.799999999999997</v>
      </c>
      <c r="M30" s="102">
        <v>13</v>
      </c>
      <c r="N30" s="102">
        <f t="shared" si="1"/>
        <v>113.30000000000001</v>
      </c>
      <c r="O30" s="102">
        <f t="shared" si="2"/>
        <v>688.3</v>
      </c>
      <c r="P30" s="102">
        <f t="shared" si="3"/>
        <v>81.3</v>
      </c>
      <c r="Q30" s="102">
        <f t="shared" si="4"/>
        <v>882.9</v>
      </c>
    </row>
    <row r="31" spans="1:17">
      <c r="A31" s="102">
        <v>1986</v>
      </c>
      <c r="B31" s="102">
        <v>6.2</v>
      </c>
      <c r="C31" s="102">
        <v>16</v>
      </c>
      <c r="D31" s="102">
        <v>16</v>
      </c>
      <c r="E31" s="102">
        <v>65.900000000000006</v>
      </c>
      <c r="F31" s="102">
        <v>96.9</v>
      </c>
      <c r="G31" s="102">
        <v>189.6</v>
      </c>
      <c r="H31" s="102">
        <v>205.6</v>
      </c>
      <c r="I31" s="102">
        <v>168.5</v>
      </c>
      <c r="J31" s="102">
        <v>171.5</v>
      </c>
      <c r="K31" s="102">
        <v>62.8</v>
      </c>
      <c r="L31" s="102">
        <v>29.2</v>
      </c>
      <c r="M31" s="102">
        <v>1.4</v>
      </c>
      <c r="N31" s="102">
        <f t="shared" si="1"/>
        <v>104.10000000000001</v>
      </c>
      <c r="O31" s="102">
        <f t="shared" si="2"/>
        <v>832.1</v>
      </c>
      <c r="P31" s="102">
        <f t="shared" si="3"/>
        <v>93.4</v>
      </c>
      <c r="Q31" s="102">
        <f t="shared" si="4"/>
        <v>1029.6000000000001</v>
      </c>
    </row>
    <row r="32" spans="1:17">
      <c r="A32" s="102">
        <v>1987</v>
      </c>
      <c r="B32" s="102">
        <v>9.8000000000000007</v>
      </c>
      <c r="C32" s="102">
        <v>12.1</v>
      </c>
      <c r="D32" s="102">
        <v>18</v>
      </c>
      <c r="E32" s="102">
        <v>64.8</v>
      </c>
      <c r="F32" s="102">
        <v>85.6</v>
      </c>
      <c r="G32" s="102">
        <v>49.5</v>
      </c>
      <c r="H32" s="102">
        <v>210.8</v>
      </c>
      <c r="I32" s="102">
        <v>89.4</v>
      </c>
      <c r="J32" s="102">
        <v>148.19999999999999</v>
      </c>
      <c r="K32" s="102">
        <v>133</v>
      </c>
      <c r="L32" s="102">
        <v>44</v>
      </c>
      <c r="M32" s="102">
        <v>4</v>
      </c>
      <c r="N32" s="102">
        <f t="shared" si="1"/>
        <v>104.69999999999999</v>
      </c>
      <c r="O32" s="102">
        <f t="shared" si="2"/>
        <v>583.5</v>
      </c>
      <c r="P32" s="102">
        <f t="shared" si="3"/>
        <v>181</v>
      </c>
      <c r="Q32" s="102">
        <f t="shared" si="4"/>
        <v>869.2</v>
      </c>
    </row>
    <row r="33" spans="1:17">
      <c r="A33" s="102">
        <v>1988</v>
      </c>
      <c r="B33" s="102">
        <v>8.9</v>
      </c>
      <c r="C33" s="102">
        <v>12.7</v>
      </c>
      <c r="D33" s="102">
        <v>5.6</v>
      </c>
      <c r="E33" s="102">
        <v>83</v>
      </c>
      <c r="F33" s="102">
        <v>96.4</v>
      </c>
      <c r="G33" s="102">
        <v>168.8</v>
      </c>
      <c r="H33" s="102">
        <v>150.19999999999999</v>
      </c>
      <c r="I33" s="102">
        <v>213.1</v>
      </c>
      <c r="J33" s="102">
        <v>159.80000000000001</v>
      </c>
      <c r="K33" s="102">
        <v>47.6</v>
      </c>
      <c r="L33" s="102">
        <v>3.3</v>
      </c>
      <c r="M33" s="102">
        <v>6.8</v>
      </c>
      <c r="N33" s="102">
        <f t="shared" si="1"/>
        <v>110.2</v>
      </c>
      <c r="O33" s="102">
        <f t="shared" si="2"/>
        <v>788.3</v>
      </c>
      <c r="P33" s="102">
        <f t="shared" si="3"/>
        <v>57.699999999999996</v>
      </c>
      <c r="Q33" s="102">
        <f t="shared" si="4"/>
        <v>956.19999999999993</v>
      </c>
    </row>
    <row r="34" spans="1:17">
      <c r="A34" s="102">
        <v>1989</v>
      </c>
      <c r="B34" s="102">
        <v>10.199999999999999</v>
      </c>
      <c r="C34" s="102">
        <v>19.5</v>
      </c>
      <c r="D34" s="102">
        <v>37.1</v>
      </c>
      <c r="E34" s="102">
        <v>22</v>
      </c>
      <c r="F34" s="102">
        <v>114.6</v>
      </c>
      <c r="G34" s="102">
        <v>231.4</v>
      </c>
      <c r="H34" s="102">
        <v>86</v>
      </c>
      <c r="I34" s="102">
        <v>111</v>
      </c>
      <c r="J34" s="102">
        <v>100.6</v>
      </c>
      <c r="K34" s="102">
        <v>48.3</v>
      </c>
      <c r="L34" s="102">
        <v>17.3</v>
      </c>
      <c r="M34" s="102">
        <v>20.9</v>
      </c>
      <c r="N34" s="102">
        <f t="shared" si="1"/>
        <v>88.8</v>
      </c>
      <c r="O34" s="102">
        <f t="shared" si="2"/>
        <v>643.6</v>
      </c>
      <c r="P34" s="102">
        <f t="shared" si="3"/>
        <v>86.5</v>
      </c>
      <c r="Q34" s="102">
        <f t="shared" si="4"/>
        <v>818.89999999999986</v>
      </c>
    </row>
    <row r="35" spans="1:17">
      <c r="A35" s="102">
        <v>1990</v>
      </c>
      <c r="B35" s="102">
        <v>8.5</v>
      </c>
      <c r="C35" s="102">
        <v>11.4</v>
      </c>
      <c r="D35" s="102">
        <v>30.7</v>
      </c>
      <c r="E35" s="102">
        <v>38.1</v>
      </c>
      <c r="F35" s="102">
        <v>122.8</v>
      </c>
      <c r="G35" s="102">
        <v>212.5</v>
      </c>
      <c r="H35" s="102">
        <v>146.80000000000001</v>
      </c>
      <c r="I35" s="102">
        <v>14.9</v>
      </c>
      <c r="J35" s="102">
        <v>71.5</v>
      </c>
      <c r="K35" s="102">
        <v>68.8</v>
      </c>
      <c r="L35" s="102">
        <v>22.7</v>
      </c>
      <c r="M35" s="102">
        <v>5.6</v>
      </c>
      <c r="N35" s="102">
        <f t="shared" si="1"/>
        <v>88.699999999999989</v>
      </c>
      <c r="O35" s="102">
        <f t="shared" si="2"/>
        <v>568.5</v>
      </c>
      <c r="P35" s="102">
        <f t="shared" si="3"/>
        <v>97.1</v>
      </c>
      <c r="Q35" s="102">
        <f t="shared" si="4"/>
        <v>754.3</v>
      </c>
    </row>
    <row r="36" spans="1:17">
      <c r="A36" s="102">
        <v>1991</v>
      </c>
      <c r="B36" s="102">
        <v>34.6</v>
      </c>
      <c r="C36" s="102">
        <v>4.7</v>
      </c>
      <c r="D36" s="102">
        <v>9.6</v>
      </c>
      <c r="E36" s="102">
        <v>40.5</v>
      </c>
      <c r="F36" s="102">
        <v>41.2</v>
      </c>
      <c r="G36" s="102">
        <v>185.4</v>
      </c>
      <c r="H36" s="102">
        <v>198.7</v>
      </c>
      <c r="I36" s="102">
        <v>148.30000000000001</v>
      </c>
      <c r="J36" s="102">
        <v>69.7</v>
      </c>
      <c r="K36" s="102">
        <v>53.7</v>
      </c>
      <c r="L36" s="102">
        <v>30.2</v>
      </c>
      <c r="M36" s="102">
        <v>13.8</v>
      </c>
      <c r="N36" s="102">
        <f t="shared" si="1"/>
        <v>89.4</v>
      </c>
      <c r="O36" s="102">
        <f t="shared" si="2"/>
        <v>643.30000000000007</v>
      </c>
      <c r="P36" s="102">
        <f t="shared" si="3"/>
        <v>97.7</v>
      </c>
      <c r="Q36" s="102">
        <f t="shared" si="4"/>
        <v>830.40000000000009</v>
      </c>
    </row>
    <row r="37" spans="1:17">
      <c r="A37" s="102">
        <v>1992</v>
      </c>
      <c r="B37" s="102">
        <v>27.3</v>
      </c>
      <c r="C37" s="102">
        <v>19.899999999999999</v>
      </c>
      <c r="D37" s="102">
        <v>33.4</v>
      </c>
      <c r="E37" s="102">
        <v>127.9</v>
      </c>
      <c r="F37" s="102">
        <v>183</v>
      </c>
      <c r="G37" s="102">
        <v>185.9</v>
      </c>
      <c r="H37" s="102">
        <v>128.19999999999999</v>
      </c>
      <c r="I37" s="102">
        <v>52.7</v>
      </c>
      <c r="J37" s="102">
        <v>46.1</v>
      </c>
      <c r="K37" s="102">
        <v>150.5</v>
      </c>
      <c r="L37" s="102">
        <v>10.4</v>
      </c>
      <c r="M37" s="102">
        <v>11.7</v>
      </c>
      <c r="N37" s="102">
        <f t="shared" si="1"/>
        <v>208.5</v>
      </c>
      <c r="O37" s="102">
        <f t="shared" si="2"/>
        <v>595.9</v>
      </c>
      <c r="P37" s="102">
        <f t="shared" si="3"/>
        <v>172.6</v>
      </c>
      <c r="Q37" s="102">
        <f t="shared" si="4"/>
        <v>977</v>
      </c>
    </row>
    <row r="38" spans="1:17">
      <c r="A38" s="102">
        <v>1993</v>
      </c>
      <c r="B38" s="102">
        <v>24.6</v>
      </c>
      <c r="C38" s="102">
        <v>25.1</v>
      </c>
      <c r="D38" s="102">
        <v>5.0999999999999996</v>
      </c>
      <c r="E38" s="102">
        <v>52.3</v>
      </c>
      <c r="F38" s="102">
        <v>143.1</v>
      </c>
      <c r="G38" s="102">
        <v>104.7</v>
      </c>
      <c r="H38" s="102">
        <v>137.9</v>
      </c>
      <c r="I38" s="102">
        <v>271.8</v>
      </c>
      <c r="J38" s="102">
        <v>140.6</v>
      </c>
      <c r="K38" s="102">
        <v>22.8</v>
      </c>
      <c r="L38" s="102">
        <v>51.5</v>
      </c>
      <c r="M38" s="102">
        <v>6.5</v>
      </c>
      <c r="N38" s="102">
        <f t="shared" si="1"/>
        <v>107.1</v>
      </c>
      <c r="O38" s="102">
        <f t="shared" si="2"/>
        <v>798.1</v>
      </c>
      <c r="P38" s="102">
        <f t="shared" si="3"/>
        <v>80.8</v>
      </c>
      <c r="Q38" s="102">
        <f t="shared" si="4"/>
        <v>985.99999999999989</v>
      </c>
    </row>
    <row r="39" spans="1:17">
      <c r="A39" s="102">
        <v>1994</v>
      </c>
      <c r="B39" s="102">
        <v>7.8</v>
      </c>
      <c r="C39" s="102">
        <v>1.7</v>
      </c>
      <c r="D39" s="102">
        <v>16.600000000000001</v>
      </c>
      <c r="E39" s="102">
        <v>38.299999999999997</v>
      </c>
      <c r="F39" s="102">
        <v>90.5</v>
      </c>
      <c r="G39" s="102">
        <v>189.4</v>
      </c>
      <c r="H39" s="102">
        <v>80.599999999999994</v>
      </c>
      <c r="I39" s="102">
        <v>186.2</v>
      </c>
      <c r="J39" s="102">
        <v>124.2</v>
      </c>
      <c r="K39" s="102">
        <v>89.3</v>
      </c>
      <c r="L39" s="102">
        <v>47.5</v>
      </c>
      <c r="M39" s="102">
        <v>28.3</v>
      </c>
      <c r="N39" s="102">
        <f t="shared" si="1"/>
        <v>64.400000000000006</v>
      </c>
      <c r="O39" s="102">
        <f t="shared" si="2"/>
        <v>670.90000000000009</v>
      </c>
      <c r="P39" s="102">
        <f t="shared" si="3"/>
        <v>165.10000000000002</v>
      </c>
      <c r="Q39" s="102">
        <f t="shared" si="4"/>
        <v>900.39999999999986</v>
      </c>
    </row>
    <row r="40" spans="1:17">
      <c r="A40" s="102">
        <v>1995</v>
      </c>
      <c r="B40" s="102">
        <v>27.9</v>
      </c>
      <c r="C40" s="102">
        <v>29.5</v>
      </c>
      <c r="D40" s="102">
        <v>18.2</v>
      </c>
      <c r="E40" s="102">
        <v>15.5</v>
      </c>
      <c r="F40" s="102">
        <v>73.099999999999994</v>
      </c>
      <c r="G40" s="102">
        <v>280.8</v>
      </c>
      <c r="H40" s="102">
        <v>99.6</v>
      </c>
      <c r="I40" s="102">
        <v>163.19999999999999</v>
      </c>
      <c r="J40" s="102">
        <v>138.80000000000001</v>
      </c>
      <c r="K40" s="102">
        <v>46.2</v>
      </c>
      <c r="L40" s="102">
        <v>40.9</v>
      </c>
      <c r="M40" s="102">
        <v>2.8</v>
      </c>
      <c r="N40" s="102">
        <f t="shared" si="1"/>
        <v>91.1</v>
      </c>
      <c r="O40" s="102">
        <f t="shared" si="2"/>
        <v>755.5</v>
      </c>
      <c r="P40" s="102">
        <f t="shared" si="3"/>
        <v>89.899999999999991</v>
      </c>
      <c r="Q40" s="102">
        <f t="shared" si="4"/>
        <v>936.49999999999989</v>
      </c>
    </row>
    <row r="41" spans="1:17">
      <c r="A41" s="102">
        <v>1996</v>
      </c>
      <c r="B41" s="102">
        <v>10.4</v>
      </c>
      <c r="C41" s="102">
        <v>2.8</v>
      </c>
      <c r="D41" s="102">
        <v>19.8</v>
      </c>
      <c r="E41" s="102">
        <v>60.4</v>
      </c>
      <c r="F41" s="102">
        <v>225.3</v>
      </c>
      <c r="G41" s="102">
        <v>250.3</v>
      </c>
      <c r="H41" s="102">
        <v>207.9</v>
      </c>
      <c r="I41" s="102">
        <v>79.900000000000006</v>
      </c>
      <c r="J41" s="102">
        <v>137.1</v>
      </c>
      <c r="K41" s="102">
        <v>31.3</v>
      </c>
      <c r="L41" s="102">
        <v>55.9</v>
      </c>
      <c r="M41" s="102">
        <v>14.5</v>
      </c>
      <c r="N41" s="102">
        <f t="shared" si="1"/>
        <v>93.4</v>
      </c>
      <c r="O41" s="102">
        <f t="shared" si="2"/>
        <v>900.5</v>
      </c>
      <c r="P41" s="102">
        <f t="shared" si="3"/>
        <v>101.7</v>
      </c>
      <c r="Q41" s="102">
        <f t="shared" si="4"/>
        <v>1095.6000000000001</v>
      </c>
    </row>
    <row r="42" spans="1:17">
      <c r="A42" s="102">
        <v>1997</v>
      </c>
      <c r="B42" s="102">
        <v>33.5</v>
      </c>
      <c r="C42" s="102">
        <v>11.6</v>
      </c>
      <c r="D42" s="102">
        <v>21.4</v>
      </c>
      <c r="E42" s="102">
        <v>95.5</v>
      </c>
      <c r="F42" s="102">
        <v>69.599999999999994</v>
      </c>
      <c r="G42" s="102">
        <v>156.9</v>
      </c>
      <c r="H42" s="102">
        <v>190.2</v>
      </c>
      <c r="I42" s="102">
        <v>68.2</v>
      </c>
      <c r="J42" s="102">
        <v>174.5</v>
      </c>
      <c r="K42" s="102">
        <v>90</v>
      </c>
      <c r="L42" s="102">
        <v>3</v>
      </c>
      <c r="M42" s="102">
        <v>5.2</v>
      </c>
      <c r="N42" s="102">
        <f t="shared" si="1"/>
        <v>162</v>
      </c>
      <c r="O42" s="102">
        <f t="shared" si="2"/>
        <v>659.4</v>
      </c>
      <c r="P42" s="102">
        <f t="shared" si="3"/>
        <v>98.2</v>
      </c>
      <c r="Q42" s="102">
        <f t="shared" si="4"/>
        <v>919.60000000000014</v>
      </c>
    </row>
    <row r="43" spans="1:17">
      <c r="A43" s="102">
        <v>1998</v>
      </c>
      <c r="B43" s="102">
        <v>10.4</v>
      </c>
      <c r="C43" s="102">
        <v>6.1</v>
      </c>
      <c r="D43" s="102">
        <v>3.6</v>
      </c>
      <c r="E43" s="102">
        <v>51.5</v>
      </c>
      <c r="F43" s="102">
        <v>121</v>
      </c>
      <c r="G43" s="102">
        <v>144.19999999999999</v>
      </c>
      <c r="H43" s="102">
        <v>221.7</v>
      </c>
      <c r="I43" s="102">
        <v>270.89999999999998</v>
      </c>
      <c r="J43" s="102">
        <v>51.9</v>
      </c>
      <c r="K43" s="102">
        <v>54.2</v>
      </c>
      <c r="L43" s="102">
        <v>18</v>
      </c>
      <c r="M43" s="102">
        <v>8</v>
      </c>
      <c r="N43" s="102">
        <f t="shared" si="1"/>
        <v>71.599999999999994</v>
      </c>
      <c r="O43" s="102">
        <f t="shared" si="2"/>
        <v>809.69999999999993</v>
      </c>
      <c r="P43" s="102">
        <f t="shared" si="3"/>
        <v>80.2</v>
      </c>
      <c r="Q43" s="102">
        <f t="shared" si="4"/>
        <v>961.5</v>
      </c>
    </row>
    <row r="44" spans="1:17">
      <c r="A44" s="102">
        <v>1999</v>
      </c>
      <c r="B44" s="102">
        <v>16.3</v>
      </c>
      <c r="C44" s="102">
        <v>18.600000000000001</v>
      </c>
      <c r="D44" s="102">
        <v>10</v>
      </c>
      <c r="E44" s="102">
        <v>60.5</v>
      </c>
      <c r="F44" s="102">
        <v>104.7</v>
      </c>
      <c r="G44" s="102">
        <v>178.8</v>
      </c>
      <c r="H44" s="102">
        <v>281.60000000000002</v>
      </c>
      <c r="I44" s="102">
        <v>214.3</v>
      </c>
      <c r="J44" s="102">
        <v>67.099999999999994</v>
      </c>
      <c r="K44" s="102">
        <v>68.400000000000006</v>
      </c>
      <c r="L44" s="102">
        <v>36.299999999999997</v>
      </c>
      <c r="M44" s="102">
        <v>2.1</v>
      </c>
      <c r="N44" s="102">
        <f t="shared" si="1"/>
        <v>105.4</v>
      </c>
      <c r="O44" s="102">
        <f t="shared" si="2"/>
        <v>846.50000000000011</v>
      </c>
      <c r="P44" s="102">
        <f t="shared" si="3"/>
        <v>106.8</v>
      </c>
      <c r="Q44" s="102">
        <f t="shared" si="4"/>
        <v>1058.6999999999998</v>
      </c>
    </row>
    <row r="45" spans="1:17">
      <c r="A45" s="102">
        <v>2000</v>
      </c>
      <c r="B45" s="102">
        <v>15.6</v>
      </c>
      <c r="C45" s="102">
        <v>10.7</v>
      </c>
      <c r="D45" s="102">
        <v>24.1</v>
      </c>
      <c r="E45" s="102">
        <v>82.4</v>
      </c>
      <c r="F45" s="102">
        <v>212.7</v>
      </c>
      <c r="G45" s="102">
        <v>161</v>
      </c>
      <c r="H45" s="102">
        <v>166.1</v>
      </c>
      <c r="I45" s="102">
        <v>208.4</v>
      </c>
      <c r="J45" s="102">
        <v>109.6</v>
      </c>
      <c r="K45" s="102">
        <v>93.3</v>
      </c>
      <c r="L45" s="102">
        <v>28.8</v>
      </c>
      <c r="M45" s="102">
        <v>14.7</v>
      </c>
      <c r="N45" s="102">
        <f t="shared" si="1"/>
        <v>132.80000000000001</v>
      </c>
      <c r="O45" s="102">
        <f t="shared" si="2"/>
        <v>857.8</v>
      </c>
      <c r="P45" s="102">
        <f t="shared" si="3"/>
        <v>136.79999999999998</v>
      </c>
      <c r="Q45" s="102">
        <f t="shared" si="4"/>
        <v>1127.4000000000001</v>
      </c>
    </row>
    <row r="46" spans="1:17">
      <c r="A46" s="102">
        <v>2001</v>
      </c>
      <c r="B46" s="102">
        <v>4.9000000000000004</v>
      </c>
      <c r="C46" s="102">
        <v>5.2</v>
      </c>
      <c r="D46" s="102">
        <v>19.100000000000001</v>
      </c>
      <c r="E46" s="102">
        <v>47</v>
      </c>
      <c r="F46" s="102">
        <v>172.4</v>
      </c>
      <c r="G46" s="102">
        <v>337.7</v>
      </c>
      <c r="H46" s="102">
        <v>208.3</v>
      </c>
      <c r="I46" s="102">
        <v>87.8</v>
      </c>
      <c r="J46" s="102">
        <v>56.8</v>
      </c>
      <c r="K46" s="102">
        <v>145.80000000000001</v>
      </c>
      <c r="L46" s="102">
        <v>13.9</v>
      </c>
      <c r="M46" s="102">
        <v>3.8</v>
      </c>
      <c r="N46" s="102">
        <f t="shared" si="1"/>
        <v>76.2</v>
      </c>
      <c r="O46" s="102">
        <f t="shared" si="2"/>
        <v>863</v>
      </c>
      <c r="P46" s="102">
        <f t="shared" si="3"/>
        <v>163.50000000000003</v>
      </c>
      <c r="Q46" s="102">
        <f t="shared" si="4"/>
        <v>1102.6999999999998</v>
      </c>
    </row>
    <row r="47" spans="1:17">
      <c r="A47" s="102">
        <v>2002</v>
      </c>
      <c r="B47" s="102">
        <v>3.5</v>
      </c>
      <c r="C47" s="102">
        <v>15.1</v>
      </c>
      <c r="D47" s="102">
        <v>19.8</v>
      </c>
      <c r="E47" s="102">
        <v>62.5</v>
      </c>
      <c r="F47" s="102">
        <v>220.7</v>
      </c>
      <c r="G47" s="102">
        <v>138.6</v>
      </c>
      <c r="H47" s="102">
        <v>228.9</v>
      </c>
      <c r="I47" s="102">
        <v>283.3</v>
      </c>
      <c r="J47" s="102">
        <v>33.700000000000003</v>
      </c>
      <c r="K47" s="102">
        <v>105.8</v>
      </c>
      <c r="L47" s="102">
        <v>13.7</v>
      </c>
      <c r="M47" s="102">
        <v>12</v>
      </c>
      <c r="N47" s="102">
        <f t="shared" si="1"/>
        <v>100.9</v>
      </c>
      <c r="O47" s="102">
        <f t="shared" si="2"/>
        <v>905.2</v>
      </c>
      <c r="P47" s="102">
        <f t="shared" si="3"/>
        <v>131.5</v>
      </c>
      <c r="Q47" s="102">
        <f t="shared" si="4"/>
        <v>1137.6000000000001</v>
      </c>
    </row>
    <row r="48" spans="1:17">
      <c r="A48" s="102">
        <v>2003</v>
      </c>
      <c r="B48" s="102">
        <v>12.3</v>
      </c>
      <c r="C48" s="102">
        <v>0.2</v>
      </c>
      <c r="D48" s="102">
        <v>12.6</v>
      </c>
      <c r="E48" s="102">
        <v>118.4</v>
      </c>
      <c r="F48" s="102">
        <v>130.5</v>
      </c>
      <c r="G48" s="102">
        <v>271</v>
      </c>
      <c r="H48" s="102">
        <v>116.6</v>
      </c>
      <c r="I48" s="102">
        <v>46.3</v>
      </c>
      <c r="J48" s="102">
        <v>58.7</v>
      </c>
      <c r="K48" s="102">
        <v>47.8</v>
      </c>
      <c r="L48" s="102">
        <v>16.399999999999999</v>
      </c>
      <c r="M48" s="102">
        <v>44.7</v>
      </c>
      <c r="N48" s="102">
        <f t="shared" si="1"/>
        <v>143.5</v>
      </c>
      <c r="O48" s="102">
        <f t="shared" si="2"/>
        <v>623.1</v>
      </c>
      <c r="P48" s="102">
        <f t="shared" si="3"/>
        <v>108.89999999999999</v>
      </c>
      <c r="Q48" s="102">
        <f t="shared" si="4"/>
        <v>875.5</v>
      </c>
    </row>
    <row r="49" spans="1:33">
      <c r="A49" s="102">
        <v>2004</v>
      </c>
      <c r="B49" s="102">
        <v>26.8</v>
      </c>
      <c r="C49" s="102">
        <v>19.399999999999999</v>
      </c>
      <c r="D49" s="102">
        <v>9.5</v>
      </c>
      <c r="E49" s="102">
        <v>154.19999999999999</v>
      </c>
      <c r="F49" s="102">
        <v>177.2</v>
      </c>
      <c r="G49" s="102">
        <v>106.8</v>
      </c>
      <c r="H49" s="102">
        <v>240.6</v>
      </c>
      <c r="I49" s="102">
        <v>168.9</v>
      </c>
      <c r="J49" s="102">
        <v>129.19999999999999</v>
      </c>
      <c r="K49" s="102">
        <v>25.8</v>
      </c>
      <c r="L49" s="102">
        <v>7.7</v>
      </c>
      <c r="M49" s="102">
        <v>9.6999999999999993</v>
      </c>
      <c r="N49" s="102">
        <f t="shared" si="1"/>
        <v>209.89999999999998</v>
      </c>
      <c r="O49" s="102">
        <f t="shared" si="2"/>
        <v>822.7</v>
      </c>
      <c r="P49" s="102">
        <f t="shared" si="3"/>
        <v>43.2</v>
      </c>
      <c r="Q49" s="102">
        <f t="shared" si="4"/>
        <v>1075.8</v>
      </c>
    </row>
    <row r="50" spans="1:33">
      <c r="A50" s="102">
        <v>2005</v>
      </c>
      <c r="B50" s="102">
        <v>16.100000000000001</v>
      </c>
      <c r="C50" s="102">
        <v>0</v>
      </c>
      <c r="D50" s="102">
        <v>36.700000000000003</v>
      </c>
      <c r="E50" s="102">
        <v>23.7</v>
      </c>
      <c r="F50" s="102">
        <v>200.1</v>
      </c>
      <c r="G50" s="102">
        <v>222.5</v>
      </c>
      <c r="H50" s="102">
        <v>175.5</v>
      </c>
      <c r="I50" s="102">
        <v>95.4</v>
      </c>
      <c r="J50" s="102">
        <v>56.7</v>
      </c>
      <c r="K50" s="102">
        <v>105.8</v>
      </c>
      <c r="L50" s="102">
        <v>6.3</v>
      </c>
      <c r="M50" s="102">
        <v>13.3</v>
      </c>
      <c r="N50" s="102">
        <f t="shared" si="1"/>
        <v>76.5</v>
      </c>
      <c r="O50" s="102">
        <f t="shared" si="2"/>
        <v>750.2</v>
      </c>
      <c r="P50" s="102">
        <f t="shared" si="3"/>
        <v>125.39999999999999</v>
      </c>
      <c r="Q50" s="102">
        <f t="shared" si="4"/>
        <v>952.09999999999991</v>
      </c>
    </row>
    <row r="51" spans="1:33">
      <c r="A51" s="102">
        <v>2006</v>
      </c>
      <c r="B51" s="102">
        <v>3.1</v>
      </c>
      <c r="C51" s="102">
        <v>15.2</v>
      </c>
      <c r="D51" s="102">
        <v>31</v>
      </c>
      <c r="E51" s="102">
        <v>31</v>
      </c>
      <c r="F51" s="102">
        <v>98.1</v>
      </c>
      <c r="G51" s="102">
        <v>126.8</v>
      </c>
      <c r="H51" s="102">
        <v>56.8</v>
      </c>
      <c r="I51" s="102">
        <v>66.900000000000006</v>
      </c>
      <c r="J51" s="102">
        <v>103</v>
      </c>
      <c r="K51" s="102">
        <v>122.2</v>
      </c>
      <c r="L51" s="102">
        <v>14.3</v>
      </c>
      <c r="M51" s="102">
        <v>9.3000000000000007</v>
      </c>
      <c r="N51" s="102">
        <f t="shared" si="1"/>
        <v>80.3</v>
      </c>
      <c r="O51" s="102">
        <f t="shared" si="2"/>
        <v>451.6</v>
      </c>
      <c r="P51" s="102">
        <f t="shared" si="3"/>
        <v>145.80000000000001</v>
      </c>
      <c r="Q51" s="102">
        <f t="shared" si="4"/>
        <v>677.69999999999993</v>
      </c>
    </row>
    <row r="52" spans="1:33">
      <c r="A52" s="102">
        <v>2007</v>
      </c>
      <c r="B52" s="102">
        <v>36.4</v>
      </c>
      <c r="C52" s="102">
        <v>15.5</v>
      </c>
      <c r="D52" s="102">
        <v>1.7</v>
      </c>
      <c r="E52" s="102">
        <v>93.2</v>
      </c>
      <c r="F52" s="102">
        <v>155.1</v>
      </c>
      <c r="G52" s="102">
        <v>231.8</v>
      </c>
      <c r="H52" s="102">
        <v>352.7</v>
      </c>
      <c r="I52" s="102">
        <v>191.3</v>
      </c>
      <c r="J52" s="102">
        <v>116.3</v>
      </c>
      <c r="K52" s="102">
        <v>35.1</v>
      </c>
      <c r="L52" s="102">
        <v>8.1</v>
      </c>
      <c r="M52" s="102">
        <v>14.4</v>
      </c>
      <c r="N52" s="102">
        <f t="shared" si="1"/>
        <v>146.80000000000001</v>
      </c>
      <c r="O52" s="102">
        <f t="shared" si="2"/>
        <v>1047.1999999999998</v>
      </c>
      <c r="P52" s="102">
        <f t="shared" si="3"/>
        <v>57.6</v>
      </c>
      <c r="Q52" s="102">
        <f t="shared" si="4"/>
        <v>1251.5999999999999</v>
      </c>
    </row>
    <row r="53" spans="1:33">
      <c r="A53" s="102">
        <v>2008</v>
      </c>
      <c r="B53" s="102">
        <v>5.5</v>
      </c>
      <c r="C53" s="102">
        <v>13.3</v>
      </c>
      <c r="D53" s="102">
        <v>30.8</v>
      </c>
      <c r="E53" s="102">
        <v>62.7</v>
      </c>
      <c r="F53" s="102">
        <v>249.3</v>
      </c>
      <c r="G53" s="102">
        <v>229.6</v>
      </c>
      <c r="H53" s="102">
        <v>286.39999999999998</v>
      </c>
      <c r="I53" s="102">
        <v>130.69999999999999</v>
      </c>
      <c r="J53" s="102">
        <v>107.7</v>
      </c>
      <c r="K53" s="102">
        <v>117.9</v>
      </c>
      <c r="L53" s="102">
        <v>89</v>
      </c>
      <c r="M53" s="102">
        <v>8.6999999999999993</v>
      </c>
      <c r="N53" s="102">
        <f t="shared" si="1"/>
        <v>112.30000000000001</v>
      </c>
      <c r="O53" s="102">
        <f t="shared" si="2"/>
        <v>1003.7</v>
      </c>
      <c r="P53" s="102">
        <f t="shared" si="3"/>
        <v>215.6</v>
      </c>
      <c r="Q53" s="102">
        <f t="shared" si="4"/>
        <v>1331.6000000000001</v>
      </c>
    </row>
    <row r="54" spans="1:33">
      <c r="A54" s="102">
        <v>2009</v>
      </c>
      <c r="B54" s="102">
        <v>9.1999999999999993</v>
      </c>
      <c r="C54" s="102">
        <v>15.4</v>
      </c>
      <c r="D54" s="102">
        <v>23.6</v>
      </c>
      <c r="E54" s="102">
        <v>159.6</v>
      </c>
      <c r="F54" s="102">
        <v>150.80000000000001</v>
      </c>
      <c r="G54" s="102">
        <v>115.2</v>
      </c>
      <c r="H54" s="102">
        <v>69.8</v>
      </c>
      <c r="I54" s="102">
        <v>104.2</v>
      </c>
      <c r="J54" s="102">
        <v>11.8</v>
      </c>
      <c r="K54" s="102">
        <v>71.5</v>
      </c>
      <c r="L54" s="102">
        <v>2.5</v>
      </c>
      <c r="M54" s="102">
        <v>9.6</v>
      </c>
      <c r="N54" s="102">
        <f t="shared" si="1"/>
        <v>207.8</v>
      </c>
      <c r="O54" s="102">
        <f t="shared" si="2"/>
        <v>451.8</v>
      </c>
      <c r="P54" s="102">
        <f t="shared" si="3"/>
        <v>83.6</v>
      </c>
      <c r="Q54" s="102">
        <f t="shared" si="4"/>
        <v>743.2</v>
      </c>
    </row>
    <row r="55" spans="1:33">
      <c r="A55" s="102">
        <v>2010</v>
      </c>
      <c r="B55" s="102">
        <v>1.2</v>
      </c>
      <c r="C55" s="102">
        <v>0.4</v>
      </c>
      <c r="D55" s="102">
        <v>5</v>
      </c>
      <c r="E55" s="102">
        <v>35.200000000000003</v>
      </c>
      <c r="F55" s="102">
        <v>46.2</v>
      </c>
      <c r="G55" s="102">
        <v>189.9</v>
      </c>
      <c r="H55" s="102">
        <v>151.1</v>
      </c>
      <c r="I55" s="102">
        <v>103.3</v>
      </c>
      <c r="J55" s="102">
        <v>97.8</v>
      </c>
      <c r="K55" s="102">
        <v>77.099999999999994</v>
      </c>
      <c r="L55" s="102">
        <v>27.4</v>
      </c>
      <c r="M55" s="102">
        <v>20</v>
      </c>
      <c r="N55" s="102">
        <f t="shared" si="1"/>
        <v>41.800000000000004</v>
      </c>
      <c r="O55" s="102">
        <f t="shared" si="2"/>
        <v>588.30000000000007</v>
      </c>
      <c r="P55" s="102">
        <f t="shared" si="3"/>
        <v>124.5</v>
      </c>
      <c r="Q55" s="102">
        <f t="shared" si="4"/>
        <v>754.59999999999991</v>
      </c>
    </row>
    <row r="56" spans="1:33">
      <c r="A56" s="102">
        <v>2011</v>
      </c>
      <c r="B56" s="102">
        <v>6.9</v>
      </c>
      <c r="C56" s="102">
        <v>1.9</v>
      </c>
      <c r="D56" s="102">
        <v>13.1</v>
      </c>
      <c r="E56" s="102">
        <v>25.4</v>
      </c>
      <c r="F56" s="102">
        <v>51.4</v>
      </c>
      <c r="G56" s="102">
        <v>197.2</v>
      </c>
      <c r="H56" s="102">
        <v>26.4</v>
      </c>
      <c r="I56" s="102">
        <v>71.3</v>
      </c>
      <c r="J56" s="102">
        <v>133.1</v>
      </c>
      <c r="K56" s="102">
        <v>72.8</v>
      </c>
      <c r="L56" s="102">
        <v>46.7</v>
      </c>
      <c r="M56" s="102">
        <v>11.1</v>
      </c>
      <c r="N56" s="102">
        <f t="shared" si="1"/>
        <v>47.3</v>
      </c>
      <c r="O56" s="102">
        <f t="shared" si="2"/>
        <v>479.4</v>
      </c>
      <c r="P56" s="102">
        <f t="shared" si="3"/>
        <v>130.6</v>
      </c>
      <c r="Q56" s="102">
        <f t="shared" si="4"/>
        <v>657.3</v>
      </c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</row>
    <row r="57" spans="1:33">
      <c r="A57" s="102">
        <v>2012</v>
      </c>
      <c r="B57" s="102">
        <v>6.7</v>
      </c>
      <c r="C57" s="102">
        <v>5.2</v>
      </c>
      <c r="D57" s="102">
        <v>16.3</v>
      </c>
      <c r="E57" s="102">
        <v>18.7</v>
      </c>
      <c r="F57" s="102">
        <v>253.1</v>
      </c>
      <c r="G57" s="102">
        <v>223.9</v>
      </c>
      <c r="H57" s="102">
        <v>332.1</v>
      </c>
      <c r="I57" s="102">
        <v>30.2</v>
      </c>
      <c r="J57" s="102">
        <v>120.3</v>
      </c>
      <c r="K57" s="102">
        <v>49.1</v>
      </c>
      <c r="L57" s="102">
        <v>10.199999999999999</v>
      </c>
      <c r="M57" s="102">
        <v>2.8</v>
      </c>
      <c r="N57" s="102">
        <f t="shared" si="1"/>
        <v>46.900000000000006</v>
      </c>
      <c r="O57" s="102">
        <f t="shared" si="2"/>
        <v>959.6</v>
      </c>
      <c r="P57" s="102">
        <f t="shared" si="3"/>
        <v>62.099999999999994</v>
      </c>
      <c r="Q57" s="102">
        <f t="shared" si="4"/>
        <v>1068.5999999999999</v>
      </c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</row>
    <row r="58" spans="1:33">
      <c r="A58" s="102">
        <v>2013</v>
      </c>
      <c r="B58" s="102">
        <v>4.0999999999999996</v>
      </c>
      <c r="C58" s="102">
        <v>12.2</v>
      </c>
      <c r="D58" s="102">
        <v>35.9</v>
      </c>
      <c r="E58" s="102">
        <v>56.1</v>
      </c>
      <c r="F58" s="102">
        <v>146.80000000000001</v>
      </c>
      <c r="G58" s="102">
        <v>214.6</v>
      </c>
      <c r="H58" s="102">
        <v>20.7</v>
      </c>
      <c r="I58" s="102">
        <v>120.2</v>
      </c>
      <c r="J58" s="102">
        <v>99.9</v>
      </c>
      <c r="K58" s="102">
        <v>63.7</v>
      </c>
      <c r="L58" s="102">
        <v>18.5</v>
      </c>
      <c r="M58" s="102">
        <v>22.1</v>
      </c>
      <c r="N58" s="102">
        <f t="shared" si="1"/>
        <v>108.3</v>
      </c>
      <c r="O58" s="102">
        <f t="shared" si="2"/>
        <v>602.19999999999993</v>
      </c>
      <c r="P58" s="102">
        <f t="shared" si="3"/>
        <v>104.30000000000001</v>
      </c>
      <c r="Q58" s="102">
        <f t="shared" si="4"/>
        <v>814.80000000000007</v>
      </c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</row>
    <row r="59" spans="1:33">
      <c r="A59" s="102">
        <v>2014</v>
      </c>
      <c r="B59" s="128">
        <v>9.3000000000000007</v>
      </c>
      <c r="C59" s="128">
        <v>18.8</v>
      </c>
      <c r="D59" s="128">
        <v>57.1</v>
      </c>
      <c r="E59" s="128">
        <v>31</v>
      </c>
      <c r="F59" s="128">
        <v>62.1</v>
      </c>
      <c r="G59" s="128">
        <v>93.1</v>
      </c>
      <c r="H59" s="128">
        <v>286.2</v>
      </c>
      <c r="I59" s="128">
        <v>149.19999999999999</v>
      </c>
      <c r="J59" s="128">
        <v>196.7</v>
      </c>
      <c r="K59" s="128">
        <v>88.6</v>
      </c>
      <c r="L59" s="128">
        <v>39</v>
      </c>
      <c r="M59" s="128">
        <v>13.9</v>
      </c>
      <c r="N59" s="102">
        <f t="shared" si="1"/>
        <v>116.2</v>
      </c>
      <c r="O59" s="102">
        <f t="shared" si="2"/>
        <v>787.3</v>
      </c>
      <c r="P59" s="102">
        <f t="shared" si="3"/>
        <v>141.5</v>
      </c>
      <c r="Q59" s="102">
        <f t="shared" si="4"/>
        <v>1045</v>
      </c>
    </row>
    <row r="60" spans="1:33">
      <c r="A60" s="102">
        <v>2015</v>
      </c>
      <c r="B60" s="128">
        <v>37.5</v>
      </c>
      <c r="C60" s="128">
        <v>4.5</v>
      </c>
      <c r="D60" s="128">
        <v>10</v>
      </c>
      <c r="E60" s="128">
        <v>65.5</v>
      </c>
      <c r="F60" s="128">
        <v>181</v>
      </c>
      <c r="G60" s="128">
        <v>187.5</v>
      </c>
      <c r="H60" s="128">
        <v>88.5</v>
      </c>
      <c r="I60" s="128">
        <v>171</v>
      </c>
      <c r="J60" s="128">
        <v>127.5</v>
      </c>
      <c r="K60" s="128">
        <v>133.5</v>
      </c>
      <c r="L60" s="128">
        <v>6</v>
      </c>
      <c r="M60" s="128">
        <v>19</v>
      </c>
      <c r="N60" s="102">
        <f>SUM(B60:E60)</f>
        <v>117.5</v>
      </c>
      <c r="O60" s="102">
        <f>SUM(F60:J60)</f>
        <v>755.5</v>
      </c>
      <c r="P60" s="102">
        <f>SUM(K60:M60)</f>
        <v>158.5</v>
      </c>
      <c r="Q60" s="102">
        <f>SUM(B60:M60)</f>
        <v>1031.5</v>
      </c>
    </row>
    <row r="61" spans="1:33">
      <c r="A61" s="102">
        <v>2016</v>
      </c>
      <c r="B61" s="128">
        <v>14</v>
      </c>
      <c r="C61" s="128">
        <v>9.5</v>
      </c>
      <c r="D61" s="128">
        <v>37.5</v>
      </c>
      <c r="E61" s="128">
        <v>127</v>
      </c>
      <c r="F61" s="128">
        <v>69</v>
      </c>
      <c r="G61" s="128">
        <v>317</v>
      </c>
      <c r="H61" s="128">
        <v>80.5</v>
      </c>
      <c r="I61" s="128">
        <v>70.5</v>
      </c>
      <c r="J61" s="128">
        <v>16.5</v>
      </c>
      <c r="K61" s="128">
        <v>52.5</v>
      </c>
      <c r="L61" s="128">
        <v>39.5</v>
      </c>
      <c r="M61" s="128">
        <v>9.5</v>
      </c>
      <c r="N61" s="102">
        <f>SUM(B61:E61)</f>
        <v>188</v>
      </c>
      <c r="O61" s="102">
        <f>SUM(F61:J61)</f>
        <v>553.5</v>
      </c>
      <c r="P61" s="102">
        <f>SUM(K61:M61)</f>
        <v>101.5</v>
      </c>
      <c r="Q61" s="102">
        <f>SUM(B61:M61)</f>
        <v>843</v>
      </c>
      <c r="R61" s="108">
        <f t="shared" ref="R61:AG61" si="5">100*(B61-B4)/B4</f>
        <v>8.9040144464508959</v>
      </c>
      <c r="S61" s="108">
        <f t="shared" si="5"/>
        <v>-20.371201915880874</v>
      </c>
      <c r="T61" s="108">
        <f t="shared" si="5"/>
        <v>86.467767714437926</v>
      </c>
      <c r="U61" s="108">
        <f t="shared" si="5"/>
        <v>82.032249808036866</v>
      </c>
      <c r="V61" s="108">
        <f t="shared" si="5"/>
        <v>-52.070257262646074</v>
      </c>
      <c r="W61" s="108">
        <f t="shared" si="5"/>
        <v>72.508624459452875</v>
      </c>
      <c r="X61" s="108">
        <f t="shared" si="5"/>
        <v>-49.93725498906128</v>
      </c>
      <c r="Y61" s="108">
        <f t="shared" si="5"/>
        <v>-51.398463659641514</v>
      </c>
      <c r="Z61" s="108">
        <f t="shared" si="5"/>
        <v>-84.929294906297415</v>
      </c>
      <c r="AA61" s="108">
        <f t="shared" si="5"/>
        <v>-31.994818652849769</v>
      </c>
      <c r="AB61" s="108">
        <f t="shared" si="5"/>
        <v>24.570591879258867</v>
      </c>
      <c r="AC61" s="108">
        <f t="shared" si="5"/>
        <v>-29.88929889298894</v>
      </c>
      <c r="AD61" s="108">
        <f t="shared" si="5"/>
        <v>63.956892792624416</v>
      </c>
      <c r="AE61" s="108">
        <f t="shared" si="5"/>
        <v>-25.510618509875908</v>
      </c>
      <c r="AF61" s="108">
        <f t="shared" si="5"/>
        <v>-17.115067734079958</v>
      </c>
      <c r="AG61" s="108">
        <f t="shared" si="5"/>
        <v>-13.995576623878202</v>
      </c>
    </row>
  </sheetData>
  <mergeCells count="6">
    <mergeCell ref="A1:A3"/>
    <mergeCell ref="B2:M2"/>
    <mergeCell ref="B1:Q1"/>
    <mergeCell ref="R1:AG1"/>
    <mergeCell ref="N2:Q2"/>
    <mergeCell ref="R2:AG2"/>
  </mergeCells>
  <phoneticPr fontId="2" type="noConversion"/>
  <pageMargins left="0.75" right="0.75" top="1" bottom="1" header="0.5" footer="0.5"/>
  <headerFooter alignWithMargins="0"/>
</worksheet>
</file>

<file path=xl/worksheets/sheet65.xml><?xml version="1.0" encoding="utf-8"?>
<worksheet xmlns="http://schemas.openxmlformats.org/spreadsheetml/2006/main" xmlns:r="http://schemas.openxmlformats.org/officeDocument/2006/relationships">
  <sheetPr codeName="Sheet65"/>
  <dimension ref="A1:AG35"/>
  <sheetViews>
    <sheetView zoomScale="85" zoomScaleNormal="85" workbookViewId="0">
      <pane ySplit="5" topLeftCell="A6" activePane="bottomLeft" state="frozen"/>
      <selection pane="bottomLeft" activeCell="S42" sqref="S42"/>
    </sheetView>
  </sheetViews>
  <sheetFormatPr defaultRowHeight="12"/>
  <cols>
    <col min="1" max="1" width="11.25" style="102" bestFit="1" customWidth="1"/>
    <col min="2" max="77" width="7.125" style="102" customWidth="1"/>
    <col min="78" max="16384" width="9" style="102"/>
  </cols>
  <sheetData>
    <row r="1" spans="1:33" s="118" customFormat="1" ht="14.25" customHeight="1">
      <c r="A1" s="176" t="s">
        <v>53</v>
      </c>
      <c r="B1" s="176" t="s">
        <v>171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2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116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32</v>
      </c>
      <c r="O2" s="176"/>
      <c r="P2" s="176"/>
      <c r="Q2" s="176"/>
      <c r="R2" s="176" t="s">
        <v>38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 ht="24">
      <c r="A3" s="176"/>
      <c r="B3" s="136" t="s">
        <v>149</v>
      </c>
      <c r="C3" s="136" t="s">
        <v>150</v>
      </c>
      <c r="D3" s="136" t="s">
        <v>9</v>
      </c>
      <c r="E3" s="136" t="s">
        <v>10</v>
      </c>
      <c r="F3" s="136" t="s">
        <v>11</v>
      </c>
      <c r="G3" s="136" t="s">
        <v>12</v>
      </c>
      <c r="H3" s="136" t="s">
        <v>13</v>
      </c>
      <c r="I3" s="136" t="s">
        <v>14</v>
      </c>
      <c r="J3" s="136" t="s">
        <v>15</v>
      </c>
      <c r="K3" s="136" t="s">
        <v>16</v>
      </c>
      <c r="L3" s="136" t="s">
        <v>17</v>
      </c>
      <c r="M3" s="136" t="s">
        <v>18</v>
      </c>
      <c r="N3" s="136" t="s">
        <v>145</v>
      </c>
      <c r="O3" s="136" t="s">
        <v>146</v>
      </c>
      <c r="P3" s="136" t="s">
        <v>147</v>
      </c>
      <c r="Q3" s="136" t="s">
        <v>148</v>
      </c>
      <c r="R3" s="136" t="s">
        <v>149</v>
      </c>
      <c r="S3" s="136" t="s">
        <v>150</v>
      </c>
      <c r="T3" s="136" t="s">
        <v>151</v>
      </c>
      <c r="U3" s="136" t="s">
        <v>152</v>
      </c>
      <c r="V3" s="136" t="s">
        <v>153</v>
      </c>
      <c r="W3" s="136" t="s">
        <v>154</v>
      </c>
      <c r="X3" s="136" t="s">
        <v>25</v>
      </c>
      <c r="Y3" s="136" t="s">
        <v>26</v>
      </c>
      <c r="Z3" s="136" t="s">
        <v>27</v>
      </c>
      <c r="AA3" s="136" t="s">
        <v>155</v>
      </c>
      <c r="AB3" s="136" t="s">
        <v>156</v>
      </c>
      <c r="AC3" s="136" t="s">
        <v>157</v>
      </c>
      <c r="AD3" s="136" t="s">
        <v>132</v>
      </c>
      <c r="AE3" s="136" t="s">
        <v>42</v>
      </c>
      <c r="AF3" s="136" t="s">
        <v>91</v>
      </c>
      <c r="AG3" s="136" t="s">
        <v>66</v>
      </c>
    </row>
    <row r="4" spans="1:33" s="118" customFormat="1">
      <c r="A4" s="150" t="s">
        <v>261</v>
      </c>
      <c r="B4" s="150">
        <f t="shared" ref="B4:Q4" si="0">AVERAGE(B5:B34)</f>
        <v>14.693333333333337</v>
      </c>
      <c r="C4" s="150">
        <f t="shared" si="0"/>
        <v>15.31</v>
      </c>
      <c r="D4" s="150">
        <f t="shared" si="0"/>
        <v>27.936666666666667</v>
      </c>
      <c r="E4" s="150">
        <f t="shared" si="0"/>
        <v>47.983333333333334</v>
      </c>
      <c r="F4" s="150">
        <f t="shared" si="0"/>
        <v>89.01666666666668</v>
      </c>
      <c r="G4" s="150">
        <f t="shared" si="0"/>
        <v>145.13999999999999</v>
      </c>
      <c r="H4" s="150">
        <f t="shared" si="0"/>
        <v>181.73666666666665</v>
      </c>
      <c r="I4" s="150">
        <f t="shared" si="0"/>
        <v>151.2466666666667</v>
      </c>
      <c r="J4" s="150">
        <f t="shared" si="0"/>
        <v>83.27000000000001</v>
      </c>
      <c r="K4" s="150">
        <f t="shared" si="0"/>
        <v>64.143333333333331</v>
      </c>
      <c r="L4" s="150">
        <f t="shared" si="0"/>
        <v>21.343333333333337</v>
      </c>
      <c r="M4" s="150">
        <f t="shared" si="0"/>
        <v>10.726666666666668</v>
      </c>
      <c r="N4" s="150">
        <f t="shared" si="0"/>
        <v>105.92333333333336</v>
      </c>
      <c r="O4" s="150">
        <f t="shared" si="0"/>
        <v>650.41</v>
      </c>
      <c r="P4" s="150">
        <f t="shared" si="0"/>
        <v>96.21333333333331</v>
      </c>
      <c r="Q4" s="150">
        <f t="shared" si="0"/>
        <v>852.54666666666651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1986</v>
      </c>
      <c r="B5" s="103">
        <v>6.8</v>
      </c>
      <c r="C5" s="103">
        <v>21.6</v>
      </c>
      <c r="D5" s="103">
        <v>13.7</v>
      </c>
      <c r="E5" s="103">
        <v>26.7</v>
      </c>
      <c r="F5" s="103">
        <v>78.7</v>
      </c>
      <c r="G5" s="103">
        <v>156.6</v>
      </c>
      <c r="H5" s="103">
        <v>335.3</v>
      </c>
      <c r="I5" s="103">
        <v>88</v>
      </c>
      <c r="J5" s="103">
        <v>72.3</v>
      </c>
      <c r="K5" s="103">
        <v>57.3</v>
      </c>
      <c r="L5" s="103">
        <v>46.8</v>
      </c>
      <c r="M5" s="103">
        <v>3</v>
      </c>
      <c r="N5" s="102">
        <f>SUM(B5:E5)</f>
        <v>68.8</v>
      </c>
      <c r="O5" s="102">
        <f>SUM(F5:J5)</f>
        <v>730.9</v>
      </c>
      <c r="P5" s="102">
        <f>SUM(K5:M5)</f>
        <v>107.1</v>
      </c>
      <c r="Q5" s="102">
        <f>SUM(B5:M5)</f>
        <v>906.8</v>
      </c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</row>
    <row r="6" spans="1:33">
      <c r="A6" s="102">
        <v>1987</v>
      </c>
      <c r="B6" s="103">
        <v>14.2</v>
      </c>
      <c r="C6" s="103">
        <v>13.9</v>
      </c>
      <c r="D6" s="103">
        <v>7.8</v>
      </c>
      <c r="E6" s="103">
        <v>25.5</v>
      </c>
      <c r="F6" s="103">
        <v>89.6</v>
      </c>
      <c r="G6" s="103">
        <v>157.5</v>
      </c>
      <c r="H6" s="103">
        <v>96</v>
      </c>
      <c r="I6" s="103">
        <v>237.6</v>
      </c>
      <c r="J6" s="103">
        <v>100.6</v>
      </c>
      <c r="K6" s="103">
        <v>49.5</v>
      </c>
      <c r="L6" s="103">
        <v>23.2</v>
      </c>
      <c r="M6" s="103">
        <v>6.1</v>
      </c>
      <c r="N6" s="102">
        <f t="shared" ref="N6:N34" si="1">SUM(B6:E6)</f>
        <v>61.4</v>
      </c>
      <c r="O6" s="102">
        <f t="shared" ref="O6:O34" si="2">SUM(F6:J6)</f>
        <v>681.30000000000007</v>
      </c>
      <c r="P6" s="102">
        <f t="shared" ref="P6:P34" si="3">SUM(K6:M6)</f>
        <v>78.8</v>
      </c>
      <c r="Q6" s="102">
        <f t="shared" ref="Q6:Q34" si="4">SUM(B6:M6)</f>
        <v>821.50000000000011</v>
      </c>
      <c r="R6" s="103"/>
      <c r="S6" s="103"/>
      <c r="T6" s="103"/>
      <c r="U6" s="103"/>
      <c r="V6" s="103"/>
      <c r="W6" s="103"/>
      <c r="X6" s="103"/>
      <c r="Y6" s="103"/>
      <c r="Z6" s="103"/>
      <c r="AA6" s="103"/>
      <c r="AB6" s="103"/>
      <c r="AC6" s="103"/>
      <c r="AD6" s="103"/>
      <c r="AE6" s="103"/>
    </row>
    <row r="7" spans="1:33">
      <c r="A7" s="102">
        <v>1988</v>
      </c>
      <c r="B7" s="103">
        <v>7.8</v>
      </c>
      <c r="C7" s="103">
        <v>20.9</v>
      </c>
      <c r="D7" s="103">
        <v>17.399999999999999</v>
      </c>
      <c r="E7" s="103">
        <v>31.1</v>
      </c>
      <c r="F7" s="103">
        <v>40</v>
      </c>
      <c r="G7" s="103">
        <v>73</v>
      </c>
      <c r="H7" s="103">
        <v>117.7</v>
      </c>
      <c r="I7" s="103">
        <v>121.9</v>
      </c>
      <c r="J7" s="103">
        <v>94.8</v>
      </c>
      <c r="K7" s="103">
        <v>45.2</v>
      </c>
      <c r="L7" s="103">
        <v>7.4</v>
      </c>
      <c r="M7" s="103">
        <v>5.2</v>
      </c>
      <c r="N7" s="102">
        <f t="shared" si="1"/>
        <v>77.199999999999989</v>
      </c>
      <c r="O7" s="102">
        <f t="shared" si="2"/>
        <v>447.40000000000003</v>
      </c>
      <c r="P7" s="102">
        <f t="shared" si="3"/>
        <v>57.800000000000004</v>
      </c>
      <c r="Q7" s="102">
        <f t="shared" si="4"/>
        <v>582.4</v>
      </c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</row>
    <row r="8" spans="1:33">
      <c r="A8" s="102">
        <v>1989</v>
      </c>
      <c r="B8" s="103">
        <v>8.9</v>
      </c>
      <c r="C8" s="103">
        <v>16.399999999999999</v>
      </c>
      <c r="D8" s="103">
        <v>54</v>
      </c>
      <c r="E8" s="103">
        <v>23.7</v>
      </c>
      <c r="F8" s="103">
        <v>32.9</v>
      </c>
      <c r="G8" s="103">
        <v>122.4</v>
      </c>
      <c r="H8" s="103">
        <v>31.2</v>
      </c>
      <c r="I8" s="103">
        <v>109.6</v>
      </c>
      <c r="J8" s="103">
        <v>74.7</v>
      </c>
      <c r="K8" s="103">
        <v>32.799999999999997</v>
      </c>
      <c r="L8" s="103">
        <v>18.899999999999999</v>
      </c>
      <c r="M8" s="103">
        <v>16.3</v>
      </c>
      <c r="N8" s="102">
        <f t="shared" si="1"/>
        <v>103</v>
      </c>
      <c r="O8" s="102">
        <f t="shared" si="2"/>
        <v>370.8</v>
      </c>
      <c r="P8" s="102">
        <f t="shared" si="3"/>
        <v>68</v>
      </c>
      <c r="Q8" s="102">
        <f t="shared" si="4"/>
        <v>541.79999999999995</v>
      </c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</row>
    <row r="9" spans="1:33">
      <c r="A9" s="102">
        <v>1990</v>
      </c>
      <c r="B9" s="103">
        <v>12.9</v>
      </c>
      <c r="C9" s="103">
        <v>9.6999999999999993</v>
      </c>
      <c r="D9" s="103">
        <v>42.4</v>
      </c>
      <c r="E9" s="103">
        <v>59.3</v>
      </c>
      <c r="F9" s="103">
        <v>79.900000000000006</v>
      </c>
      <c r="G9" s="103">
        <v>124.4</v>
      </c>
      <c r="H9" s="103">
        <v>160.1</v>
      </c>
      <c r="I9" s="103">
        <v>108.9</v>
      </c>
      <c r="J9" s="103">
        <v>118.7</v>
      </c>
      <c r="K9" s="103">
        <v>75.099999999999994</v>
      </c>
      <c r="L9" s="103">
        <v>29.4</v>
      </c>
      <c r="M9" s="103">
        <v>5.2</v>
      </c>
      <c r="N9" s="102">
        <f t="shared" si="1"/>
        <v>124.3</v>
      </c>
      <c r="O9" s="102">
        <f t="shared" si="2"/>
        <v>592</v>
      </c>
      <c r="P9" s="102">
        <f t="shared" si="3"/>
        <v>109.7</v>
      </c>
      <c r="Q9" s="102">
        <f t="shared" si="4"/>
        <v>826.00000000000011</v>
      </c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</row>
    <row r="10" spans="1:33">
      <c r="A10" s="102">
        <v>1991</v>
      </c>
      <c r="B10" s="103">
        <v>28.1</v>
      </c>
      <c r="C10" s="103">
        <v>13.8</v>
      </c>
      <c r="D10" s="103">
        <v>13.1</v>
      </c>
      <c r="E10" s="103">
        <v>27.8</v>
      </c>
      <c r="F10" s="103">
        <v>55.7</v>
      </c>
      <c r="G10" s="103">
        <v>60.9</v>
      </c>
      <c r="H10" s="103">
        <v>221</v>
      </c>
      <c r="I10" s="103">
        <v>230.6</v>
      </c>
      <c r="J10" s="103">
        <v>72.900000000000006</v>
      </c>
      <c r="K10" s="103">
        <v>117.8</v>
      </c>
      <c r="L10" s="103">
        <v>27.3</v>
      </c>
      <c r="M10" s="103">
        <v>5.3</v>
      </c>
      <c r="N10" s="102">
        <f t="shared" si="1"/>
        <v>82.800000000000011</v>
      </c>
      <c r="O10" s="102">
        <f t="shared" si="2"/>
        <v>641.1</v>
      </c>
      <c r="P10" s="102">
        <f t="shared" si="3"/>
        <v>150.4</v>
      </c>
      <c r="Q10" s="102">
        <f t="shared" si="4"/>
        <v>874.29999999999984</v>
      </c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</row>
    <row r="11" spans="1:33">
      <c r="A11" s="102">
        <v>1992</v>
      </c>
      <c r="B11" s="103">
        <v>20.6</v>
      </c>
      <c r="C11" s="103">
        <v>27.9</v>
      </c>
      <c r="D11" s="103">
        <v>37.9</v>
      </c>
      <c r="E11" s="103">
        <v>133.5</v>
      </c>
      <c r="F11" s="103">
        <v>87.4</v>
      </c>
      <c r="G11" s="103">
        <v>162.6</v>
      </c>
      <c r="H11" s="103">
        <v>91.7</v>
      </c>
      <c r="I11" s="103">
        <v>129.5</v>
      </c>
      <c r="J11" s="103">
        <v>26.1</v>
      </c>
      <c r="K11" s="103">
        <v>103.6</v>
      </c>
      <c r="L11" s="103">
        <v>3</v>
      </c>
      <c r="M11" s="103">
        <v>7.7</v>
      </c>
      <c r="N11" s="102">
        <f t="shared" si="1"/>
        <v>219.9</v>
      </c>
      <c r="O11" s="102">
        <f t="shared" si="2"/>
        <v>497.3</v>
      </c>
      <c r="P11" s="102">
        <f t="shared" si="3"/>
        <v>114.3</v>
      </c>
      <c r="Q11" s="102">
        <f t="shared" si="4"/>
        <v>831.50000000000011</v>
      </c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</row>
    <row r="12" spans="1:33">
      <c r="A12" s="102">
        <v>1993</v>
      </c>
      <c r="B12" s="103">
        <v>20.100000000000001</v>
      </c>
      <c r="C12" s="103">
        <v>26.2</v>
      </c>
      <c r="D12" s="103">
        <v>20.7</v>
      </c>
      <c r="E12" s="103">
        <v>94.6</v>
      </c>
      <c r="F12" s="103">
        <v>76.400000000000006</v>
      </c>
      <c r="G12" s="103">
        <v>62.6</v>
      </c>
      <c r="H12" s="103">
        <v>209.1</v>
      </c>
      <c r="I12" s="103">
        <v>170.3</v>
      </c>
      <c r="J12" s="103">
        <v>73.5</v>
      </c>
      <c r="K12" s="103">
        <v>29.7</v>
      </c>
      <c r="L12" s="103">
        <v>8.3000000000000007</v>
      </c>
      <c r="M12" s="103">
        <v>4.8</v>
      </c>
      <c r="N12" s="102">
        <f t="shared" si="1"/>
        <v>161.6</v>
      </c>
      <c r="O12" s="102">
        <f t="shared" si="2"/>
        <v>591.90000000000009</v>
      </c>
      <c r="P12" s="102">
        <f t="shared" si="3"/>
        <v>42.8</v>
      </c>
      <c r="Q12" s="102">
        <f t="shared" si="4"/>
        <v>796.3</v>
      </c>
      <c r="R12" s="103"/>
      <c r="S12" s="103"/>
      <c r="T12" s="103"/>
      <c r="U12" s="103"/>
      <c r="V12" s="103"/>
      <c r="W12" s="103"/>
      <c r="X12" s="103"/>
      <c r="Y12" s="103"/>
      <c r="Z12" s="103"/>
      <c r="AA12" s="103"/>
      <c r="AB12" s="103"/>
      <c r="AC12" s="103"/>
      <c r="AD12" s="103"/>
      <c r="AE12" s="103"/>
    </row>
    <row r="13" spans="1:33">
      <c r="A13" s="102">
        <v>1994</v>
      </c>
      <c r="B13" s="103">
        <v>6.9</v>
      </c>
      <c r="C13" s="103">
        <v>11.8</v>
      </c>
      <c r="D13" s="103">
        <v>59.2</v>
      </c>
      <c r="E13" s="103">
        <v>7.9</v>
      </c>
      <c r="F13" s="103">
        <v>102.6</v>
      </c>
      <c r="G13" s="103">
        <v>144.9</v>
      </c>
      <c r="H13" s="103">
        <v>122.4</v>
      </c>
      <c r="I13" s="103">
        <v>160</v>
      </c>
      <c r="J13" s="103">
        <v>102.1</v>
      </c>
      <c r="K13" s="103">
        <v>104.2</v>
      </c>
      <c r="L13" s="103">
        <v>34.799999999999997</v>
      </c>
      <c r="M13" s="103">
        <v>18.3</v>
      </c>
      <c r="N13" s="102">
        <f t="shared" si="1"/>
        <v>85.800000000000011</v>
      </c>
      <c r="O13" s="102">
        <f t="shared" si="2"/>
        <v>632</v>
      </c>
      <c r="P13" s="102">
        <f t="shared" si="3"/>
        <v>157.30000000000001</v>
      </c>
      <c r="Q13" s="102">
        <f t="shared" si="4"/>
        <v>875.1</v>
      </c>
      <c r="R13" s="103"/>
      <c r="S13" s="103"/>
      <c r="T13" s="103"/>
      <c r="U13" s="103"/>
      <c r="V13" s="103"/>
      <c r="W13" s="103"/>
      <c r="X13" s="103"/>
      <c r="Y13" s="103"/>
      <c r="Z13" s="103"/>
      <c r="AA13" s="103"/>
      <c r="AB13" s="103"/>
      <c r="AC13" s="103"/>
      <c r="AD13" s="103"/>
      <c r="AE13" s="103"/>
    </row>
    <row r="14" spans="1:33">
      <c r="A14" s="102">
        <v>1995</v>
      </c>
      <c r="B14" s="103">
        <v>14.8</v>
      </c>
      <c r="C14" s="103">
        <v>28.2</v>
      </c>
      <c r="D14" s="103">
        <v>25.8</v>
      </c>
      <c r="E14" s="103">
        <v>32.799999999999997</v>
      </c>
      <c r="F14" s="103">
        <v>129.6</v>
      </c>
      <c r="G14" s="103">
        <v>209.9</v>
      </c>
      <c r="H14" s="103">
        <v>232.8</v>
      </c>
      <c r="I14" s="103">
        <v>172.7</v>
      </c>
      <c r="J14" s="103">
        <v>128.80000000000001</v>
      </c>
      <c r="K14" s="103">
        <v>49.9</v>
      </c>
      <c r="L14" s="103">
        <v>28.4</v>
      </c>
      <c r="M14" s="103">
        <v>9.6999999999999993</v>
      </c>
      <c r="N14" s="102">
        <f t="shared" si="1"/>
        <v>101.6</v>
      </c>
      <c r="O14" s="102">
        <f t="shared" si="2"/>
        <v>873.8</v>
      </c>
      <c r="P14" s="102">
        <f t="shared" si="3"/>
        <v>88</v>
      </c>
      <c r="Q14" s="102">
        <f t="shared" si="4"/>
        <v>1063.4000000000003</v>
      </c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</row>
    <row r="15" spans="1:33">
      <c r="A15" s="102">
        <v>1996</v>
      </c>
      <c r="B15" s="103">
        <v>12.8</v>
      </c>
      <c r="C15" s="103">
        <v>12.3</v>
      </c>
      <c r="D15" s="103">
        <v>26.2</v>
      </c>
      <c r="E15" s="103">
        <v>41</v>
      </c>
      <c r="F15" s="103">
        <v>134.69999999999999</v>
      </c>
      <c r="G15" s="103">
        <v>120</v>
      </c>
      <c r="H15" s="103">
        <v>301.5</v>
      </c>
      <c r="I15" s="103">
        <v>109.5</v>
      </c>
      <c r="J15" s="103">
        <v>55.9</v>
      </c>
      <c r="K15" s="103">
        <v>14.3</v>
      </c>
      <c r="L15" s="103">
        <v>57.7</v>
      </c>
      <c r="M15" s="103">
        <v>5.2</v>
      </c>
      <c r="N15" s="102">
        <f t="shared" si="1"/>
        <v>92.3</v>
      </c>
      <c r="O15" s="102">
        <f t="shared" si="2"/>
        <v>721.6</v>
      </c>
      <c r="P15" s="102">
        <f t="shared" si="3"/>
        <v>77.2</v>
      </c>
      <c r="Q15" s="102">
        <f t="shared" si="4"/>
        <v>891.1</v>
      </c>
      <c r="R15" s="103"/>
      <c r="S15" s="103"/>
      <c r="T15" s="103"/>
      <c r="U15" s="103"/>
      <c r="V15" s="103"/>
      <c r="W15" s="103"/>
      <c r="X15" s="103"/>
      <c r="Y15" s="103"/>
      <c r="Z15" s="103"/>
      <c r="AA15" s="103"/>
      <c r="AB15" s="103"/>
      <c r="AC15" s="103"/>
      <c r="AD15" s="103"/>
      <c r="AE15" s="103"/>
    </row>
    <row r="16" spans="1:33">
      <c r="A16" s="102">
        <v>1997</v>
      </c>
      <c r="B16" s="102">
        <v>10.7</v>
      </c>
      <c r="C16" s="102">
        <v>39.5</v>
      </c>
      <c r="D16" s="102">
        <v>23.6</v>
      </c>
      <c r="E16" s="102">
        <v>64.599999999999994</v>
      </c>
      <c r="F16" s="102">
        <v>96.1</v>
      </c>
      <c r="G16" s="102">
        <v>127.9</v>
      </c>
      <c r="H16" s="102">
        <v>391.7</v>
      </c>
      <c r="I16" s="102">
        <v>112.1</v>
      </c>
      <c r="J16" s="102">
        <v>188.7</v>
      </c>
      <c r="K16" s="102">
        <v>38.4</v>
      </c>
      <c r="L16" s="102">
        <v>3.2</v>
      </c>
      <c r="M16" s="102">
        <v>16.5</v>
      </c>
      <c r="N16" s="102">
        <f t="shared" si="1"/>
        <v>138.4</v>
      </c>
      <c r="O16" s="102">
        <f t="shared" si="2"/>
        <v>916.5</v>
      </c>
      <c r="P16" s="102">
        <f t="shared" si="3"/>
        <v>58.1</v>
      </c>
      <c r="Q16" s="102">
        <f t="shared" si="4"/>
        <v>1113</v>
      </c>
    </row>
    <row r="17" spans="1:33">
      <c r="A17" s="102">
        <v>1998</v>
      </c>
      <c r="B17" s="102">
        <v>15.3</v>
      </c>
      <c r="C17" s="102">
        <v>17.399999999999999</v>
      </c>
      <c r="D17" s="102">
        <v>5.5</v>
      </c>
      <c r="E17" s="102">
        <v>50.8</v>
      </c>
      <c r="F17" s="102">
        <v>23.6</v>
      </c>
      <c r="G17" s="102">
        <v>105.7</v>
      </c>
      <c r="H17" s="102">
        <v>241.8</v>
      </c>
      <c r="I17" s="102">
        <v>239</v>
      </c>
      <c r="J17" s="102">
        <v>38.5</v>
      </c>
      <c r="K17" s="102">
        <v>44.5</v>
      </c>
      <c r="L17" s="102">
        <v>25</v>
      </c>
      <c r="M17" s="102">
        <v>10</v>
      </c>
      <c r="N17" s="102">
        <f t="shared" si="1"/>
        <v>89</v>
      </c>
      <c r="O17" s="102">
        <f t="shared" si="2"/>
        <v>648.6</v>
      </c>
      <c r="P17" s="102">
        <f t="shared" si="3"/>
        <v>79.5</v>
      </c>
      <c r="Q17" s="102">
        <f t="shared" si="4"/>
        <v>817.1</v>
      </c>
    </row>
    <row r="18" spans="1:33">
      <c r="A18" s="102">
        <v>1999</v>
      </c>
      <c r="B18" s="102">
        <v>27.3</v>
      </c>
      <c r="C18" s="102">
        <v>13.1</v>
      </c>
      <c r="D18" s="102">
        <v>10.7</v>
      </c>
      <c r="E18" s="102">
        <v>34.9</v>
      </c>
      <c r="F18" s="102">
        <v>86.5</v>
      </c>
      <c r="G18" s="102">
        <v>122.6</v>
      </c>
      <c r="H18" s="102">
        <v>195.8</v>
      </c>
      <c r="I18" s="102">
        <v>142.80000000000001</v>
      </c>
      <c r="J18" s="102">
        <v>98.3</v>
      </c>
      <c r="K18" s="102">
        <v>27.1</v>
      </c>
      <c r="L18" s="102">
        <v>33.9</v>
      </c>
      <c r="M18" s="102">
        <v>5</v>
      </c>
      <c r="N18" s="102">
        <f t="shared" si="1"/>
        <v>86</v>
      </c>
      <c r="O18" s="102">
        <f t="shared" si="2"/>
        <v>646</v>
      </c>
      <c r="P18" s="102">
        <f t="shared" si="3"/>
        <v>66</v>
      </c>
      <c r="Q18" s="102">
        <f t="shared" si="4"/>
        <v>798</v>
      </c>
    </row>
    <row r="19" spans="1:33">
      <c r="A19" s="102">
        <v>2000</v>
      </c>
      <c r="B19" s="102">
        <v>24.9</v>
      </c>
      <c r="C19" s="102">
        <v>17.8</v>
      </c>
      <c r="D19" s="102">
        <v>43.9</v>
      </c>
      <c r="E19" s="102">
        <v>62.1</v>
      </c>
      <c r="F19" s="102">
        <v>100</v>
      </c>
      <c r="G19" s="102">
        <v>264.8</v>
      </c>
      <c r="H19" s="102">
        <v>173.4</v>
      </c>
      <c r="I19" s="102">
        <v>253.7</v>
      </c>
      <c r="J19" s="102">
        <v>98</v>
      </c>
      <c r="K19" s="102">
        <v>77.900000000000006</v>
      </c>
      <c r="L19" s="102">
        <v>9.6999999999999993</v>
      </c>
      <c r="M19" s="102">
        <v>4.3</v>
      </c>
      <c r="N19" s="102">
        <f t="shared" si="1"/>
        <v>148.69999999999999</v>
      </c>
      <c r="O19" s="102">
        <f t="shared" si="2"/>
        <v>889.90000000000009</v>
      </c>
      <c r="P19" s="102">
        <f t="shared" si="3"/>
        <v>91.9</v>
      </c>
      <c r="Q19" s="102">
        <f t="shared" si="4"/>
        <v>1130.5</v>
      </c>
    </row>
    <row r="20" spans="1:33">
      <c r="A20" s="102">
        <v>2001</v>
      </c>
      <c r="B20" s="102">
        <v>6.4</v>
      </c>
      <c r="C20" s="102">
        <v>17.100000000000001</v>
      </c>
      <c r="D20" s="102">
        <v>23.1</v>
      </c>
      <c r="E20" s="102">
        <v>56.3</v>
      </c>
      <c r="F20" s="102">
        <v>122.7</v>
      </c>
      <c r="G20" s="102">
        <v>143</v>
      </c>
      <c r="H20" s="102">
        <v>194</v>
      </c>
      <c r="I20" s="102">
        <v>194.8</v>
      </c>
      <c r="J20" s="102">
        <v>17.399999999999999</v>
      </c>
      <c r="K20" s="102">
        <v>90.3</v>
      </c>
      <c r="L20" s="102">
        <v>19</v>
      </c>
      <c r="M20" s="102">
        <v>8.8000000000000007</v>
      </c>
      <c r="N20" s="102">
        <f t="shared" si="1"/>
        <v>102.9</v>
      </c>
      <c r="O20" s="102">
        <f t="shared" si="2"/>
        <v>671.9</v>
      </c>
      <c r="P20" s="102">
        <f t="shared" si="3"/>
        <v>118.1</v>
      </c>
      <c r="Q20" s="102">
        <f t="shared" si="4"/>
        <v>892.9</v>
      </c>
    </row>
    <row r="21" spans="1:33">
      <c r="A21" s="102">
        <v>2002</v>
      </c>
      <c r="B21" s="102">
        <v>25</v>
      </c>
      <c r="C21" s="102">
        <v>13.8</v>
      </c>
      <c r="D21" s="102">
        <v>42.9</v>
      </c>
      <c r="E21" s="102">
        <v>45.7</v>
      </c>
      <c r="F21" s="102">
        <v>118.2</v>
      </c>
      <c r="G21" s="102">
        <v>87.1</v>
      </c>
      <c r="H21" s="102">
        <v>192.2</v>
      </c>
      <c r="I21" s="102">
        <v>137.1</v>
      </c>
      <c r="J21" s="102">
        <v>26.2</v>
      </c>
      <c r="K21" s="102">
        <v>37.700000000000003</v>
      </c>
      <c r="L21" s="102">
        <v>17.399999999999999</v>
      </c>
      <c r="M21" s="102">
        <v>11.5</v>
      </c>
      <c r="N21" s="102">
        <f t="shared" si="1"/>
        <v>127.39999999999999</v>
      </c>
      <c r="O21" s="102">
        <f t="shared" si="2"/>
        <v>560.80000000000007</v>
      </c>
      <c r="P21" s="102">
        <f t="shared" si="3"/>
        <v>66.599999999999994</v>
      </c>
      <c r="Q21" s="102">
        <f t="shared" si="4"/>
        <v>754.80000000000007</v>
      </c>
    </row>
    <row r="22" spans="1:33">
      <c r="A22" s="102">
        <v>2003</v>
      </c>
      <c r="B22" s="102">
        <v>11.6</v>
      </c>
      <c r="C22" s="102">
        <v>4</v>
      </c>
      <c r="D22" s="102">
        <v>17.600000000000001</v>
      </c>
      <c r="E22" s="102">
        <v>15.2</v>
      </c>
      <c r="F22" s="102">
        <v>55.2</v>
      </c>
      <c r="G22" s="102">
        <v>310.89999999999998</v>
      </c>
      <c r="H22" s="102">
        <v>94.7</v>
      </c>
      <c r="I22" s="102">
        <v>110.3</v>
      </c>
      <c r="J22" s="102">
        <v>45.2</v>
      </c>
      <c r="K22" s="102">
        <v>46.2</v>
      </c>
      <c r="L22" s="102">
        <v>12</v>
      </c>
      <c r="M22" s="102">
        <v>32.9</v>
      </c>
      <c r="N22" s="102">
        <f t="shared" si="1"/>
        <v>48.400000000000006</v>
      </c>
      <c r="O22" s="102">
        <f t="shared" si="2"/>
        <v>616.29999999999995</v>
      </c>
      <c r="P22" s="102">
        <f t="shared" si="3"/>
        <v>91.1</v>
      </c>
      <c r="Q22" s="102">
        <f t="shared" si="4"/>
        <v>755.80000000000007</v>
      </c>
    </row>
    <row r="23" spans="1:33">
      <c r="A23" s="102">
        <v>2004</v>
      </c>
      <c r="B23" s="102">
        <v>11.3</v>
      </c>
      <c r="C23" s="102">
        <v>18</v>
      </c>
      <c r="D23" s="102">
        <v>23</v>
      </c>
      <c r="E23" s="102">
        <v>93.1</v>
      </c>
      <c r="F23" s="102">
        <v>73.7</v>
      </c>
      <c r="G23" s="102">
        <v>206.1</v>
      </c>
      <c r="H23" s="102">
        <v>177.7</v>
      </c>
      <c r="I23" s="102">
        <v>178.6</v>
      </c>
      <c r="J23" s="102">
        <v>168.2</v>
      </c>
      <c r="K23" s="102">
        <v>23.3</v>
      </c>
      <c r="L23" s="102">
        <v>25.1</v>
      </c>
      <c r="M23" s="102">
        <v>4</v>
      </c>
      <c r="N23" s="102">
        <f t="shared" si="1"/>
        <v>145.39999999999998</v>
      </c>
      <c r="O23" s="102">
        <f t="shared" si="2"/>
        <v>804.3</v>
      </c>
      <c r="P23" s="102">
        <f t="shared" si="3"/>
        <v>52.400000000000006</v>
      </c>
      <c r="Q23" s="102">
        <f t="shared" si="4"/>
        <v>1002.0999999999998</v>
      </c>
    </row>
    <row r="24" spans="1:33">
      <c r="A24" s="102">
        <v>2005</v>
      </c>
      <c r="B24" s="102">
        <v>17.3</v>
      </c>
      <c r="C24" s="102">
        <v>11.1</v>
      </c>
      <c r="D24" s="102">
        <v>31.8</v>
      </c>
      <c r="E24" s="102">
        <v>61.5</v>
      </c>
      <c r="F24" s="102">
        <v>127.2</v>
      </c>
      <c r="G24" s="102">
        <v>61.5</v>
      </c>
      <c r="H24" s="102">
        <v>113.4</v>
      </c>
      <c r="I24" s="102">
        <v>113.3</v>
      </c>
      <c r="J24" s="102">
        <v>82.6</v>
      </c>
      <c r="K24" s="102">
        <v>34.200000000000003</v>
      </c>
      <c r="L24" s="102">
        <v>26.8</v>
      </c>
      <c r="M24" s="102">
        <v>22.8</v>
      </c>
      <c r="N24" s="102">
        <f t="shared" si="1"/>
        <v>121.7</v>
      </c>
      <c r="O24" s="102">
        <f t="shared" si="2"/>
        <v>498</v>
      </c>
      <c r="P24" s="102">
        <f t="shared" si="3"/>
        <v>83.8</v>
      </c>
      <c r="Q24" s="102">
        <f t="shared" si="4"/>
        <v>703.49999999999989</v>
      </c>
    </row>
    <row r="25" spans="1:33">
      <c r="A25" s="102">
        <v>2006</v>
      </c>
      <c r="B25" s="102">
        <v>14.4</v>
      </c>
      <c r="C25" s="102">
        <v>18</v>
      </c>
      <c r="D25" s="102">
        <v>22.6</v>
      </c>
      <c r="E25" s="102">
        <v>47.8</v>
      </c>
      <c r="F25" s="102">
        <v>128.1</v>
      </c>
      <c r="G25" s="102">
        <v>228.9</v>
      </c>
      <c r="H25" s="102">
        <v>172.5</v>
      </c>
      <c r="I25" s="102">
        <v>67.5</v>
      </c>
      <c r="J25" s="102">
        <v>70</v>
      </c>
      <c r="K25" s="102">
        <v>86</v>
      </c>
      <c r="L25" s="102">
        <v>38.9</v>
      </c>
      <c r="M25" s="102">
        <v>14.3</v>
      </c>
      <c r="N25" s="102">
        <f t="shared" si="1"/>
        <v>102.8</v>
      </c>
      <c r="O25" s="102">
        <f t="shared" si="2"/>
        <v>667</v>
      </c>
      <c r="P25" s="102">
        <f t="shared" si="3"/>
        <v>139.20000000000002</v>
      </c>
      <c r="Q25" s="102">
        <f t="shared" si="4"/>
        <v>908.99999999999989</v>
      </c>
    </row>
    <row r="26" spans="1:33">
      <c r="A26" s="102" t="s">
        <v>221</v>
      </c>
      <c r="B26" s="102">
        <v>25.8</v>
      </c>
      <c r="C26" s="102">
        <v>2</v>
      </c>
      <c r="D26" s="102">
        <v>10.199999999999999</v>
      </c>
      <c r="E26" s="102">
        <v>61.8</v>
      </c>
      <c r="F26" s="102">
        <v>88.7</v>
      </c>
      <c r="G26" s="102">
        <v>109.9</v>
      </c>
      <c r="H26" s="102">
        <v>200.3</v>
      </c>
      <c r="I26" s="102">
        <v>132</v>
      </c>
      <c r="J26" s="102">
        <v>117</v>
      </c>
      <c r="K26" s="102">
        <v>55.7</v>
      </c>
      <c r="L26" s="102">
        <v>4.7</v>
      </c>
      <c r="M26" s="102">
        <v>19</v>
      </c>
      <c r="N26" s="102">
        <f t="shared" si="1"/>
        <v>99.8</v>
      </c>
      <c r="O26" s="102">
        <f t="shared" si="2"/>
        <v>647.90000000000009</v>
      </c>
      <c r="P26" s="102">
        <f t="shared" si="3"/>
        <v>79.400000000000006</v>
      </c>
      <c r="Q26" s="102">
        <f t="shared" si="4"/>
        <v>827.10000000000014</v>
      </c>
    </row>
    <row r="27" spans="1:33">
      <c r="A27" s="102">
        <v>2008</v>
      </c>
      <c r="B27" s="102">
        <v>11.8</v>
      </c>
      <c r="C27" s="102">
        <v>11.8</v>
      </c>
      <c r="D27" s="102">
        <v>16.600000000000001</v>
      </c>
      <c r="E27" s="102">
        <v>34.4</v>
      </c>
      <c r="F27" s="102">
        <v>118.3</v>
      </c>
      <c r="G27" s="102">
        <v>239.2</v>
      </c>
      <c r="H27" s="102">
        <v>252</v>
      </c>
      <c r="I27" s="102">
        <v>148.4</v>
      </c>
      <c r="J27" s="102">
        <v>111.2</v>
      </c>
      <c r="K27" s="102">
        <v>116.9</v>
      </c>
      <c r="L27" s="102">
        <v>44.2</v>
      </c>
      <c r="M27" s="102">
        <v>6.3</v>
      </c>
      <c r="N27" s="102">
        <f t="shared" si="1"/>
        <v>74.599999999999994</v>
      </c>
      <c r="O27" s="102">
        <f t="shared" si="2"/>
        <v>869.1</v>
      </c>
      <c r="P27" s="102">
        <f t="shared" si="3"/>
        <v>167.40000000000003</v>
      </c>
      <c r="Q27" s="102">
        <f t="shared" si="4"/>
        <v>1111.0999999999999</v>
      </c>
    </row>
    <row r="28" spans="1:33">
      <c r="A28" s="102">
        <v>2009</v>
      </c>
      <c r="B28" s="102">
        <v>9.6</v>
      </c>
      <c r="C28" s="102">
        <v>3.9</v>
      </c>
      <c r="D28" s="102">
        <v>22.8</v>
      </c>
      <c r="E28" s="102">
        <v>36.6</v>
      </c>
      <c r="F28" s="102">
        <v>45.9</v>
      </c>
      <c r="G28" s="102">
        <v>163</v>
      </c>
      <c r="H28" s="102">
        <v>89.3</v>
      </c>
      <c r="I28" s="102">
        <v>206</v>
      </c>
      <c r="J28" s="102">
        <v>21.4</v>
      </c>
      <c r="K28" s="102">
        <v>44</v>
      </c>
      <c r="L28" s="102">
        <v>4.2</v>
      </c>
      <c r="M28" s="102">
        <v>10.5</v>
      </c>
      <c r="N28" s="102">
        <f t="shared" si="1"/>
        <v>72.900000000000006</v>
      </c>
      <c r="O28" s="102">
        <f t="shared" si="2"/>
        <v>525.6</v>
      </c>
      <c r="P28" s="102">
        <f t="shared" si="3"/>
        <v>58.7</v>
      </c>
      <c r="Q28" s="102">
        <f t="shared" si="4"/>
        <v>657.2</v>
      </c>
    </row>
    <row r="29" spans="1:33">
      <c r="A29" s="102">
        <v>2010</v>
      </c>
      <c r="B29" s="102">
        <v>1.5</v>
      </c>
      <c r="C29" s="102">
        <v>9.6</v>
      </c>
      <c r="D29" s="102">
        <v>36.1</v>
      </c>
      <c r="E29" s="102">
        <v>37.6</v>
      </c>
      <c r="F29" s="102">
        <v>74.400000000000006</v>
      </c>
      <c r="G29" s="102">
        <v>153.6</v>
      </c>
      <c r="H29" s="102">
        <v>203</v>
      </c>
      <c r="I29" s="102">
        <v>79.5</v>
      </c>
      <c r="J29" s="102">
        <v>97.5</v>
      </c>
      <c r="K29" s="102">
        <v>65.7</v>
      </c>
      <c r="L29" s="102">
        <v>16.600000000000001</v>
      </c>
      <c r="M29" s="102">
        <v>6.2</v>
      </c>
      <c r="N29" s="102">
        <f t="shared" si="1"/>
        <v>84.800000000000011</v>
      </c>
      <c r="O29" s="102">
        <f t="shared" si="2"/>
        <v>608</v>
      </c>
      <c r="P29" s="102">
        <f t="shared" si="3"/>
        <v>88.500000000000014</v>
      </c>
      <c r="Q29" s="102">
        <f t="shared" si="4"/>
        <v>781.30000000000007</v>
      </c>
    </row>
    <row r="30" spans="1:33">
      <c r="A30" s="102">
        <v>2011</v>
      </c>
      <c r="B30" s="102">
        <v>18.899999999999999</v>
      </c>
      <c r="C30" s="102">
        <v>12.2</v>
      </c>
      <c r="D30" s="102">
        <v>11.3</v>
      </c>
      <c r="E30" s="102">
        <v>14.9</v>
      </c>
      <c r="F30" s="102">
        <v>41.4</v>
      </c>
      <c r="G30" s="102">
        <v>185.8</v>
      </c>
      <c r="H30" s="102">
        <v>150.19999999999999</v>
      </c>
      <c r="I30" s="102">
        <v>47.8</v>
      </c>
      <c r="J30" s="102">
        <v>61.8</v>
      </c>
      <c r="K30" s="102">
        <v>106.4</v>
      </c>
      <c r="L30" s="102">
        <v>21.3</v>
      </c>
      <c r="M30" s="102">
        <v>22.8</v>
      </c>
      <c r="N30" s="102">
        <f t="shared" si="1"/>
        <v>57.3</v>
      </c>
      <c r="O30" s="102">
        <f t="shared" si="2"/>
        <v>487</v>
      </c>
      <c r="P30" s="102">
        <f t="shared" si="3"/>
        <v>150.5</v>
      </c>
      <c r="Q30" s="102">
        <f t="shared" si="4"/>
        <v>694.79999999999984</v>
      </c>
      <c r="R30" s="104"/>
      <c r="S30" s="104"/>
      <c r="T30" s="104"/>
      <c r="U30" s="104"/>
      <c r="V30" s="104"/>
      <c r="W30" s="104"/>
      <c r="X30" s="104"/>
      <c r="Y30" s="104"/>
      <c r="Z30" s="104"/>
      <c r="AA30" s="104"/>
      <c r="AB30" s="104"/>
      <c r="AC30" s="104"/>
      <c r="AD30" s="104"/>
      <c r="AE30" s="104"/>
    </row>
    <row r="31" spans="1:33">
      <c r="A31" s="102">
        <v>2012</v>
      </c>
      <c r="B31" s="102">
        <v>22.1</v>
      </c>
      <c r="C31" s="102">
        <v>12.4</v>
      </c>
      <c r="D31" s="102">
        <v>17.5</v>
      </c>
      <c r="E31" s="102">
        <v>48.6</v>
      </c>
      <c r="F31" s="102">
        <v>73.900000000000006</v>
      </c>
      <c r="G31" s="102">
        <v>109.8</v>
      </c>
      <c r="H31" s="102">
        <v>279.89999999999998</v>
      </c>
      <c r="I31" s="102">
        <v>88.6</v>
      </c>
      <c r="J31" s="102">
        <v>116.1</v>
      </c>
      <c r="K31" s="102">
        <v>35.1</v>
      </c>
      <c r="L31" s="102">
        <v>8.9</v>
      </c>
      <c r="M31" s="102">
        <v>5.0999999999999996</v>
      </c>
      <c r="N31" s="102">
        <f t="shared" si="1"/>
        <v>100.6</v>
      </c>
      <c r="O31" s="102">
        <f t="shared" si="2"/>
        <v>668.3</v>
      </c>
      <c r="P31" s="102">
        <f t="shared" si="3"/>
        <v>49.1</v>
      </c>
      <c r="Q31" s="102">
        <f t="shared" si="4"/>
        <v>818.00000000000011</v>
      </c>
      <c r="R31" s="104"/>
      <c r="S31" s="104"/>
      <c r="T31" s="104"/>
      <c r="U31" s="104"/>
      <c r="V31" s="104"/>
      <c r="W31" s="104"/>
      <c r="X31" s="104"/>
      <c r="Y31" s="104"/>
      <c r="Z31" s="104"/>
      <c r="AA31" s="104"/>
      <c r="AB31" s="104"/>
      <c r="AC31" s="104"/>
      <c r="AD31" s="104"/>
      <c r="AE31" s="104"/>
      <c r="AF31" s="104"/>
      <c r="AG31" s="104"/>
    </row>
    <row r="32" spans="1:33">
      <c r="A32" s="102">
        <v>2013</v>
      </c>
      <c r="B32" s="102">
        <v>4</v>
      </c>
      <c r="C32" s="102">
        <v>8.4</v>
      </c>
      <c r="D32" s="102">
        <v>41.2</v>
      </c>
      <c r="E32" s="102">
        <v>45.7</v>
      </c>
      <c r="F32" s="102">
        <v>200.1</v>
      </c>
      <c r="G32" s="102">
        <v>155.4</v>
      </c>
      <c r="H32" s="102">
        <v>45.4</v>
      </c>
      <c r="I32" s="102">
        <v>154.30000000000001</v>
      </c>
      <c r="J32" s="102">
        <v>54.6</v>
      </c>
      <c r="K32" s="102">
        <v>44</v>
      </c>
      <c r="L32" s="102">
        <v>16.7</v>
      </c>
      <c r="M32" s="102">
        <v>7.5</v>
      </c>
      <c r="N32" s="102">
        <f t="shared" si="1"/>
        <v>99.300000000000011</v>
      </c>
      <c r="O32" s="102">
        <f t="shared" si="2"/>
        <v>609.80000000000007</v>
      </c>
      <c r="P32" s="102">
        <f t="shared" si="3"/>
        <v>68.2</v>
      </c>
      <c r="Q32" s="102">
        <f t="shared" si="4"/>
        <v>777.30000000000007</v>
      </c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  <c r="AF32" s="104"/>
      <c r="AG32" s="104"/>
    </row>
    <row r="33" spans="1:33">
      <c r="A33" s="102">
        <v>2014</v>
      </c>
      <c r="B33" s="128">
        <v>8</v>
      </c>
      <c r="C33" s="128">
        <v>18.5</v>
      </c>
      <c r="D33" s="128">
        <v>70.5</v>
      </c>
      <c r="E33" s="128">
        <v>48.5</v>
      </c>
      <c r="F33" s="128">
        <v>66.5</v>
      </c>
      <c r="G33" s="128">
        <v>71.7</v>
      </c>
      <c r="H33" s="128">
        <v>249</v>
      </c>
      <c r="I33" s="128">
        <v>285</v>
      </c>
      <c r="J33" s="128">
        <v>84.5</v>
      </c>
      <c r="K33" s="128">
        <v>109.5</v>
      </c>
      <c r="L33" s="128">
        <v>25</v>
      </c>
      <c r="M33" s="128">
        <v>12</v>
      </c>
      <c r="N33" s="102">
        <f t="shared" si="1"/>
        <v>145.5</v>
      </c>
      <c r="O33" s="102">
        <f t="shared" si="2"/>
        <v>756.7</v>
      </c>
      <c r="P33" s="102">
        <f t="shared" si="3"/>
        <v>146.5</v>
      </c>
      <c r="Q33" s="102">
        <f t="shared" si="4"/>
        <v>1048.7</v>
      </c>
    </row>
    <row r="34" spans="1:33">
      <c r="A34" s="102">
        <v>2015</v>
      </c>
      <c r="B34" s="128">
        <v>21</v>
      </c>
      <c r="C34" s="128">
        <v>8</v>
      </c>
      <c r="D34" s="128">
        <v>49</v>
      </c>
      <c r="E34" s="128">
        <v>75.5</v>
      </c>
      <c r="F34" s="128">
        <v>122.5</v>
      </c>
      <c r="G34" s="128">
        <v>112.5</v>
      </c>
      <c r="H34" s="128">
        <v>117</v>
      </c>
      <c r="I34" s="128">
        <v>208</v>
      </c>
      <c r="J34" s="128">
        <v>80.5</v>
      </c>
      <c r="K34" s="128">
        <v>162</v>
      </c>
      <c r="L34" s="128">
        <v>2.5</v>
      </c>
      <c r="M34" s="128">
        <v>15.5</v>
      </c>
      <c r="N34" s="102">
        <f t="shared" si="1"/>
        <v>153.5</v>
      </c>
      <c r="O34" s="102">
        <f t="shared" si="2"/>
        <v>640.5</v>
      </c>
      <c r="P34" s="102">
        <f t="shared" si="3"/>
        <v>180</v>
      </c>
      <c r="Q34" s="102">
        <f t="shared" si="4"/>
        <v>974</v>
      </c>
    </row>
    <row r="35" spans="1:33">
      <c r="A35" s="102">
        <v>2016</v>
      </c>
      <c r="B35" s="128">
        <v>7.5</v>
      </c>
      <c r="C35" s="128">
        <v>4</v>
      </c>
      <c r="D35" s="128">
        <v>31.5</v>
      </c>
      <c r="E35" s="128">
        <v>100.5</v>
      </c>
      <c r="F35" s="128">
        <v>169</v>
      </c>
      <c r="G35" s="128">
        <v>262</v>
      </c>
      <c r="H35" s="128">
        <v>142.5</v>
      </c>
      <c r="I35" s="128">
        <v>185.5</v>
      </c>
      <c r="J35" s="128">
        <v>93</v>
      </c>
      <c r="K35" s="128">
        <v>58</v>
      </c>
      <c r="L35" s="128">
        <v>32</v>
      </c>
      <c r="M35" s="128">
        <v>10</v>
      </c>
      <c r="N35" s="102">
        <f>SUM(B35:E35)</f>
        <v>143.5</v>
      </c>
      <c r="O35" s="102">
        <f>SUM(F35:J35)</f>
        <v>852</v>
      </c>
      <c r="P35" s="102">
        <f>SUM(K35:M35)</f>
        <v>100</v>
      </c>
      <c r="Q35" s="102">
        <f>SUM(B35:M35)</f>
        <v>1095.5</v>
      </c>
      <c r="R35" s="108">
        <f t="shared" ref="R35:AG35" si="5">100*(B35-B4)/B4</f>
        <v>-48.956442831215988</v>
      </c>
      <c r="S35" s="108">
        <f t="shared" si="5"/>
        <v>-73.873285434356632</v>
      </c>
      <c r="T35" s="108">
        <f t="shared" si="5"/>
        <v>12.755041164538834</v>
      </c>
      <c r="U35" s="108">
        <f t="shared" si="5"/>
        <v>109.44772490448072</v>
      </c>
      <c r="V35" s="108">
        <f t="shared" si="5"/>
        <v>89.852087624040408</v>
      </c>
      <c r="W35" s="108">
        <f t="shared" si="5"/>
        <v>80.51536447567868</v>
      </c>
      <c r="X35" s="108">
        <f t="shared" si="5"/>
        <v>-21.589846114341256</v>
      </c>
      <c r="Y35" s="108">
        <f t="shared" si="5"/>
        <v>22.647331070657181</v>
      </c>
      <c r="Z35" s="108">
        <f t="shared" si="5"/>
        <v>11.684880509186968</v>
      </c>
      <c r="AA35" s="108">
        <f t="shared" si="5"/>
        <v>-9.5775087044639573</v>
      </c>
      <c r="AB35" s="108">
        <f t="shared" si="5"/>
        <v>49.92972044354206</v>
      </c>
      <c r="AC35" s="108">
        <f t="shared" si="5"/>
        <v>-6.774394033561232</v>
      </c>
      <c r="AD35" s="108">
        <f t="shared" si="5"/>
        <v>35.475343802120996</v>
      </c>
      <c r="AE35" s="108">
        <f t="shared" si="5"/>
        <v>30.994295905659513</v>
      </c>
      <c r="AF35" s="108">
        <f t="shared" si="5"/>
        <v>3.935698447893595</v>
      </c>
      <c r="AG35" s="108">
        <f t="shared" si="5"/>
        <v>28.497364758136431</v>
      </c>
    </row>
  </sheetData>
  <mergeCells count="6">
    <mergeCell ref="A1:A3"/>
    <mergeCell ref="B2:M2"/>
    <mergeCell ref="B1:Q1"/>
    <mergeCell ref="R1:AG1"/>
    <mergeCell ref="N2:Q2"/>
    <mergeCell ref="R2:AG2"/>
  </mergeCells>
  <phoneticPr fontId="2" type="noConversion"/>
  <pageMargins left="0.75" right="0.75" top="1" bottom="1" header="0.5" footer="0.5"/>
  <pageSetup paperSize="9" orientation="portrait" horizontalDpi="200" verticalDpi="200" copies="0" r:id="rId1"/>
  <headerFooter alignWithMargins="0"/>
</worksheet>
</file>

<file path=xl/worksheets/sheet66.xml><?xml version="1.0" encoding="utf-8"?>
<worksheet xmlns="http://schemas.openxmlformats.org/spreadsheetml/2006/main" xmlns:r="http://schemas.openxmlformats.org/officeDocument/2006/relationships">
  <sheetPr codeName="Sheet66"/>
  <dimension ref="A1:AG50"/>
  <sheetViews>
    <sheetView zoomScale="85" zoomScaleNormal="85" workbookViewId="0">
      <pane ySplit="5" topLeftCell="A6" activePane="bottomLeft" state="frozen"/>
      <selection pane="bottomLeft" activeCell="R50" sqref="R50"/>
    </sheetView>
  </sheetViews>
  <sheetFormatPr defaultRowHeight="12"/>
  <cols>
    <col min="1" max="33" width="7.125" style="102" customWidth="1"/>
    <col min="34" max="16384" width="9" style="102"/>
  </cols>
  <sheetData>
    <row r="1" spans="1:33" s="118" customFormat="1" ht="14.25" customHeight="1">
      <c r="A1" s="176" t="s">
        <v>198</v>
      </c>
      <c r="B1" s="176" t="s">
        <v>206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207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199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200</v>
      </c>
      <c r="O2" s="176"/>
      <c r="P2" s="176"/>
      <c r="Q2" s="176"/>
      <c r="R2" s="176" t="s">
        <v>201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 ht="24">
      <c r="A3" s="176"/>
      <c r="B3" s="125" t="s">
        <v>208</v>
      </c>
      <c r="C3" s="125" t="s">
        <v>209</v>
      </c>
      <c r="D3" s="125" t="s">
        <v>9</v>
      </c>
      <c r="E3" s="125" t="s">
        <v>10</v>
      </c>
      <c r="F3" s="125" t="s">
        <v>11</v>
      </c>
      <c r="G3" s="125" t="s">
        <v>12</v>
      </c>
      <c r="H3" s="125" t="s">
        <v>13</v>
      </c>
      <c r="I3" s="125" t="s">
        <v>14</v>
      </c>
      <c r="J3" s="125" t="s">
        <v>15</v>
      </c>
      <c r="K3" s="125" t="s">
        <v>16</v>
      </c>
      <c r="L3" s="125" t="s">
        <v>17</v>
      </c>
      <c r="M3" s="125" t="s">
        <v>18</v>
      </c>
      <c r="N3" s="125" t="s">
        <v>210</v>
      </c>
      <c r="O3" s="125" t="s">
        <v>211</v>
      </c>
      <c r="P3" s="125" t="s">
        <v>212</v>
      </c>
      <c r="Q3" s="125" t="s">
        <v>213</v>
      </c>
      <c r="R3" s="125" t="s">
        <v>208</v>
      </c>
      <c r="S3" s="125" t="s">
        <v>209</v>
      </c>
      <c r="T3" s="125" t="s">
        <v>214</v>
      </c>
      <c r="U3" s="125" t="s">
        <v>215</v>
      </c>
      <c r="V3" s="125" t="s">
        <v>216</v>
      </c>
      <c r="W3" s="125" t="s">
        <v>217</v>
      </c>
      <c r="X3" s="125" t="s">
        <v>25</v>
      </c>
      <c r="Y3" s="125" t="s">
        <v>26</v>
      </c>
      <c r="Z3" s="125" t="s">
        <v>27</v>
      </c>
      <c r="AA3" s="125" t="s">
        <v>218</v>
      </c>
      <c r="AB3" s="125" t="s">
        <v>219</v>
      </c>
      <c r="AC3" s="125" t="s">
        <v>220</v>
      </c>
      <c r="AD3" s="125" t="s">
        <v>202</v>
      </c>
      <c r="AE3" s="125" t="s">
        <v>203</v>
      </c>
      <c r="AF3" s="125" t="s">
        <v>204</v>
      </c>
      <c r="AG3" s="125" t="s">
        <v>205</v>
      </c>
    </row>
    <row r="4" spans="1:33" s="118" customFormat="1">
      <c r="A4" s="150" t="s">
        <v>261</v>
      </c>
      <c r="B4" s="150">
        <f t="shared" ref="B4:Q4" si="0">AVERAGE(B5:B49)</f>
        <v>13.042222222222223</v>
      </c>
      <c r="C4" s="150">
        <f t="shared" si="0"/>
        <v>12.022222222222224</v>
      </c>
      <c r="D4" s="150">
        <f t="shared" si="0"/>
        <v>23.584444444444443</v>
      </c>
      <c r="E4" s="150">
        <f t="shared" si="0"/>
        <v>49.348888888888887</v>
      </c>
      <c r="F4" s="150">
        <f t="shared" si="0"/>
        <v>107.22888888888887</v>
      </c>
      <c r="G4" s="150">
        <f t="shared" si="0"/>
        <v>158.61111111111114</v>
      </c>
      <c r="H4" s="150">
        <f t="shared" si="0"/>
        <v>154.78666666666669</v>
      </c>
      <c r="I4" s="150">
        <f t="shared" si="0"/>
        <v>159.31555555555556</v>
      </c>
      <c r="J4" s="150">
        <f t="shared" si="0"/>
        <v>105.06444444444443</v>
      </c>
      <c r="K4" s="150">
        <f t="shared" si="0"/>
        <v>57.924444444444454</v>
      </c>
      <c r="L4" s="150">
        <f t="shared" si="0"/>
        <v>24.104444444444447</v>
      </c>
      <c r="M4" s="150">
        <f t="shared" si="0"/>
        <v>10.551111111111112</v>
      </c>
      <c r="N4" s="150">
        <f t="shared" si="0"/>
        <v>97.997777777777813</v>
      </c>
      <c r="O4" s="150">
        <f t="shared" si="0"/>
        <v>685.00666666666666</v>
      </c>
      <c r="P4" s="150">
        <f t="shared" si="0"/>
        <v>92.579999999999984</v>
      </c>
      <c r="Q4" s="150">
        <f t="shared" si="0"/>
        <v>875.58444444444456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1971</v>
      </c>
      <c r="B5" s="102">
        <v>17.100000000000001</v>
      </c>
      <c r="C5" s="102">
        <v>5.0999999999999996</v>
      </c>
      <c r="D5" s="102">
        <v>8.5</v>
      </c>
      <c r="E5" s="102">
        <v>73.599999999999994</v>
      </c>
      <c r="F5" s="102">
        <v>129.19999999999999</v>
      </c>
      <c r="G5" s="102">
        <v>234.6</v>
      </c>
      <c r="H5" s="102">
        <v>77.400000000000006</v>
      </c>
      <c r="I5" s="102">
        <v>132.1</v>
      </c>
      <c r="J5" s="102">
        <v>67.900000000000006</v>
      </c>
      <c r="K5" s="102">
        <v>52.8</v>
      </c>
      <c r="L5" s="102">
        <v>16.399999999999999</v>
      </c>
      <c r="M5" s="102">
        <v>10.6</v>
      </c>
      <c r="N5" s="102">
        <f>SUM(B5:E5)</f>
        <v>104.3</v>
      </c>
      <c r="O5" s="102">
        <f>SUM(F5:J5)</f>
        <v>641.19999999999993</v>
      </c>
      <c r="P5" s="102">
        <f>SUM(K5:M5)</f>
        <v>79.799999999999983</v>
      </c>
      <c r="Q5" s="102">
        <f>SUM(B5:M5)</f>
        <v>825.3</v>
      </c>
    </row>
    <row r="6" spans="1:33">
      <c r="A6" s="102">
        <v>1972</v>
      </c>
      <c r="B6" s="102">
        <v>11.1</v>
      </c>
      <c r="C6" s="102">
        <v>5.6</v>
      </c>
      <c r="D6" s="102">
        <v>12.8</v>
      </c>
      <c r="E6" s="102">
        <v>37.4</v>
      </c>
      <c r="F6" s="102">
        <v>253.6</v>
      </c>
      <c r="G6" s="102">
        <v>78.8</v>
      </c>
      <c r="H6" s="102">
        <v>106.4</v>
      </c>
      <c r="I6" s="102">
        <v>147.80000000000001</v>
      </c>
      <c r="J6" s="102">
        <v>180.4</v>
      </c>
      <c r="K6" s="102">
        <v>21.5</v>
      </c>
      <c r="L6" s="102">
        <v>68.900000000000006</v>
      </c>
      <c r="M6" s="102">
        <v>11.9</v>
      </c>
      <c r="N6" s="102">
        <f t="shared" ref="N6:N49" si="1">SUM(B6:E6)</f>
        <v>66.900000000000006</v>
      </c>
      <c r="O6" s="102">
        <f t="shared" ref="O6:O49" si="2">SUM(F6:J6)</f>
        <v>766.99999999999989</v>
      </c>
      <c r="P6" s="102">
        <f t="shared" ref="P6:P49" si="3">SUM(K6:M6)</f>
        <v>102.30000000000001</v>
      </c>
      <c r="Q6" s="102">
        <f t="shared" ref="Q6:Q49" si="4">SUM(B6:M6)</f>
        <v>936.19999999999993</v>
      </c>
    </row>
    <row r="7" spans="1:33">
      <c r="A7" s="102">
        <v>1973</v>
      </c>
      <c r="B7" s="102">
        <v>11.6</v>
      </c>
      <c r="C7" s="102">
        <v>8.1</v>
      </c>
      <c r="D7" s="102">
        <v>13.2</v>
      </c>
      <c r="E7" s="102">
        <v>63.8</v>
      </c>
      <c r="F7" s="102">
        <v>71.900000000000006</v>
      </c>
      <c r="G7" s="102">
        <v>189.6</v>
      </c>
      <c r="H7" s="102">
        <v>108.6</v>
      </c>
      <c r="I7" s="102">
        <v>195</v>
      </c>
      <c r="J7" s="102">
        <v>177.5</v>
      </c>
      <c r="K7" s="102">
        <v>27</v>
      </c>
      <c r="L7" s="102">
        <v>56.3</v>
      </c>
      <c r="M7" s="102">
        <v>13.1</v>
      </c>
      <c r="N7" s="102">
        <f t="shared" si="1"/>
        <v>96.699999999999989</v>
      </c>
      <c r="O7" s="102">
        <f t="shared" si="2"/>
        <v>742.6</v>
      </c>
      <c r="P7" s="102">
        <f t="shared" si="3"/>
        <v>96.399999999999991</v>
      </c>
      <c r="Q7" s="102">
        <f t="shared" si="4"/>
        <v>935.69999999999993</v>
      </c>
    </row>
    <row r="8" spans="1:33">
      <c r="A8" s="102">
        <v>1974</v>
      </c>
      <c r="B8" s="102">
        <v>6.9</v>
      </c>
      <c r="C8" s="102">
        <v>5.5</v>
      </c>
      <c r="D8" s="102">
        <v>43.9</v>
      </c>
      <c r="E8" s="102">
        <v>77.900000000000006</v>
      </c>
      <c r="F8" s="102">
        <v>117</v>
      </c>
      <c r="G8" s="102">
        <v>149.19999999999999</v>
      </c>
      <c r="H8" s="102">
        <v>125</v>
      </c>
      <c r="I8" s="102">
        <v>395.8</v>
      </c>
      <c r="J8" s="102">
        <v>90</v>
      </c>
      <c r="K8" s="102">
        <v>27</v>
      </c>
      <c r="L8" s="102">
        <v>17.3</v>
      </c>
      <c r="M8" s="102">
        <v>10.7</v>
      </c>
      <c r="N8" s="102">
        <f t="shared" si="1"/>
        <v>134.19999999999999</v>
      </c>
      <c r="O8" s="102">
        <f t="shared" si="2"/>
        <v>877</v>
      </c>
      <c r="P8" s="102">
        <f t="shared" si="3"/>
        <v>55</v>
      </c>
      <c r="Q8" s="102">
        <f t="shared" si="4"/>
        <v>1066.2</v>
      </c>
    </row>
    <row r="9" spans="1:33">
      <c r="A9" s="102">
        <v>1975</v>
      </c>
      <c r="B9" s="102">
        <v>27.1</v>
      </c>
      <c r="C9" s="102">
        <v>18.5</v>
      </c>
      <c r="D9" s="102">
        <v>29.5</v>
      </c>
      <c r="E9" s="102">
        <v>36.799999999999997</v>
      </c>
      <c r="F9" s="102">
        <v>65.599999999999994</v>
      </c>
      <c r="G9" s="102">
        <v>128.19999999999999</v>
      </c>
      <c r="H9" s="102">
        <v>115.3</v>
      </c>
      <c r="I9" s="102">
        <v>77.099999999999994</v>
      </c>
      <c r="J9" s="102">
        <v>219.1</v>
      </c>
      <c r="K9" s="102">
        <v>32.299999999999997</v>
      </c>
      <c r="L9" s="102">
        <v>44.1</v>
      </c>
      <c r="M9" s="102">
        <v>3.1</v>
      </c>
      <c r="N9" s="102">
        <f t="shared" si="1"/>
        <v>111.89999999999999</v>
      </c>
      <c r="O9" s="102">
        <f t="shared" si="2"/>
        <v>605.29999999999995</v>
      </c>
      <c r="P9" s="102">
        <f t="shared" si="3"/>
        <v>79.5</v>
      </c>
      <c r="Q9" s="102">
        <f t="shared" si="4"/>
        <v>796.7</v>
      </c>
    </row>
    <row r="10" spans="1:33">
      <c r="A10" s="102">
        <v>1976</v>
      </c>
      <c r="B10" s="102">
        <v>25</v>
      </c>
      <c r="C10" s="102">
        <v>5.5</v>
      </c>
      <c r="D10" s="102">
        <v>29.8</v>
      </c>
      <c r="E10" s="102">
        <v>41.4</v>
      </c>
      <c r="F10" s="102">
        <v>138.30000000000001</v>
      </c>
      <c r="G10" s="102">
        <v>192.7</v>
      </c>
      <c r="H10" s="102">
        <v>173.1</v>
      </c>
      <c r="I10" s="102">
        <v>55.5</v>
      </c>
      <c r="J10" s="102">
        <v>76.599999999999994</v>
      </c>
      <c r="K10" s="102">
        <v>82.5</v>
      </c>
      <c r="L10" s="102">
        <v>12.2</v>
      </c>
      <c r="M10" s="102">
        <v>9.8000000000000007</v>
      </c>
      <c r="N10" s="102">
        <f t="shared" si="1"/>
        <v>101.69999999999999</v>
      </c>
      <c r="O10" s="102">
        <f t="shared" si="2"/>
        <v>636.20000000000005</v>
      </c>
      <c r="P10" s="102">
        <f t="shared" si="3"/>
        <v>104.5</v>
      </c>
      <c r="Q10" s="102">
        <f t="shared" si="4"/>
        <v>842.4</v>
      </c>
    </row>
    <row r="11" spans="1:33">
      <c r="A11" s="102">
        <v>1977</v>
      </c>
      <c r="B11" s="102">
        <v>15.6</v>
      </c>
      <c r="C11" s="102">
        <v>16.5</v>
      </c>
      <c r="D11" s="102">
        <v>15.3</v>
      </c>
      <c r="E11" s="102">
        <v>64.7</v>
      </c>
      <c r="F11" s="102">
        <v>115.6</v>
      </c>
      <c r="G11" s="102">
        <v>227</v>
      </c>
      <c r="H11" s="102">
        <v>147.6</v>
      </c>
      <c r="I11" s="102">
        <v>135.80000000000001</v>
      </c>
      <c r="J11" s="102">
        <v>114.5</v>
      </c>
      <c r="K11" s="102">
        <v>61</v>
      </c>
      <c r="L11" s="102">
        <v>45.6</v>
      </c>
      <c r="M11" s="102">
        <v>0.9</v>
      </c>
      <c r="N11" s="102">
        <f t="shared" si="1"/>
        <v>112.10000000000001</v>
      </c>
      <c r="O11" s="102">
        <f t="shared" si="2"/>
        <v>740.5</v>
      </c>
      <c r="P11" s="102">
        <f t="shared" si="3"/>
        <v>107.5</v>
      </c>
      <c r="Q11" s="102">
        <f t="shared" si="4"/>
        <v>960.09999999999991</v>
      </c>
    </row>
    <row r="12" spans="1:33">
      <c r="A12" s="102">
        <v>1978</v>
      </c>
      <c r="B12" s="102">
        <v>19.100000000000001</v>
      </c>
      <c r="C12" s="102">
        <v>4.8</v>
      </c>
      <c r="D12" s="102">
        <v>4.9000000000000004</v>
      </c>
      <c r="E12" s="102">
        <v>13.8</v>
      </c>
      <c r="F12" s="102">
        <v>186.6</v>
      </c>
      <c r="G12" s="102">
        <v>193.5</v>
      </c>
      <c r="H12" s="102">
        <v>88.1</v>
      </c>
      <c r="I12" s="102">
        <v>235.5</v>
      </c>
      <c r="J12" s="102">
        <v>20</v>
      </c>
      <c r="K12" s="102">
        <v>77.3</v>
      </c>
      <c r="L12" s="102">
        <v>47.1</v>
      </c>
      <c r="M12" s="102">
        <v>0.2</v>
      </c>
      <c r="N12" s="102">
        <f t="shared" si="1"/>
        <v>42.600000000000009</v>
      </c>
      <c r="O12" s="102">
        <f t="shared" si="2"/>
        <v>723.7</v>
      </c>
      <c r="P12" s="102">
        <f t="shared" si="3"/>
        <v>124.60000000000001</v>
      </c>
      <c r="Q12" s="102">
        <f t="shared" si="4"/>
        <v>890.9</v>
      </c>
    </row>
    <row r="13" spans="1:33">
      <c r="A13" s="102">
        <v>1979</v>
      </c>
      <c r="B13" s="102">
        <v>7.1</v>
      </c>
      <c r="C13" s="102">
        <v>4.5</v>
      </c>
      <c r="D13" s="102">
        <v>9.1</v>
      </c>
      <c r="E13" s="102">
        <v>15</v>
      </c>
      <c r="F13" s="102">
        <v>21.4</v>
      </c>
      <c r="G13" s="102">
        <v>124.6</v>
      </c>
      <c r="H13" s="102">
        <v>132.80000000000001</v>
      </c>
      <c r="I13" s="102">
        <v>304.60000000000002</v>
      </c>
      <c r="J13" s="102">
        <v>165.3</v>
      </c>
      <c r="K13" s="102">
        <v>66.3</v>
      </c>
      <c r="L13" s="102">
        <v>13.5</v>
      </c>
      <c r="M13" s="102">
        <v>30.2</v>
      </c>
      <c r="N13" s="102">
        <f t="shared" si="1"/>
        <v>35.700000000000003</v>
      </c>
      <c r="O13" s="102">
        <f t="shared" si="2"/>
        <v>748.7</v>
      </c>
      <c r="P13" s="102">
        <f t="shared" si="3"/>
        <v>110</v>
      </c>
      <c r="Q13" s="102">
        <f t="shared" si="4"/>
        <v>894.40000000000009</v>
      </c>
    </row>
    <row r="14" spans="1:33">
      <c r="A14" s="102">
        <v>1980</v>
      </c>
      <c r="B14" s="102">
        <v>10.1</v>
      </c>
      <c r="C14" s="102">
        <v>7.4</v>
      </c>
      <c r="D14" s="102">
        <v>11.5</v>
      </c>
      <c r="E14" s="102">
        <v>40.700000000000003</v>
      </c>
      <c r="F14" s="102">
        <v>159.69999999999999</v>
      </c>
      <c r="G14" s="102">
        <v>151.30000000000001</v>
      </c>
      <c r="H14" s="102">
        <v>152.5</v>
      </c>
      <c r="I14" s="102">
        <v>181.7</v>
      </c>
      <c r="J14" s="102">
        <v>63</v>
      </c>
      <c r="K14" s="102">
        <v>72.3</v>
      </c>
      <c r="L14" s="102">
        <v>5.3</v>
      </c>
      <c r="M14" s="102">
        <v>23.3</v>
      </c>
      <c r="N14" s="102">
        <f t="shared" si="1"/>
        <v>69.7</v>
      </c>
      <c r="O14" s="102">
        <f t="shared" si="2"/>
        <v>708.2</v>
      </c>
      <c r="P14" s="102">
        <f t="shared" si="3"/>
        <v>100.89999999999999</v>
      </c>
      <c r="Q14" s="102">
        <f t="shared" si="4"/>
        <v>878.8</v>
      </c>
    </row>
    <row r="15" spans="1:33">
      <c r="A15" s="102">
        <v>1981</v>
      </c>
      <c r="B15" s="102">
        <v>7.8</v>
      </c>
      <c r="C15" s="102">
        <v>7.8</v>
      </c>
      <c r="D15" s="102">
        <v>20.7</v>
      </c>
      <c r="E15" s="102">
        <v>39</v>
      </c>
      <c r="F15" s="102">
        <v>114.7</v>
      </c>
      <c r="G15" s="102">
        <v>208.6</v>
      </c>
      <c r="H15" s="102">
        <v>100.3</v>
      </c>
      <c r="I15" s="102">
        <v>104.1</v>
      </c>
      <c r="J15" s="102">
        <v>199.4</v>
      </c>
      <c r="K15" s="102">
        <v>42.3</v>
      </c>
      <c r="L15" s="102">
        <v>16.8</v>
      </c>
      <c r="M15" s="102">
        <v>17.399999999999999</v>
      </c>
      <c r="N15" s="102">
        <f t="shared" si="1"/>
        <v>75.3</v>
      </c>
      <c r="O15" s="102">
        <f t="shared" si="2"/>
        <v>727.1</v>
      </c>
      <c r="P15" s="102">
        <f t="shared" si="3"/>
        <v>76.5</v>
      </c>
      <c r="Q15" s="102">
        <f t="shared" si="4"/>
        <v>878.89999999999986</v>
      </c>
    </row>
    <row r="16" spans="1:33">
      <c r="A16" s="102">
        <v>1982</v>
      </c>
      <c r="B16" s="102">
        <v>10.1</v>
      </c>
      <c r="C16" s="102">
        <v>24.3</v>
      </c>
      <c r="D16" s="102">
        <v>7.4</v>
      </c>
      <c r="E16" s="102">
        <v>73.3</v>
      </c>
      <c r="F16" s="102">
        <v>127.1</v>
      </c>
      <c r="G16" s="102">
        <v>193.9</v>
      </c>
      <c r="H16" s="102">
        <v>110.6</v>
      </c>
      <c r="I16" s="102">
        <v>172.1</v>
      </c>
      <c r="J16" s="102">
        <v>167.4</v>
      </c>
      <c r="K16" s="102">
        <v>102.3</v>
      </c>
      <c r="L16" s="102">
        <v>19.5</v>
      </c>
      <c r="M16" s="102">
        <v>6</v>
      </c>
      <c r="N16" s="102">
        <f t="shared" si="1"/>
        <v>115.1</v>
      </c>
      <c r="O16" s="102">
        <f t="shared" si="2"/>
        <v>771.1</v>
      </c>
      <c r="P16" s="102">
        <f t="shared" si="3"/>
        <v>127.8</v>
      </c>
      <c r="Q16" s="102">
        <f t="shared" si="4"/>
        <v>1014</v>
      </c>
    </row>
    <row r="17" spans="1:17">
      <c r="A17" s="102">
        <v>1983</v>
      </c>
      <c r="B17" s="102">
        <v>21.3</v>
      </c>
      <c r="C17" s="102">
        <v>33.6</v>
      </c>
      <c r="D17" s="102">
        <v>49.4</v>
      </c>
      <c r="E17" s="102">
        <v>42.6</v>
      </c>
      <c r="F17" s="102">
        <v>178.5</v>
      </c>
      <c r="G17" s="102">
        <v>184.7</v>
      </c>
      <c r="H17" s="102">
        <v>195.3</v>
      </c>
      <c r="I17" s="102">
        <v>185.7</v>
      </c>
      <c r="J17" s="102">
        <v>232.9</v>
      </c>
      <c r="K17" s="102">
        <v>37.700000000000003</v>
      </c>
      <c r="L17" s="102">
        <v>35.6</v>
      </c>
      <c r="M17" s="102">
        <v>20.9</v>
      </c>
      <c r="N17" s="102">
        <f t="shared" si="1"/>
        <v>146.9</v>
      </c>
      <c r="O17" s="102">
        <f t="shared" si="2"/>
        <v>977.1</v>
      </c>
      <c r="P17" s="102">
        <f t="shared" si="3"/>
        <v>94.200000000000017</v>
      </c>
      <c r="Q17" s="102">
        <f t="shared" si="4"/>
        <v>1218.2</v>
      </c>
    </row>
    <row r="18" spans="1:17">
      <c r="A18" s="102">
        <v>1984</v>
      </c>
      <c r="B18" s="102">
        <v>9.5</v>
      </c>
      <c r="C18" s="102">
        <v>9.1</v>
      </c>
      <c r="D18" s="102">
        <v>20.7</v>
      </c>
      <c r="E18" s="102">
        <v>121.5</v>
      </c>
      <c r="F18" s="102">
        <v>217.1</v>
      </c>
      <c r="G18" s="102">
        <v>63.3</v>
      </c>
      <c r="H18" s="102">
        <v>217.3</v>
      </c>
      <c r="I18" s="102">
        <v>179.8</v>
      </c>
      <c r="J18" s="102">
        <v>42.2</v>
      </c>
      <c r="K18" s="102">
        <v>17.8</v>
      </c>
      <c r="L18" s="102">
        <v>4.4000000000000004</v>
      </c>
      <c r="M18" s="102">
        <v>13.9</v>
      </c>
      <c r="N18" s="102">
        <f t="shared" si="1"/>
        <v>160.80000000000001</v>
      </c>
      <c r="O18" s="102">
        <f t="shared" si="2"/>
        <v>719.7</v>
      </c>
      <c r="P18" s="102">
        <f t="shared" si="3"/>
        <v>36.1</v>
      </c>
      <c r="Q18" s="102">
        <f t="shared" si="4"/>
        <v>916.59999999999991</v>
      </c>
    </row>
    <row r="19" spans="1:17">
      <c r="A19" s="102">
        <v>1985</v>
      </c>
      <c r="B19" s="102">
        <v>17.100000000000001</v>
      </c>
      <c r="C19" s="102">
        <v>15</v>
      </c>
      <c r="D19" s="102">
        <v>22.9</v>
      </c>
      <c r="E19" s="102">
        <v>81.400000000000006</v>
      </c>
      <c r="F19" s="102">
        <v>68.400000000000006</v>
      </c>
      <c r="G19" s="102">
        <v>245.7</v>
      </c>
      <c r="H19" s="102">
        <v>219.8</v>
      </c>
      <c r="I19" s="102">
        <v>101.5</v>
      </c>
      <c r="J19" s="102">
        <v>87.3</v>
      </c>
      <c r="K19" s="102">
        <v>54.4</v>
      </c>
      <c r="L19" s="102">
        <v>26.7</v>
      </c>
      <c r="M19" s="102">
        <v>12.8</v>
      </c>
      <c r="N19" s="102">
        <f t="shared" si="1"/>
        <v>136.4</v>
      </c>
      <c r="O19" s="102">
        <f t="shared" si="2"/>
        <v>722.7</v>
      </c>
      <c r="P19" s="102">
        <f t="shared" si="3"/>
        <v>93.899999999999991</v>
      </c>
      <c r="Q19" s="102">
        <f t="shared" si="4"/>
        <v>952.99999999999989</v>
      </c>
    </row>
    <row r="20" spans="1:17">
      <c r="A20" s="102">
        <v>1986</v>
      </c>
      <c r="B20" s="102">
        <v>7.2</v>
      </c>
      <c r="C20" s="102">
        <v>23.9</v>
      </c>
      <c r="D20" s="102">
        <v>15.1</v>
      </c>
      <c r="E20" s="102">
        <v>29.5</v>
      </c>
      <c r="F20" s="102">
        <v>106.5</v>
      </c>
      <c r="G20" s="102">
        <v>168.2</v>
      </c>
      <c r="H20" s="102">
        <v>399.1</v>
      </c>
      <c r="I20" s="102">
        <v>145.80000000000001</v>
      </c>
      <c r="J20" s="102">
        <v>81.3</v>
      </c>
      <c r="K20" s="102">
        <v>68.8</v>
      </c>
      <c r="L20" s="102">
        <v>28.6</v>
      </c>
      <c r="M20" s="102">
        <v>0.8</v>
      </c>
      <c r="N20" s="102">
        <f t="shared" si="1"/>
        <v>75.699999999999989</v>
      </c>
      <c r="O20" s="102">
        <f t="shared" si="2"/>
        <v>900.89999999999986</v>
      </c>
      <c r="P20" s="102">
        <f t="shared" si="3"/>
        <v>98.2</v>
      </c>
      <c r="Q20" s="102">
        <f t="shared" si="4"/>
        <v>1074.7999999999997</v>
      </c>
    </row>
    <row r="21" spans="1:17">
      <c r="A21" s="102">
        <v>1987</v>
      </c>
      <c r="B21" s="102">
        <v>11.9</v>
      </c>
      <c r="C21" s="102">
        <v>7.3</v>
      </c>
      <c r="D21" s="102">
        <v>12.8</v>
      </c>
      <c r="E21" s="102">
        <v>22</v>
      </c>
      <c r="F21" s="102">
        <v>210.7</v>
      </c>
      <c r="G21" s="102">
        <v>181.5</v>
      </c>
      <c r="H21" s="102">
        <v>112.8</v>
      </c>
      <c r="I21" s="102">
        <v>160.4</v>
      </c>
      <c r="J21" s="102">
        <v>148.6</v>
      </c>
      <c r="K21" s="102">
        <v>38.9</v>
      </c>
      <c r="L21" s="102">
        <v>18.8</v>
      </c>
      <c r="M21" s="102">
        <v>8.3000000000000007</v>
      </c>
      <c r="N21" s="102">
        <f t="shared" si="1"/>
        <v>54</v>
      </c>
      <c r="O21" s="102">
        <f t="shared" si="2"/>
        <v>814</v>
      </c>
      <c r="P21" s="102">
        <f t="shared" si="3"/>
        <v>66</v>
      </c>
      <c r="Q21" s="102">
        <f t="shared" si="4"/>
        <v>933.99999999999989</v>
      </c>
    </row>
    <row r="22" spans="1:17">
      <c r="A22" s="102">
        <v>1988</v>
      </c>
      <c r="B22" s="102">
        <v>4.5</v>
      </c>
      <c r="C22" s="102">
        <v>21.4</v>
      </c>
      <c r="D22" s="102">
        <v>15.4</v>
      </c>
      <c r="E22" s="102">
        <v>42</v>
      </c>
      <c r="F22" s="102">
        <v>45.2</v>
      </c>
      <c r="G22" s="102">
        <v>160.6</v>
      </c>
      <c r="H22" s="102">
        <v>151.80000000000001</v>
      </c>
      <c r="I22" s="102">
        <v>210.7</v>
      </c>
      <c r="J22" s="102">
        <v>88.5</v>
      </c>
      <c r="K22" s="102">
        <v>39.1</v>
      </c>
      <c r="L22" s="102">
        <v>11.3</v>
      </c>
      <c r="M22" s="102">
        <v>4.2</v>
      </c>
      <c r="N22" s="102">
        <f t="shared" si="1"/>
        <v>83.3</v>
      </c>
      <c r="O22" s="102">
        <f t="shared" si="2"/>
        <v>656.8</v>
      </c>
      <c r="P22" s="102">
        <f t="shared" si="3"/>
        <v>54.600000000000009</v>
      </c>
      <c r="Q22" s="102">
        <f t="shared" si="4"/>
        <v>794.7</v>
      </c>
    </row>
    <row r="23" spans="1:17">
      <c r="A23" s="102">
        <v>1989</v>
      </c>
      <c r="B23" s="102">
        <v>7.6</v>
      </c>
      <c r="C23" s="102">
        <v>10.199999999999999</v>
      </c>
      <c r="D23" s="102">
        <v>53.5</v>
      </c>
      <c r="E23" s="102">
        <v>25.6</v>
      </c>
      <c r="F23" s="102">
        <v>42.8</v>
      </c>
      <c r="G23" s="102">
        <v>124.2</v>
      </c>
      <c r="H23" s="102">
        <v>54.5</v>
      </c>
      <c r="I23" s="102">
        <v>112.9</v>
      </c>
      <c r="J23" s="102">
        <v>79.599999999999994</v>
      </c>
      <c r="K23" s="102">
        <v>39.4</v>
      </c>
      <c r="L23" s="102">
        <v>12.4</v>
      </c>
      <c r="M23" s="102">
        <v>17.100000000000001</v>
      </c>
      <c r="N23" s="102">
        <f t="shared" si="1"/>
        <v>96.9</v>
      </c>
      <c r="O23" s="102">
        <f t="shared" si="2"/>
        <v>414</v>
      </c>
      <c r="P23" s="102">
        <f t="shared" si="3"/>
        <v>68.900000000000006</v>
      </c>
      <c r="Q23" s="102">
        <f t="shared" si="4"/>
        <v>579.79999999999995</v>
      </c>
    </row>
    <row r="24" spans="1:17">
      <c r="A24" s="102">
        <v>1990</v>
      </c>
      <c r="B24" s="102">
        <v>9.8000000000000007</v>
      </c>
      <c r="C24" s="102">
        <v>12.2</v>
      </c>
      <c r="D24" s="102">
        <v>26</v>
      </c>
      <c r="E24" s="102">
        <v>57.3</v>
      </c>
      <c r="F24" s="102">
        <v>102.1</v>
      </c>
      <c r="G24" s="102">
        <v>176.2</v>
      </c>
      <c r="H24" s="102">
        <v>123.2</v>
      </c>
      <c r="I24" s="102">
        <v>52.1</v>
      </c>
      <c r="J24" s="102">
        <v>65.5</v>
      </c>
      <c r="K24" s="102">
        <v>81.599999999999994</v>
      </c>
      <c r="L24" s="102">
        <v>23.6</v>
      </c>
      <c r="M24" s="102">
        <v>3.1</v>
      </c>
      <c r="N24" s="102">
        <f t="shared" si="1"/>
        <v>105.3</v>
      </c>
      <c r="O24" s="102">
        <f t="shared" si="2"/>
        <v>519.09999999999991</v>
      </c>
      <c r="P24" s="102">
        <f t="shared" si="3"/>
        <v>108.29999999999998</v>
      </c>
      <c r="Q24" s="102">
        <f t="shared" si="4"/>
        <v>732.7</v>
      </c>
    </row>
    <row r="25" spans="1:17">
      <c r="A25" s="102">
        <v>1991</v>
      </c>
      <c r="B25" s="102">
        <v>25.3</v>
      </c>
      <c r="C25" s="102">
        <v>10.8</v>
      </c>
      <c r="D25" s="102">
        <v>16.399999999999999</v>
      </c>
      <c r="E25" s="102">
        <v>30.4</v>
      </c>
      <c r="F25" s="102">
        <v>90.5</v>
      </c>
      <c r="G25" s="102">
        <v>83.5</v>
      </c>
      <c r="H25" s="102">
        <v>136</v>
      </c>
      <c r="I25" s="102">
        <v>305.8</v>
      </c>
      <c r="J25" s="102">
        <v>67.599999999999994</v>
      </c>
      <c r="K25" s="102">
        <v>65.2</v>
      </c>
      <c r="L25" s="102">
        <v>24.9</v>
      </c>
      <c r="M25" s="102">
        <v>3.5</v>
      </c>
      <c r="N25" s="102">
        <f t="shared" si="1"/>
        <v>82.9</v>
      </c>
      <c r="O25" s="102">
        <f t="shared" si="2"/>
        <v>683.4</v>
      </c>
      <c r="P25" s="102">
        <f t="shared" si="3"/>
        <v>93.6</v>
      </c>
      <c r="Q25" s="102">
        <f t="shared" si="4"/>
        <v>859.90000000000009</v>
      </c>
    </row>
    <row r="26" spans="1:17">
      <c r="A26" s="102">
        <v>1992</v>
      </c>
      <c r="B26" s="102">
        <v>18.100000000000001</v>
      </c>
      <c r="C26" s="102">
        <v>29.5</v>
      </c>
      <c r="D26" s="102">
        <v>45.2</v>
      </c>
      <c r="E26" s="102">
        <v>120.7</v>
      </c>
      <c r="F26" s="102">
        <v>81.5</v>
      </c>
      <c r="G26" s="102">
        <v>201.9</v>
      </c>
      <c r="H26" s="102">
        <v>126.5</v>
      </c>
      <c r="I26" s="102">
        <v>83.8</v>
      </c>
      <c r="J26" s="102">
        <v>67</v>
      </c>
      <c r="K26" s="102">
        <v>111.9</v>
      </c>
      <c r="L26" s="102">
        <v>11</v>
      </c>
      <c r="M26" s="102">
        <v>3.3</v>
      </c>
      <c r="N26" s="102">
        <f t="shared" si="1"/>
        <v>213.5</v>
      </c>
      <c r="O26" s="102">
        <f t="shared" si="2"/>
        <v>560.70000000000005</v>
      </c>
      <c r="P26" s="102">
        <f t="shared" si="3"/>
        <v>126.2</v>
      </c>
      <c r="Q26" s="102">
        <f t="shared" si="4"/>
        <v>900.39999999999986</v>
      </c>
    </row>
    <row r="27" spans="1:17">
      <c r="A27" s="102">
        <v>1993</v>
      </c>
      <c r="B27" s="102">
        <v>14.2</v>
      </c>
      <c r="C27" s="102">
        <v>13.1</v>
      </c>
      <c r="D27" s="102">
        <v>16.399999999999999</v>
      </c>
      <c r="E27" s="102">
        <v>55.1</v>
      </c>
      <c r="F27" s="102">
        <v>110.7</v>
      </c>
      <c r="G27" s="102">
        <v>81.8</v>
      </c>
      <c r="H27" s="102">
        <v>224</v>
      </c>
      <c r="I27" s="102">
        <v>178.2</v>
      </c>
      <c r="J27" s="102">
        <v>133.9</v>
      </c>
      <c r="K27" s="102">
        <v>29.4</v>
      </c>
      <c r="L27" s="102">
        <v>1.4</v>
      </c>
      <c r="M27" s="102">
        <v>5.0999999999999996</v>
      </c>
      <c r="N27" s="102">
        <f t="shared" si="1"/>
        <v>98.8</v>
      </c>
      <c r="O27" s="102">
        <f t="shared" si="2"/>
        <v>728.6</v>
      </c>
      <c r="P27" s="102">
        <f t="shared" si="3"/>
        <v>35.9</v>
      </c>
      <c r="Q27" s="102">
        <f t="shared" si="4"/>
        <v>863.3</v>
      </c>
    </row>
    <row r="28" spans="1:17">
      <c r="A28" s="102">
        <v>1994</v>
      </c>
      <c r="B28" s="102">
        <v>4.7</v>
      </c>
      <c r="C28" s="102">
        <v>0</v>
      </c>
      <c r="D28" s="102">
        <v>65</v>
      </c>
      <c r="E28" s="102">
        <v>9.9</v>
      </c>
      <c r="F28" s="102">
        <v>128.4</v>
      </c>
      <c r="G28" s="102">
        <v>136.19999999999999</v>
      </c>
      <c r="H28" s="102">
        <v>168.5</v>
      </c>
      <c r="I28" s="102">
        <v>191.8</v>
      </c>
      <c r="J28" s="102">
        <v>105</v>
      </c>
      <c r="K28" s="102">
        <v>79.7</v>
      </c>
      <c r="L28" s="102">
        <v>43.6</v>
      </c>
      <c r="M28" s="102">
        <v>13.1</v>
      </c>
      <c r="N28" s="102">
        <f t="shared" si="1"/>
        <v>79.600000000000009</v>
      </c>
      <c r="O28" s="102">
        <f t="shared" si="2"/>
        <v>729.90000000000009</v>
      </c>
      <c r="P28" s="102">
        <f t="shared" si="3"/>
        <v>136.4</v>
      </c>
      <c r="Q28" s="102">
        <f t="shared" si="4"/>
        <v>945.90000000000009</v>
      </c>
    </row>
    <row r="29" spans="1:17">
      <c r="A29" s="102">
        <v>1995</v>
      </c>
      <c r="B29" s="102">
        <v>16.8</v>
      </c>
      <c r="C29" s="102">
        <v>29.9</v>
      </c>
      <c r="D29" s="102">
        <v>17.5</v>
      </c>
      <c r="E29" s="102">
        <v>25.1</v>
      </c>
      <c r="F29" s="102">
        <v>60.4</v>
      </c>
      <c r="G29" s="102">
        <v>218.7</v>
      </c>
      <c r="H29" s="102">
        <v>172.7</v>
      </c>
      <c r="I29" s="102">
        <v>241.9</v>
      </c>
      <c r="J29" s="102">
        <v>133.4</v>
      </c>
      <c r="K29" s="102">
        <v>84.3</v>
      </c>
      <c r="L29" s="102">
        <v>32.700000000000003</v>
      </c>
      <c r="M29" s="102">
        <v>12.9</v>
      </c>
      <c r="N29" s="102">
        <f t="shared" si="1"/>
        <v>89.300000000000011</v>
      </c>
      <c r="O29" s="102">
        <f t="shared" si="2"/>
        <v>827.09999999999991</v>
      </c>
      <c r="P29" s="102">
        <f t="shared" si="3"/>
        <v>129.9</v>
      </c>
      <c r="Q29" s="102">
        <f t="shared" si="4"/>
        <v>1046.3</v>
      </c>
    </row>
    <row r="30" spans="1:17">
      <c r="A30" s="102">
        <v>1996</v>
      </c>
      <c r="B30" s="102">
        <v>7.5</v>
      </c>
      <c r="C30" s="102">
        <v>5.8</v>
      </c>
      <c r="D30" s="102">
        <v>24.8</v>
      </c>
      <c r="E30" s="102">
        <v>48.8</v>
      </c>
      <c r="F30" s="102">
        <v>155.69999999999999</v>
      </c>
      <c r="G30" s="102">
        <v>94.4</v>
      </c>
      <c r="H30" s="102">
        <v>225.1</v>
      </c>
      <c r="I30" s="102">
        <v>80</v>
      </c>
      <c r="J30" s="102">
        <v>116.1</v>
      </c>
      <c r="K30" s="102">
        <v>21.8</v>
      </c>
      <c r="L30" s="102">
        <v>38.4</v>
      </c>
      <c r="M30" s="102">
        <v>3.6</v>
      </c>
      <c r="N30" s="102">
        <f t="shared" si="1"/>
        <v>86.9</v>
      </c>
      <c r="O30" s="102">
        <f t="shared" si="2"/>
        <v>671.30000000000007</v>
      </c>
      <c r="P30" s="102">
        <f t="shared" si="3"/>
        <v>63.800000000000004</v>
      </c>
      <c r="Q30" s="102">
        <f t="shared" si="4"/>
        <v>822</v>
      </c>
    </row>
    <row r="31" spans="1:17">
      <c r="A31" s="102">
        <v>1997</v>
      </c>
      <c r="B31" s="102">
        <v>10.6</v>
      </c>
      <c r="C31" s="102">
        <v>36.5</v>
      </c>
      <c r="D31" s="102">
        <v>18.600000000000001</v>
      </c>
      <c r="E31" s="102">
        <v>70.599999999999994</v>
      </c>
      <c r="F31" s="102">
        <v>71.900000000000006</v>
      </c>
      <c r="G31" s="102">
        <v>268</v>
      </c>
      <c r="H31" s="102">
        <v>207.3</v>
      </c>
      <c r="I31" s="102">
        <v>68.2</v>
      </c>
      <c r="J31" s="102">
        <v>185.4</v>
      </c>
      <c r="K31" s="102">
        <v>59.6</v>
      </c>
      <c r="L31" s="102">
        <v>4</v>
      </c>
      <c r="M31" s="102">
        <v>9.8000000000000007</v>
      </c>
      <c r="N31" s="102">
        <f t="shared" si="1"/>
        <v>136.30000000000001</v>
      </c>
      <c r="O31" s="102">
        <f t="shared" si="2"/>
        <v>800.80000000000007</v>
      </c>
      <c r="P31" s="102">
        <f t="shared" si="3"/>
        <v>73.400000000000006</v>
      </c>
      <c r="Q31" s="102">
        <f t="shared" si="4"/>
        <v>1010.5</v>
      </c>
    </row>
    <row r="32" spans="1:17">
      <c r="A32" s="102">
        <v>1998</v>
      </c>
      <c r="B32" s="102">
        <v>9.1999999999999993</v>
      </c>
      <c r="C32" s="102">
        <v>12.7</v>
      </c>
      <c r="D32" s="102">
        <v>7.8</v>
      </c>
      <c r="E32" s="102">
        <v>15.1</v>
      </c>
      <c r="F32" s="102">
        <v>55.7</v>
      </c>
      <c r="G32" s="102">
        <v>88.6</v>
      </c>
      <c r="H32" s="102">
        <v>182.3</v>
      </c>
      <c r="I32" s="102">
        <v>310.7</v>
      </c>
      <c r="J32" s="102">
        <v>50.5</v>
      </c>
      <c r="K32" s="102">
        <v>53.4</v>
      </c>
      <c r="L32" s="102">
        <v>36</v>
      </c>
      <c r="M32" s="102">
        <v>7</v>
      </c>
      <c r="N32" s="102">
        <f t="shared" si="1"/>
        <v>44.8</v>
      </c>
      <c r="O32" s="102">
        <f t="shared" si="2"/>
        <v>687.8</v>
      </c>
      <c r="P32" s="102">
        <f t="shared" si="3"/>
        <v>96.4</v>
      </c>
      <c r="Q32" s="102">
        <f t="shared" si="4"/>
        <v>828.99999999999989</v>
      </c>
    </row>
    <row r="33" spans="1:33">
      <c r="A33" s="102">
        <v>1999</v>
      </c>
      <c r="B33" s="102">
        <v>23.3</v>
      </c>
      <c r="C33" s="102">
        <v>13.6</v>
      </c>
      <c r="D33" s="102">
        <v>10</v>
      </c>
      <c r="E33" s="102">
        <v>82.3</v>
      </c>
      <c r="F33" s="102">
        <v>57.4</v>
      </c>
      <c r="G33" s="102">
        <v>185.2</v>
      </c>
      <c r="H33" s="102">
        <v>209.5</v>
      </c>
      <c r="I33" s="102">
        <v>168.6</v>
      </c>
      <c r="J33" s="102">
        <v>48.3</v>
      </c>
      <c r="K33" s="102">
        <v>29</v>
      </c>
      <c r="L33" s="102">
        <v>23.3</v>
      </c>
      <c r="M33" s="102">
        <v>5.6</v>
      </c>
      <c r="N33" s="102">
        <f t="shared" si="1"/>
        <v>129.19999999999999</v>
      </c>
      <c r="O33" s="102">
        <f t="shared" si="2"/>
        <v>669</v>
      </c>
      <c r="P33" s="102">
        <f t="shared" si="3"/>
        <v>57.9</v>
      </c>
      <c r="Q33" s="102">
        <f t="shared" si="4"/>
        <v>856.09999999999991</v>
      </c>
    </row>
    <row r="34" spans="1:33">
      <c r="A34" s="102">
        <v>2000</v>
      </c>
      <c r="B34" s="102">
        <v>13.2</v>
      </c>
      <c r="C34" s="102">
        <v>17.399999999999999</v>
      </c>
      <c r="D34" s="102">
        <v>35.200000000000003</v>
      </c>
      <c r="E34" s="102">
        <v>62.9</v>
      </c>
      <c r="F34" s="102">
        <v>56.6</v>
      </c>
      <c r="G34" s="102">
        <v>144.30000000000001</v>
      </c>
      <c r="H34" s="102">
        <v>97.1</v>
      </c>
      <c r="I34" s="102">
        <v>147.1</v>
      </c>
      <c r="J34" s="102">
        <v>129.9</v>
      </c>
      <c r="K34" s="102">
        <v>75.2</v>
      </c>
      <c r="L34" s="102">
        <v>12.4</v>
      </c>
      <c r="M34" s="102">
        <v>3</v>
      </c>
      <c r="N34" s="102">
        <f t="shared" si="1"/>
        <v>128.69999999999999</v>
      </c>
      <c r="O34" s="102">
        <f t="shared" si="2"/>
        <v>575</v>
      </c>
      <c r="P34" s="102">
        <f t="shared" si="3"/>
        <v>90.600000000000009</v>
      </c>
      <c r="Q34" s="102">
        <f t="shared" si="4"/>
        <v>794.30000000000007</v>
      </c>
    </row>
    <row r="35" spans="1:33">
      <c r="A35" s="102">
        <v>2001</v>
      </c>
      <c r="B35" s="102">
        <v>3.3</v>
      </c>
      <c r="C35" s="102">
        <v>17.600000000000001</v>
      </c>
      <c r="D35" s="102">
        <v>39.200000000000003</v>
      </c>
      <c r="E35" s="102">
        <v>59.3</v>
      </c>
      <c r="F35" s="102">
        <v>125.8</v>
      </c>
      <c r="G35" s="102">
        <v>195.6</v>
      </c>
      <c r="H35" s="102">
        <v>178.6</v>
      </c>
      <c r="I35" s="102">
        <v>276.8</v>
      </c>
      <c r="J35" s="102">
        <v>20.8</v>
      </c>
      <c r="K35" s="102">
        <v>91.4</v>
      </c>
      <c r="L35" s="102">
        <v>17.2</v>
      </c>
      <c r="M35" s="102">
        <v>5.5</v>
      </c>
      <c r="N35" s="102">
        <f t="shared" si="1"/>
        <v>119.4</v>
      </c>
      <c r="O35" s="102">
        <f t="shared" si="2"/>
        <v>797.59999999999991</v>
      </c>
      <c r="P35" s="102">
        <f t="shared" si="3"/>
        <v>114.10000000000001</v>
      </c>
      <c r="Q35" s="102">
        <f t="shared" si="4"/>
        <v>1031.0999999999999</v>
      </c>
    </row>
    <row r="36" spans="1:33">
      <c r="A36" s="102">
        <v>2002</v>
      </c>
      <c r="B36" s="102">
        <v>17</v>
      </c>
      <c r="C36" s="102">
        <v>6.6</v>
      </c>
      <c r="D36" s="102">
        <v>17.600000000000001</v>
      </c>
      <c r="E36" s="102">
        <v>21.8</v>
      </c>
      <c r="F36" s="102">
        <v>134.19999999999999</v>
      </c>
      <c r="G36" s="102">
        <v>110.8</v>
      </c>
      <c r="H36" s="102">
        <v>124.5</v>
      </c>
      <c r="I36" s="102">
        <v>214.8</v>
      </c>
      <c r="J36" s="102">
        <v>11.9</v>
      </c>
      <c r="K36" s="102">
        <v>57.1</v>
      </c>
      <c r="L36" s="102">
        <v>19</v>
      </c>
      <c r="M36" s="102">
        <v>9.3000000000000007</v>
      </c>
      <c r="N36" s="102">
        <f t="shared" si="1"/>
        <v>63</v>
      </c>
      <c r="O36" s="102">
        <f t="shared" si="2"/>
        <v>596.19999999999993</v>
      </c>
      <c r="P36" s="102">
        <f t="shared" si="3"/>
        <v>85.399999999999991</v>
      </c>
      <c r="Q36" s="102">
        <f t="shared" si="4"/>
        <v>744.59999999999991</v>
      </c>
    </row>
    <row r="37" spans="1:33">
      <c r="A37" s="102">
        <v>2003</v>
      </c>
      <c r="B37" s="102">
        <v>9.1999999999999993</v>
      </c>
      <c r="C37" s="102">
        <v>2.7</v>
      </c>
      <c r="D37" s="102">
        <v>20</v>
      </c>
      <c r="E37" s="102">
        <v>20.2</v>
      </c>
      <c r="F37" s="102">
        <v>41.6</v>
      </c>
      <c r="G37" s="102">
        <v>193.1</v>
      </c>
      <c r="H37" s="102">
        <v>92.2</v>
      </c>
      <c r="I37" s="102">
        <v>66.5</v>
      </c>
      <c r="J37" s="102">
        <v>120.9</v>
      </c>
      <c r="K37" s="102">
        <v>59.5</v>
      </c>
      <c r="L37" s="102">
        <v>9.3000000000000007</v>
      </c>
      <c r="M37" s="102">
        <v>32</v>
      </c>
      <c r="N37" s="102">
        <f t="shared" si="1"/>
        <v>52.099999999999994</v>
      </c>
      <c r="O37" s="102">
        <f t="shared" si="2"/>
        <v>514.29999999999995</v>
      </c>
      <c r="P37" s="102">
        <f t="shared" si="3"/>
        <v>100.8</v>
      </c>
      <c r="Q37" s="102">
        <f t="shared" si="4"/>
        <v>667.19999999999993</v>
      </c>
    </row>
    <row r="38" spans="1:33">
      <c r="A38" s="102">
        <v>2004</v>
      </c>
      <c r="B38" s="102">
        <v>10.5</v>
      </c>
      <c r="C38" s="102">
        <v>13.3</v>
      </c>
      <c r="D38" s="102">
        <v>31.7</v>
      </c>
      <c r="E38" s="102">
        <v>68.3</v>
      </c>
      <c r="F38" s="102">
        <v>104.8</v>
      </c>
      <c r="G38" s="102">
        <v>98</v>
      </c>
      <c r="H38" s="102">
        <v>156.6</v>
      </c>
      <c r="I38" s="102">
        <v>103.3</v>
      </c>
      <c r="J38" s="102">
        <v>75.5</v>
      </c>
      <c r="K38" s="102">
        <v>18.3</v>
      </c>
      <c r="L38" s="102">
        <v>34.200000000000003</v>
      </c>
      <c r="M38" s="102">
        <v>6.5</v>
      </c>
      <c r="N38" s="102">
        <f t="shared" si="1"/>
        <v>123.8</v>
      </c>
      <c r="O38" s="102">
        <f t="shared" si="2"/>
        <v>538.20000000000005</v>
      </c>
      <c r="P38" s="102">
        <f t="shared" si="3"/>
        <v>59</v>
      </c>
      <c r="Q38" s="102">
        <f t="shared" si="4"/>
        <v>721</v>
      </c>
    </row>
    <row r="39" spans="1:33">
      <c r="A39" s="102">
        <v>2005</v>
      </c>
      <c r="B39" s="102">
        <v>20.5</v>
      </c>
      <c r="C39" s="102">
        <v>10.5</v>
      </c>
      <c r="D39" s="102">
        <v>36.9</v>
      </c>
      <c r="E39" s="102">
        <v>55.5</v>
      </c>
      <c r="F39" s="102">
        <v>152.5</v>
      </c>
      <c r="G39" s="102">
        <v>76.099999999999994</v>
      </c>
      <c r="H39" s="102">
        <v>108.4</v>
      </c>
      <c r="I39" s="102">
        <v>105.2</v>
      </c>
      <c r="J39" s="102">
        <v>79.7</v>
      </c>
      <c r="K39" s="102">
        <v>33.4</v>
      </c>
      <c r="L39" s="102">
        <v>32.200000000000003</v>
      </c>
      <c r="M39" s="102">
        <v>20</v>
      </c>
      <c r="N39" s="102">
        <f t="shared" si="1"/>
        <v>123.4</v>
      </c>
      <c r="O39" s="102">
        <f t="shared" si="2"/>
        <v>521.9</v>
      </c>
      <c r="P39" s="102">
        <f t="shared" si="3"/>
        <v>85.6</v>
      </c>
      <c r="Q39" s="102">
        <f t="shared" si="4"/>
        <v>730.90000000000009</v>
      </c>
    </row>
    <row r="40" spans="1:33">
      <c r="A40" s="102">
        <v>2006</v>
      </c>
      <c r="B40" s="102">
        <v>12</v>
      </c>
      <c r="C40" s="102">
        <v>10.8</v>
      </c>
      <c r="D40" s="102">
        <v>20</v>
      </c>
      <c r="E40" s="102">
        <v>32.1</v>
      </c>
      <c r="F40" s="102">
        <v>75.8</v>
      </c>
      <c r="G40" s="102">
        <v>99.9</v>
      </c>
      <c r="H40" s="102">
        <v>169.5</v>
      </c>
      <c r="I40" s="102">
        <v>45.8</v>
      </c>
      <c r="J40" s="102">
        <v>59.5</v>
      </c>
      <c r="K40" s="102">
        <v>108.7</v>
      </c>
      <c r="L40" s="102">
        <v>26.5</v>
      </c>
      <c r="M40" s="102">
        <v>9.4</v>
      </c>
      <c r="N40" s="102">
        <f t="shared" si="1"/>
        <v>74.900000000000006</v>
      </c>
      <c r="O40" s="102">
        <f t="shared" si="2"/>
        <v>450.5</v>
      </c>
      <c r="P40" s="102">
        <f t="shared" si="3"/>
        <v>144.6</v>
      </c>
      <c r="Q40" s="102">
        <f t="shared" si="4"/>
        <v>670.00000000000011</v>
      </c>
    </row>
    <row r="41" spans="1:33">
      <c r="A41" s="102">
        <v>2007</v>
      </c>
      <c r="B41" s="102">
        <v>30.1</v>
      </c>
      <c r="C41" s="102">
        <v>1</v>
      </c>
      <c r="D41" s="102">
        <v>7.7</v>
      </c>
      <c r="E41" s="102">
        <v>49.5</v>
      </c>
      <c r="F41" s="102">
        <v>111.8</v>
      </c>
      <c r="G41" s="102">
        <v>106.5</v>
      </c>
      <c r="H41" s="102">
        <v>145.1</v>
      </c>
      <c r="I41" s="102">
        <v>131.4</v>
      </c>
      <c r="J41" s="102">
        <v>116.4</v>
      </c>
      <c r="K41" s="102">
        <v>33.1</v>
      </c>
      <c r="L41" s="102">
        <v>12.2</v>
      </c>
      <c r="M41" s="102">
        <v>15.3</v>
      </c>
      <c r="N41" s="102">
        <f t="shared" si="1"/>
        <v>88.300000000000011</v>
      </c>
      <c r="O41" s="102">
        <f t="shared" si="2"/>
        <v>611.19999999999993</v>
      </c>
      <c r="P41" s="102">
        <f t="shared" si="3"/>
        <v>60.599999999999994</v>
      </c>
      <c r="Q41" s="102">
        <f t="shared" si="4"/>
        <v>760.1</v>
      </c>
    </row>
    <row r="42" spans="1:33">
      <c r="A42" s="102">
        <v>2008</v>
      </c>
      <c r="B42" s="102">
        <v>13.2</v>
      </c>
      <c r="C42" s="102">
        <v>12.8</v>
      </c>
      <c r="D42" s="102">
        <v>18.600000000000001</v>
      </c>
      <c r="E42" s="102">
        <v>35.200000000000003</v>
      </c>
      <c r="F42" s="102">
        <v>77.400000000000006</v>
      </c>
      <c r="G42" s="102">
        <v>247.2</v>
      </c>
      <c r="H42" s="102">
        <v>153.69999999999999</v>
      </c>
      <c r="I42" s="102">
        <v>133.19999999999999</v>
      </c>
      <c r="J42" s="102">
        <v>175.9</v>
      </c>
      <c r="K42" s="102">
        <v>110.7</v>
      </c>
      <c r="L42" s="102">
        <v>69.3</v>
      </c>
      <c r="M42" s="102">
        <v>4</v>
      </c>
      <c r="N42" s="102">
        <f t="shared" si="1"/>
        <v>79.800000000000011</v>
      </c>
      <c r="O42" s="102">
        <f t="shared" si="2"/>
        <v>787.4</v>
      </c>
      <c r="P42" s="102">
        <f t="shared" si="3"/>
        <v>184</v>
      </c>
      <c r="Q42" s="102">
        <f t="shared" si="4"/>
        <v>1051.2</v>
      </c>
    </row>
    <row r="43" spans="1:33">
      <c r="A43" s="102">
        <v>2009</v>
      </c>
      <c r="B43" s="102">
        <v>7.1</v>
      </c>
      <c r="C43" s="102">
        <v>3.7</v>
      </c>
      <c r="D43" s="102">
        <v>26.7</v>
      </c>
      <c r="E43" s="102">
        <v>51.8</v>
      </c>
      <c r="F43" s="102">
        <v>38.4</v>
      </c>
      <c r="G43" s="102">
        <v>243.1</v>
      </c>
      <c r="H43" s="102">
        <v>96.9</v>
      </c>
      <c r="I43" s="102">
        <v>103.2</v>
      </c>
      <c r="J43" s="102">
        <v>54.4</v>
      </c>
      <c r="K43" s="102">
        <v>42.4</v>
      </c>
      <c r="L43" s="102">
        <v>9.6</v>
      </c>
      <c r="M43" s="102">
        <v>12.2</v>
      </c>
      <c r="N43" s="102">
        <f t="shared" si="1"/>
        <v>89.3</v>
      </c>
      <c r="O43" s="102">
        <f t="shared" si="2"/>
        <v>536</v>
      </c>
      <c r="P43" s="102">
        <f t="shared" si="3"/>
        <v>64.2</v>
      </c>
      <c r="Q43" s="102">
        <f t="shared" si="4"/>
        <v>689.5</v>
      </c>
    </row>
    <row r="44" spans="1:33">
      <c r="A44" s="102">
        <v>2010</v>
      </c>
      <c r="B44" s="102">
        <v>2.2000000000000002</v>
      </c>
      <c r="C44" s="102">
        <v>9.8000000000000007</v>
      </c>
      <c r="D44" s="102">
        <v>2.4</v>
      </c>
      <c r="E44" s="102">
        <v>30.2</v>
      </c>
      <c r="F44" s="102">
        <v>50.3</v>
      </c>
      <c r="G44" s="102">
        <v>162.1</v>
      </c>
      <c r="H44" s="102">
        <v>194.7</v>
      </c>
      <c r="I44" s="102">
        <v>61.3</v>
      </c>
      <c r="J44" s="102">
        <v>51.4</v>
      </c>
      <c r="K44" s="102">
        <v>79.900000000000006</v>
      </c>
      <c r="L44" s="102">
        <v>19.8</v>
      </c>
      <c r="M44" s="102">
        <v>3.5</v>
      </c>
      <c r="N44" s="102">
        <f t="shared" si="1"/>
        <v>44.6</v>
      </c>
      <c r="O44" s="102">
        <f t="shared" si="2"/>
        <v>519.79999999999995</v>
      </c>
      <c r="P44" s="102">
        <f t="shared" si="3"/>
        <v>103.2</v>
      </c>
      <c r="Q44" s="102">
        <f t="shared" si="4"/>
        <v>667.59999999999991</v>
      </c>
    </row>
    <row r="45" spans="1:33">
      <c r="A45" s="102">
        <v>2011</v>
      </c>
      <c r="B45" s="102">
        <v>15.9</v>
      </c>
      <c r="C45" s="102">
        <v>3.3</v>
      </c>
      <c r="D45" s="102">
        <v>10.1</v>
      </c>
      <c r="E45" s="102">
        <v>16.899999999999999</v>
      </c>
      <c r="F45" s="102">
        <v>39.9</v>
      </c>
      <c r="G45" s="102">
        <v>199.6</v>
      </c>
      <c r="H45" s="102">
        <v>158</v>
      </c>
      <c r="I45" s="102">
        <v>81.400000000000006</v>
      </c>
      <c r="J45" s="102">
        <v>70</v>
      </c>
      <c r="K45" s="102">
        <v>50.4</v>
      </c>
      <c r="L45" s="102">
        <v>26.9</v>
      </c>
      <c r="M45" s="102">
        <v>13.4</v>
      </c>
      <c r="N45" s="102">
        <f t="shared" si="1"/>
        <v>46.199999999999996</v>
      </c>
      <c r="O45" s="102">
        <f t="shared" si="2"/>
        <v>548.9</v>
      </c>
      <c r="P45" s="102">
        <f t="shared" si="3"/>
        <v>90.7</v>
      </c>
      <c r="Q45" s="102">
        <f t="shared" si="4"/>
        <v>685.8</v>
      </c>
      <c r="R45" s="104"/>
      <c r="S45" s="104"/>
      <c r="T45" s="104"/>
      <c r="U45" s="104"/>
      <c r="V45" s="104"/>
      <c r="W45" s="104"/>
      <c r="X45" s="104"/>
      <c r="Y45" s="104"/>
      <c r="Z45" s="104"/>
      <c r="AA45" s="104"/>
      <c r="AB45" s="104"/>
      <c r="AC45" s="104"/>
      <c r="AD45" s="104"/>
      <c r="AE45" s="104"/>
    </row>
    <row r="46" spans="1:33">
      <c r="A46" s="102">
        <v>2012</v>
      </c>
      <c r="B46" s="102">
        <v>19.100000000000001</v>
      </c>
      <c r="C46" s="102">
        <v>9.8000000000000007</v>
      </c>
      <c r="D46" s="102">
        <v>17.8</v>
      </c>
      <c r="E46" s="102">
        <v>32.4</v>
      </c>
      <c r="F46" s="102">
        <v>62.6</v>
      </c>
      <c r="G46" s="102">
        <v>159.80000000000001</v>
      </c>
      <c r="H46" s="102">
        <v>249.8</v>
      </c>
      <c r="I46" s="102">
        <v>62.4</v>
      </c>
      <c r="J46" s="102">
        <v>162.6</v>
      </c>
      <c r="K46" s="102">
        <v>32</v>
      </c>
      <c r="L46" s="102">
        <v>3.6</v>
      </c>
      <c r="M46" s="102">
        <v>6.6</v>
      </c>
      <c r="N46" s="102">
        <f t="shared" si="1"/>
        <v>79.099999999999994</v>
      </c>
      <c r="O46" s="102">
        <f t="shared" si="2"/>
        <v>697.2</v>
      </c>
      <c r="P46" s="102">
        <f t="shared" si="3"/>
        <v>42.2</v>
      </c>
      <c r="Q46" s="102">
        <f t="shared" si="4"/>
        <v>818.5</v>
      </c>
      <c r="R46" s="104"/>
      <c r="S46" s="104"/>
      <c r="T46" s="104"/>
      <c r="U46" s="104"/>
      <c r="V46" s="104"/>
      <c r="W46" s="104"/>
      <c r="X46" s="104"/>
      <c r="Y46" s="104"/>
      <c r="Z46" s="104"/>
      <c r="AA46" s="104"/>
      <c r="AB46" s="104"/>
      <c r="AC46" s="104"/>
      <c r="AD46" s="104"/>
      <c r="AE46" s="104"/>
      <c r="AF46" s="104"/>
      <c r="AG46" s="104"/>
    </row>
    <row r="47" spans="1:33">
      <c r="A47" s="102">
        <v>2013</v>
      </c>
      <c r="B47" s="102">
        <v>3.9</v>
      </c>
      <c r="C47" s="102">
        <v>3.6</v>
      </c>
      <c r="D47" s="102">
        <v>49.6</v>
      </c>
      <c r="E47" s="102">
        <v>45.7</v>
      </c>
      <c r="F47" s="102">
        <v>246.5</v>
      </c>
      <c r="G47" s="102">
        <v>188.2</v>
      </c>
      <c r="H47" s="102">
        <v>80.8</v>
      </c>
      <c r="I47" s="102">
        <v>212.7</v>
      </c>
      <c r="J47" s="102">
        <v>67</v>
      </c>
      <c r="K47" s="102">
        <v>37.799999999999997</v>
      </c>
      <c r="L47" s="102">
        <v>15</v>
      </c>
      <c r="M47" s="102">
        <v>13</v>
      </c>
      <c r="N47" s="102">
        <f t="shared" si="1"/>
        <v>102.80000000000001</v>
      </c>
      <c r="O47" s="102">
        <f t="shared" si="2"/>
        <v>795.2</v>
      </c>
      <c r="P47" s="102">
        <f t="shared" si="3"/>
        <v>65.8</v>
      </c>
      <c r="Q47" s="102">
        <f t="shared" si="4"/>
        <v>963.8</v>
      </c>
      <c r="R47" s="104"/>
      <c r="S47" s="104"/>
      <c r="T47" s="104"/>
      <c r="U47" s="104"/>
      <c r="V47" s="104"/>
      <c r="W47" s="104"/>
      <c r="X47" s="104"/>
      <c r="Y47" s="104"/>
      <c r="Z47" s="104"/>
      <c r="AA47" s="104"/>
      <c r="AB47" s="104"/>
      <c r="AC47" s="104"/>
      <c r="AD47" s="104"/>
      <c r="AE47" s="104"/>
      <c r="AF47" s="104"/>
      <c r="AG47" s="104"/>
    </row>
    <row r="48" spans="1:33">
      <c r="A48" s="102">
        <v>2014</v>
      </c>
      <c r="B48" s="128">
        <v>6.1</v>
      </c>
      <c r="C48" s="128">
        <v>13.7</v>
      </c>
      <c r="D48" s="128">
        <v>60.2</v>
      </c>
      <c r="E48" s="128">
        <v>51.5</v>
      </c>
      <c r="F48" s="128">
        <v>93.9</v>
      </c>
      <c r="G48" s="128">
        <v>95.9</v>
      </c>
      <c r="H48" s="128">
        <v>262.3</v>
      </c>
      <c r="I48" s="128">
        <v>257.8</v>
      </c>
      <c r="J48" s="128">
        <v>141.9</v>
      </c>
      <c r="K48" s="128">
        <v>65.5</v>
      </c>
      <c r="L48" s="128">
        <v>33.1</v>
      </c>
      <c r="M48" s="128">
        <v>16.2</v>
      </c>
      <c r="N48" s="102">
        <f t="shared" si="1"/>
        <v>131.5</v>
      </c>
      <c r="O48" s="102">
        <f t="shared" si="2"/>
        <v>851.80000000000007</v>
      </c>
      <c r="P48" s="102">
        <f t="shared" si="3"/>
        <v>114.8</v>
      </c>
      <c r="Q48" s="102">
        <f t="shared" si="4"/>
        <v>1098.1000000000001</v>
      </c>
    </row>
    <row r="49" spans="1:33">
      <c r="A49" s="102">
        <v>2015</v>
      </c>
      <c r="B49" s="128">
        <v>16.399999999999999</v>
      </c>
      <c r="C49" s="128">
        <v>6.2</v>
      </c>
      <c r="D49" s="128">
        <v>23.5</v>
      </c>
      <c r="E49" s="128">
        <v>130.1</v>
      </c>
      <c r="F49" s="128">
        <v>129</v>
      </c>
      <c r="G49" s="128">
        <v>82.6</v>
      </c>
      <c r="H49" s="128">
        <v>133.80000000000001</v>
      </c>
      <c r="I49" s="128">
        <v>251.3</v>
      </c>
      <c r="J49" s="128">
        <v>115.9</v>
      </c>
      <c r="K49" s="128">
        <v>134.6</v>
      </c>
      <c r="L49" s="128">
        <v>4.7</v>
      </c>
      <c r="M49" s="128">
        <v>22.7</v>
      </c>
      <c r="N49" s="102">
        <f t="shared" si="1"/>
        <v>176.2</v>
      </c>
      <c r="O49" s="102">
        <f t="shared" si="2"/>
        <v>712.6</v>
      </c>
      <c r="P49" s="102">
        <f t="shared" si="3"/>
        <v>161.99999999999997</v>
      </c>
      <c r="Q49" s="102">
        <f t="shared" si="4"/>
        <v>1050.8</v>
      </c>
    </row>
    <row r="50" spans="1:33">
      <c r="A50" s="102">
        <v>2016</v>
      </c>
      <c r="B50" s="128">
        <v>6.6</v>
      </c>
      <c r="C50" s="128">
        <v>3.6</v>
      </c>
      <c r="D50" s="128">
        <v>25.6</v>
      </c>
      <c r="E50" s="128">
        <v>109.9</v>
      </c>
      <c r="F50" s="128">
        <v>92.9</v>
      </c>
      <c r="G50" s="128">
        <v>232.6</v>
      </c>
      <c r="H50" s="128">
        <v>60.7</v>
      </c>
      <c r="I50" s="128">
        <v>136.6</v>
      </c>
      <c r="J50" s="128">
        <v>90</v>
      </c>
      <c r="K50" s="128">
        <v>52.2</v>
      </c>
      <c r="L50" s="128">
        <v>33.299999999999997</v>
      </c>
      <c r="M50" s="128">
        <v>13.3</v>
      </c>
      <c r="N50" s="102">
        <f>SUM(B50:E50)</f>
        <v>145.69999999999999</v>
      </c>
      <c r="O50" s="102">
        <f>SUM(F50:J50)</f>
        <v>612.79999999999995</v>
      </c>
      <c r="P50" s="102">
        <f>SUM(K50:M50)</f>
        <v>98.8</v>
      </c>
      <c r="Q50" s="102">
        <f>SUM(B50:M50)</f>
        <v>857.3</v>
      </c>
      <c r="R50" s="108">
        <f t="shared" ref="R50:AG50" si="5">100*(B50-B4)/B4</f>
        <v>-49.395126938149609</v>
      </c>
      <c r="S50" s="108">
        <f t="shared" si="5"/>
        <v>-70.055452865064694</v>
      </c>
      <c r="T50" s="108">
        <f t="shared" si="5"/>
        <v>8.5461226797324148</v>
      </c>
      <c r="U50" s="108">
        <f t="shared" si="5"/>
        <v>122.70004953393077</v>
      </c>
      <c r="V50" s="108">
        <f t="shared" si="5"/>
        <v>-13.362899716079813</v>
      </c>
      <c r="W50" s="108">
        <f t="shared" si="5"/>
        <v>46.647985989492085</v>
      </c>
      <c r="X50" s="108">
        <f t="shared" si="5"/>
        <v>-60.784735980704625</v>
      </c>
      <c r="Y50" s="108">
        <f t="shared" si="5"/>
        <v>-14.258215700496574</v>
      </c>
      <c r="Z50" s="108">
        <f t="shared" si="5"/>
        <v>-14.33828972694007</v>
      </c>
      <c r="AA50" s="108">
        <f t="shared" si="5"/>
        <v>-9.8826056932402473</v>
      </c>
      <c r="AB50" s="108">
        <f t="shared" si="5"/>
        <v>38.148796902369298</v>
      </c>
      <c r="AC50" s="108">
        <f t="shared" si="5"/>
        <v>26.053074978938497</v>
      </c>
      <c r="AD50" s="108">
        <f t="shared" si="5"/>
        <v>48.676840744688022</v>
      </c>
      <c r="AE50" s="108">
        <f t="shared" si="5"/>
        <v>-10.54101663244154</v>
      </c>
      <c r="AF50" s="108">
        <f t="shared" si="5"/>
        <v>6.7185137178656458</v>
      </c>
      <c r="AG50" s="108">
        <f t="shared" si="5"/>
        <v>-2.0882559712496973</v>
      </c>
    </row>
  </sheetData>
  <mergeCells count="6">
    <mergeCell ref="A1:A3"/>
    <mergeCell ref="B2:M2"/>
    <mergeCell ref="B1:Q1"/>
    <mergeCell ref="R1:AG1"/>
    <mergeCell ref="N2:Q2"/>
    <mergeCell ref="R2:AG2"/>
  </mergeCells>
  <phoneticPr fontId="2" type="noConversion"/>
  <pageMargins left="0.75" right="0.75" top="1" bottom="1" header="0.5" footer="0.5"/>
  <headerFooter alignWithMargins="0"/>
</worksheet>
</file>

<file path=xl/worksheets/sheet67.xml><?xml version="1.0" encoding="utf-8"?>
<worksheet xmlns="http://schemas.openxmlformats.org/spreadsheetml/2006/main" xmlns:r="http://schemas.openxmlformats.org/officeDocument/2006/relationships">
  <sheetPr codeName="Sheet67"/>
  <dimension ref="A1:AG39"/>
  <sheetViews>
    <sheetView zoomScaleNormal="100" workbookViewId="0">
      <pane ySplit="5" topLeftCell="A6" activePane="bottomLeft" state="frozen"/>
      <selection pane="bottomLeft" activeCell="R39" sqref="R39"/>
    </sheetView>
  </sheetViews>
  <sheetFormatPr defaultRowHeight="12"/>
  <cols>
    <col min="1" max="36" width="7.125" style="102" customWidth="1"/>
    <col min="37" max="16384" width="9" style="102"/>
  </cols>
  <sheetData>
    <row r="1" spans="1:33" s="118" customFormat="1" ht="14.25" customHeight="1">
      <c r="A1" s="176" t="s">
        <v>53</v>
      </c>
      <c r="B1" s="176" t="s">
        <v>171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2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116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32</v>
      </c>
      <c r="O2" s="176"/>
      <c r="P2" s="176"/>
      <c r="Q2" s="176"/>
      <c r="R2" s="176" t="s">
        <v>38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 ht="24">
      <c r="A3" s="176"/>
      <c r="B3" s="125" t="s">
        <v>149</v>
      </c>
      <c r="C3" s="125" t="s">
        <v>150</v>
      </c>
      <c r="D3" s="125" t="s">
        <v>9</v>
      </c>
      <c r="E3" s="125" t="s">
        <v>10</v>
      </c>
      <c r="F3" s="125" t="s">
        <v>11</v>
      </c>
      <c r="G3" s="125" t="s">
        <v>12</v>
      </c>
      <c r="H3" s="125" t="s">
        <v>13</v>
      </c>
      <c r="I3" s="125" t="s">
        <v>14</v>
      </c>
      <c r="J3" s="125" t="s">
        <v>15</v>
      </c>
      <c r="K3" s="125" t="s">
        <v>16</v>
      </c>
      <c r="L3" s="125" t="s">
        <v>17</v>
      </c>
      <c r="M3" s="125" t="s">
        <v>18</v>
      </c>
      <c r="N3" s="125" t="s">
        <v>145</v>
      </c>
      <c r="O3" s="125" t="s">
        <v>146</v>
      </c>
      <c r="P3" s="125" t="s">
        <v>147</v>
      </c>
      <c r="Q3" s="125" t="s">
        <v>148</v>
      </c>
      <c r="R3" s="125" t="s">
        <v>149</v>
      </c>
      <c r="S3" s="125" t="s">
        <v>150</v>
      </c>
      <c r="T3" s="125" t="s">
        <v>151</v>
      </c>
      <c r="U3" s="125" t="s">
        <v>152</v>
      </c>
      <c r="V3" s="125" t="s">
        <v>153</v>
      </c>
      <c r="W3" s="125" t="s">
        <v>154</v>
      </c>
      <c r="X3" s="125" t="s">
        <v>25</v>
      </c>
      <c r="Y3" s="125" t="s">
        <v>26</v>
      </c>
      <c r="Z3" s="125" t="s">
        <v>27</v>
      </c>
      <c r="AA3" s="125" t="s">
        <v>155</v>
      </c>
      <c r="AB3" s="125" t="s">
        <v>156</v>
      </c>
      <c r="AC3" s="125" t="s">
        <v>157</v>
      </c>
      <c r="AD3" s="125" t="s">
        <v>132</v>
      </c>
      <c r="AE3" s="125" t="s">
        <v>42</v>
      </c>
      <c r="AF3" s="125" t="s">
        <v>91</v>
      </c>
      <c r="AG3" s="125" t="s">
        <v>66</v>
      </c>
    </row>
    <row r="4" spans="1:33" s="118" customFormat="1">
      <c r="A4" s="150" t="s">
        <v>261</v>
      </c>
      <c r="B4" s="150">
        <f t="shared" ref="B4:Q4" si="0">AVERAGE(B5:B38)</f>
        <v>13.123529411764704</v>
      </c>
      <c r="C4" s="150">
        <f t="shared" si="0"/>
        <v>12.855882352941178</v>
      </c>
      <c r="D4" s="150">
        <f t="shared" si="0"/>
        <v>23.52058823529412</v>
      </c>
      <c r="E4" s="150">
        <f t="shared" si="0"/>
        <v>55.776470588235298</v>
      </c>
      <c r="F4" s="150">
        <f t="shared" si="0"/>
        <v>93.102941176470608</v>
      </c>
      <c r="G4" s="150">
        <f t="shared" si="0"/>
        <v>132.95000000000005</v>
      </c>
      <c r="H4" s="150">
        <f t="shared" si="0"/>
        <v>153.83823529411762</v>
      </c>
      <c r="I4" s="150">
        <f t="shared" si="0"/>
        <v>120.58529411764705</v>
      </c>
      <c r="J4" s="150">
        <f t="shared" si="0"/>
        <v>86.029411764705884</v>
      </c>
      <c r="K4" s="150">
        <f t="shared" si="0"/>
        <v>57.467647058823538</v>
      </c>
      <c r="L4" s="150">
        <f t="shared" si="0"/>
        <v>21.429411764705879</v>
      </c>
      <c r="M4" s="150">
        <f t="shared" si="0"/>
        <v>9.8529411764705888</v>
      </c>
      <c r="N4" s="150">
        <f t="shared" si="0"/>
        <v>105.2764705882353</v>
      </c>
      <c r="O4" s="150">
        <f t="shared" si="0"/>
        <v>586.50588235294106</v>
      </c>
      <c r="P4" s="150">
        <f t="shared" si="0"/>
        <v>88.75</v>
      </c>
      <c r="Q4" s="150">
        <f t="shared" si="0"/>
        <v>780.53235294117644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1982</v>
      </c>
      <c r="B5" s="102">
        <v>12.1</v>
      </c>
      <c r="C5" s="102">
        <v>15.5</v>
      </c>
      <c r="D5" s="102">
        <v>8.5</v>
      </c>
      <c r="E5" s="102">
        <v>110.2</v>
      </c>
      <c r="F5" s="102">
        <v>78.5</v>
      </c>
      <c r="G5" s="102">
        <v>130</v>
      </c>
      <c r="H5" s="102">
        <v>190.1</v>
      </c>
      <c r="I5" s="102">
        <v>190.3</v>
      </c>
      <c r="J5" s="102">
        <v>158.30000000000001</v>
      </c>
      <c r="K5" s="102">
        <v>33.299999999999997</v>
      </c>
      <c r="L5" s="102">
        <v>24.9</v>
      </c>
      <c r="M5" s="102">
        <v>9.6999999999999993</v>
      </c>
      <c r="N5" s="102">
        <f>SUM(B5:E5)</f>
        <v>146.30000000000001</v>
      </c>
      <c r="O5" s="102">
        <f>SUM(F5:J5)</f>
        <v>747.2</v>
      </c>
      <c r="P5" s="102">
        <f>SUM(K5:M5)</f>
        <v>67.899999999999991</v>
      </c>
      <c r="Q5" s="102">
        <f>SUM(B5:M5)</f>
        <v>961.4</v>
      </c>
    </row>
    <row r="6" spans="1:33">
      <c r="A6" s="102">
        <v>1983</v>
      </c>
      <c r="B6" s="102">
        <v>29.6</v>
      </c>
      <c r="C6" s="102">
        <v>33.6</v>
      </c>
      <c r="D6" s="102">
        <v>43.7</v>
      </c>
      <c r="E6" s="102">
        <v>56.6</v>
      </c>
      <c r="F6" s="102">
        <v>125.7</v>
      </c>
      <c r="G6" s="102">
        <v>215.7</v>
      </c>
      <c r="H6" s="102">
        <v>229.4</v>
      </c>
      <c r="I6" s="102">
        <v>144.4</v>
      </c>
      <c r="J6" s="102">
        <v>138.6</v>
      </c>
      <c r="K6" s="102">
        <v>54.1</v>
      </c>
      <c r="L6" s="102">
        <v>40.299999999999997</v>
      </c>
      <c r="M6" s="102">
        <v>21.1</v>
      </c>
      <c r="N6" s="102">
        <f t="shared" ref="N6:N38" si="1">SUM(B6:E6)</f>
        <v>163.5</v>
      </c>
      <c r="O6" s="102">
        <f t="shared" ref="O6:O38" si="2">SUM(F6:J6)</f>
        <v>853.8</v>
      </c>
      <c r="P6" s="102">
        <f t="shared" ref="P6:P38" si="3">SUM(K6:M6)</f>
        <v>115.5</v>
      </c>
      <c r="Q6" s="102">
        <f t="shared" ref="Q6:Q38" si="4">SUM(B6:M6)</f>
        <v>1132.7999999999997</v>
      </c>
    </row>
    <row r="7" spans="1:33">
      <c r="A7" s="102">
        <v>1984</v>
      </c>
      <c r="B7" s="102">
        <v>12.4</v>
      </c>
      <c r="C7" s="102">
        <v>9.1999999999999993</v>
      </c>
      <c r="D7" s="102">
        <v>12</v>
      </c>
      <c r="E7" s="102">
        <v>64.5</v>
      </c>
      <c r="F7" s="102">
        <v>172.9</v>
      </c>
      <c r="G7" s="102">
        <v>56.4</v>
      </c>
      <c r="H7" s="102">
        <v>123.2</v>
      </c>
      <c r="I7" s="102">
        <v>200.8</v>
      </c>
      <c r="J7" s="102">
        <v>73.7</v>
      </c>
      <c r="K7" s="102">
        <v>22.2</v>
      </c>
      <c r="L7" s="102">
        <v>7.6</v>
      </c>
      <c r="M7" s="102">
        <v>16.8</v>
      </c>
      <c r="N7" s="102">
        <f t="shared" si="1"/>
        <v>98.1</v>
      </c>
      <c r="O7" s="102">
        <f t="shared" si="2"/>
        <v>627</v>
      </c>
      <c r="P7" s="102">
        <f t="shared" si="3"/>
        <v>46.599999999999994</v>
      </c>
      <c r="Q7" s="102">
        <f t="shared" si="4"/>
        <v>771.7</v>
      </c>
    </row>
    <row r="8" spans="1:33">
      <c r="A8" s="102">
        <v>1985</v>
      </c>
      <c r="B8" s="102">
        <v>11.6</v>
      </c>
      <c r="C8" s="102">
        <v>12.2</v>
      </c>
      <c r="D8" s="102">
        <v>28.2</v>
      </c>
      <c r="E8" s="102">
        <v>82.8</v>
      </c>
      <c r="F8" s="102">
        <v>74.5</v>
      </c>
      <c r="G8" s="102">
        <v>212.8</v>
      </c>
      <c r="H8" s="102">
        <v>102.6</v>
      </c>
      <c r="I8" s="102">
        <v>105.2</v>
      </c>
      <c r="J8" s="102">
        <v>60.4</v>
      </c>
      <c r="K8" s="102">
        <v>43.4</v>
      </c>
      <c r="L8" s="102">
        <v>30.1</v>
      </c>
      <c r="M8" s="102">
        <v>12.7</v>
      </c>
      <c r="N8" s="102">
        <f t="shared" si="1"/>
        <v>134.80000000000001</v>
      </c>
      <c r="O8" s="102">
        <f t="shared" si="2"/>
        <v>555.5</v>
      </c>
      <c r="P8" s="102">
        <f t="shared" si="3"/>
        <v>86.2</v>
      </c>
      <c r="Q8" s="102">
        <f t="shared" si="4"/>
        <v>776.50000000000011</v>
      </c>
    </row>
    <row r="9" spans="1:33">
      <c r="A9" s="102">
        <v>1986</v>
      </c>
      <c r="B9" s="102">
        <v>5.3</v>
      </c>
      <c r="C9" s="102">
        <v>14.8</v>
      </c>
      <c r="D9" s="102">
        <v>14.2</v>
      </c>
      <c r="E9" s="102">
        <v>29.7</v>
      </c>
      <c r="F9" s="102">
        <v>91.4</v>
      </c>
      <c r="G9" s="102">
        <v>114.4</v>
      </c>
      <c r="H9" s="102">
        <v>186.5</v>
      </c>
      <c r="I9" s="102">
        <v>100.3</v>
      </c>
      <c r="J9" s="102">
        <v>71.8</v>
      </c>
      <c r="K9" s="102">
        <v>57.1</v>
      </c>
      <c r="L9" s="102">
        <v>22.2</v>
      </c>
      <c r="M9" s="102">
        <v>1.5</v>
      </c>
      <c r="N9" s="102">
        <f t="shared" si="1"/>
        <v>64</v>
      </c>
      <c r="O9" s="102">
        <f t="shared" si="2"/>
        <v>564.4</v>
      </c>
      <c r="P9" s="102">
        <f t="shared" si="3"/>
        <v>80.8</v>
      </c>
      <c r="Q9" s="102">
        <f t="shared" si="4"/>
        <v>709.2</v>
      </c>
    </row>
    <row r="10" spans="1:33">
      <c r="A10" s="102">
        <v>1987</v>
      </c>
      <c r="B10" s="102">
        <v>10.8</v>
      </c>
      <c r="C10" s="102">
        <v>12.2</v>
      </c>
      <c r="D10" s="102">
        <v>13</v>
      </c>
      <c r="E10" s="102">
        <v>25.5</v>
      </c>
      <c r="F10" s="102">
        <v>47.3</v>
      </c>
      <c r="G10" s="102">
        <v>148.9</v>
      </c>
      <c r="H10" s="102">
        <v>76.099999999999994</v>
      </c>
      <c r="I10" s="102">
        <v>89.5</v>
      </c>
      <c r="J10" s="102">
        <v>135.69999999999999</v>
      </c>
      <c r="K10" s="102">
        <v>55.7</v>
      </c>
      <c r="L10" s="102">
        <v>20.7</v>
      </c>
      <c r="M10" s="102">
        <v>3.8</v>
      </c>
      <c r="N10" s="102">
        <f t="shared" si="1"/>
        <v>61.5</v>
      </c>
      <c r="O10" s="102">
        <f t="shared" si="2"/>
        <v>497.49999999999994</v>
      </c>
      <c r="P10" s="102">
        <f t="shared" si="3"/>
        <v>80.2</v>
      </c>
      <c r="Q10" s="102">
        <f t="shared" si="4"/>
        <v>639.20000000000005</v>
      </c>
    </row>
    <row r="11" spans="1:33">
      <c r="A11" s="102">
        <v>1988</v>
      </c>
      <c r="B11" s="102">
        <v>4.5999999999999996</v>
      </c>
      <c r="C11" s="102">
        <v>16.7</v>
      </c>
      <c r="D11" s="102">
        <v>11.9</v>
      </c>
      <c r="E11" s="102">
        <v>56.5</v>
      </c>
      <c r="F11" s="102">
        <v>51.1</v>
      </c>
      <c r="G11" s="102">
        <v>76.7</v>
      </c>
      <c r="H11" s="102">
        <v>140.30000000000001</v>
      </c>
      <c r="I11" s="102">
        <v>156.30000000000001</v>
      </c>
      <c r="J11" s="102">
        <v>114.4</v>
      </c>
      <c r="K11" s="102">
        <v>42</v>
      </c>
      <c r="L11" s="102">
        <v>4.4000000000000004</v>
      </c>
      <c r="M11" s="102">
        <v>2.7</v>
      </c>
      <c r="N11" s="102">
        <f t="shared" si="1"/>
        <v>89.699999999999989</v>
      </c>
      <c r="O11" s="102">
        <f t="shared" si="2"/>
        <v>538.80000000000007</v>
      </c>
      <c r="P11" s="102">
        <f t="shared" si="3"/>
        <v>49.1</v>
      </c>
      <c r="Q11" s="102">
        <f t="shared" si="4"/>
        <v>677.6</v>
      </c>
    </row>
    <row r="12" spans="1:33">
      <c r="A12" s="102">
        <v>1989</v>
      </c>
      <c r="B12" s="102">
        <v>5.3</v>
      </c>
      <c r="C12" s="102">
        <v>16.8</v>
      </c>
      <c r="D12" s="102">
        <v>35.6</v>
      </c>
      <c r="E12" s="102">
        <v>38.1</v>
      </c>
      <c r="F12" s="102">
        <v>81.5</v>
      </c>
      <c r="G12" s="102">
        <v>190.2</v>
      </c>
      <c r="H12" s="102">
        <v>45.6</v>
      </c>
      <c r="I12" s="102">
        <v>153</v>
      </c>
      <c r="J12" s="102">
        <v>86.4</v>
      </c>
      <c r="K12" s="102">
        <v>36.200000000000003</v>
      </c>
      <c r="L12" s="102">
        <v>13.3</v>
      </c>
      <c r="M12" s="102">
        <v>8.6</v>
      </c>
      <c r="N12" s="102">
        <f t="shared" si="1"/>
        <v>95.800000000000011</v>
      </c>
      <c r="O12" s="102">
        <f t="shared" si="2"/>
        <v>556.70000000000005</v>
      </c>
      <c r="P12" s="102">
        <f t="shared" si="3"/>
        <v>58.1</v>
      </c>
      <c r="Q12" s="102">
        <f t="shared" si="4"/>
        <v>710.6</v>
      </c>
    </row>
    <row r="13" spans="1:33">
      <c r="A13" s="102">
        <v>1990</v>
      </c>
      <c r="B13" s="102">
        <v>11.3</v>
      </c>
      <c r="C13" s="102">
        <v>7.6</v>
      </c>
      <c r="D13" s="102">
        <v>39.799999999999997</v>
      </c>
      <c r="E13" s="102">
        <v>50.7</v>
      </c>
      <c r="F13" s="102">
        <v>93.6</v>
      </c>
      <c r="G13" s="102">
        <v>112.8</v>
      </c>
      <c r="H13" s="102">
        <v>97.2</v>
      </c>
      <c r="I13" s="102">
        <v>39.799999999999997</v>
      </c>
      <c r="J13" s="102">
        <v>108.1</v>
      </c>
      <c r="K13" s="102">
        <v>57.4</v>
      </c>
      <c r="L13" s="102">
        <v>34.299999999999997</v>
      </c>
      <c r="M13" s="102">
        <v>3</v>
      </c>
      <c r="N13" s="102">
        <f t="shared" si="1"/>
        <v>109.4</v>
      </c>
      <c r="O13" s="102">
        <f t="shared" si="2"/>
        <v>451.5</v>
      </c>
      <c r="P13" s="102">
        <f t="shared" si="3"/>
        <v>94.699999999999989</v>
      </c>
      <c r="Q13" s="102">
        <f t="shared" si="4"/>
        <v>655.59999999999991</v>
      </c>
    </row>
    <row r="14" spans="1:33">
      <c r="A14" s="102">
        <v>1991</v>
      </c>
      <c r="B14" s="102">
        <v>21.3</v>
      </c>
      <c r="C14" s="102">
        <v>7.9</v>
      </c>
      <c r="D14" s="102">
        <v>12.3</v>
      </c>
      <c r="E14" s="102">
        <v>27.9</v>
      </c>
      <c r="F14" s="102">
        <v>34.799999999999997</v>
      </c>
      <c r="G14" s="102">
        <v>132.80000000000001</v>
      </c>
      <c r="H14" s="102">
        <v>175</v>
      </c>
      <c r="I14" s="102">
        <v>181.9</v>
      </c>
      <c r="J14" s="102">
        <v>54.4</v>
      </c>
      <c r="K14" s="102">
        <v>63.1</v>
      </c>
      <c r="L14" s="102">
        <v>24.6</v>
      </c>
      <c r="M14" s="102">
        <v>6.2</v>
      </c>
      <c r="N14" s="102">
        <f t="shared" si="1"/>
        <v>69.400000000000006</v>
      </c>
      <c r="O14" s="102">
        <f t="shared" si="2"/>
        <v>578.9</v>
      </c>
      <c r="P14" s="102">
        <f t="shared" si="3"/>
        <v>93.9</v>
      </c>
      <c r="Q14" s="102">
        <f t="shared" si="4"/>
        <v>742.2</v>
      </c>
    </row>
    <row r="15" spans="1:33">
      <c r="A15" s="102">
        <v>1992</v>
      </c>
      <c r="B15" s="102">
        <v>20.2</v>
      </c>
      <c r="C15" s="102">
        <v>28.4</v>
      </c>
      <c r="D15" s="102">
        <v>33.4</v>
      </c>
      <c r="E15" s="102">
        <v>94.1</v>
      </c>
      <c r="F15" s="102">
        <v>106.4</v>
      </c>
      <c r="G15" s="102">
        <v>124</v>
      </c>
      <c r="H15" s="102">
        <v>126.8</v>
      </c>
      <c r="I15" s="102">
        <v>50.1</v>
      </c>
      <c r="J15" s="102">
        <v>22</v>
      </c>
      <c r="K15" s="102">
        <v>112.2</v>
      </c>
      <c r="L15" s="102">
        <v>2.9</v>
      </c>
      <c r="M15" s="102">
        <v>9.4</v>
      </c>
      <c r="N15" s="102">
        <f t="shared" si="1"/>
        <v>176.1</v>
      </c>
      <c r="O15" s="102">
        <f t="shared" si="2"/>
        <v>429.3</v>
      </c>
      <c r="P15" s="102">
        <f t="shared" si="3"/>
        <v>124.50000000000001</v>
      </c>
      <c r="Q15" s="102">
        <f t="shared" si="4"/>
        <v>729.9</v>
      </c>
    </row>
    <row r="16" spans="1:33">
      <c r="A16" s="102">
        <v>1993</v>
      </c>
      <c r="B16" s="102">
        <v>16.100000000000001</v>
      </c>
      <c r="C16" s="102">
        <v>28.5</v>
      </c>
      <c r="D16" s="102">
        <v>10</v>
      </c>
      <c r="E16" s="102">
        <v>34.799999999999997</v>
      </c>
      <c r="F16" s="102">
        <v>102.8</v>
      </c>
      <c r="G16" s="102">
        <v>55.1</v>
      </c>
      <c r="H16" s="102">
        <v>180.9</v>
      </c>
      <c r="I16" s="102">
        <v>143.1</v>
      </c>
      <c r="J16" s="102">
        <v>75.599999999999994</v>
      </c>
      <c r="K16" s="102">
        <v>20</v>
      </c>
      <c r="L16" s="102">
        <v>13.7</v>
      </c>
      <c r="M16" s="102">
        <v>5.8</v>
      </c>
      <c r="N16" s="102">
        <f t="shared" si="1"/>
        <v>89.4</v>
      </c>
      <c r="O16" s="102">
        <f t="shared" si="2"/>
        <v>557.5</v>
      </c>
      <c r="P16" s="102">
        <f t="shared" si="3"/>
        <v>39.5</v>
      </c>
      <c r="Q16" s="102">
        <f t="shared" si="4"/>
        <v>686.4</v>
      </c>
    </row>
    <row r="17" spans="1:17">
      <c r="A17" s="102">
        <v>1994</v>
      </c>
      <c r="B17" s="102">
        <v>6.2</v>
      </c>
      <c r="C17" s="102">
        <v>8.6999999999999993</v>
      </c>
      <c r="D17" s="102">
        <v>63.5</v>
      </c>
      <c r="E17" s="102">
        <v>36.700000000000003</v>
      </c>
      <c r="F17" s="102">
        <v>127.7</v>
      </c>
      <c r="G17" s="102">
        <v>163.9</v>
      </c>
      <c r="H17" s="102">
        <v>155.30000000000001</v>
      </c>
      <c r="I17" s="102">
        <v>119.6</v>
      </c>
      <c r="J17" s="102">
        <v>97.1</v>
      </c>
      <c r="K17" s="102">
        <v>92.7</v>
      </c>
      <c r="L17" s="102">
        <v>51.5</v>
      </c>
      <c r="M17" s="102">
        <v>14.5</v>
      </c>
      <c r="N17" s="102">
        <f t="shared" si="1"/>
        <v>115.10000000000001</v>
      </c>
      <c r="O17" s="102">
        <f t="shared" si="2"/>
        <v>663.6</v>
      </c>
      <c r="P17" s="102">
        <f t="shared" si="3"/>
        <v>158.69999999999999</v>
      </c>
      <c r="Q17" s="102">
        <f t="shared" si="4"/>
        <v>937.40000000000009</v>
      </c>
    </row>
    <row r="18" spans="1:17">
      <c r="A18" s="102">
        <v>1995</v>
      </c>
      <c r="B18" s="102">
        <v>14.9</v>
      </c>
      <c r="C18" s="102">
        <v>30.9</v>
      </c>
      <c r="D18" s="102">
        <v>24.2</v>
      </c>
      <c r="E18" s="102">
        <v>21.9</v>
      </c>
      <c r="F18" s="102">
        <v>87.2</v>
      </c>
      <c r="G18" s="102">
        <v>175.7</v>
      </c>
      <c r="H18" s="102">
        <v>101.7</v>
      </c>
      <c r="I18" s="102">
        <v>155.6</v>
      </c>
      <c r="J18" s="102">
        <v>130.5</v>
      </c>
      <c r="K18" s="102">
        <v>46.8</v>
      </c>
      <c r="L18" s="102">
        <v>28.1</v>
      </c>
      <c r="M18" s="102">
        <v>11.1</v>
      </c>
      <c r="N18" s="102">
        <f t="shared" si="1"/>
        <v>91.9</v>
      </c>
      <c r="O18" s="102">
        <f t="shared" si="2"/>
        <v>650.69999999999993</v>
      </c>
      <c r="P18" s="102">
        <f t="shared" si="3"/>
        <v>86</v>
      </c>
      <c r="Q18" s="102">
        <f t="shared" si="4"/>
        <v>828.6</v>
      </c>
    </row>
    <row r="19" spans="1:17">
      <c r="A19" s="102">
        <v>1996</v>
      </c>
      <c r="B19" s="102">
        <v>13.5</v>
      </c>
      <c r="C19" s="102">
        <v>5.6</v>
      </c>
      <c r="D19" s="102">
        <v>28</v>
      </c>
      <c r="E19" s="102">
        <v>42.2</v>
      </c>
      <c r="F19" s="102">
        <v>175.2</v>
      </c>
      <c r="G19" s="102">
        <v>102.6</v>
      </c>
      <c r="H19" s="102">
        <v>220.3</v>
      </c>
      <c r="I19" s="102">
        <v>54.7</v>
      </c>
      <c r="J19" s="102">
        <v>79.8</v>
      </c>
      <c r="K19" s="102">
        <v>15</v>
      </c>
      <c r="L19" s="102">
        <v>42.6</v>
      </c>
      <c r="M19" s="102">
        <v>5.3</v>
      </c>
      <c r="N19" s="102">
        <f t="shared" si="1"/>
        <v>89.300000000000011</v>
      </c>
      <c r="O19" s="102">
        <f t="shared" si="2"/>
        <v>632.59999999999991</v>
      </c>
      <c r="P19" s="102">
        <f t="shared" si="3"/>
        <v>62.9</v>
      </c>
      <c r="Q19" s="102">
        <f t="shared" si="4"/>
        <v>784.80000000000007</v>
      </c>
    </row>
    <row r="20" spans="1:17">
      <c r="A20" s="102">
        <v>1997</v>
      </c>
      <c r="B20" s="102">
        <v>13</v>
      </c>
      <c r="C20" s="102">
        <v>20.5</v>
      </c>
      <c r="D20" s="102">
        <v>18.8</v>
      </c>
      <c r="E20" s="102">
        <v>102.9</v>
      </c>
      <c r="F20" s="102">
        <v>80.400000000000006</v>
      </c>
      <c r="G20" s="102">
        <v>156.5</v>
      </c>
      <c r="H20" s="102">
        <v>184.1</v>
      </c>
      <c r="I20" s="102">
        <v>124.8</v>
      </c>
      <c r="J20" s="102">
        <v>122.2</v>
      </c>
      <c r="K20" s="102">
        <v>45.6</v>
      </c>
      <c r="L20" s="102">
        <v>1</v>
      </c>
      <c r="M20" s="102">
        <v>9.9</v>
      </c>
      <c r="N20" s="102">
        <f t="shared" si="1"/>
        <v>155.19999999999999</v>
      </c>
      <c r="O20" s="102">
        <f t="shared" si="2"/>
        <v>668</v>
      </c>
      <c r="P20" s="102">
        <f t="shared" si="3"/>
        <v>56.5</v>
      </c>
      <c r="Q20" s="102">
        <f t="shared" si="4"/>
        <v>879.7</v>
      </c>
    </row>
    <row r="21" spans="1:17">
      <c r="A21" s="102">
        <v>1998</v>
      </c>
      <c r="B21" s="102">
        <v>8.3000000000000007</v>
      </c>
      <c r="C21" s="102">
        <v>11.1</v>
      </c>
      <c r="D21" s="102">
        <v>8</v>
      </c>
      <c r="E21" s="102">
        <v>59.3</v>
      </c>
      <c r="F21" s="102">
        <v>61.9</v>
      </c>
      <c r="G21" s="102">
        <v>98.4</v>
      </c>
      <c r="H21" s="102">
        <v>202.7</v>
      </c>
      <c r="I21" s="102">
        <v>168.2</v>
      </c>
      <c r="J21" s="102">
        <v>42.5</v>
      </c>
      <c r="K21" s="102">
        <v>45</v>
      </c>
      <c r="L21" s="102">
        <v>33.6</v>
      </c>
      <c r="M21" s="102">
        <v>5.7</v>
      </c>
      <c r="N21" s="102">
        <f t="shared" si="1"/>
        <v>86.699999999999989</v>
      </c>
      <c r="O21" s="102">
        <f t="shared" si="2"/>
        <v>573.70000000000005</v>
      </c>
      <c r="P21" s="102">
        <f t="shared" si="3"/>
        <v>84.3</v>
      </c>
      <c r="Q21" s="102">
        <f t="shared" si="4"/>
        <v>744.7</v>
      </c>
    </row>
    <row r="22" spans="1:17">
      <c r="A22" s="102">
        <v>1999</v>
      </c>
      <c r="B22" s="102">
        <v>31.4</v>
      </c>
      <c r="C22" s="102">
        <v>11.2</v>
      </c>
      <c r="D22" s="102">
        <v>8.1</v>
      </c>
      <c r="E22" s="102">
        <v>74.900000000000006</v>
      </c>
      <c r="F22" s="102">
        <v>94.3</v>
      </c>
      <c r="G22" s="102">
        <v>137.5</v>
      </c>
      <c r="H22" s="102">
        <v>180.9</v>
      </c>
      <c r="I22" s="102">
        <v>104.2</v>
      </c>
      <c r="J22" s="102">
        <v>77</v>
      </c>
      <c r="K22" s="102">
        <v>32.6</v>
      </c>
      <c r="L22" s="102">
        <v>35.200000000000003</v>
      </c>
      <c r="M22" s="102">
        <v>2.5</v>
      </c>
      <c r="N22" s="102">
        <f t="shared" si="1"/>
        <v>125.6</v>
      </c>
      <c r="O22" s="102">
        <f t="shared" si="2"/>
        <v>593.90000000000009</v>
      </c>
      <c r="P22" s="102">
        <f t="shared" si="3"/>
        <v>70.300000000000011</v>
      </c>
      <c r="Q22" s="102">
        <f t="shared" si="4"/>
        <v>789.80000000000007</v>
      </c>
    </row>
    <row r="23" spans="1:17">
      <c r="A23" s="102">
        <v>2000</v>
      </c>
      <c r="B23" s="102">
        <v>17.3</v>
      </c>
      <c r="C23" s="102">
        <v>11</v>
      </c>
      <c r="D23" s="102">
        <v>34.700000000000003</v>
      </c>
      <c r="E23" s="102">
        <v>65.2</v>
      </c>
      <c r="F23" s="102">
        <v>82.4</v>
      </c>
      <c r="G23" s="102">
        <v>210.8</v>
      </c>
      <c r="H23" s="102">
        <v>119.2</v>
      </c>
      <c r="I23" s="102">
        <v>171.3</v>
      </c>
      <c r="J23" s="102">
        <v>130.69999999999999</v>
      </c>
      <c r="K23" s="102">
        <v>76</v>
      </c>
      <c r="L23" s="102">
        <v>15.9</v>
      </c>
      <c r="M23" s="102">
        <v>5.7</v>
      </c>
      <c r="N23" s="102">
        <f t="shared" si="1"/>
        <v>128.19999999999999</v>
      </c>
      <c r="O23" s="102">
        <f t="shared" si="2"/>
        <v>714.40000000000009</v>
      </c>
      <c r="P23" s="102">
        <f t="shared" si="3"/>
        <v>97.600000000000009</v>
      </c>
      <c r="Q23" s="102">
        <f t="shared" si="4"/>
        <v>940.20000000000016</v>
      </c>
    </row>
    <row r="24" spans="1:17">
      <c r="A24" s="102">
        <v>2001</v>
      </c>
      <c r="B24" s="102">
        <v>7.9</v>
      </c>
      <c r="C24" s="102">
        <v>14.7</v>
      </c>
      <c r="D24" s="102">
        <v>14.3</v>
      </c>
      <c r="E24" s="102">
        <v>45.4</v>
      </c>
      <c r="F24" s="102">
        <v>102.1</v>
      </c>
      <c r="G24" s="102">
        <v>152.9</v>
      </c>
      <c r="H24" s="102">
        <v>261.10000000000002</v>
      </c>
      <c r="I24" s="102">
        <v>120.2</v>
      </c>
      <c r="J24" s="102">
        <v>28</v>
      </c>
      <c r="K24" s="102">
        <v>107.8</v>
      </c>
      <c r="L24" s="102">
        <v>20</v>
      </c>
      <c r="M24" s="102">
        <v>4.5999999999999996</v>
      </c>
      <c r="N24" s="102">
        <f t="shared" si="1"/>
        <v>82.300000000000011</v>
      </c>
      <c r="O24" s="102">
        <f t="shared" si="2"/>
        <v>664.30000000000007</v>
      </c>
      <c r="P24" s="102">
        <f t="shared" si="3"/>
        <v>132.4</v>
      </c>
      <c r="Q24" s="102">
        <f t="shared" si="4"/>
        <v>879.00000000000011</v>
      </c>
    </row>
    <row r="25" spans="1:17">
      <c r="A25" s="102">
        <v>2002</v>
      </c>
      <c r="B25" s="102">
        <v>20.8</v>
      </c>
      <c r="C25" s="102">
        <v>11.3</v>
      </c>
      <c r="D25" s="102">
        <v>20.6</v>
      </c>
      <c r="E25" s="102">
        <v>67.5</v>
      </c>
      <c r="F25" s="102">
        <v>140.1</v>
      </c>
      <c r="G25" s="102">
        <v>62</v>
      </c>
      <c r="H25" s="102">
        <v>198.1</v>
      </c>
      <c r="I25" s="102">
        <v>169.1</v>
      </c>
      <c r="J25" s="102">
        <v>24.7</v>
      </c>
      <c r="K25" s="102">
        <v>42.4</v>
      </c>
      <c r="L25" s="102">
        <v>21.8</v>
      </c>
      <c r="M25" s="102">
        <v>12.6</v>
      </c>
      <c r="N25" s="102">
        <f t="shared" si="1"/>
        <v>120.2</v>
      </c>
      <c r="O25" s="102">
        <f t="shared" si="2"/>
        <v>594</v>
      </c>
      <c r="P25" s="102">
        <f t="shared" si="3"/>
        <v>76.8</v>
      </c>
      <c r="Q25" s="102">
        <f t="shared" si="4"/>
        <v>791</v>
      </c>
    </row>
    <row r="26" spans="1:17">
      <c r="A26" s="102">
        <v>2003</v>
      </c>
      <c r="B26" s="102">
        <v>8.8000000000000007</v>
      </c>
      <c r="C26" s="102">
        <v>3.1</v>
      </c>
      <c r="D26" s="102">
        <v>16.899999999999999</v>
      </c>
      <c r="E26" s="102">
        <v>29.1</v>
      </c>
      <c r="F26" s="102">
        <v>61.8</v>
      </c>
      <c r="G26" s="102">
        <v>196.1</v>
      </c>
      <c r="H26" s="102">
        <v>131.69999999999999</v>
      </c>
      <c r="I26" s="102">
        <v>74.099999999999994</v>
      </c>
      <c r="J26" s="102">
        <v>55.6</v>
      </c>
      <c r="K26" s="102">
        <v>41.5</v>
      </c>
      <c r="L26" s="102">
        <v>9.9</v>
      </c>
      <c r="M26" s="102">
        <v>37.4</v>
      </c>
      <c r="N26" s="102">
        <f t="shared" si="1"/>
        <v>57.9</v>
      </c>
      <c r="O26" s="102">
        <f t="shared" si="2"/>
        <v>519.29999999999995</v>
      </c>
      <c r="P26" s="102">
        <f t="shared" si="3"/>
        <v>88.8</v>
      </c>
      <c r="Q26" s="102">
        <f t="shared" si="4"/>
        <v>665.99999999999989</v>
      </c>
    </row>
    <row r="27" spans="1:17">
      <c r="A27" s="102">
        <v>2004</v>
      </c>
      <c r="B27" s="103">
        <v>8.1999999999999993</v>
      </c>
      <c r="C27" s="103">
        <v>13.2</v>
      </c>
      <c r="D27" s="103">
        <v>16.600000000000001</v>
      </c>
      <c r="E27" s="103">
        <v>98.4</v>
      </c>
      <c r="F27" s="102">
        <v>83.5</v>
      </c>
      <c r="G27" s="102">
        <v>119.9</v>
      </c>
      <c r="H27" s="102">
        <v>147</v>
      </c>
      <c r="I27" s="102">
        <v>130</v>
      </c>
      <c r="J27" s="102">
        <v>141.19999999999999</v>
      </c>
      <c r="K27" s="103">
        <v>20.399999999999999</v>
      </c>
      <c r="L27" s="103">
        <v>21.9</v>
      </c>
      <c r="M27" s="103">
        <v>2.8</v>
      </c>
      <c r="N27" s="102">
        <f t="shared" si="1"/>
        <v>136.4</v>
      </c>
      <c r="O27" s="102">
        <f t="shared" si="2"/>
        <v>621.59999999999991</v>
      </c>
      <c r="P27" s="102">
        <f t="shared" si="3"/>
        <v>45.099999999999994</v>
      </c>
      <c r="Q27" s="102">
        <f t="shared" si="4"/>
        <v>803.09999999999991</v>
      </c>
    </row>
    <row r="28" spans="1:17">
      <c r="A28" s="102">
        <v>2005</v>
      </c>
      <c r="B28" s="102">
        <v>19</v>
      </c>
      <c r="C28" s="102">
        <v>5.6</v>
      </c>
      <c r="D28" s="102">
        <v>35.700000000000003</v>
      </c>
      <c r="E28" s="102">
        <v>97.7</v>
      </c>
      <c r="F28" s="102">
        <v>95.6</v>
      </c>
      <c r="G28" s="102">
        <v>146.9</v>
      </c>
      <c r="H28" s="102">
        <v>175</v>
      </c>
      <c r="I28" s="102">
        <v>95.2</v>
      </c>
      <c r="J28" s="102">
        <v>88.6</v>
      </c>
      <c r="K28" s="102">
        <v>32.700000000000003</v>
      </c>
      <c r="L28" s="102">
        <v>7.4</v>
      </c>
      <c r="M28" s="102">
        <v>17.100000000000001</v>
      </c>
      <c r="N28" s="102">
        <f t="shared" si="1"/>
        <v>158</v>
      </c>
      <c r="O28" s="102">
        <f t="shared" si="2"/>
        <v>601.30000000000007</v>
      </c>
      <c r="P28" s="102">
        <f t="shared" si="3"/>
        <v>57.2</v>
      </c>
      <c r="Q28" s="102">
        <f t="shared" si="4"/>
        <v>816.50000000000011</v>
      </c>
    </row>
    <row r="29" spans="1:17">
      <c r="A29" s="102">
        <v>2006</v>
      </c>
      <c r="B29" s="102">
        <v>7.7</v>
      </c>
      <c r="C29" s="102">
        <v>9.9</v>
      </c>
      <c r="D29" s="102">
        <v>29.4</v>
      </c>
      <c r="E29" s="102">
        <v>40</v>
      </c>
      <c r="F29" s="102">
        <v>95.6</v>
      </c>
      <c r="G29" s="102">
        <v>137.9</v>
      </c>
      <c r="H29" s="102">
        <v>56.2</v>
      </c>
      <c r="I29" s="102">
        <v>41.3</v>
      </c>
      <c r="J29" s="102">
        <v>71.900000000000006</v>
      </c>
      <c r="K29" s="102">
        <v>81.8</v>
      </c>
      <c r="L29" s="102">
        <v>27.3</v>
      </c>
      <c r="M29" s="102">
        <v>12.5</v>
      </c>
      <c r="N29" s="102">
        <f t="shared" si="1"/>
        <v>87</v>
      </c>
      <c r="O29" s="102">
        <f t="shared" si="2"/>
        <v>402.9</v>
      </c>
      <c r="P29" s="102">
        <f t="shared" si="3"/>
        <v>121.6</v>
      </c>
      <c r="Q29" s="102">
        <f t="shared" si="4"/>
        <v>611.49999999999989</v>
      </c>
    </row>
    <row r="30" spans="1:17">
      <c r="A30" s="102">
        <v>2007</v>
      </c>
      <c r="B30" s="102">
        <v>25.4</v>
      </c>
      <c r="C30" s="102">
        <v>2.2999999999999998</v>
      </c>
      <c r="D30" s="102">
        <v>4.8</v>
      </c>
      <c r="E30" s="102">
        <v>83.1</v>
      </c>
      <c r="F30" s="102">
        <v>103.8</v>
      </c>
      <c r="G30" s="102">
        <v>99.8</v>
      </c>
      <c r="H30" s="102">
        <v>224.7</v>
      </c>
      <c r="I30" s="102">
        <v>121.2</v>
      </c>
      <c r="J30" s="102">
        <v>104.8</v>
      </c>
      <c r="K30" s="102">
        <v>61</v>
      </c>
      <c r="L30" s="102">
        <v>7.7</v>
      </c>
      <c r="M30" s="102">
        <v>18.5</v>
      </c>
      <c r="N30" s="102">
        <f t="shared" si="1"/>
        <v>115.6</v>
      </c>
      <c r="O30" s="102">
        <f t="shared" si="2"/>
        <v>654.29999999999995</v>
      </c>
      <c r="P30" s="102">
        <f t="shared" si="3"/>
        <v>87.2</v>
      </c>
      <c r="Q30" s="102">
        <f t="shared" si="4"/>
        <v>857.1</v>
      </c>
    </row>
    <row r="31" spans="1:17">
      <c r="A31" s="102">
        <v>2008</v>
      </c>
      <c r="B31" s="102">
        <v>8</v>
      </c>
      <c r="C31" s="102">
        <v>8.6999999999999993</v>
      </c>
      <c r="D31" s="102">
        <v>19.3</v>
      </c>
      <c r="E31" s="102">
        <v>35.1</v>
      </c>
      <c r="F31" s="102">
        <v>108.6</v>
      </c>
      <c r="G31" s="102">
        <v>184.8</v>
      </c>
      <c r="H31" s="102">
        <v>173</v>
      </c>
      <c r="I31" s="102">
        <v>226.7</v>
      </c>
      <c r="J31" s="102">
        <v>79.7</v>
      </c>
      <c r="K31" s="102">
        <v>141.5</v>
      </c>
      <c r="L31" s="102">
        <v>65.400000000000006</v>
      </c>
      <c r="M31" s="102">
        <v>4.9000000000000004</v>
      </c>
      <c r="N31" s="102">
        <f t="shared" si="1"/>
        <v>71.099999999999994</v>
      </c>
      <c r="O31" s="102">
        <f t="shared" si="2"/>
        <v>772.8</v>
      </c>
      <c r="P31" s="102">
        <f t="shared" si="3"/>
        <v>211.8</v>
      </c>
      <c r="Q31" s="102">
        <f t="shared" si="4"/>
        <v>1055.7000000000003</v>
      </c>
    </row>
    <row r="32" spans="1:17">
      <c r="A32" s="102">
        <v>2009</v>
      </c>
      <c r="B32" s="102">
        <v>11</v>
      </c>
      <c r="C32" s="102">
        <v>4.7</v>
      </c>
      <c r="D32" s="102">
        <v>32</v>
      </c>
      <c r="E32" s="102">
        <v>65.7</v>
      </c>
      <c r="F32" s="102">
        <v>49.7</v>
      </c>
      <c r="G32" s="102">
        <v>130.9</v>
      </c>
      <c r="H32" s="102">
        <v>118.3</v>
      </c>
      <c r="I32" s="102">
        <v>107.9</v>
      </c>
      <c r="J32" s="102">
        <v>19.899999999999999</v>
      </c>
      <c r="K32" s="102">
        <v>53.8</v>
      </c>
      <c r="L32" s="102">
        <v>5.6</v>
      </c>
      <c r="M32" s="102">
        <v>7.5</v>
      </c>
      <c r="N32" s="102">
        <f t="shared" si="1"/>
        <v>113.4</v>
      </c>
      <c r="O32" s="102">
        <f t="shared" si="2"/>
        <v>426.70000000000005</v>
      </c>
      <c r="P32" s="102">
        <f t="shared" si="3"/>
        <v>66.900000000000006</v>
      </c>
      <c r="Q32" s="102">
        <f t="shared" si="4"/>
        <v>607</v>
      </c>
    </row>
    <row r="33" spans="1:33">
      <c r="A33" s="102">
        <v>2010</v>
      </c>
      <c r="B33" s="102">
        <v>1.7</v>
      </c>
      <c r="C33" s="102">
        <v>4.8</v>
      </c>
      <c r="D33" s="102">
        <v>5</v>
      </c>
      <c r="E33" s="102">
        <v>30.4</v>
      </c>
      <c r="F33" s="102">
        <v>61.8</v>
      </c>
      <c r="G33" s="102">
        <v>129.6</v>
      </c>
      <c r="H33" s="102">
        <v>197.6</v>
      </c>
      <c r="I33" s="102">
        <v>38.799999999999997</v>
      </c>
      <c r="J33" s="102">
        <v>86</v>
      </c>
      <c r="K33" s="102">
        <v>58.7</v>
      </c>
      <c r="L33" s="102">
        <v>20.6</v>
      </c>
      <c r="M33" s="102">
        <v>8.6999999999999993</v>
      </c>
      <c r="N33" s="102">
        <f t="shared" si="1"/>
        <v>41.9</v>
      </c>
      <c r="O33" s="102">
        <f t="shared" si="2"/>
        <v>513.79999999999995</v>
      </c>
      <c r="P33" s="102">
        <f t="shared" si="3"/>
        <v>88.000000000000014</v>
      </c>
      <c r="Q33" s="102">
        <f t="shared" si="4"/>
        <v>643.70000000000016</v>
      </c>
    </row>
    <row r="34" spans="1:33">
      <c r="A34" s="102">
        <v>2011</v>
      </c>
      <c r="B34" s="102">
        <v>11.7</v>
      </c>
      <c r="C34" s="102">
        <v>8.4</v>
      </c>
      <c r="D34" s="102">
        <v>11.7</v>
      </c>
      <c r="E34" s="102">
        <v>20.7</v>
      </c>
      <c r="F34" s="102">
        <v>30.5</v>
      </c>
      <c r="G34" s="102">
        <v>142.69999999999999</v>
      </c>
      <c r="H34" s="102">
        <v>96</v>
      </c>
      <c r="I34" s="102">
        <v>84.3</v>
      </c>
      <c r="J34" s="102">
        <v>53.4</v>
      </c>
      <c r="K34" s="102">
        <v>95.2</v>
      </c>
      <c r="L34" s="102">
        <v>23.5</v>
      </c>
      <c r="M34" s="102">
        <v>12.5</v>
      </c>
      <c r="N34" s="102">
        <f t="shared" si="1"/>
        <v>52.5</v>
      </c>
      <c r="O34" s="102">
        <f t="shared" si="2"/>
        <v>406.9</v>
      </c>
      <c r="P34" s="102">
        <f t="shared" si="3"/>
        <v>131.19999999999999</v>
      </c>
      <c r="Q34" s="102">
        <f t="shared" si="4"/>
        <v>590.6</v>
      </c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</row>
    <row r="35" spans="1:33">
      <c r="A35" s="102">
        <v>2012</v>
      </c>
      <c r="B35" s="102">
        <v>13</v>
      </c>
      <c r="C35" s="102">
        <v>6.8</v>
      </c>
      <c r="D35" s="102">
        <v>16.3</v>
      </c>
      <c r="E35" s="102">
        <v>43.3</v>
      </c>
      <c r="F35" s="102">
        <v>93.9</v>
      </c>
      <c r="G35" s="102">
        <v>98.5</v>
      </c>
      <c r="H35" s="102">
        <v>379.2</v>
      </c>
      <c r="I35" s="102">
        <v>28.8</v>
      </c>
      <c r="J35" s="102">
        <v>106.9</v>
      </c>
      <c r="K35" s="102">
        <v>32.4</v>
      </c>
      <c r="L35" s="102">
        <v>5.3</v>
      </c>
      <c r="M35" s="102">
        <v>5.6</v>
      </c>
      <c r="N35" s="102">
        <f t="shared" si="1"/>
        <v>79.400000000000006</v>
      </c>
      <c r="O35" s="102">
        <f t="shared" si="2"/>
        <v>707.3</v>
      </c>
      <c r="P35" s="102">
        <f t="shared" si="3"/>
        <v>43.3</v>
      </c>
      <c r="Q35" s="102">
        <f t="shared" si="4"/>
        <v>829.99999999999989</v>
      </c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</row>
    <row r="36" spans="1:33">
      <c r="A36" s="102">
        <v>2013</v>
      </c>
      <c r="B36" s="102">
        <v>2.8</v>
      </c>
      <c r="C36" s="102">
        <v>9.1999999999999993</v>
      </c>
      <c r="D36" s="102">
        <v>41.7</v>
      </c>
      <c r="E36" s="102">
        <v>47</v>
      </c>
      <c r="F36" s="102">
        <v>235.4</v>
      </c>
      <c r="G36" s="102">
        <v>146.1</v>
      </c>
      <c r="H36" s="102">
        <v>16.2</v>
      </c>
      <c r="I36" s="102">
        <v>159.69999999999999</v>
      </c>
      <c r="J36" s="102">
        <v>55.1</v>
      </c>
      <c r="K36" s="102">
        <v>52.8</v>
      </c>
      <c r="L36" s="102">
        <v>15.3</v>
      </c>
      <c r="M36" s="102">
        <v>15.3</v>
      </c>
      <c r="N36" s="102">
        <f t="shared" si="1"/>
        <v>100.7</v>
      </c>
      <c r="O36" s="102">
        <f t="shared" si="2"/>
        <v>612.5</v>
      </c>
      <c r="P36" s="102">
        <f t="shared" si="3"/>
        <v>83.399999999999991</v>
      </c>
      <c r="Q36" s="102">
        <f t="shared" si="4"/>
        <v>796.59999999999991</v>
      </c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</row>
    <row r="37" spans="1:33">
      <c r="A37" s="102">
        <v>2014</v>
      </c>
      <c r="B37" s="128">
        <v>9.5</v>
      </c>
      <c r="C37" s="128">
        <v>23</v>
      </c>
      <c r="D37" s="128">
        <v>60.5</v>
      </c>
      <c r="E37" s="128">
        <v>44</v>
      </c>
      <c r="F37" s="128">
        <v>41</v>
      </c>
      <c r="G37" s="128">
        <v>89</v>
      </c>
      <c r="H37" s="128">
        <v>140.5</v>
      </c>
      <c r="I37" s="128">
        <v>81.5</v>
      </c>
      <c r="J37" s="128">
        <v>132.5</v>
      </c>
      <c r="K37" s="128">
        <v>66</v>
      </c>
      <c r="L37" s="128">
        <v>27.5</v>
      </c>
      <c r="M37" s="128">
        <v>10</v>
      </c>
      <c r="N37" s="102">
        <f t="shared" si="1"/>
        <v>137</v>
      </c>
      <c r="O37" s="102">
        <f t="shared" si="2"/>
        <v>484.5</v>
      </c>
      <c r="P37" s="102">
        <f t="shared" si="3"/>
        <v>103.5</v>
      </c>
      <c r="Q37" s="102">
        <f t="shared" si="4"/>
        <v>725</v>
      </c>
    </row>
    <row r="38" spans="1:33">
      <c r="A38" s="102">
        <v>2015</v>
      </c>
      <c r="B38" s="128">
        <v>25.5</v>
      </c>
      <c r="C38" s="128">
        <v>9</v>
      </c>
      <c r="D38" s="128">
        <v>27</v>
      </c>
      <c r="E38" s="128">
        <v>74.5</v>
      </c>
      <c r="F38" s="128">
        <v>92.5</v>
      </c>
      <c r="G38" s="128">
        <v>68</v>
      </c>
      <c r="H38" s="128">
        <v>78</v>
      </c>
      <c r="I38" s="128">
        <v>168</v>
      </c>
      <c r="J38" s="128">
        <v>97.5</v>
      </c>
      <c r="K38" s="128">
        <v>115.5</v>
      </c>
      <c r="L38" s="128">
        <v>2.5</v>
      </c>
      <c r="M38" s="128">
        <v>9</v>
      </c>
      <c r="N38" s="102">
        <f t="shared" si="1"/>
        <v>136</v>
      </c>
      <c r="O38" s="102">
        <f t="shared" si="2"/>
        <v>504</v>
      </c>
      <c r="P38" s="102">
        <f t="shared" si="3"/>
        <v>127</v>
      </c>
      <c r="Q38" s="102">
        <f t="shared" si="4"/>
        <v>767</v>
      </c>
    </row>
    <row r="39" spans="1:33">
      <c r="A39" s="102">
        <v>2016</v>
      </c>
      <c r="B39" s="128">
        <v>9</v>
      </c>
      <c r="C39" s="128">
        <v>5.5</v>
      </c>
      <c r="D39" s="128">
        <v>40.5</v>
      </c>
      <c r="E39" s="128">
        <v>130.5</v>
      </c>
      <c r="F39" s="128">
        <v>69.5</v>
      </c>
      <c r="G39" s="128">
        <v>213</v>
      </c>
      <c r="H39" s="128">
        <v>72</v>
      </c>
      <c r="I39" s="128">
        <v>89.5</v>
      </c>
      <c r="J39" s="128">
        <v>40</v>
      </c>
      <c r="K39" s="128">
        <v>49.5</v>
      </c>
      <c r="L39" s="128">
        <v>29</v>
      </c>
      <c r="M39" s="128">
        <v>6</v>
      </c>
      <c r="N39" s="102">
        <f>SUM(B39:E39)</f>
        <v>185.5</v>
      </c>
      <c r="O39" s="102">
        <f>SUM(F39:J39)</f>
        <v>484</v>
      </c>
      <c r="P39" s="102">
        <f>SUM(K39:M39)</f>
        <v>84.5</v>
      </c>
      <c r="Q39" s="102">
        <f>SUM(B39:M39)</f>
        <v>754</v>
      </c>
      <c r="R39" s="108">
        <f t="shared" ref="R39:AG39" si="5">100*(B39-B4)/B4</f>
        <v>-31.420887494397121</v>
      </c>
      <c r="S39" s="108">
        <f t="shared" si="5"/>
        <v>-57.218027911233129</v>
      </c>
      <c r="T39" s="108">
        <f t="shared" si="5"/>
        <v>72.18957108915842</v>
      </c>
      <c r="U39" s="108">
        <f t="shared" si="5"/>
        <v>133.96962666104196</v>
      </c>
      <c r="V39" s="108">
        <f t="shared" si="5"/>
        <v>-25.35144526930976</v>
      </c>
      <c r="W39" s="108">
        <f t="shared" si="5"/>
        <v>60.210605490785952</v>
      </c>
      <c r="X39" s="108">
        <f t="shared" si="5"/>
        <v>-53.197591052480632</v>
      </c>
      <c r="Y39" s="108">
        <f t="shared" si="5"/>
        <v>-25.778677528720209</v>
      </c>
      <c r="Z39" s="108">
        <f t="shared" si="5"/>
        <v>-53.504273504273506</v>
      </c>
      <c r="AA39" s="108">
        <f t="shared" si="5"/>
        <v>-13.86457853523723</v>
      </c>
      <c r="AB39" s="108">
        <f t="shared" si="5"/>
        <v>35.328026351907788</v>
      </c>
      <c r="AC39" s="108">
        <f t="shared" si="5"/>
        <v>-39.104477611940304</v>
      </c>
      <c r="AD39" s="108">
        <f t="shared" si="5"/>
        <v>76.202715538917133</v>
      </c>
      <c r="AE39" s="108">
        <f t="shared" si="5"/>
        <v>-17.477383507512069</v>
      </c>
      <c r="AF39" s="108">
        <f t="shared" si="5"/>
        <v>-4.788732394366197</v>
      </c>
      <c r="AG39" s="108">
        <f t="shared" si="5"/>
        <v>-3.3992637001141719</v>
      </c>
    </row>
  </sheetData>
  <mergeCells count="6">
    <mergeCell ref="A1:A3"/>
    <mergeCell ref="B2:M2"/>
    <mergeCell ref="B1:Q1"/>
    <mergeCell ref="R1:AG1"/>
    <mergeCell ref="N2:Q2"/>
    <mergeCell ref="R2:AG2"/>
  </mergeCells>
  <phoneticPr fontId="2" type="noConversion"/>
  <pageMargins left="0.75" right="0.75" top="1" bottom="1" header="0.5" footer="0.5"/>
  <headerFooter alignWithMargins="0"/>
</worksheet>
</file>

<file path=xl/worksheets/sheet68.xml><?xml version="1.0" encoding="utf-8"?>
<worksheet xmlns="http://schemas.openxmlformats.org/spreadsheetml/2006/main" xmlns:r="http://schemas.openxmlformats.org/officeDocument/2006/relationships">
  <sheetPr codeName="Sheet68"/>
  <dimension ref="A1:AG47"/>
  <sheetViews>
    <sheetView zoomScale="85" zoomScaleNormal="85" workbookViewId="0">
      <pane ySplit="5" topLeftCell="A6" activePane="bottomLeft" state="frozen"/>
      <selection pane="bottomLeft" activeCell="R47" sqref="R47"/>
    </sheetView>
  </sheetViews>
  <sheetFormatPr defaultRowHeight="12"/>
  <cols>
    <col min="1" max="78" width="7.125" style="102" customWidth="1"/>
    <col min="79" max="16384" width="9" style="102"/>
  </cols>
  <sheetData>
    <row r="1" spans="1:33" s="118" customFormat="1" ht="14.25" customHeight="1">
      <c r="A1" s="176" t="s">
        <v>53</v>
      </c>
      <c r="B1" s="176" t="s">
        <v>171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2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116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32</v>
      </c>
      <c r="O2" s="176"/>
      <c r="P2" s="176"/>
      <c r="Q2" s="176"/>
      <c r="R2" s="176" t="s">
        <v>38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 ht="24">
      <c r="A3" s="176"/>
      <c r="B3" s="125" t="s">
        <v>149</v>
      </c>
      <c r="C3" s="125" t="s">
        <v>150</v>
      </c>
      <c r="D3" s="125" t="s">
        <v>9</v>
      </c>
      <c r="E3" s="125" t="s">
        <v>10</v>
      </c>
      <c r="F3" s="125" t="s">
        <v>11</v>
      </c>
      <c r="G3" s="125" t="s">
        <v>12</v>
      </c>
      <c r="H3" s="125" t="s">
        <v>13</v>
      </c>
      <c r="I3" s="125" t="s">
        <v>14</v>
      </c>
      <c r="J3" s="125" t="s">
        <v>15</v>
      </c>
      <c r="K3" s="125" t="s">
        <v>16</v>
      </c>
      <c r="L3" s="125" t="s">
        <v>17</v>
      </c>
      <c r="M3" s="125" t="s">
        <v>18</v>
      </c>
      <c r="N3" s="125" t="s">
        <v>145</v>
      </c>
      <c r="O3" s="125" t="s">
        <v>146</v>
      </c>
      <c r="P3" s="125" t="s">
        <v>147</v>
      </c>
      <c r="Q3" s="125" t="s">
        <v>148</v>
      </c>
      <c r="R3" s="125" t="s">
        <v>149</v>
      </c>
      <c r="S3" s="125" t="s">
        <v>150</v>
      </c>
      <c r="T3" s="125" t="s">
        <v>151</v>
      </c>
      <c r="U3" s="125" t="s">
        <v>152</v>
      </c>
      <c r="V3" s="125" t="s">
        <v>153</v>
      </c>
      <c r="W3" s="125" t="s">
        <v>154</v>
      </c>
      <c r="X3" s="125" t="s">
        <v>25</v>
      </c>
      <c r="Y3" s="125" t="s">
        <v>26</v>
      </c>
      <c r="Z3" s="125" t="s">
        <v>27</v>
      </c>
      <c r="AA3" s="125" t="s">
        <v>155</v>
      </c>
      <c r="AB3" s="125" t="s">
        <v>156</v>
      </c>
      <c r="AC3" s="125" t="s">
        <v>157</v>
      </c>
      <c r="AD3" s="125" t="s">
        <v>132</v>
      </c>
      <c r="AE3" s="125" t="s">
        <v>42</v>
      </c>
      <c r="AF3" s="125" t="s">
        <v>91</v>
      </c>
      <c r="AG3" s="125" t="s">
        <v>66</v>
      </c>
    </row>
    <row r="4" spans="1:33" s="118" customFormat="1">
      <c r="A4" s="150" t="s">
        <v>261</v>
      </c>
      <c r="B4" s="150">
        <f t="shared" ref="B4:Q4" si="0">AVERAGE(B5:B46)</f>
        <v>23.352380952380955</v>
      </c>
      <c r="C4" s="150">
        <f t="shared" si="0"/>
        <v>21.583333333333332</v>
      </c>
      <c r="D4" s="150">
        <f t="shared" si="0"/>
        <v>31.764285714285716</v>
      </c>
      <c r="E4" s="150">
        <f t="shared" si="0"/>
        <v>83.145238095238071</v>
      </c>
      <c r="F4" s="150">
        <f t="shared" si="0"/>
        <v>196.72619047619048</v>
      </c>
      <c r="G4" s="150">
        <f t="shared" si="0"/>
        <v>286.87619047619046</v>
      </c>
      <c r="H4" s="150">
        <f t="shared" si="0"/>
        <v>253.95476190476188</v>
      </c>
      <c r="I4" s="150">
        <f t="shared" si="0"/>
        <v>188.43333333333331</v>
      </c>
      <c r="J4" s="150">
        <f t="shared" si="0"/>
        <v>141.40476190476184</v>
      </c>
      <c r="K4" s="150">
        <f t="shared" si="0"/>
        <v>106.39761904761906</v>
      </c>
      <c r="L4" s="150">
        <f t="shared" si="0"/>
        <v>39.57380952380953</v>
      </c>
      <c r="M4" s="150">
        <f t="shared" si="0"/>
        <v>20.997619047619054</v>
      </c>
      <c r="N4" s="150">
        <f t="shared" si="0"/>
        <v>159.84523809523813</v>
      </c>
      <c r="O4" s="150">
        <f t="shared" si="0"/>
        <v>1067.3952380952383</v>
      </c>
      <c r="P4" s="150">
        <f t="shared" si="0"/>
        <v>166.96904761904761</v>
      </c>
      <c r="Q4" s="150">
        <f t="shared" si="0"/>
        <v>1394.2095238095239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1974</v>
      </c>
      <c r="B5" s="102">
        <v>8.5</v>
      </c>
      <c r="C5" s="102">
        <v>7.6</v>
      </c>
      <c r="D5" s="102">
        <v>45.1</v>
      </c>
      <c r="E5" s="102">
        <v>133.6</v>
      </c>
      <c r="F5" s="102">
        <v>193</v>
      </c>
      <c r="G5" s="102">
        <v>174</v>
      </c>
      <c r="H5" s="102">
        <v>243.1</v>
      </c>
      <c r="I5" s="102">
        <v>403</v>
      </c>
      <c r="J5" s="102">
        <v>231.8</v>
      </c>
      <c r="K5" s="102">
        <v>125.8</v>
      </c>
      <c r="L5" s="102">
        <v>28.7</v>
      </c>
      <c r="M5" s="102">
        <v>26.6</v>
      </c>
      <c r="N5" s="102">
        <f>SUM(B5:E5)</f>
        <v>194.8</v>
      </c>
      <c r="O5" s="102">
        <f>SUM(F5:J5)</f>
        <v>1244.9000000000001</v>
      </c>
      <c r="P5" s="102">
        <f>SUM(K5:M5)</f>
        <v>181.1</v>
      </c>
      <c r="Q5" s="102">
        <f>SUM(B5:M5)</f>
        <v>1620.8</v>
      </c>
    </row>
    <row r="6" spans="1:33">
      <c r="A6" s="102">
        <v>1975</v>
      </c>
      <c r="B6" s="102">
        <v>37.200000000000003</v>
      </c>
      <c r="C6" s="102">
        <v>20.8</v>
      </c>
      <c r="D6" s="102">
        <v>37</v>
      </c>
      <c r="E6" s="102">
        <v>57.1</v>
      </c>
      <c r="F6" s="102">
        <v>235.2</v>
      </c>
      <c r="G6" s="102">
        <v>238.2</v>
      </c>
      <c r="H6" s="102">
        <v>159.5</v>
      </c>
      <c r="I6" s="102">
        <v>233.1</v>
      </c>
      <c r="J6" s="102">
        <v>266.8</v>
      </c>
      <c r="K6" s="102">
        <v>98.1</v>
      </c>
      <c r="L6" s="102">
        <v>83.2</v>
      </c>
      <c r="M6" s="102">
        <v>6</v>
      </c>
      <c r="N6" s="102">
        <f t="shared" ref="N6:N46" si="1">SUM(B6:E6)</f>
        <v>152.1</v>
      </c>
      <c r="O6" s="102">
        <f t="shared" ref="O6:O46" si="2">SUM(F6:J6)</f>
        <v>1132.8</v>
      </c>
      <c r="P6" s="102">
        <f t="shared" ref="P6:P46" si="3">SUM(K6:M6)</f>
        <v>187.3</v>
      </c>
      <c r="Q6" s="102">
        <f t="shared" ref="Q6:Q46" si="4">SUM(B6:M6)</f>
        <v>1472.2</v>
      </c>
    </row>
    <row r="7" spans="1:33">
      <c r="A7" s="102">
        <v>1976</v>
      </c>
      <c r="B7" s="102">
        <v>28.2</v>
      </c>
      <c r="C7" s="102">
        <v>15.1</v>
      </c>
      <c r="D7" s="102">
        <v>28.8</v>
      </c>
      <c r="E7" s="102">
        <v>136.5</v>
      </c>
      <c r="F7" s="102">
        <v>276.8</v>
      </c>
      <c r="G7" s="102">
        <v>463.2</v>
      </c>
      <c r="H7" s="102">
        <v>287.60000000000002</v>
      </c>
      <c r="I7" s="102">
        <v>124.4</v>
      </c>
      <c r="J7" s="102">
        <v>171.2</v>
      </c>
      <c r="K7" s="102">
        <v>189.6</v>
      </c>
      <c r="L7" s="102">
        <v>49.5</v>
      </c>
      <c r="M7" s="102">
        <v>30.4</v>
      </c>
      <c r="N7" s="102">
        <f t="shared" si="1"/>
        <v>208.6</v>
      </c>
      <c r="O7" s="102">
        <f t="shared" si="2"/>
        <v>1323.2</v>
      </c>
      <c r="P7" s="102">
        <f t="shared" si="3"/>
        <v>269.5</v>
      </c>
      <c r="Q7" s="102">
        <f t="shared" si="4"/>
        <v>1801.3</v>
      </c>
    </row>
    <row r="8" spans="1:33">
      <c r="A8" s="102">
        <v>1977</v>
      </c>
      <c r="B8" s="102">
        <v>27.7</v>
      </c>
      <c r="C8" s="102">
        <v>19.3</v>
      </c>
      <c r="D8" s="102">
        <v>32.9</v>
      </c>
      <c r="E8" s="102">
        <v>172.7</v>
      </c>
      <c r="F8" s="102">
        <v>175.6</v>
      </c>
      <c r="G8" s="102">
        <v>461.9</v>
      </c>
      <c r="H8" s="102">
        <v>240.2</v>
      </c>
      <c r="I8" s="102">
        <v>105.8</v>
      </c>
      <c r="J8" s="102">
        <v>115.2</v>
      </c>
      <c r="K8" s="102">
        <v>193.5</v>
      </c>
      <c r="L8" s="102">
        <v>50.1</v>
      </c>
      <c r="M8" s="102">
        <v>2.6</v>
      </c>
      <c r="N8" s="102">
        <f t="shared" si="1"/>
        <v>252.6</v>
      </c>
      <c r="O8" s="102">
        <f t="shared" si="2"/>
        <v>1098.7</v>
      </c>
      <c r="P8" s="102">
        <f t="shared" si="3"/>
        <v>246.2</v>
      </c>
      <c r="Q8" s="102">
        <f t="shared" si="4"/>
        <v>1597.4999999999998</v>
      </c>
    </row>
    <row r="9" spans="1:33">
      <c r="A9" s="102">
        <v>1978</v>
      </c>
      <c r="B9" s="102">
        <v>12.4</v>
      </c>
      <c r="C9" s="102">
        <v>7.8</v>
      </c>
      <c r="D9" s="102">
        <v>23</v>
      </c>
      <c r="E9" s="102">
        <v>27.9</v>
      </c>
      <c r="F9" s="102">
        <v>260.7</v>
      </c>
      <c r="G9" s="102">
        <v>254.9</v>
      </c>
      <c r="H9" s="102">
        <v>95</v>
      </c>
      <c r="I9" s="102">
        <v>159.1</v>
      </c>
      <c r="J9" s="102">
        <v>77</v>
      </c>
      <c r="K9" s="102">
        <v>111.8</v>
      </c>
      <c r="L9" s="102">
        <v>99.5</v>
      </c>
      <c r="M9" s="102">
        <v>8.6</v>
      </c>
      <c r="N9" s="102">
        <f t="shared" si="1"/>
        <v>71.099999999999994</v>
      </c>
      <c r="O9" s="102">
        <f t="shared" si="2"/>
        <v>846.7</v>
      </c>
      <c r="P9" s="102">
        <f t="shared" si="3"/>
        <v>219.9</v>
      </c>
      <c r="Q9" s="102">
        <f t="shared" si="4"/>
        <v>1137.6999999999998</v>
      </c>
    </row>
    <row r="10" spans="1:33">
      <c r="A10" s="102">
        <v>1979</v>
      </c>
      <c r="B10" s="102">
        <v>10.5</v>
      </c>
      <c r="C10" s="102">
        <v>31</v>
      </c>
      <c r="D10" s="102">
        <v>20.3</v>
      </c>
      <c r="E10" s="102">
        <v>86.2</v>
      </c>
      <c r="F10" s="102">
        <v>219.8</v>
      </c>
      <c r="G10" s="102">
        <v>286.3</v>
      </c>
      <c r="H10" s="102">
        <v>338.8</v>
      </c>
      <c r="I10" s="102">
        <v>381.8</v>
      </c>
      <c r="J10" s="102">
        <v>275.89999999999998</v>
      </c>
      <c r="K10" s="102">
        <v>46.5</v>
      </c>
      <c r="L10" s="102">
        <v>9.6</v>
      </c>
      <c r="M10" s="102">
        <v>34.700000000000003</v>
      </c>
      <c r="N10" s="102">
        <f t="shared" si="1"/>
        <v>148</v>
      </c>
      <c r="O10" s="102">
        <f t="shared" si="2"/>
        <v>1502.6</v>
      </c>
      <c r="P10" s="102">
        <f t="shared" si="3"/>
        <v>90.800000000000011</v>
      </c>
      <c r="Q10" s="102">
        <f t="shared" si="4"/>
        <v>1741.3999999999999</v>
      </c>
    </row>
    <row r="11" spans="1:33">
      <c r="A11" s="102">
        <v>1980</v>
      </c>
      <c r="B11" s="102">
        <v>18.5</v>
      </c>
      <c r="C11" s="102">
        <v>28.3</v>
      </c>
      <c r="D11" s="102">
        <v>23.1</v>
      </c>
      <c r="E11" s="102">
        <v>57.3</v>
      </c>
      <c r="F11" s="102">
        <v>288.60000000000002</v>
      </c>
      <c r="G11" s="102">
        <v>593.5</v>
      </c>
      <c r="H11" s="102">
        <v>288.8</v>
      </c>
      <c r="I11" s="102">
        <v>195.2</v>
      </c>
      <c r="J11" s="102">
        <v>57.3</v>
      </c>
      <c r="K11" s="102">
        <v>144.5</v>
      </c>
      <c r="L11" s="102">
        <v>37.5</v>
      </c>
      <c r="M11" s="102">
        <v>39.5</v>
      </c>
      <c r="N11" s="102">
        <f t="shared" si="1"/>
        <v>127.2</v>
      </c>
      <c r="O11" s="102">
        <f t="shared" si="2"/>
        <v>1423.4</v>
      </c>
      <c r="P11" s="102">
        <f t="shared" si="3"/>
        <v>221.5</v>
      </c>
      <c r="Q11" s="102">
        <f t="shared" si="4"/>
        <v>1772.1</v>
      </c>
    </row>
    <row r="12" spans="1:33">
      <c r="A12" s="102">
        <v>1981</v>
      </c>
      <c r="B12" s="102">
        <v>17.5</v>
      </c>
      <c r="C12" s="102">
        <v>22.4</v>
      </c>
      <c r="D12" s="102">
        <v>16.3</v>
      </c>
      <c r="E12" s="102">
        <v>141.1</v>
      </c>
      <c r="F12" s="102">
        <v>93.5</v>
      </c>
      <c r="G12" s="102">
        <v>121.2</v>
      </c>
      <c r="H12" s="102">
        <v>280.39999999999998</v>
      </c>
      <c r="I12" s="102">
        <v>126.2</v>
      </c>
      <c r="J12" s="102">
        <v>169.5</v>
      </c>
      <c r="K12" s="102">
        <v>80.400000000000006</v>
      </c>
      <c r="L12" s="102">
        <v>54.3</v>
      </c>
      <c r="M12" s="102">
        <v>19.8</v>
      </c>
      <c r="N12" s="102">
        <f t="shared" si="1"/>
        <v>197.3</v>
      </c>
      <c r="O12" s="102">
        <f t="shared" si="2"/>
        <v>790.8</v>
      </c>
      <c r="P12" s="102">
        <f t="shared" si="3"/>
        <v>154.5</v>
      </c>
      <c r="Q12" s="102">
        <f t="shared" si="4"/>
        <v>1142.5999999999999</v>
      </c>
    </row>
    <row r="13" spans="1:33">
      <c r="A13" s="102">
        <v>1982</v>
      </c>
      <c r="B13" s="102">
        <v>32.299999999999997</v>
      </c>
      <c r="C13" s="102">
        <v>70.400000000000006</v>
      </c>
      <c r="D13" s="102">
        <v>13.1</v>
      </c>
      <c r="E13" s="102">
        <v>118.9</v>
      </c>
      <c r="F13" s="102">
        <v>211</v>
      </c>
      <c r="G13" s="102">
        <v>177.3</v>
      </c>
      <c r="H13" s="102">
        <v>135.5</v>
      </c>
      <c r="I13" s="102">
        <v>304.10000000000002</v>
      </c>
      <c r="J13" s="102">
        <v>201.1</v>
      </c>
      <c r="K13" s="102">
        <v>108.2</v>
      </c>
      <c r="L13" s="102">
        <v>77</v>
      </c>
      <c r="M13" s="102">
        <v>20.7</v>
      </c>
      <c r="N13" s="102">
        <f t="shared" si="1"/>
        <v>234.7</v>
      </c>
      <c r="O13" s="102">
        <f t="shared" si="2"/>
        <v>1029</v>
      </c>
      <c r="P13" s="102">
        <f t="shared" si="3"/>
        <v>205.89999999999998</v>
      </c>
      <c r="Q13" s="102">
        <f t="shared" si="4"/>
        <v>1469.6</v>
      </c>
    </row>
    <row r="14" spans="1:33">
      <c r="A14" s="102">
        <v>1983</v>
      </c>
      <c r="B14" s="102">
        <v>49.4</v>
      </c>
      <c r="C14" s="102">
        <v>47</v>
      </c>
      <c r="D14" s="102">
        <v>55.2</v>
      </c>
      <c r="E14" s="102">
        <v>64.5</v>
      </c>
      <c r="F14" s="102">
        <v>403.2</v>
      </c>
      <c r="G14" s="102">
        <v>257.3</v>
      </c>
      <c r="H14" s="102">
        <v>358.8</v>
      </c>
      <c r="I14" s="102">
        <v>235.7</v>
      </c>
      <c r="J14" s="102">
        <v>122.2</v>
      </c>
      <c r="K14" s="102">
        <v>107.7</v>
      </c>
      <c r="L14" s="102">
        <v>100.1</v>
      </c>
      <c r="M14" s="102">
        <v>23.1</v>
      </c>
      <c r="N14" s="102">
        <f t="shared" si="1"/>
        <v>216.10000000000002</v>
      </c>
      <c r="O14" s="102">
        <f t="shared" si="2"/>
        <v>1377.2</v>
      </c>
      <c r="P14" s="102">
        <f t="shared" si="3"/>
        <v>230.9</v>
      </c>
      <c r="Q14" s="102">
        <f t="shared" si="4"/>
        <v>1824.1999999999998</v>
      </c>
    </row>
    <row r="15" spans="1:33">
      <c r="A15" s="102">
        <v>1984</v>
      </c>
      <c r="B15" s="102">
        <v>14.7</v>
      </c>
      <c r="C15" s="102">
        <v>21.2</v>
      </c>
      <c r="D15" s="102">
        <v>29.1</v>
      </c>
      <c r="E15" s="102">
        <v>143.9</v>
      </c>
      <c r="F15" s="102">
        <v>240.4</v>
      </c>
      <c r="G15" s="102">
        <v>104.6</v>
      </c>
      <c r="H15" s="102">
        <v>261.60000000000002</v>
      </c>
      <c r="I15" s="102">
        <v>210.4</v>
      </c>
      <c r="J15" s="102">
        <v>256.5</v>
      </c>
      <c r="K15" s="102">
        <v>58.1</v>
      </c>
      <c r="L15" s="102">
        <v>17.899999999999999</v>
      </c>
      <c r="M15" s="102">
        <v>22.8</v>
      </c>
      <c r="N15" s="102">
        <f t="shared" si="1"/>
        <v>208.9</v>
      </c>
      <c r="O15" s="102">
        <f t="shared" si="2"/>
        <v>1073.5</v>
      </c>
      <c r="P15" s="102">
        <f t="shared" si="3"/>
        <v>98.8</v>
      </c>
      <c r="Q15" s="102">
        <f t="shared" si="4"/>
        <v>1381.2</v>
      </c>
    </row>
    <row r="16" spans="1:33">
      <c r="A16" s="102">
        <v>1985</v>
      </c>
      <c r="B16" s="102">
        <v>17.8</v>
      </c>
      <c r="C16" s="102">
        <v>19.600000000000001</v>
      </c>
      <c r="D16" s="102">
        <v>43.7</v>
      </c>
      <c r="E16" s="102">
        <v>99.1</v>
      </c>
      <c r="F16" s="102">
        <v>316.5</v>
      </c>
      <c r="G16" s="102">
        <v>413.1</v>
      </c>
      <c r="H16" s="102">
        <v>175.9</v>
      </c>
      <c r="I16" s="102">
        <v>105.1</v>
      </c>
      <c r="J16" s="102">
        <v>62</v>
      </c>
      <c r="K16" s="102">
        <v>72.2</v>
      </c>
      <c r="L16" s="102">
        <v>42.4</v>
      </c>
      <c r="M16" s="102">
        <v>18.3</v>
      </c>
      <c r="N16" s="102">
        <f t="shared" si="1"/>
        <v>180.2</v>
      </c>
      <c r="O16" s="102">
        <f t="shared" si="2"/>
        <v>1072.5999999999999</v>
      </c>
      <c r="P16" s="102">
        <f t="shared" si="3"/>
        <v>132.9</v>
      </c>
      <c r="Q16" s="102">
        <f t="shared" si="4"/>
        <v>1385.7</v>
      </c>
    </row>
    <row r="17" spans="1:17">
      <c r="A17" s="102">
        <v>1986</v>
      </c>
      <c r="B17" s="102">
        <v>16.399999999999999</v>
      </c>
      <c r="C17" s="102">
        <v>29.3</v>
      </c>
      <c r="D17" s="102">
        <v>17.899999999999999</v>
      </c>
      <c r="E17" s="102">
        <v>87.5</v>
      </c>
      <c r="F17" s="102">
        <v>152.1</v>
      </c>
      <c r="G17" s="102">
        <v>296.5</v>
      </c>
      <c r="H17" s="102">
        <v>427.4</v>
      </c>
      <c r="I17" s="102">
        <v>163.19999999999999</v>
      </c>
      <c r="J17" s="102">
        <v>166.1</v>
      </c>
      <c r="K17" s="102">
        <v>111.4</v>
      </c>
      <c r="L17" s="102">
        <v>47.1</v>
      </c>
      <c r="M17" s="102">
        <v>6.2</v>
      </c>
      <c r="N17" s="102">
        <f t="shared" si="1"/>
        <v>151.1</v>
      </c>
      <c r="O17" s="102">
        <f t="shared" si="2"/>
        <v>1205.3</v>
      </c>
      <c r="P17" s="102">
        <f t="shared" si="3"/>
        <v>164.7</v>
      </c>
      <c r="Q17" s="102">
        <f t="shared" si="4"/>
        <v>1521.1</v>
      </c>
    </row>
    <row r="18" spans="1:17">
      <c r="A18" s="102">
        <v>1987</v>
      </c>
      <c r="B18" s="102">
        <v>19.2</v>
      </c>
      <c r="C18" s="102">
        <v>20</v>
      </c>
      <c r="D18" s="102">
        <v>19.2</v>
      </c>
      <c r="E18" s="102">
        <v>23.9</v>
      </c>
      <c r="F18" s="102">
        <v>145.19999999999999</v>
      </c>
      <c r="G18" s="102">
        <v>320.10000000000002</v>
      </c>
      <c r="H18" s="102">
        <v>233.3</v>
      </c>
      <c r="I18" s="102">
        <v>253.2</v>
      </c>
      <c r="J18" s="102">
        <v>161.80000000000001</v>
      </c>
      <c r="K18" s="102">
        <v>142.5</v>
      </c>
      <c r="L18" s="102">
        <v>36.700000000000003</v>
      </c>
      <c r="M18" s="102">
        <v>9.1999999999999993</v>
      </c>
      <c r="N18" s="102">
        <f t="shared" si="1"/>
        <v>82.300000000000011</v>
      </c>
      <c r="O18" s="102">
        <f t="shared" si="2"/>
        <v>1113.5999999999999</v>
      </c>
      <c r="P18" s="102">
        <f t="shared" si="3"/>
        <v>188.39999999999998</v>
      </c>
      <c r="Q18" s="102">
        <f t="shared" si="4"/>
        <v>1384.3000000000002</v>
      </c>
    </row>
    <row r="19" spans="1:17">
      <c r="A19" s="102">
        <v>1988</v>
      </c>
      <c r="B19" s="102">
        <v>15.9</v>
      </c>
      <c r="C19" s="102">
        <v>23.3</v>
      </c>
      <c r="D19" s="102">
        <v>16.100000000000001</v>
      </c>
      <c r="E19" s="102">
        <v>96.6</v>
      </c>
      <c r="F19" s="102">
        <v>137.5</v>
      </c>
      <c r="G19" s="102">
        <v>260</v>
      </c>
      <c r="H19" s="102">
        <v>90.9</v>
      </c>
      <c r="I19" s="102">
        <v>281.8</v>
      </c>
      <c r="J19" s="102">
        <v>178.3</v>
      </c>
      <c r="K19" s="102">
        <v>62.9</v>
      </c>
      <c r="L19" s="102">
        <v>8.6</v>
      </c>
      <c r="M19" s="102">
        <v>8.1999999999999993</v>
      </c>
      <c r="N19" s="102">
        <f t="shared" si="1"/>
        <v>151.9</v>
      </c>
      <c r="O19" s="102">
        <f t="shared" si="2"/>
        <v>948.5</v>
      </c>
      <c r="P19" s="102">
        <f t="shared" si="3"/>
        <v>79.7</v>
      </c>
      <c r="Q19" s="102">
        <f t="shared" si="4"/>
        <v>1180.0999999999999</v>
      </c>
    </row>
    <row r="20" spans="1:17">
      <c r="A20" s="102">
        <v>1989</v>
      </c>
      <c r="B20" s="102">
        <v>15.3</v>
      </c>
      <c r="C20" s="102">
        <v>32</v>
      </c>
      <c r="D20" s="102">
        <v>42.2</v>
      </c>
      <c r="E20" s="102">
        <v>38.200000000000003</v>
      </c>
      <c r="F20" s="102">
        <v>157</v>
      </c>
      <c r="G20" s="102">
        <v>388.5</v>
      </c>
      <c r="H20" s="102">
        <v>130.1</v>
      </c>
      <c r="I20" s="102">
        <v>152.4</v>
      </c>
      <c r="J20" s="102">
        <v>143.80000000000001</v>
      </c>
      <c r="K20" s="102">
        <v>84.3</v>
      </c>
      <c r="L20" s="102">
        <v>25.5</v>
      </c>
      <c r="M20" s="102">
        <v>21.3</v>
      </c>
      <c r="N20" s="102">
        <f t="shared" si="1"/>
        <v>127.7</v>
      </c>
      <c r="O20" s="102">
        <f t="shared" si="2"/>
        <v>971.8</v>
      </c>
      <c r="P20" s="102">
        <f t="shared" si="3"/>
        <v>131.1</v>
      </c>
      <c r="Q20" s="102">
        <f t="shared" si="4"/>
        <v>1230.5999999999999</v>
      </c>
    </row>
    <row r="21" spans="1:17">
      <c r="A21" s="102">
        <v>1990</v>
      </c>
      <c r="B21" s="102">
        <v>17.100000000000001</v>
      </c>
      <c r="C21" s="102">
        <v>6.7</v>
      </c>
      <c r="D21" s="102">
        <v>69.5</v>
      </c>
      <c r="E21" s="102">
        <v>43.9</v>
      </c>
      <c r="F21" s="102">
        <v>139.19999999999999</v>
      </c>
      <c r="G21" s="102">
        <v>213.5</v>
      </c>
      <c r="H21" s="102">
        <v>226.2</v>
      </c>
      <c r="I21" s="102">
        <v>43.4</v>
      </c>
      <c r="J21" s="102">
        <v>86.1</v>
      </c>
      <c r="K21" s="102">
        <v>103.6</v>
      </c>
      <c r="L21" s="102">
        <v>40.5</v>
      </c>
      <c r="M21" s="102">
        <v>11.7</v>
      </c>
      <c r="N21" s="102">
        <f t="shared" si="1"/>
        <v>137.19999999999999</v>
      </c>
      <c r="O21" s="102">
        <f t="shared" si="2"/>
        <v>708.4</v>
      </c>
      <c r="P21" s="102">
        <f t="shared" si="3"/>
        <v>155.79999999999998</v>
      </c>
      <c r="Q21" s="102">
        <f t="shared" si="4"/>
        <v>1001.4</v>
      </c>
    </row>
    <row r="22" spans="1:17">
      <c r="A22" s="102">
        <v>1991</v>
      </c>
      <c r="B22" s="102">
        <v>44.2</v>
      </c>
      <c r="C22" s="102">
        <v>10.7</v>
      </c>
      <c r="D22" s="102">
        <v>22.8</v>
      </c>
      <c r="E22" s="102">
        <v>42.1</v>
      </c>
      <c r="F22" s="102">
        <v>39.4</v>
      </c>
      <c r="G22" s="102">
        <v>314.7</v>
      </c>
      <c r="H22" s="102">
        <v>430.1</v>
      </c>
      <c r="I22" s="102">
        <v>233.6</v>
      </c>
      <c r="J22" s="102">
        <v>112.7</v>
      </c>
      <c r="K22" s="102">
        <v>128.4</v>
      </c>
      <c r="L22" s="102">
        <v>40.799999999999997</v>
      </c>
      <c r="M22" s="102">
        <v>19.8</v>
      </c>
      <c r="N22" s="102">
        <f t="shared" si="1"/>
        <v>119.80000000000001</v>
      </c>
      <c r="O22" s="102">
        <f t="shared" si="2"/>
        <v>1130.5</v>
      </c>
      <c r="P22" s="102">
        <f t="shared" si="3"/>
        <v>189</v>
      </c>
      <c r="Q22" s="102">
        <f t="shared" si="4"/>
        <v>1439.3</v>
      </c>
    </row>
    <row r="23" spans="1:17">
      <c r="A23" s="102">
        <v>1992</v>
      </c>
      <c r="B23" s="102">
        <v>34.299999999999997</v>
      </c>
      <c r="C23" s="102">
        <v>31.5</v>
      </c>
      <c r="D23" s="102">
        <v>29.1</v>
      </c>
      <c r="E23" s="102">
        <v>128.19999999999999</v>
      </c>
      <c r="F23" s="102">
        <v>364.1</v>
      </c>
      <c r="G23" s="102">
        <v>340.3</v>
      </c>
      <c r="H23" s="102">
        <v>227.9</v>
      </c>
      <c r="I23" s="102">
        <v>103.9</v>
      </c>
      <c r="J23" s="102">
        <v>58</v>
      </c>
      <c r="K23" s="102">
        <v>155.30000000000001</v>
      </c>
      <c r="L23" s="102">
        <v>19</v>
      </c>
      <c r="M23" s="102">
        <v>13.4</v>
      </c>
      <c r="N23" s="102">
        <f t="shared" si="1"/>
        <v>223.1</v>
      </c>
      <c r="O23" s="102">
        <f t="shared" si="2"/>
        <v>1094.2</v>
      </c>
      <c r="P23" s="102">
        <f t="shared" si="3"/>
        <v>187.70000000000002</v>
      </c>
      <c r="Q23" s="102">
        <f t="shared" si="4"/>
        <v>1505.0000000000002</v>
      </c>
    </row>
    <row r="24" spans="1:17">
      <c r="A24" s="102">
        <v>1993</v>
      </c>
      <c r="B24" s="102">
        <v>33.6</v>
      </c>
      <c r="C24" s="102">
        <v>43.1</v>
      </c>
      <c r="D24" s="102">
        <v>9.1</v>
      </c>
      <c r="E24" s="102">
        <v>44.8</v>
      </c>
      <c r="F24" s="102">
        <v>168.4</v>
      </c>
      <c r="G24" s="102">
        <v>194.8</v>
      </c>
      <c r="H24" s="102">
        <v>141.69999999999999</v>
      </c>
      <c r="I24" s="102">
        <v>264.39999999999998</v>
      </c>
      <c r="J24" s="102">
        <v>128.69999999999999</v>
      </c>
      <c r="K24" s="102">
        <v>37</v>
      </c>
      <c r="L24" s="102">
        <v>37.4</v>
      </c>
      <c r="M24" s="102">
        <v>9.3000000000000007</v>
      </c>
      <c r="N24" s="102">
        <f t="shared" si="1"/>
        <v>130.6</v>
      </c>
      <c r="O24" s="102">
        <f t="shared" si="2"/>
        <v>898</v>
      </c>
      <c r="P24" s="102">
        <f t="shared" si="3"/>
        <v>83.7</v>
      </c>
      <c r="Q24" s="102">
        <f t="shared" si="4"/>
        <v>1112.3</v>
      </c>
    </row>
    <row r="25" spans="1:17">
      <c r="A25" s="102">
        <v>1994</v>
      </c>
      <c r="B25" s="102">
        <v>23.8</v>
      </c>
      <c r="C25" s="102">
        <v>7.1</v>
      </c>
      <c r="D25" s="102">
        <v>62</v>
      </c>
      <c r="E25" s="102">
        <v>18.8</v>
      </c>
      <c r="F25" s="102">
        <v>140.5</v>
      </c>
      <c r="G25" s="102">
        <v>328.8</v>
      </c>
      <c r="H25" s="102">
        <v>178.4</v>
      </c>
      <c r="I25" s="102">
        <v>206.6</v>
      </c>
      <c r="J25" s="102">
        <v>166.9</v>
      </c>
      <c r="K25" s="102">
        <v>125</v>
      </c>
      <c r="L25" s="102">
        <v>71</v>
      </c>
      <c r="M25" s="102">
        <v>42</v>
      </c>
      <c r="N25" s="102">
        <f t="shared" si="1"/>
        <v>111.7</v>
      </c>
      <c r="O25" s="102">
        <f t="shared" si="2"/>
        <v>1021.2</v>
      </c>
      <c r="P25" s="102">
        <f t="shared" si="3"/>
        <v>238</v>
      </c>
      <c r="Q25" s="102">
        <f t="shared" si="4"/>
        <v>1370.9</v>
      </c>
    </row>
    <row r="26" spans="1:17">
      <c r="A26" s="102">
        <v>1995</v>
      </c>
      <c r="B26" s="102">
        <v>23.3</v>
      </c>
      <c r="C26" s="102">
        <v>40.299999999999997</v>
      </c>
      <c r="D26" s="102">
        <v>25.7</v>
      </c>
      <c r="E26" s="102">
        <v>27.4</v>
      </c>
      <c r="F26" s="102">
        <v>192.8</v>
      </c>
      <c r="G26" s="102">
        <v>377.2</v>
      </c>
      <c r="H26" s="102">
        <v>217.4</v>
      </c>
      <c r="I26" s="102">
        <v>236.8</v>
      </c>
      <c r="J26" s="102">
        <v>198.1</v>
      </c>
      <c r="K26" s="102">
        <v>121.5</v>
      </c>
      <c r="L26" s="102">
        <v>38.9</v>
      </c>
      <c r="M26" s="102">
        <v>13.7</v>
      </c>
      <c r="N26" s="102">
        <f t="shared" si="1"/>
        <v>116.69999999999999</v>
      </c>
      <c r="O26" s="102">
        <f t="shared" si="2"/>
        <v>1222.3</v>
      </c>
      <c r="P26" s="102">
        <f t="shared" si="3"/>
        <v>174.1</v>
      </c>
      <c r="Q26" s="102">
        <f t="shared" si="4"/>
        <v>1513.1000000000001</v>
      </c>
    </row>
    <row r="27" spans="1:17">
      <c r="A27" s="102">
        <v>1996</v>
      </c>
      <c r="B27" s="102">
        <v>18.3</v>
      </c>
      <c r="C27" s="102">
        <v>8.3000000000000007</v>
      </c>
      <c r="D27" s="102">
        <v>38.700000000000003</v>
      </c>
      <c r="E27" s="102">
        <v>60.5</v>
      </c>
      <c r="F27" s="102">
        <v>318.2</v>
      </c>
      <c r="G27" s="102">
        <v>497.3</v>
      </c>
      <c r="H27" s="102">
        <v>303.3</v>
      </c>
      <c r="I27" s="102">
        <v>123.9</v>
      </c>
      <c r="J27" s="102">
        <v>211.1</v>
      </c>
      <c r="K27" s="102">
        <v>3.1</v>
      </c>
      <c r="L27" s="102">
        <v>73.8</v>
      </c>
      <c r="M27" s="102">
        <v>20.3</v>
      </c>
      <c r="N27" s="102">
        <f t="shared" si="1"/>
        <v>125.80000000000001</v>
      </c>
      <c r="O27" s="102">
        <f t="shared" si="2"/>
        <v>1453.8</v>
      </c>
      <c r="P27" s="102">
        <f t="shared" si="3"/>
        <v>97.199999999999989</v>
      </c>
      <c r="Q27" s="102">
        <f t="shared" si="4"/>
        <v>1676.7999999999997</v>
      </c>
    </row>
    <row r="28" spans="1:17">
      <c r="A28" s="102">
        <v>1997</v>
      </c>
      <c r="B28" s="102">
        <v>36.6</v>
      </c>
      <c r="C28" s="102">
        <v>29.6</v>
      </c>
      <c r="D28" s="102">
        <v>40.5</v>
      </c>
      <c r="E28" s="102">
        <v>102.6</v>
      </c>
      <c r="F28" s="102">
        <v>90.2</v>
      </c>
      <c r="G28" s="102">
        <v>201.7</v>
      </c>
      <c r="H28" s="102">
        <v>292.89999999999998</v>
      </c>
      <c r="I28" s="102">
        <v>112.2</v>
      </c>
      <c r="J28" s="102">
        <v>230.8</v>
      </c>
      <c r="K28" s="102">
        <v>105</v>
      </c>
      <c r="L28" s="102">
        <v>11.8</v>
      </c>
      <c r="M28" s="102">
        <v>12.5</v>
      </c>
      <c r="N28" s="102">
        <f t="shared" si="1"/>
        <v>209.3</v>
      </c>
      <c r="O28" s="102">
        <f t="shared" si="2"/>
        <v>927.8</v>
      </c>
      <c r="P28" s="102">
        <f t="shared" si="3"/>
        <v>129.30000000000001</v>
      </c>
      <c r="Q28" s="102">
        <f t="shared" si="4"/>
        <v>1266.3999999999999</v>
      </c>
    </row>
    <row r="29" spans="1:17">
      <c r="A29" s="102">
        <v>1998</v>
      </c>
      <c r="B29" s="102">
        <v>17.399999999999999</v>
      </c>
      <c r="C29" s="102">
        <v>14.7</v>
      </c>
      <c r="D29" s="102">
        <v>18</v>
      </c>
      <c r="E29" s="102">
        <v>63.7</v>
      </c>
      <c r="F29" s="102">
        <v>116.2</v>
      </c>
      <c r="G29" s="102">
        <v>304.10000000000002</v>
      </c>
      <c r="H29" s="102">
        <v>378.8</v>
      </c>
      <c r="I29" s="102">
        <v>207.7</v>
      </c>
      <c r="J29" s="102">
        <v>51.3</v>
      </c>
      <c r="K29" s="102">
        <v>118</v>
      </c>
      <c r="L29" s="102">
        <v>21.4</v>
      </c>
      <c r="M29" s="102">
        <v>16.8</v>
      </c>
      <c r="N29" s="102">
        <f t="shared" si="1"/>
        <v>113.8</v>
      </c>
      <c r="O29" s="102">
        <f t="shared" si="2"/>
        <v>1058.0999999999999</v>
      </c>
      <c r="P29" s="102">
        <f t="shared" si="3"/>
        <v>156.20000000000002</v>
      </c>
      <c r="Q29" s="102">
        <f t="shared" si="4"/>
        <v>1328.1000000000001</v>
      </c>
    </row>
    <row r="30" spans="1:17">
      <c r="A30" s="102">
        <v>1999</v>
      </c>
      <c r="B30" s="102">
        <v>22.4</v>
      </c>
      <c r="C30" s="102">
        <v>7.3</v>
      </c>
      <c r="D30" s="102">
        <v>25.3</v>
      </c>
      <c r="E30" s="102">
        <v>188.5</v>
      </c>
      <c r="F30" s="102">
        <v>128.6</v>
      </c>
      <c r="G30" s="102">
        <v>294.7</v>
      </c>
      <c r="H30" s="102">
        <v>385.6</v>
      </c>
      <c r="I30" s="102">
        <v>225</v>
      </c>
      <c r="J30" s="102">
        <v>69.8</v>
      </c>
      <c r="K30" s="102">
        <v>114</v>
      </c>
      <c r="L30" s="102">
        <v>49.7</v>
      </c>
      <c r="M30" s="102">
        <v>5.0999999999999996</v>
      </c>
      <c r="N30" s="102">
        <f t="shared" si="1"/>
        <v>243.5</v>
      </c>
      <c r="O30" s="102">
        <f t="shared" si="2"/>
        <v>1103.7</v>
      </c>
      <c r="P30" s="102">
        <f t="shared" si="3"/>
        <v>168.79999999999998</v>
      </c>
      <c r="Q30" s="102">
        <f t="shared" si="4"/>
        <v>1516</v>
      </c>
    </row>
    <row r="31" spans="1:17">
      <c r="A31" s="102">
        <v>2000</v>
      </c>
      <c r="B31" s="102">
        <v>25.6</v>
      </c>
      <c r="C31" s="102">
        <v>27.9</v>
      </c>
      <c r="D31" s="102">
        <v>29.7</v>
      </c>
      <c r="E31" s="102">
        <v>93.4</v>
      </c>
      <c r="F31" s="102">
        <v>232.4</v>
      </c>
      <c r="G31" s="102">
        <v>242.4</v>
      </c>
      <c r="H31" s="102">
        <v>188.6</v>
      </c>
      <c r="I31" s="102">
        <v>178.7</v>
      </c>
      <c r="J31" s="102">
        <v>161.80000000000001</v>
      </c>
      <c r="K31" s="102">
        <v>153.30000000000001</v>
      </c>
      <c r="L31" s="102">
        <v>35.9</v>
      </c>
      <c r="M31" s="102">
        <v>21.1</v>
      </c>
      <c r="N31" s="102">
        <f t="shared" si="1"/>
        <v>176.60000000000002</v>
      </c>
      <c r="O31" s="102">
        <f t="shared" si="2"/>
        <v>1003.8999999999999</v>
      </c>
      <c r="P31" s="102">
        <f t="shared" si="3"/>
        <v>210.3</v>
      </c>
      <c r="Q31" s="102">
        <f t="shared" si="4"/>
        <v>1390.8</v>
      </c>
    </row>
    <row r="32" spans="1:17">
      <c r="A32" s="102">
        <v>2001</v>
      </c>
      <c r="B32" s="102">
        <v>16</v>
      </c>
      <c r="C32" s="102">
        <v>11.3</v>
      </c>
      <c r="D32" s="102">
        <v>25.7</v>
      </c>
      <c r="E32" s="102">
        <v>85.2</v>
      </c>
      <c r="F32" s="102">
        <v>223.3</v>
      </c>
      <c r="G32" s="102">
        <v>337.1</v>
      </c>
      <c r="H32" s="102">
        <v>308</v>
      </c>
      <c r="I32" s="102">
        <v>181.8</v>
      </c>
      <c r="J32" s="102">
        <v>125.9</v>
      </c>
      <c r="K32" s="102">
        <v>164</v>
      </c>
      <c r="L32" s="102">
        <v>14.6</v>
      </c>
      <c r="M32" s="102">
        <v>17.8</v>
      </c>
      <c r="N32" s="102">
        <f t="shared" si="1"/>
        <v>138.19999999999999</v>
      </c>
      <c r="O32" s="102">
        <f t="shared" si="2"/>
        <v>1176.1000000000001</v>
      </c>
      <c r="P32" s="102">
        <f t="shared" si="3"/>
        <v>196.4</v>
      </c>
      <c r="Q32" s="102">
        <f t="shared" si="4"/>
        <v>1510.7</v>
      </c>
    </row>
    <row r="33" spans="1:33">
      <c r="A33" s="102">
        <v>2002</v>
      </c>
      <c r="B33" s="102">
        <v>9.8000000000000007</v>
      </c>
      <c r="C33" s="102">
        <v>31.7</v>
      </c>
      <c r="D33" s="102">
        <v>25.6</v>
      </c>
      <c r="E33" s="102">
        <v>70.2</v>
      </c>
      <c r="F33" s="102">
        <v>280.8</v>
      </c>
      <c r="G33" s="102">
        <v>420.8</v>
      </c>
      <c r="H33" s="102">
        <v>185.5</v>
      </c>
      <c r="I33" s="102">
        <v>244.3</v>
      </c>
      <c r="J33" s="102">
        <v>46.4</v>
      </c>
      <c r="K33" s="102">
        <v>96.1</v>
      </c>
      <c r="L33" s="102">
        <v>18.899999999999999</v>
      </c>
      <c r="M33" s="102">
        <v>23.4</v>
      </c>
      <c r="N33" s="102">
        <f t="shared" si="1"/>
        <v>137.30000000000001</v>
      </c>
      <c r="O33" s="102">
        <f t="shared" si="2"/>
        <v>1177.8000000000002</v>
      </c>
      <c r="P33" s="102">
        <f t="shared" si="3"/>
        <v>138.4</v>
      </c>
      <c r="Q33" s="102">
        <f t="shared" si="4"/>
        <v>1453.5000000000002</v>
      </c>
    </row>
    <row r="34" spans="1:33">
      <c r="A34" s="102">
        <v>2003</v>
      </c>
      <c r="B34" s="102">
        <v>14.2</v>
      </c>
      <c r="C34" s="102">
        <v>3.2</v>
      </c>
      <c r="D34" s="102">
        <v>15.5</v>
      </c>
      <c r="E34" s="102">
        <v>145.4</v>
      </c>
      <c r="F34" s="102">
        <v>172</v>
      </c>
      <c r="G34" s="102">
        <v>226.6</v>
      </c>
      <c r="H34" s="102">
        <v>298.89999999999998</v>
      </c>
      <c r="I34" s="102">
        <v>95.1</v>
      </c>
      <c r="J34" s="102">
        <v>68.3</v>
      </c>
      <c r="K34" s="102">
        <v>52.2</v>
      </c>
      <c r="L34" s="102">
        <v>27</v>
      </c>
      <c r="M34" s="102">
        <v>65.400000000000006</v>
      </c>
      <c r="N34" s="102">
        <f t="shared" si="1"/>
        <v>178.3</v>
      </c>
      <c r="O34" s="102">
        <f t="shared" si="2"/>
        <v>860.9</v>
      </c>
      <c r="P34" s="102">
        <f t="shared" si="3"/>
        <v>144.60000000000002</v>
      </c>
      <c r="Q34" s="102">
        <f t="shared" si="4"/>
        <v>1183.8000000000002</v>
      </c>
    </row>
    <row r="35" spans="1:33">
      <c r="A35" s="102">
        <v>2004</v>
      </c>
      <c r="B35" s="102">
        <v>46.1</v>
      </c>
      <c r="C35" s="102">
        <v>36</v>
      </c>
      <c r="D35" s="102">
        <v>19.5</v>
      </c>
      <c r="E35" s="102">
        <v>102.1</v>
      </c>
      <c r="F35" s="102">
        <v>241.3</v>
      </c>
      <c r="G35" s="102">
        <v>144.19999999999999</v>
      </c>
      <c r="H35" s="102">
        <v>318.7</v>
      </c>
      <c r="I35" s="102">
        <v>189.1</v>
      </c>
      <c r="J35" s="102">
        <v>134.69999999999999</v>
      </c>
      <c r="K35" s="102">
        <v>33.799999999999997</v>
      </c>
      <c r="L35" s="102">
        <v>16.7</v>
      </c>
      <c r="M35" s="102">
        <v>18.600000000000001</v>
      </c>
      <c r="N35" s="102">
        <f t="shared" si="1"/>
        <v>203.7</v>
      </c>
      <c r="O35" s="102">
        <f t="shared" si="2"/>
        <v>1028</v>
      </c>
      <c r="P35" s="102">
        <f t="shared" si="3"/>
        <v>69.099999999999994</v>
      </c>
      <c r="Q35" s="102">
        <f t="shared" si="4"/>
        <v>1300.8</v>
      </c>
    </row>
    <row r="36" spans="1:33">
      <c r="A36" s="102">
        <v>2005</v>
      </c>
      <c r="B36" s="102">
        <v>33.1</v>
      </c>
      <c r="C36" s="102">
        <v>10.5</v>
      </c>
      <c r="D36" s="102">
        <v>48</v>
      </c>
      <c r="E36" s="102">
        <v>53.1</v>
      </c>
      <c r="F36" s="102">
        <v>194</v>
      </c>
      <c r="G36" s="102">
        <v>242.5</v>
      </c>
      <c r="H36" s="102">
        <v>310.10000000000002</v>
      </c>
      <c r="I36" s="102">
        <v>157.5</v>
      </c>
      <c r="J36" s="102">
        <v>68.400000000000006</v>
      </c>
      <c r="K36" s="102">
        <v>142.1</v>
      </c>
      <c r="L36" s="102">
        <v>18</v>
      </c>
      <c r="M36" s="102">
        <v>23.2</v>
      </c>
      <c r="N36" s="102">
        <f t="shared" si="1"/>
        <v>144.69999999999999</v>
      </c>
      <c r="O36" s="102">
        <f t="shared" si="2"/>
        <v>972.5</v>
      </c>
      <c r="P36" s="102">
        <f t="shared" si="3"/>
        <v>183.29999999999998</v>
      </c>
      <c r="Q36" s="102">
        <f t="shared" si="4"/>
        <v>1300.5000000000002</v>
      </c>
    </row>
    <row r="37" spans="1:33">
      <c r="A37" s="102">
        <v>2006</v>
      </c>
      <c r="B37" s="102">
        <v>9.5</v>
      </c>
      <c r="C37" s="102">
        <v>28.4</v>
      </c>
      <c r="D37" s="102">
        <v>25.5</v>
      </c>
      <c r="E37" s="102">
        <v>28.1</v>
      </c>
      <c r="F37" s="102">
        <v>105.1</v>
      </c>
      <c r="G37" s="102">
        <v>238</v>
      </c>
      <c r="H37" s="102">
        <v>47.8</v>
      </c>
      <c r="I37" s="102">
        <v>121.3</v>
      </c>
      <c r="J37" s="102">
        <v>159.80000000000001</v>
      </c>
      <c r="K37" s="102">
        <v>189.6</v>
      </c>
      <c r="L37" s="102">
        <v>22.9</v>
      </c>
      <c r="M37" s="102">
        <v>22.3</v>
      </c>
      <c r="N37" s="102">
        <f t="shared" si="1"/>
        <v>91.5</v>
      </c>
      <c r="O37" s="102">
        <f t="shared" si="2"/>
        <v>672</v>
      </c>
      <c r="P37" s="102">
        <f t="shared" si="3"/>
        <v>234.8</v>
      </c>
      <c r="Q37" s="102">
        <f t="shared" si="4"/>
        <v>998.3</v>
      </c>
    </row>
    <row r="38" spans="1:33">
      <c r="A38" s="102">
        <v>2007</v>
      </c>
      <c r="B38" s="102">
        <v>45</v>
      </c>
      <c r="C38" s="102">
        <v>11.9</v>
      </c>
      <c r="D38" s="102">
        <v>19.5</v>
      </c>
      <c r="E38" s="102">
        <v>107.2</v>
      </c>
      <c r="F38" s="102">
        <v>114.7</v>
      </c>
      <c r="G38" s="102">
        <v>390.4</v>
      </c>
      <c r="H38" s="102">
        <v>450</v>
      </c>
      <c r="I38" s="102">
        <v>195.2</v>
      </c>
      <c r="J38" s="102">
        <v>147.4</v>
      </c>
      <c r="K38" s="102">
        <v>55.4</v>
      </c>
      <c r="L38" s="102">
        <v>12.9</v>
      </c>
      <c r="M38" s="102">
        <v>32.1</v>
      </c>
      <c r="N38" s="102">
        <f t="shared" si="1"/>
        <v>183.60000000000002</v>
      </c>
      <c r="O38" s="102">
        <f t="shared" si="2"/>
        <v>1297.7</v>
      </c>
      <c r="P38" s="102">
        <f t="shared" si="3"/>
        <v>100.4</v>
      </c>
      <c r="Q38" s="102">
        <f t="shared" si="4"/>
        <v>1581.7000000000003</v>
      </c>
    </row>
    <row r="39" spans="1:33">
      <c r="A39" s="102">
        <v>2008</v>
      </c>
      <c r="B39" s="102">
        <v>19.2</v>
      </c>
      <c r="C39" s="102">
        <v>20.3</v>
      </c>
      <c r="D39" s="102">
        <v>36.700000000000003</v>
      </c>
      <c r="E39" s="102">
        <v>68.7</v>
      </c>
      <c r="F39" s="102">
        <v>233.3</v>
      </c>
      <c r="G39" s="102">
        <v>238.6</v>
      </c>
      <c r="H39" s="102">
        <v>346.9</v>
      </c>
      <c r="I39" s="102">
        <v>293.8</v>
      </c>
      <c r="J39" s="102">
        <v>109.7</v>
      </c>
      <c r="K39" s="102">
        <v>154.30000000000001</v>
      </c>
      <c r="L39" s="102">
        <v>97.7</v>
      </c>
      <c r="M39" s="102">
        <v>21.2</v>
      </c>
      <c r="N39" s="102">
        <f t="shared" si="1"/>
        <v>144.9</v>
      </c>
      <c r="O39" s="102">
        <f t="shared" si="2"/>
        <v>1222.3</v>
      </c>
      <c r="P39" s="102">
        <f t="shared" si="3"/>
        <v>273.2</v>
      </c>
      <c r="Q39" s="102">
        <f t="shared" si="4"/>
        <v>1640.4</v>
      </c>
    </row>
    <row r="40" spans="1:33">
      <c r="A40" s="102">
        <v>2009</v>
      </c>
      <c r="B40" s="102">
        <v>25</v>
      </c>
      <c r="C40" s="102">
        <v>15.8</v>
      </c>
      <c r="D40" s="102">
        <v>37.799999999999997</v>
      </c>
      <c r="E40" s="102">
        <v>180.7</v>
      </c>
      <c r="F40" s="102">
        <v>187.3</v>
      </c>
      <c r="G40" s="102">
        <v>169.8</v>
      </c>
      <c r="H40" s="102">
        <v>197.4</v>
      </c>
      <c r="I40" s="102">
        <v>154.9</v>
      </c>
      <c r="J40" s="102">
        <v>34.9</v>
      </c>
      <c r="K40" s="102">
        <v>81.3</v>
      </c>
      <c r="L40" s="102">
        <v>14</v>
      </c>
      <c r="M40" s="102">
        <v>22.7</v>
      </c>
      <c r="N40" s="102">
        <f t="shared" si="1"/>
        <v>259.29999999999995</v>
      </c>
      <c r="O40" s="102">
        <f t="shared" si="2"/>
        <v>744.3</v>
      </c>
      <c r="P40" s="102">
        <f t="shared" si="3"/>
        <v>118</v>
      </c>
      <c r="Q40" s="102">
        <f t="shared" si="4"/>
        <v>1121.5999999999999</v>
      </c>
    </row>
    <row r="41" spans="1:33">
      <c r="A41" s="102">
        <v>2010</v>
      </c>
      <c r="B41" s="102">
        <v>4.3</v>
      </c>
      <c r="C41" s="102">
        <v>5.0999999999999996</v>
      </c>
      <c r="D41" s="102">
        <v>2.4</v>
      </c>
      <c r="E41" s="102">
        <v>74.3</v>
      </c>
      <c r="F41" s="102">
        <v>64.8</v>
      </c>
      <c r="G41" s="102">
        <v>271.5</v>
      </c>
      <c r="H41" s="102">
        <v>250.7</v>
      </c>
      <c r="I41" s="102">
        <v>134.4</v>
      </c>
      <c r="J41" s="102">
        <v>154.9</v>
      </c>
      <c r="K41" s="102">
        <v>117.8</v>
      </c>
      <c r="L41" s="102">
        <v>32.200000000000003</v>
      </c>
      <c r="M41" s="102">
        <v>36.200000000000003</v>
      </c>
      <c r="N41" s="102">
        <f t="shared" si="1"/>
        <v>86.1</v>
      </c>
      <c r="O41" s="102">
        <f t="shared" si="2"/>
        <v>876.3</v>
      </c>
      <c r="P41" s="102">
        <f t="shared" si="3"/>
        <v>186.2</v>
      </c>
      <c r="Q41" s="102">
        <f t="shared" si="4"/>
        <v>1148.5999999999999</v>
      </c>
    </row>
    <row r="42" spans="1:33">
      <c r="A42" s="102">
        <v>2011</v>
      </c>
      <c r="B42" s="102">
        <v>32.700000000000003</v>
      </c>
      <c r="C42" s="102">
        <v>8.4</v>
      </c>
      <c r="D42" s="102">
        <v>18.7</v>
      </c>
      <c r="E42" s="102">
        <v>35.1</v>
      </c>
      <c r="F42" s="102">
        <v>44.8</v>
      </c>
      <c r="G42" s="102">
        <v>273</v>
      </c>
      <c r="H42" s="102">
        <v>81.8</v>
      </c>
      <c r="I42" s="102">
        <v>68.900000000000006</v>
      </c>
      <c r="J42" s="102">
        <v>136.9</v>
      </c>
      <c r="K42" s="102">
        <v>108</v>
      </c>
      <c r="L42" s="102">
        <v>49.8</v>
      </c>
      <c r="M42" s="102">
        <v>26.3</v>
      </c>
      <c r="N42" s="102">
        <f t="shared" si="1"/>
        <v>94.9</v>
      </c>
      <c r="O42" s="102">
        <f t="shared" si="2"/>
        <v>605.4</v>
      </c>
      <c r="P42" s="102">
        <f t="shared" si="3"/>
        <v>184.10000000000002</v>
      </c>
      <c r="Q42" s="102">
        <f t="shared" si="4"/>
        <v>884.39999999999986</v>
      </c>
      <c r="R42" s="104"/>
      <c r="S42" s="104"/>
      <c r="T42" s="104"/>
      <c r="U42" s="104"/>
      <c r="V42" s="104"/>
      <c r="W42" s="104"/>
      <c r="X42" s="104"/>
      <c r="Y42" s="104"/>
      <c r="Z42" s="104"/>
      <c r="AA42" s="104"/>
      <c r="AB42" s="104"/>
      <c r="AC42" s="104"/>
      <c r="AD42" s="104"/>
      <c r="AE42" s="104"/>
    </row>
    <row r="43" spans="1:33">
      <c r="A43" s="102">
        <v>2012</v>
      </c>
      <c r="B43" s="102">
        <v>24.5</v>
      </c>
      <c r="C43" s="102">
        <v>21.2</v>
      </c>
      <c r="D43" s="102">
        <v>37.5</v>
      </c>
      <c r="E43" s="102">
        <v>39.6</v>
      </c>
      <c r="F43" s="102">
        <v>336.5</v>
      </c>
      <c r="G43" s="102">
        <v>198.4</v>
      </c>
      <c r="H43" s="102">
        <v>440.4</v>
      </c>
      <c r="I43" s="102">
        <v>78.5</v>
      </c>
      <c r="J43" s="102">
        <v>104.2</v>
      </c>
      <c r="K43" s="102">
        <v>82.2</v>
      </c>
      <c r="L43" s="102">
        <v>29.5</v>
      </c>
      <c r="M43" s="102">
        <v>11.5</v>
      </c>
      <c r="N43" s="102">
        <f t="shared" si="1"/>
        <v>122.80000000000001</v>
      </c>
      <c r="O43" s="102">
        <f t="shared" si="2"/>
        <v>1158</v>
      </c>
      <c r="P43" s="102">
        <f t="shared" si="3"/>
        <v>123.2</v>
      </c>
      <c r="Q43" s="102">
        <f t="shared" si="4"/>
        <v>1404</v>
      </c>
      <c r="R43" s="104"/>
      <c r="S43" s="104"/>
      <c r="T43" s="104"/>
      <c r="U43" s="104"/>
      <c r="V43" s="104"/>
      <c r="W43" s="104"/>
      <c r="X43" s="104"/>
      <c r="Y43" s="104"/>
      <c r="Z43" s="104"/>
      <c r="AA43" s="104"/>
      <c r="AB43" s="104"/>
      <c r="AC43" s="104"/>
      <c r="AD43" s="104"/>
      <c r="AE43" s="104"/>
      <c r="AF43" s="104"/>
      <c r="AG43" s="104"/>
    </row>
    <row r="44" spans="1:33">
      <c r="A44" s="102">
        <v>2013</v>
      </c>
      <c r="B44" s="102">
        <v>7.3</v>
      </c>
      <c r="C44" s="102">
        <v>9.4</v>
      </c>
      <c r="D44" s="102">
        <v>54.8</v>
      </c>
      <c r="E44" s="102">
        <v>68.5</v>
      </c>
      <c r="F44" s="102">
        <v>305.5</v>
      </c>
      <c r="G44" s="102">
        <v>190.3</v>
      </c>
      <c r="H44" s="102">
        <v>77.099999999999994</v>
      </c>
      <c r="I44" s="102">
        <v>132.69999999999999</v>
      </c>
      <c r="J44" s="102">
        <v>108.7</v>
      </c>
      <c r="K44" s="102">
        <v>56.7</v>
      </c>
      <c r="L44" s="102">
        <v>31.5</v>
      </c>
      <c r="M44" s="102">
        <v>22.5</v>
      </c>
      <c r="N44" s="102">
        <f t="shared" si="1"/>
        <v>140</v>
      </c>
      <c r="O44" s="102">
        <f t="shared" si="2"/>
        <v>814.3</v>
      </c>
      <c r="P44" s="102">
        <f t="shared" si="3"/>
        <v>110.7</v>
      </c>
      <c r="Q44" s="102">
        <f t="shared" si="4"/>
        <v>1065</v>
      </c>
      <c r="R44" s="104"/>
      <c r="S44" s="104"/>
      <c r="T44" s="104"/>
      <c r="U44" s="104"/>
      <c r="V44" s="104"/>
      <c r="W44" s="104"/>
      <c r="X44" s="104"/>
      <c r="Y44" s="104"/>
      <c r="Z44" s="104"/>
      <c r="AA44" s="104"/>
      <c r="AB44" s="104"/>
      <c r="AC44" s="104"/>
      <c r="AD44" s="104"/>
      <c r="AE44" s="104"/>
      <c r="AF44" s="104"/>
      <c r="AG44" s="104"/>
    </row>
    <row r="45" spans="1:33">
      <c r="A45" s="102">
        <v>2014</v>
      </c>
      <c r="B45" s="128">
        <v>17</v>
      </c>
      <c r="C45" s="128">
        <v>33.5</v>
      </c>
      <c r="D45" s="128">
        <v>97</v>
      </c>
      <c r="E45" s="128">
        <v>43</v>
      </c>
      <c r="F45" s="128">
        <v>160.5</v>
      </c>
      <c r="G45" s="128">
        <v>188</v>
      </c>
      <c r="H45" s="128">
        <v>469</v>
      </c>
      <c r="I45" s="128">
        <v>165.5</v>
      </c>
      <c r="J45" s="128">
        <v>239</v>
      </c>
      <c r="K45" s="128">
        <v>108.5</v>
      </c>
      <c r="L45" s="128">
        <v>53</v>
      </c>
      <c r="M45" s="128">
        <v>22</v>
      </c>
      <c r="N45" s="102">
        <f t="shared" si="1"/>
        <v>190.5</v>
      </c>
      <c r="O45" s="102">
        <f t="shared" si="2"/>
        <v>1222</v>
      </c>
      <c r="P45" s="102">
        <f t="shared" si="3"/>
        <v>183.5</v>
      </c>
      <c r="Q45" s="102">
        <f t="shared" si="4"/>
        <v>1596</v>
      </c>
    </row>
    <row r="46" spans="1:33">
      <c r="A46" s="102">
        <v>2015</v>
      </c>
      <c r="B46" s="128">
        <v>39</v>
      </c>
      <c r="C46" s="128">
        <v>17.5</v>
      </c>
      <c r="D46" s="128">
        <v>36.5</v>
      </c>
      <c r="E46" s="128">
        <v>92</v>
      </c>
      <c r="F46" s="128">
        <v>162.5</v>
      </c>
      <c r="G46" s="128">
        <v>399.5</v>
      </c>
      <c r="H46" s="128">
        <v>166</v>
      </c>
      <c r="I46" s="128">
        <v>330.5</v>
      </c>
      <c r="J46" s="128">
        <v>168</v>
      </c>
      <c r="K46" s="128">
        <v>125</v>
      </c>
      <c r="L46" s="128">
        <v>15.5</v>
      </c>
      <c r="M46" s="128">
        <v>33</v>
      </c>
      <c r="N46" s="102">
        <f t="shared" si="1"/>
        <v>185</v>
      </c>
      <c r="O46" s="102">
        <f t="shared" si="2"/>
        <v>1226.5</v>
      </c>
      <c r="P46" s="102">
        <f t="shared" si="3"/>
        <v>173.5</v>
      </c>
      <c r="Q46" s="102">
        <f t="shared" si="4"/>
        <v>1585</v>
      </c>
    </row>
    <row r="47" spans="1:33">
      <c r="A47" s="102">
        <v>2016</v>
      </c>
      <c r="B47" s="128">
        <v>29.5</v>
      </c>
      <c r="C47" s="128">
        <v>11.5</v>
      </c>
      <c r="D47" s="128">
        <v>47</v>
      </c>
      <c r="E47" s="128">
        <v>134</v>
      </c>
      <c r="F47" s="128">
        <v>64.5</v>
      </c>
      <c r="G47" s="128">
        <v>541</v>
      </c>
      <c r="H47" s="128">
        <v>151.5</v>
      </c>
      <c r="I47" s="128">
        <v>128</v>
      </c>
      <c r="J47" s="128">
        <v>50</v>
      </c>
      <c r="K47" s="128">
        <v>90</v>
      </c>
      <c r="L47" s="128">
        <v>62</v>
      </c>
      <c r="M47" s="128">
        <v>32</v>
      </c>
      <c r="N47" s="102">
        <f>SUM(B47:E47)</f>
        <v>222</v>
      </c>
      <c r="O47" s="102">
        <f>SUM(F47:J47)</f>
        <v>935</v>
      </c>
      <c r="P47" s="102">
        <f>SUM(K47:M47)</f>
        <v>184</v>
      </c>
      <c r="Q47" s="102">
        <f>SUM(B47:M47)</f>
        <v>1341</v>
      </c>
      <c r="R47" s="108">
        <f t="shared" ref="R47:AG47" si="5">100*(B47-B4)/B4</f>
        <v>26.325448613376825</v>
      </c>
      <c r="S47" s="108">
        <f t="shared" si="5"/>
        <v>-46.71814671814672</v>
      </c>
      <c r="T47" s="108">
        <f t="shared" si="5"/>
        <v>47.964920170901728</v>
      </c>
      <c r="U47" s="108">
        <f t="shared" si="5"/>
        <v>61.163769651499145</v>
      </c>
      <c r="V47" s="108">
        <f t="shared" si="5"/>
        <v>-67.213313161875945</v>
      </c>
      <c r="W47" s="108">
        <f t="shared" si="5"/>
        <v>88.583095411991252</v>
      </c>
      <c r="X47" s="108">
        <f t="shared" si="5"/>
        <v>-40.343705759368454</v>
      </c>
      <c r="Y47" s="108">
        <f t="shared" si="5"/>
        <v>-32.071466477976287</v>
      </c>
      <c r="Z47" s="108">
        <f t="shared" si="5"/>
        <v>-64.640511870685287</v>
      </c>
      <c r="AA47" s="108">
        <f t="shared" si="5"/>
        <v>-15.411640969409458</v>
      </c>
      <c r="AB47" s="108">
        <f t="shared" si="5"/>
        <v>56.669273810240028</v>
      </c>
      <c r="AC47" s="108">
        <f t="shared" si="5"/>
        <v>52.39823109196049</v>
      </c>
      <c r="AD47" s="108">
        <f t="shared" si="5"/>
        <v>38.884337528859731</v>
      </c>
      <c r="AE47" s="108">
        <f t="shared" si="5"/>
        <v>-12.403581482291127</v>
      </c>
      <c r="AF47" s="108">
        <f t="shared" si="5"/>
        <v>10.200065595277144</v>
      </c>
      <c r="AG47" s="108">
        <f t="shared" si="5"/>
        <v>-3.8164653806219011</v>
      </c>
    </row>
  </sheetData>
  <mergeCells count="6">
    <mergeCell ref="A1:A3"/>
    <mergeCell ref="B2:M2"/>
    <mergeCell ref="B1:Q1"/>
    <mergeCell ref="R1:AG1"/>
    <mergeCell ref="N2:Q2"/>
    <mergeCell ref="R2:AG2"/>
  </mergeCells>
  <phoneticPr fontId="2" type="noConversion"/>
  <pageMargins left="0.75" right="0.75" top="1" bottom="1" header="0.5" footer="0.5"/>
  <headerFooter alignWithMargins="0"/>
</worksheet>
</file>

<file path=xl/worksheets/sheet69.xml><?xml version="1.0" encoding="utf-8"?>
<worksheet xmlns="http://schemas.openxmlformats.org/spreadsheetml/2006/main" xmlns:r="http://schemas.openxmlformats.org/officeDocument/2006/relationships">
  <sheetPr codeName="Sheet69"/>
  <dimension ref="A1:AG37"/>
  <sheetViews>
    <sheetView zoomScale="85" zoomScaleNormal="85" workbookViewId="0">
      <pane ySplit="5" topLeftCell="A6" activePane="bottomLeft" state="frozen"/>
      <selection pane="bottomLeft" activeCell="R37" sqref="R37"/>
    </sheetView>
  </sheetViews>
  <sheetFormatPr defaultRowHeight="12"/>
  <cols>
    <col min="1" max="33" width="7.125" style="102" customWidth="1"/>
    <col min="34" max="16384" width="9" style="102"/>
  </cols>
  <sheetData>
    <row r="1" spans="1:33" s="118" customFormat="1" ht="14.25" customHeight="1">
      <c r="A1" s="176" t="s">
        <v>53</v>
      </c>
      <c r="B1" s="176" t="s">
        <v>171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2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116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32</v>
      </c>
      <c r="O2" s="176"/>
      <c r="P2" s="176"/>
      <c r="Q2" s="176"/>
      <c r="R2" s="176" t="s">
        <v>38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 ht="24">
      <c r="A3" s="176"/>
      <c r="B3" s="125" t="s">
        <v>149</v>
      </c>
      <c r="C3" s="125" t="s">
        <v>150</v>
      </c>
      <c r="D3" s="125" t="s">
        <v>9</v>
      </c>
      <c r="E3" s="125" t="s">
        <v>10</v>
      </c>
      <c r="F3" s="125" t="s">
        <v>11</v>
      </c>
      <c r="G3" s="125" t="s">
        <v>12</v>
      </c>
      <c r="H3" s="125" t="s">
        <v>13</v>
      </c>
      <c r="I3" s="125" t="s">
        <v>14</v>
      </c>
      <c r="J3" s="125" t="s">
        <v>15</v>
      </c>
      <c r="K3" s="125" t="s">
        <v>16</v>
      </c>
      <c r="L3" s="125" t="s">
        <v>17</v>
      </c>
      <c r="M3" s="125" t="s">
        <v>18</v>
      </c>
      <c r="N3" s="125" t="s">
        <v>145</v>
      </c>
      <c r="O3" s="125" t="s">
        <v>146</v>
      </c>
      <c r="P3" s="125" t="s">
        <v>147</v>
      </c>
      <c r="Q3" s="125" t="s">
        <v>148</v>
      </c>
      <c r="R3" s="125" t="s">
        <v>149</v>
      </c>
      <c r="S3" s="125" t="s">
        <v>150</v>
      </c>
      <c r="T3" s="125" t="s">
        <v>151</v>
      </c>
      <c r="U3" s="125" t="s">
        <v>152</v>
      </c>
      <c r="V3" s="125" t="s">
        <v>153</v>
      </c>
      <c r="W3" s="125" t="s">
        <v>154</v>
      </c>
      <c r="X3" s="125" t="s">
        <v>25</v>
      </c>
      <c r="Y3" s="125" t="s">
        <v>26</v>
      </c>
      <c r="Z3" s="125" t="s">
        <v>27</v>
      </c>
      <c r="AA3" s="125" t="s">
        <v>155</v>
      </c>
      <c r="AB3" s="125" t="s">
        <v>156</v>
      </c>
      <c r="AC3" s="125" t="s">
        <v>157</v>
      </c>
      <c r="AD3" s="125" t="s">
        <v>132</v>
      </c>
      <c r="AE3" s="125" t="s">
        <v>42</v>
      </c>
      <c r="AF3" s="125" t="s">
        <v>91</v>
      </c>
      <c r="AG3" s="125" t="s">
        <v>66</v>
      </c>
    </row>
    <row r="4" spans="1:33" s="118" customFormat="1">
      <c r="A4" s="150" t="s">
        <v>261</v>
      </c>
      <c r="B4" s="150">
        <f t="shared" ref="B4:Q4" si="0">AVERAGE(B5:B36)</f>
        <v>23.606250000000003</v>
      </c>
      <c r="C4" s="150">
        <f t="shared" si="0"/>
        <v>21.540625000000006</v>
      </c>
      <c r="D4" s="150">
        <f t="shared" si="0"/>
        <v>36.078125</v>
      </c>
      <c r="E4" s="150">
        <f t="shared" si="0"/>
        <v>72.753124999999997</v>
      </c>
      <c r="F4" s="150">
        <f t="shared" si="0"/>
        <v>136.74374999999998</v>
      </c>
      <c r="G4" s="150">
        <f t="shared" si="0"/>
        <v>170.140625</v>
      </c>
      <c r="H4" s="150">
        <f t="shared" si="0"/>
        <v>154.70624999999998</v>
      </c>
      <c r="I4" s="150">
        <f t="shared" si="0"/>
        <v>130.89375000000001</v>
      </c>
      <c r="J4" s="150">
        <f t="shared" si="0"/>
        <v>90.296875000000028</v>
      </c>
      <c r="K4" s="150">
        <f t="shared" si="0"/>
        <v>83.562500000000014</v>
      </c>
      <c r="L4" s="150">
        <f t="shared" si="0"/>
        <v>34.081249999999997</v>
      </c>
      <c r="M4" s="150">
        <f t="shared" si="0"/>
        <v>22.018750000000004</v>
      </c>
      <c r="N4" s="150">
        <f t="shared" si="0"/>
        <v>153.97812500000001</v>
      </c>
      <c r="O4" s="150">
        <f t="shared" si="0"/>
        <v>682.78125000000011</v>
      </c>
      <c r="P4" s="150">
        <f t="shared" si="0"/>
        <v>139.66249999999997</v>
      </c>
      <c r="Q4" s="150">
        <f t="shared" si="0"/>
        <v>976.42187500000011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1984</v>
      </c>
      <c r="B5" s="102">
        <v>10.9</v>
      </c>
      <c r="C5" s="102">
        <v>19.8</v>
      </c>
      <c r="D5" s="102">
        <v>20.399999999999999</v>
      </c>
      <c r="E5" s="102">
        <v>68.7</v>
      </c>
      <c r="F5" s="102">
        <v>223.7</v>
      </c>
      <c r="G5" s="102">
        <v>38.6</v>
      </c>
      <c r="H5" s="102">
        <v>135</v>
      </c>
      <c r="I5" s="102">
        <v>249.3</v>
      </c>
      <c r="J5" s="102">
        <v>227.5</v>
      </c>
      <c r="K5" s="102">
        <v>65.8</v>
      </c>
      <c r="L5" s="102">
        <v>11.7</v>
      </c>
      <c r="M5" s="102">
        <v>24.7</v>
      </c>
      <c r="N5" s="102">
        <f>SUM(B5:E5)</f>
        <v>119.80000000000001</v>
      </c>
      <c r="O5" s="102">
        <f>SUM(F5:J5)</f>
        <v>874.1</v>
      </c>
      <c r="P5" s="102">
        <f>SUM(K5:M5)</f>
        <v>102.2</v>
      </c>
      <c r="Q5" s="102">
        <f>SUM(B5:M5)</f>
        <v>1096.1000000000001</v>
      </c>
    </row>
    <row r="6" spans="1:33">
      <c r="A6" s="102">
        <v>1985</v>
      </c>
      <c r="B6" s="102">
        <v>11.3</v>
      </c>
      <c r="C6" s="102">
        <v>11.1</v>
      </c>
      <c r="D6" s="102">
        <v>47.6</v>
      </c>
      <c r="E6" s="102">
        <v>125</v>
      </c>
      <c r="F6" s="102">
        <v>214.8</v>
      </c>
      <c r="G6" s="102">
        <v>197.9</v>
      </c>
      <c r="H6" s="102">
        <v>58.1</v>
      </c>
      <c r="I6" s="102">
        <v>184.7</v>
      </c>
      <c r="J6" s="102">
        <v>48.8</v>
      </c>
      <c r="K6" s="102">
        <v>38.799999999999997</v>
      </c>
      <c r="L6" s="102">
        <v>29.4</v>
      </c>
      <c r="M6" s="102">
        <v>25.5</v>
      </c>
      <c r="N6" s="102">
        <f t="shared" ref="N6:N36" si="1">SUM(B6:E6)</f>
        <v>195</v>
      </c>
      <c r="O6" s="102">
        <f t="shared" ref="O6:O36" si="2">SUM(F6:J6)</f>
        <v>704.3</v>
      </c>
      <c r="P6" s="102">
        <f t="shared" ref="P6:P36" si="3">SUM(K6:M6)</f>
        <v>93.699999999999989</v>
      </c>
      <c r="Q6" s="102">
        <f t="shared" ref="Q6:Q36" si="4">SUM(B6:M6)</f>
        <v>992.99999999999989</v>
      </c>
    </row>
    <row r="7" spans="1:33">
      <c r="A7" s="102">
        <v>1986</v>
      </c>
      <c r="B7" s="102">
        <v>14.5</v>
      </c>
      <c r="C7" s="102">
        <v>18.3</v>
      </c>
      <c r="D7" s="102">
        <v>33.5</v>
      </c>
      <c r="E7" s="102">
        <v>66.8</v>
      </c>
      <c r="F7" s="102">
        <v>88.6</v>
      </c>
      <c r="G7" s="102">
        <v>165.4</v>
      </c>
      <c r="H7" s="102">
        <v>180.3</v>
      </c>
      <c r="I7" s="102">
        <v>110.7</v>
      </c>
      <c r="J7" s="102">
        <v>53.4</v>
      </c>
      <c r="K7" s="102">
        <v>55.1</v>
      </c>
      <c r="L7" s="102">
        <v>44.8</v>
      </c>
      <c r="M7" s="102">
        <v>2.5</v>
      </c>
      <c r="N7" s="102">
        <f t="shared" si="1"/>
        <v>133.1</v>
      </c>
      <c r="O7" s="102">
        <f t="shared" si="2"/>
        <v>598.4</v>
      </c>
      <c r="P7" s="102">
        <f t="shared" si="3"/>
        <v>102.4</v>
      </c>
      <c r="Q7" s="102">
        <f t="shared" si="4"/>
        <v>833.90000000000009</v>
      </c>
    </row>
    <row r="8" spans="1:33">
      <c r="A8" s="102">
        <v>1987</v>
      </c>
      <c r="B8" s="102">
        <v>33.299999999999997</v>
      </c>
      <c r="C8" s="102">
        <v>19.600000000000001</v>
      </c>
      <c r="D8" s="102">
        <v>26.3</v>
      </c>
      <c r="E8" s="102">
        <v>44.4</v>
      </c>
      <c r="F8" s="102">
        <v>165.5</v>
      </c>
      <c r="G8" s="102">
        <v>176.7</v>
      </c>
      <c r="H8" s="102">
        <v>188.4</v>
      </c>
      <c r="I8" s="102">
        <v>113.8</v>
      </c>
      <c r="J8" s="102">
        <v>138</v>
      </c>
      <c r="K8" s="102">
        <v>145.30000000000001</v>
      </c>
      <c r="L8" s="102">
        <v>32.200000000000003</v>
      </c>
      <c r="M8" s="102">
        <v>6</v>
      </c>
      <c r="N8" s="102">
        <f t="shared" si="1"/>
        <v>123.6</v>
      </c>
      <c r="O8" s="102">
        <f t="shared" si="2"/>
        <v>782.4</v>
      </c>
      <c r="P8" s="102">
        <f t="shared" si="3"/>
        <v>183.5</v>
      </c>
      <c r="Q8" s="102">
        <f t="shared" si="4"/>
        <v>1089.5</v>
      </c>
    </row>
    <row r="9" spans="1:33">
      <c r="A9" s="102">
        <v>1988</v>
      </c>
      <c r="B9" s="102">
        <v>19.5</v>
      </c>
      <c r="C9" s="102">
        <v>26.5</v>
      </c>
      <c r="D9" s="102">
        <v>22.7</v>
      </c>
      <c r="E9" s="102">
        <v>66.3</v>
      </c>
      <c r="F9" s="102">
        <v>73.900000000000006</v>
      </c>
      <c r="G9" s="102">
        <v>262.39999999999998</v>
      </c>
      <c r="H9" s="102">
        <v>132.9</v>
      </c>
      <c r="I9" s="102">
        <v>292.5</v>
      </c>
      <c r="J9" s="102">
        <v>162.4</v>
      </c>
      <c r="K9" s="102">
        <v>55.1</v>
      </c>
      <c r="L9" s="102">
        <v>5.7</v>
      </c>
      <c r="M9" s="102">
        <v>15.4</v>
      </c>
      <c r="N9" s="102">
        <f t="shared" si="1"/>
        <v>135</v>
      </c>
      <c r="O9" s="102">
        <f t="shared" si="2"/>
        <v>924.09999999999991</v>
      </c>
      <c r="P9" s="102">
        <f t="shared" si="3"/>
        <v>76.2</v>
      </c>
      <c r="Q9" s="102">
        <f t="shared" si="4"/>
        <v>1135.3</v>
      </c>
    </row>
    <row r="10" spans="1:33">
      <c r="A10" s="102">
        <v>1989</v>
      </c>
      <c r="B10" s="102">
        <v>16.5</v>
      </c>
      <c r="C10" s="102">
        <v>37.5</v>
      </c>
      <c r="D10" s="102">
        <v>42</v>
      </c>
      <c r="E10" s="102">
        <v>94.3</v>
      </c>
      <c r="F10" s="102">
        <v>101.6</v>
      </c>
      <c r="G10" s="102">
        <v>231.9</v>
      </c>
      <c r="H10" s="102">
        <v>125.5</v>
      </c>
      <c r="I10" s="102">
        <v>142.1</v>
      </c>
      <c r="J10" s="102">
        <v>131.30000000000001</v>
      </c>
      <c r="K10" s="102">
        <v>77.5</v>
      </c>
      <c r="L10" s="102">
        <v>22.2</v>
      </c>
      <c r="M10" s="102">
        <v>28.4</v>
      </c>
      <c r="N10" s="102">
        <f t="shared" si="1"/>
        <v>190.3</v>
      </c>
      <c r="O10" s="102">
        <f t="shared" si="2"/>
        <v>732.40000000000009</v>
      </c>
      <c r="P10" s="102">
        <f t="shared" si="3"/>
        <v>128.1</v>
      </c>
      <c r="Q10" s="102">
        <f t="shared" si="4"/>
        <v>1050.8000000000002</v>
      </c>
    </row>
    <row r="11" spans="1:33">
      <c r="A11" s="102">
        <v>1990</v>
      </c>
      <c r="B11" s="102">
        <v>29.2</v>
      </c>
      <c r="C11" s="102">
        <v>19.3</v>
      </c>
      <c r="D11" s="102">
        <v>59</v>
      </c>
      <c r="E11" s="102">
        <v>70.8</v>
      </c>
      <c r="F11" s="102">
        <v>113.3</v>
      </c>
      <c r="G11" s="102">
        <v>103.4</v>
      </c>
      <c r="H11" s="102">
        <v>41.9</v>
      </c>
      <c r="I11" s="102">
        <v>24.2</v>
      </c>
      <c r="J11" s="102">
        <v>142</v>
      </c>
      <c r="K11" s="102">
        <v>105.8</v>
      </c>
      <c r="L11" s="102">
        <v>41.5</v>
      </c>
      <c r="M11" s="102">
        <v>12.9</v>
      </c>
      <c r="N11" s="102">
        <f t="shared" si="1"/>
        <v>178.3</v>
      </c>
      <c r="O11" s="102">
        <f t="shared" si="2"/>
        <v>424.79999999999995</v>
      </c>
      <c r="P11" s="102">
        <f t="shared" si="3"/>
        <v>160.20000000000002</v>
      </c>
      <c r="Q11" s="102">
        <f t="shared" si="4"/>
        <v>763.29999999999984</v>
      </c>
    </row>
    <row r="12" spans="1:33">
      <c r="A12" s="102">
        <v>1991</v>
      </c>
      <c r="B12" s="102">
        <v>33.6</v>
      </c>
      <c r="C12" s="102">
        <v>20.3</v>
      </c>
      <c r="D12" s="102">
        <v>24</v>
      </c>
      <c r="E12" s="102">
        <v>58.9</v>
      </c>
      <c r="F12" s="102">
        <v>38.200000000000003</v>
      </c>
      <c r="G12" s="102">
        <v>237.6</v>
      </c>
      <c r="H12" s="102">
        <v>424.9</v>
      </c>
      <c r="I12" s="102">
        <v>116.1</v>
      </c>
      <c r="J12" s="102">
        <v>50.6</v>
      </c>
      <c r="K12" s="102">
        <v>67</v>
      </c>
      <c r="L12" s="102">
        <v>32.700000000000003</v>
      </c>
      <c r="M12" s="102">
        <v>35.700000000000003</v>
      </c>
      <c r="N12" s="102">
        <f t="shared" si="1"/>
        <v>136.80000000000001</v>
      </c>
      <c r="O12" s="102">
        <f t="shared" si="2"/>
        <v>867.40000000000009</v>
      </c>
      <c r="P12" s="102">
        <f t="shared" si="3"/>
        <v>135.4</v>
      </c>
      <c r="Q12" s="102">
        <f t="shared" si="4"/>
        <v>1139.6000000000001</v>
      </c>
    </row>
    <row r="13" spans="1:33">
      <c r="A13" s="102">
        <v>1992</v>
      </c>
      <c r="B13" s="102">
        <v>32.299999999999997</v>
      </c>
      <c r="C13" s="102">
        <v>39.799999999999997</v>
      </c>
      <c r="D13" s="102">
        <v>35.200000000000003</v>
      </c>
      <c r="E13" s="102">
        <v>93.1</v>
      </c>
      <c r="F13" s="102">
        <v>231.8</v>
      </c>
      <c r="G13" s="102">
        <v>186.6</v>
      </c>
      <c r="H13" s="102">
        <v>85.8</v>
      </c>
      <c r="I13" s="102">
        <v>4.0999999999999996</v>
      </c>
      <c r="J13" s="102">
        <v>22.2</v>
      </c>
      <c r="K13" s="102">
        <v>125.8</v>
      </c>
      <c r="L13" s="102">
        <v>8.4</v>
      </c>
      <c r="M13" s="102">
        <v>35.200000000000003</v>
      </c>
      <c r="N13" s="102">
        <f t="shared" si="1"/>
        <v>200.39999999999998</v>
      </c>
      <c r="O13" s="102">
        <f t="shared" si="2"/>
        <v>530.5</v>
      </c>
      <c r="P13" s="102">
        <f t="shared" si="3"/>
        <v>169.39999999999998</v>
      </c>
      <c r="Q13" s="102">
        <f t="shared" si="4"/>
        <v>900.3</v>
      </c>
    </row>
    <row r="14" spans="1:33">
      <c r="A14" s="102">
        <v>1993</v>
      </c>
      <c r="B14" s="102">
        <v>31.6</v>
      </c>
      <c r="C14" s="102">
        <v>39.299999999999997</v>
      </c>
      <c r="D14" s="102">
        <v>24.5</v>
      </c>
      <c r="E14" s="102">
        <v>37.5</v>
      </c>
      <c r="F14" s="102">
        <v>107.4</v>
      </c>
      <c r="G14" s="102">
        <v>135.30000000000001</v>
      </c>
      <c r="H14" s="102">
        <v>288.3</v>
      </c>
      <c r="I14" s="102">
        <v>154</v>
      </c>
      <c r="J14" s="102">
        <v>85</v>
      </c>
      <c r="K14" s="102">
        <v>93.7</v>
      </c>
      <c r="L14" s="102">
        <v>45.6</v>
      </c>
      <c r="M14" s="102">
        <v>14.2</v>
      </c>
      <c r="N14" s="102">
        <f t="shared" si="1"/>
        <v>132.9</v>
      </c>
      <c r="O14" s="102">
        <f t="shared" si="2"/>
        <v>770</v>
      </c>
      <c r="P14" s="102">
        <f t="shared" si="3"/>
        <v>153.5</v>
      </c>
      <c r="Q14" s="102">
        <f t="shared" si="4"/>
        <v>1056.4000000000001</v>
      </c>
    </row>
    <row r="15" spans="1:33">
      <c r="A15" s="102">
        <v>1994</v>
      </c>
      <c r="B15" s="102">
        <v>25.4</v>
      </c>
      <c r="C15" s="102">
        <v>7.6</v>
      </c>
      <c r="D15" s="102">
        <v>83.4</v>
      </c>
      <c r="E15" s="102">
        <v>55.8</v>
      </c>
      <c r="F15" s="102">
        <v>145.1</v>
      </c>
      <c r="G15" s="102">
        <v>201.9</v>
      </c>
      <c r="H15" s="102">
        <v>127</v>
      </c>
      <c r="I15" s="102">
        <v>32</v>
      </c>
      <c r="J15" s="102">
        <v>108.1</v>
      </c>
      <c r="K15" s="102">
        <v>131.6</v>
      </c>
      <c r="L15" s="102">
        <v>45</v>
      </c>
      <c r="M15" s="102">
        <v>31.4</v>
      </c>
      <c r="N15" s="102">
        <f t="shared" si="1"/>
        <v>172.2</v>
      </c>
      <c r="O15" s="102">
        <f t="shared" si="2"/>
        <v>614.1</v>
      </c>
      <c r="P15" s="102">
        <f t="shared" si="3"/>
        <v>208</v>
      </c>
      <c r="Q15" s="102">
        <f t="shared" si="4"/>
        <v>994.3</v>
      </c>
    </row>
    <row r="16" spans="1:33">
      <c r="A16" s="102">
        <v>1995</v>
      </c>
      <c r="B16" s="102">
        <v>34.5</v>
      </c>
      <c r="C16" s="102">
        <v>46.7</v>
      </c>
      <c r="D16" s="102">
        <v>46.9</v>
      </c>
      <c r="E16" s="102">
        <v>37.6</v>
      </c>
      <c r="F16" s="102">
        <v>217.3</v>
      </c>
      <c r="G16" s="102">
        <v>253.8</v>
      </c>
      <c r="H16" s="102">
        <v>70.599999999999994</v>
      </c>
      <c r="I16" s="102">
        <v>194.5</v>
      </c>
      <c r="J16" s="102">
        <v>66.2</v>
      </c>
      <c r="K16" s="102">
        <v>101.4</v>
      </c>
      <c r="L16" s="102">
        <v>38.6</v>
      </c>
      <c r="M16" s="102">
        <v>13.2</v>
      </c>
      <c r="N16" s="102">
        <f t="shared" si="1"/>
        <v>165.7</v>
      </c>
      <c r="O16" s="102">
        <f t="shared" si="2"/>
        <v>802.40000000000009</v>
      </c>
      <c r="P16" s="102">
        <f t="shared" si="3"/>
        <v>153.19999999999999</v>
      </c>
      <c r="Q16" s="102">
        <f t="shared" si="4"/>
        <v>1121.3</v>
      </c>
    </row>
    <row r="17" spans="1:31">
      <c r="A17" s="102">
        <v>1996</v>
      </c>
      <c r="B17" s="102">
        <v>27.9</v>
      </c>
      <c r="C17" s="102">
        <v>3.3</v>
      </c>
      <c r="D17" s="102">
        <v>46</v>
      </c>
      <c r="E17" s="102">
        <v>50</v>
      </c>
      <c r="F17" s="102">
        <v>210.6</v>
      </c>
      <c r="G17" s="102">
        <v>225.1</v>
      </c>
      <c r="H17" s="102">
        <v>234.1</v>
      </c>
      <c r="I17" s="102">
        <v>115.2</v>
      </c>
      <c r="J17" s="102">
        <v>131.1</v>
      </c>
      <c r="K17" s="102">
        <v>34.1</v>
      </c>
      <c r="L17" s="102">
        <v>84.6</v>
      </c>
      <c r="M17" s="102">
        <v>11.8</v>
      </c>
      <c r="N17" s="102">
        <f t="shared" si="1"/>
        <v>127.2</v>
      </c>
      <c r="O17" s="102">
        <f t="shared" si="2"/>
        <v>916.1</v>
      </c>
      <c r="P17" s="102">
        <f t="shared" si="3"/>
        <v>130.5</v>
      </c>
      <c r="Q17" s="102">
        <f t="shared" si="4"/>
        <v>1173.7999999999997</v>
      </c>
    </row>
    <row r="18" spans="1:31">
      <c r="A18" s="102">
        <v>1997</v>
      </c>
      <c r="B18" s="102">
        <v>37.700000000000003</v>
      </c>
      <c r="C18" s="102">
        <v>23.2</v>
      </c>
      <c r="D18" s="102">
        <v>23.2</v>
      </c>
      <c r="E18" s="102">
        <v>105.8</v>
      </c>
      <c r="F18" s="102">
        <v>107.4</v>
      </c>
      <c r="G18" s="102">
        <v>137.1</v>
      </c>
      <c r="H18" s="102">
        <v>135.9</v>
      </c>
      <c r="I18" s="102">
        <v>72.099999999999994</v>
      </c>
      <c r="J18" s="102">
        <v>123.7</v>
      </c>
      <c r="K18" s="102">
        <v>74.099999999999994</v>
      </c>
      <c r="L18" s="102">
        <v>7.5</v>
      </c>
      <c r="M18" s="102">
        <v>21.9</v>
      </c>
      <c r="N18" s="102">
        <f t="shared" si="1"/>
        <v>189.9</v>
      </c>
      <c r="O18" s="102">
        <f t="shared" si="2"/>
        <v>576.20000000000005</v>
      </c>
      <c r="P18" s="102">
        <f t="shared" si="3"/>
        <v>103.5</v>
      </c>
      <c r="Q18" s="102">
        <f t="shared" si="4"/>
        <v>869.6</v>
      </c>
    </row>
    <row r="19" spans="1:31">
      <c r="A19" s="102">
        <v>1998</v>
      </c>
      <c r="B19" s="102">
        <v>13</v>
      </c>
      <c r="C19" s="102">
        <v>19.600000000000001</v>
      </c>
      <c r="D19" s="102">
        <v>14.6</v>
      </c>
      <c r="E19" s="102">
        <v>77.8</v>
      </c>
      <c r="F19" s="102">
        <v>63.6</v>
      </c>
      <c r="G19" s="102">
        <v>163.4</v>
      </c>
      <c r="H19" s="102">
        <v>232.6</v>
      </c>
      <c r="I19" s="102">
        <v>178.7</v>
      </c>
      <c r="J19" s="102">
        <v>41.5</v>
      </c>
      <c r="K19" s="102">
        <v>48.7</v>
      </c>
      <c r="L19" s="102">
        <v>37.5</v>
      </c>
      <c r="M19" s="102">
        <v>23.4</v>
      </c>
      <c r="N19" s="102">
        <f t="shared" si="1"/>
        <v>125</v>
      </c>
      <c r="O19" s="102">
        <f t="shared" si="2"/>
        <v>679.8</v>
      </c>
      <c r="P19" s="102">
        <f t="shared" si="3"/>
        <v>109.6</v>
      </c>
      <c r="Q19" s="102">
        <f t="shared" si="4"/>
        <v>914.4</v>
      </c>
    </row>
    <row r="20" spans="1:31">
      <c r="A20" s="102">
        <v>1999</v>
      </c>
      <c r="B20" s="102">
        <v>45.5</v>
      </c>
      <c r="C20" s="102">
        <v>8.8000000000000007</v>
      </c>
      <c r="D20" s="102">
        <v>24.9</v>
      </c>
      <c r="E20" s="102">
        <v>118.4</v>
      </c>
      <c r="F20" s="102">
        <v>175.6</v>
      </c>
      <c r="G20" s="102">
        <v>181.7</v>
      </c>
      <c r="H20" s="102">
        <v>265.89999999999998</v>
      </c>
      <c r="I20" s="102">
        <v>218.2</v>
      </c>
      <c r="J20" s="102">
        <v>70.3</v>
      </c>
      <c r="K20" s="102">
        <v>86.5</v>
      </c>
      <c r="L20" s="102">
        <v>48.4</v>
      </c>
      <c r="M20" s="102">
        <v>9.1</v>
      </c>
      <c r="N20" s="102">
        <f t="shared" si="1"/>
        <v>197.6</v>
      </c>
      <c r="O20" s="102">
        <f t="shared" si="2"/>
        <v>911.69999999999982</v>
      </c>
      <c r="P20" s="102">
        <f t="shared" si="3"/>
        <v>144</v>
      </c>
      <c r="Q20" s="102">
        <f t="shared" si="4"/>
        <v>1253.3</v>
      </c>
    </row>
    <row r="21" spans="1:31">
      <c r="A21" s="102">
        <v>2000</v>
      </c>
      <c r="B21" s="102">
        <v>29.8</v>
      </c>
      <c r="C21" s="102">
        <v>20.5</v>
      </c>
      <c r="D21" s="102">
        <v>32.799999999999997</v>
      </c>
      <c r="E21" s="102">
        <v>112.1</v>
      </c>
      <c r="F21" s="102">
        <v>74.599999999999994</v>
      </c>
      <c r="G21" s="102">
        <v>271.2</v>
      </c>
      <c r="H21" s="102">
        <v>106.4</v>
      </c>
      <c r="I21" s="102">
        <v>162.6</v>
      </c>
      <c r="J21" s="102">
        <v>75.3</v>
      </c>
      <c r="K21" s="102">
        <v>100.4</v>
      </c>
      <c r="L21" s="102">
        <v>37.5</v>
      </c>
      <c r="M21" s="102">
        <v>28.3</v>
      </c>
      <c r="N21" s="102">
        <f t="shared" si="1"/>
        <v>195.2</v>
      </c>
      <c r="O21" s="102">
        <f t="shared" si="2"/>
        <v>690.09999999999991</v>
      </c>
      <c r="P21" s="102">
        <f t="shared" si="3"/>
        <v>166.20000000000002</v>
      </c>
      <c r="Q21" s="102">
        <f t="shared" si="4"/>
        <v>1051.5</v>
      </c>
    </row>
    <row r="22" spans="1:31">
      <c r="A22" s="102">
        <v>2001</v>
      </c>
      <c r="B22" s="102">
        <v>20.5</v>
      </c>
      <c r="C22" s="102">
        <v>27.3</v>
      </c>
      <c r="D22" s="102">
        <v>50.3</v>
      </c>
      <c r="E22" s="102">
        <v>82.4</v>
      </c>
      <c r="F22" s="102">
        <v>156.1</v>
      </c>
      <c r="G22" s="102">
        <v>161.69999999999999</v>
      </c>
      <c r="H22" s="102">
        <v>264.2</v>
      </c>
      <c r="I22" s="102">
        <v>62.3</v>
      </c>
      <c r="J22" s="102">
        <v>118</v>
      </c>
      <c r="K22" s="102">
        <v>165.1</v>
      </c>
      <c r="L22" s="102">
        <v>19.2</v>
      </c>
      <c r="M22" s="102">
        <v>28</v>
      </c>
      <c r="N22" s="102">
        <f t="shared" si="1"/>
        <v>180.5</v>
      </c>
      <c r="O22" s="102">
        <f t="shared" si="2"/>
        <v>762.3</v>
      </c>
      <c r="P22" s="102">
        <f t="shared" si="3"/>
        <v>212.29999999999998</v>
      </c>
      <c r="Q22" s="102">
        <f t="shared" si="4"/>
        <v>1155.0999999999999</v>
      </c>
    </row>
    <row r="23" spans="1:31">
      <c r="A23" s="102">
        <v>2002</v>
      </c>
      <c r="B23" s="102">
        <v>23.6</v>
      </c>
      <c r="C23" s="102">
        <v>29</v>
      </c>
      <c r="D23" s="102">
        <v>37.9</v>
      </c>
      <c r="E23" s="102">
        <v>68.7</v>
      </c>
      <c r="F23" s="102">
        <v>167.3</v>
      </c>
      <c r="G23" s="102">
        <v>200.9</v>
      </c>
      <c r="H23" s="102">
        <v>99.9</v>
      </c>
      <c r="I23" s="102">
        <v>220.7</v>
      </c>
      <c r="J23" s="102">
        <v>39.1</v>
      </c>
      <c r="K23" s="102">
        <v>59.5</v>
      </c>
      <c r="L23" s="102">
        <v>26.4</v>
      </c>
      <c r="M23" s="102">
        <v>28.8</v>
      </c>
      <c r="N23" s="102">
        <f t="shared" si="1"/>
        <v>159.19999999999999</v>
      </c>
      <c r="O23" s="102">
        <f t="shared" si="2"/>
        <v>727.9</v>
      </c>
      <c r="P23" s="102">
        <f t="shared" si="3"/>
        <v>114.7</v>
      </c>
      <c r="Q23" s="102">
        <f t="shared" si="4"/>
        <v>1001.8</v>
      </c>
    </row>
    <row r="24" spans="1:31">
      <c r="A24" s="102">
        <v>2003</v>
      </c>
      <c r="B24" s="102">
        <v>30.3</v>
      </c>
      <c r="C24" s="102">
        <v>6</v>
      </c>
      <c r="D24" s="102">
        <v>19.8</v>
      </c>
      <c r="E24" s="102">
        <v>41.4</v>
      </c>
      <c r="F24" s="102">
        <v>104.7</v>
      </c>
      <c r="G24" s="102">
        <v>111.8</v>
      </c>
      <c r="H24" s="102">
        <v>155.5</v>
      </c>
      <c r="I24" s="102">
        <v>23.7</v>
      </c>
      <c r="J24" s="102">
        <v>75</v>
      </c>
      <c r="K24" s="102">
        <v>55.8</v>
      </c>
      <c r="L24" s="102">
        <v>23.5</v>
      </c>
      <c r="M24" s="102">
        <v>56.7</v>
      </c>
      <c r="N24" s="102">
        <f t="shared" si="1"/>
        <v>97.5</v>
      </c>
      <c r="O24" s="102">
        <f t="shared" si="2"/>
        <v>470.7</v>
      </c>
      <c r="P24" s="102">
        <f t="shared" si="3"/>
        <v>136</v>
      </c>
      <c r="Q24" s="102">
        <f t="shared" si="4"/>
        <v>704.2</v>
      </c>
    </row>
    <row r="25" spans="1:31">
      <c r="A25" s="102">
        <v>2004</v>
      </c>
      <c r="B25" s="102">
        <v>31.5</v>
      </c>
      <c r="C25" s="102">
        <v>34</v>
      </c>
      <c r="D25" s="102">
        <v>32.700000000000003</v>
      </c>
      <c r="E25" s="102">
        <v>115.4</v>
      </c>
      <c r="F25" s="102">
        <v>117.1</v>
      </c>
      <c r="G25" s="102">
        <v>118.9</v>
      </c>
      <c r="H25" s="102">
        <v>177.2</v>
      </c>
      <c r="I25" s="102">
        <v>161.80000000000001</v>
      </c>
      <c r="J25" s="102">
        <v>78.7</v>
      </c>
      <c r="K25" s="102">
        <v>38.299999999999997</v>
      </c>
      <c r="L25" s="102">
        <v>66.900000000000006</v>
      </c>
      <c r="M25" s="102">
        <v>12.3</v>
      </c>
      <c r="N25" s="102">
        <f t="shared" si="1"/>
        <v>213.60000000000002</v>
      </c>
      <c r="O25" s="102">
        <f t="shared" si="2"/>
        <v>653.70000000000005</v>
      </c>
      <c r="P25" s="102">
        <f t="shared" si="3"/>
        <v>117.5</v>
      </c>
      <c r="Q25" s="102">
        <f t="shared" si="4"/>
        <v>984.79999999999984</v>
      </c>
    </row>
    <row r="26" spans="1:31">
      <c r="A26" s="102">
        <v>2005</v>
      </c>
      <c r="B26" s="102">
        <v>24.7</v>
      </c>
      <c r="C26" s="102">
        <v>10.8</v>
      </c>
      <c r="D26" s="102">
        <v>33.6</v>
      </c>
      <c r="E26" s="102">
        <v>62.4</v>
      </c>
      <c r="F26" s="102">
        <v>189.1</v>
      </c>
      <c r="G26" s="102">
        <v>78.2</v>
      </c>
      <c r="H26" s="102">
        <v>68.599999999999994</v>
      </c>
      <c r="I26" s="102">
        <v>63.1</v>
      </c>
      <c r="J26" s="102">
        <v>81.7</v>
      </c>
      <c r="K26" s="102">
        <v>87.9</v>
      </c>
      <c r="L26" s="102">
        <v>31.8</v>
      </c>
      <c r="M26" s="102">
        <v>28.8</v>
      </c>
      <c r="N26" s="102">
        <f t="shared" si="1"/>
        <v>131.5</v>
      </c>
      <c r="O26" s="102">
        <f t="shared" si="2"/>
        <v>480.7</v>
      </c>
      <c r="P26" s="102">
        <f t="shared" si="3"/>
        <v>148.5</v>
      </c>
      <c r="Q26" s="102">
        <f t="shared" si="4"/>
        <v>760.69999999999993</v>
      </c>
    </row>
    <row r="27" spans="1:31">
      <c r="A27" s="102">
        <v>2006</v>
      </c>
      <c r="B27" s="102">
        <v>11.8</v>
      </c>
      <c r="C27" s="102">
        <v>39</v>
      </c>
      <c r="D27" s="102">
        <v>34.6</v>
      </c>
      <c r="E27" s="102">
        <v>47.1</v>
      </c>
      <c r="F27" s="102">
        <v>173.2</v>
      </c>
      <c r="G27" s="102">
        <v>78.099999999999994</v>
      </c>
      <c r="H27" s="102">
        <v>54.5</v>
      </c>
      <c r="I27" s="102">
        <v>31.4</v>
      </c>
      <c r="J27" s="102">
        <v>78</v>
      </c>
      <c r="K27" s="102">
        <v>102.4</v>
      </c>
      <c r="L27" s="102">
        <v>50.9</v>
      </c>
      <c r="M27" s="102">
        <v>28.4</v>
      </c>
      <c r="N27" s="102">
        <f t="shared" si="1"/>
        <v>132.5</v>
      </c>
      <c r="O27" s="102">
        <f t="shared" si="2"/>
        <v>415.19999999999993</v>
      </c>
      <c r="P27" s="102">
        <f t="shared" si="3"/>
        <v>181.70000000000002</v>
      </c>
      <c r="Q27" s="102">
        <f t="shared" si="4"/>
        <v>729.39999999999986</v>
      </c>
    </row>
    <row r="28" spans="1:31">
      <c r="A28" s="102">
        <v>2007</v>
      </c>
      <c r="B28" s="102">
        <v>23.1</v>
      </c>
      <c r="C28" s="102">
        <v>7.4</v>
      </c>
      <c r="D28" s="102">
        <v>15.6</v>
      </c>
      <c r="E28" s="102">
        <v>97.3</v>
      </c>
      <c r="F28" s="102">
        <v>88.2</v>
      </c>
      <c r="G28" s="102">
        <v>192.3</v>
      </c>
      <c r="H28" s="102">
        <v>116</v>
      </c>
      <c r="I28" s="102">
        <v>106.8</v>
      </c>
      <c r="J28" s="102">
        <v>134.80000000000001</v>
      </c>
      <c r="K28" s="102">
        <v>92.1</v>
      </c>
      <c r="L28" s="102">
        <v>23.5</v>
      </c>
      <c r="M28" s="102">
        <v>18.899999999999999</v>
      </c>
      <c r="N28" s="102">
        <f t="shared" si="1"/>
        <v>143.4</v>
      </c>
      <c r="O28" s="102">
        <f t="shared" si="2"/>
        <v>638.1</v>
      </c>
      <c r="P28" s="102">
        <f t="shared" si="3"/>
        <v>134.5</v>
      </c>
      <c r="Q28" s="102">
        <f t="shared" si="4"/>
        <v>916</v>
      </c>
    </row>
    <row r="29" spans="1:31">
      <c r="A29" s="102">
        <v>2008</v>
      </c>
      <c r="B29" s="102">
        <v>9.4</v>
      </c>
      <c r="C29" s="102">
        <v>24.1</v>
      </c>
      <c r="D29" s="102">
        <v>31.8</v>
      </c>
      <c r="E29" s="102">
        <v>54</v>
      </c>
      <c r="F29" s="102">
        <v>146.19999999999999</v>
      </c>
      <c r="G29" s="102">
        <v>80.599999999999994</v>
      </c>
      <c r="H29" s="102">
        <v>217.3</v>
      </c>
      <c r="I29" s="102">
        <v>305.60000000000002</v>
      </c>
      <c r="J29" s="102">
        <v>69.8</v>
      </c>
      <c r="K29" s="102">
        <v>159.19999999999999</v>
      </c>
      <c r="L29" s="102">
        <v>93.5</v>
      </c>
      <c r="M29" s="102">
        <v>13.9</v>
      </c>
      <c r="N29" s="102">
        <f t="shared" si="1"/>
        <v>119.3</v>
      </c>
      <c r="O29" s="102">
        <f t="shared" si="2"/>
        <v>819.5</v>
      </c>
      <c r="P29" s="102">
        <f t="shared" si="3"/>
        <v>266.59999999999997</v>
      </c>
      <c r="Q29" s="102">
        <f t="shared" si="4"/>
        <v>1205.4000000000001</v>
      </c>
    </row>
    <row r="30" spans="1:31">
      <c r="A30" s="102">
        <v>2009</v>
      </c>
      <c r="B30" s="102">
        <v>26.1</v>
      </c>
      <c r="C30" s="102">
        <v>26.7</v>
      </c>
      <c r="D30" s="102">
        <v>42</v>
      </c>
      <c r="E30" s="102">
        <v>95.8</v>
      </c>
      <c r="F30" s="102">
        <v>114.8</v>
      </c>
      <c r="G30" s="102">
        <v>145.9</v>
      </c>
      <c r="H30" s="102">
        <v>53</v>
      </c>
      <c r="I30" s="102">
        <v>98.2</v>
      </c>
      <c r="J30" s="102">
        <v>28</v>
      </c>
      <c r="K30" s="102">
        <v>56.3</v>
      </c>
      <c r="L30" s="102">
        <v>7.9</v>
      </c>
      <c r="M30" s="102">
        <v>20.2</v>
      </c>
      <c r="N30" s="102">
        <f t="shared" si="1"/>
        <v>190.6</v>
      </c>
      <c r="O30" s="102">
        <f t="shared" si="2"/>
        <v>439.9</v>
      </c>
      <c r="P30" s="102">
        <f t="shared" si="3"/>
        <v>84.4</v>
      </c>
      <c r="Q30" s="102">
        <f t="shared" si="4"/>
        <v>714.9</v>
      </c>
    </row>
    <row r="31" spans="1:31">
      <c r="A31" s="102">
        <v>2010</v>
      </c>
      <c r="B31" s="102">
        <v>15.7</v>
      </c>
      <c r="C31" s="102">
        <v>4.9000000000000004</v>
      </c>
      <c r="D31" s="102">
        <v>21.3</v>
      </c>
      <c r="E31" s="102">
        <v>77.7</v>
      </c>
      <c r="F31" s="102">
        <v>106.6</v>
      </c>
      <c r="G31" s="102">
        <v>165.2</v>
      </c>
      <c r="H31" s="102">
        <v>196.3</v>
      </c>
      <c r="I31" s="102">
        <v>211.1</v>
      </c>
      <c r="J31" s="102">
        <v>119.8</v>
      </c>
      <c r="K31" s="102">
        <v>130.5</v>
      </c>
      <c r="L31" s="102">
        <v>29.1</v>
      </c>
      <c r="M31" s="102">
        <v>27.7</v>
      </c>
      <c r="N31" s="102">
        <f t="shared" si="1"/>
        <v>119.60000000000001</v>
      </c>
      <c r="O31" s="102">
        <f t="shared" si="2"/>
        <v>798.99999999999989</v>
      </c>
      <c r="P31" s="102">
        <f t="shared" si="3"/>
        <v>187.29999999999998</v>
      </c>
      <c r="Q31" s="102">
        <f t="shared" si="4"/>
        <v>1105.8999999999999</v>
      </c>
    </row>
    <row r="32" spans="1:31">
      <c r="A32" s="102">
        <v>2011</v>
      </c>
      <c r="B32" s="102">
        <v>9.6999999999999993</v>
      </c>
      <c r="C32" s="102">
        <v>8.4</v>
      </c>
      <c r="D32" s="102">
        <v>18.899999999999999</v>
      </c>
      <c r="E32" s="102">
        <v>38.9</v>
      </c>
      <c r="F32" s="102">
        <v>33.700000000000003</v>
      </c>
      <c r="G32" s="102">
        <v>201.3</v>
      </c>
      <c r="H32" s="102">
        <v>80.7</v>
      </c>
      <c r="I32" s="102">
        <v>47.8</v>
      </c>
      <c r="J32" s="102">
        <v>66.3</v>
      </c>
      <c r="K32" s="102">
        <v>92.1</v>
      </c>
      <c r="L32" s="102">
        <v>23.6</v>
      </c>
      <c r="M32" s="102">
        <v>18</v>
      </c>
      <c r="N32" s="102">
        <f t="shared" si="1"/>
        <v>75.900000000000006</v>
      </c>
      <c r="O32" s="102">
        <f t="shared" si="2"/>
        <v>429.8</v>
      </c>
      <c r="P32" s="102">
        <f t="shared" si="3"/>
        <v>133.69999999999999</v>
      </c>
      <c r="Q32" s="102">
        <f t="shared" si="4"/>
        <v>639.40000000000009</v>
      </c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</row>
    <row r="33" spans="1:33">
      <c r="A33" s="102">
        <v>2012</v>
      </c>
      <c r="B33" s="102">
        <v>16.2</v>
      </c>
      <c r="C33" s="102">
        <v>19.5</v>
      </c>
      <c r="D33" s="102">
        <v>23.3</v>
      </c>
      <c r="E33" s="102">
        <v>54.6</v>
      </c>
      <c r="F33" s="102">
        <v>137.9</v>
      </c>
      <c r="G33" s="102">
        <v>131.5</v>
      </c>
      <c r="H33" s="102">
        <v>307.60000000000002</v>
      </c>
      <c r="I33" s="102">
        <v>92</v>
      </c>
      <c r="J33" s="102">
        <v>101.9</v>
      </c>
      <c r="K33" s="102">
        <v>58.8</v>
      </c>
      <c r="L33" s="102">
        <v>31.4</v>
      </c>
      <c r="M33" s="102">
        <v>18.2</v>
      </c>
      <c r="N33" s="102">
        <f t="shared" si="1"/>
        <v>113.6</v>
      </c>
      <c r="O33" s="102">
        <f t="shared" si="2"/>
        <v>770.9</v>
      </c>
      <c r="P33" s="102">
        <f t="shared" si="3"/>
        <v>108.39999999999999</v>
      </c>
      <c r="Q33" s="102">
        <f t="shared" si="4"/>
        <v>992.9</v>
      </c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</row>
    <row r="34" spans="1:33">
      <c r="A34" s="102">
        <v>2013</v>
      </c>
      <c r="B34" s="102">
        <v>13.3</v>
      </c>
      <c r="C34" s="102">
        <v>21</v>
      </c>
      <c r="D34" s="102">
        <v>55.2</v>
      </c>
      <c r="E34" s="102">
        <v>86.6</v>
      </c>
      <c r="F34" s="102">
        <v>207.4</v>
      </c>
      <c r="G34" s="102">
        <v>306.10000000000002</v>
      </c>
      <c r="H34" s="102">
        <v>2.2000000000000002</v>
      </c>
      <c r="I34" s="102">
        <v>159.80000000000001</v>
      </c>
      <c r="J34" s="102">
        <v>77</v>
      </c>
      <c r="K34" s="102">
        <v>69.8</v>
      </c>
      <c r="L34" s="102">
        <v>26.1</v>
      </c>
      <c r="M34" s="102">
        <v>18.100000000000001</v>
      </c>
      <c r="N34" s="102">
        <f t="shared" si="1"/>
        <v>176.1</v>
      </c>
      <c r="O34" s="102">
        <f t="shared" si="2"/>
        <v>752.5</v>
      </c>
      <c r="P34" s="102">
        <f t="shared" si="3"/>
        <v>114</v>
      </c>
      <c r="Q34" s="102">
        <f t="shared" si="4"/>
        <v>1042.5999999999999</v>
      </c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</row>
    <row r="35" spans="1:33">
      <c r="A35" s="102">
        <v>2014</v>
      </c>
      <c r="B35" s="128">
        <v>21</v>
      </c>
      <c r="C35" s="128">
        <v>31.5</v>
      </c>
      <c r="D35" s="128">
        <v>105</v>
      </c>
      <c r="E35" s="128">
        <v>69.5</v>
      </c>
      <c r="F35" s="128">
        <v>99</v>
      </c>
      <c r="G35" s="128">
        <v>100</v>
      </c>
      <c r="H35" s="128">
        <v>212.5</v>
      </c>
      <c r="I35" s="128">
        <v>80</v>
      </c>
      <c r="J35" s="128">
        <v>78.5</v>
      </c>
      <c r="K35" s="128">
        <v>64.5</v>
      </c>
      <c r="L35" s="128">
        <v>52</v>
      </c>
      <c r="M35" s="128">
        <v>21.5</v>
      </c>
      <c r="N35" s="102">
        <f t="shared" si="1"/>
        <v>227</v>
      </c>
      <c r="O35" s="102">
        <f t="shared" si="2"/>
        <v>570</v>
      </c>
      <c r="P35" s="102">
        <f t="shared" si="3"/>
        <v>138</v>
      </c>
      <c r="Q35" s="102">
        <f t="shared" si="4"/>
        <v>935</v>
      </c>
    </row>
    <row r="36" spans="1:33">
      <c r="A36" s="102">
        <v>2015</v>
      </c>
      <c r="B36" s="128">
        <v>32</v>
      </c>
      <c r="C36" s="128">
        <v>18.5</v>
      </c>
      <c r="D36" s="128">
        <v>25.5</v>
      </c>
      <c r="E36" s="128">
        <v>53</v>
      </c>
      <c r="F36" s="128">
        <v>181.5</v>
      </c>
      <c r="G36" s="128">
        <v>202</v>
      </c>
      <c r="H36" s="128">
        <v>111.5</v>
      </c>
      <c r="I36" s="128">
        <v>159.5</v>
      </c>
      <c r="J36" s="128">
        <v>65.5</v>
      </c>
      <c r="K36" s="128">
        <v>35</v>
      </c>
      <c r="L36" s="128">
        <v>11.5</v>
      </c>
      <c r="M36" s="128">
        <v>25.5</v>
      </c>
      <c r="N36" s="102">
        <f t="shared" si="1"/>
        <v>129</v>
      </c>
      <c r="O36" s="102">
        <f t="shared" si="2"/>
        <v>720</v>
      </c>
      <c r="P36" s="102">
        <f t="shared" si="3"/>
        <v>72</v>
      </c>
      <c r="Q36" s="102">
        <f t="shared" si="4"/>
        <v>921</v>
      </c>
    </row>
    <row r="37" spans="1:33">
      <c r="A37" s="102">
        <v>2016</v>
      </c>
      <c r="B37" s="128">
        <v>31.5</v>
      </c>
      <c r="C37" s="128">
        <v>11</v>
      </c>
      <c r="D37" s="128">
        <v>84</v>
      </c>
      <c r="E37" s="128">
        <v>144.5</v>
      </c>
      <c r="F37" s="128">
        <v>59</v>
      </c>
      <c r="G37" s="128">
        <v>228.5</v>
      </c>
      <c r="H37" s="128">
        <v>133.5</v>
      </c>
      <c r="I37" s="128">
        <v>115.5</v>
      </c>
      <c r="J37" s="128">
        <v>18.5</v>
      </c>
      <c r="K37" s="128">
        <v>54.5</v>
      </c>
      <c r="L37" s="128">
        <v>53.5</v>
      </c>
      <c r="M37" s="128">
        <v>14.5</v>
      </c>
      <c r="N37" s="102">
        <f>SUM(B37:E37)</f>
        <v>271</v>
      </c>
      <c r="O37" s="102">
        <f>SUM(F37:J37)</f>
        <v>555</v>
      </c>
      <c r="P37" s="102">
        <f>SUM(K37:M37)</f>
        <v>122.5</v>
      </c>
      <c r="Q37" s="102">
        <f>SUM(B37:M37)</f>
        <v>948.5</v>
      </c>
      <c r="R37" s="108">
        <f t="shared" ref="R37:AG37" si="5">100*(B37-B4)/B4</f>
        <v>33.43923749007147</v>
      </c>
      <c r="S37" s="108">
        <f t="shared" si="5"/>
        <v>-48.93370085594082</v>
      </c>
      <c r="T37" s="108">
        <f t="shared" si="5"/>
        <v>132.82806409701169</v>
      </c>
      <c r="U37" s="108">
        <f t="shared" si="5"/>
        <v>98.616897899574766</v>
      </c>
      <c r="V37" s="108">
        <f t="shared" si="5"/>
        <v>-56.853603912427438</v>
      </c>
      <c r="W37" s="108">
        <f t="shared" si="5"/>
        <v>34.300670401322435</v>
      </c>
      <c r="X37" s="108">
        <f t="shared" si="5"/>
        <v>-13.707429402496658</v>
      </c>
      <c r="Y37" s="108">
        <f t="shared" si="5"/>
        <v>-11.760492766079366</v>
      </c>
      <c r="Z37" s="108">
        <f t="shared" si="5"/>
        <v>-79.512026302128405</v>
      </c>
      <c r="AA37" s="108">
        <f t="shared" si="5"/>
        <v>-34.779356768885577</v>
      </c>
      <c r="AB37" s="108">
        <f t="shared" si="5"/>
        <v>56.977810379607568</v>
      </c>
      <c r="AC37" s="108">
        <f t="shared" si="5"/>
        <v>-34.147033778030099</v>
      </c>
      <c r="AD37" s="108">
        <f t="shared" si="5"/>
        <v>75.999025835650357</v>
      </c>
      <c r="AE37" s="108">
        <f t="shared" si="5"/>
        <v>-18.714815323355772</v>
      </c>
      <c r="AF37" s="108">
        <f t="shared" si="5"/>
        <v>-12.288552761120537</v>
      </c>
      <c r="AG37" s="108">
        <f t="shared" si="5"/>
        <v>-2.8596117840969213</v>
      </c>
    </row>
  </sheetData>
  <mergeCells count="6">
    <mergeCell ref="A1:A3"/>
    <mergeCell ref="B2:M2"/>
    <mergeCell ref="B1:Q1"/>
    <mergeCell ref="R1:AG1"/>
    <mergeCell ref="N2:Q2"/>
    <mergeCell ref="R2:AG2"/>
  </mergeCells>
  <phoneticPr fontId="2" type="noConversion"/>
  <pageMargins left="0.75" right="0.75" top="1" bottom="1" header="0.5" footer="0.5"/>
  <headerFooter alignWithMargins="0"/>
</worksheet>
</file>

<file path=xl/worksheets/sheet70.xml><?xml version="1.0" encoding="utf-8"?>
<worksheet xmlns="http://schemas.openxmlformats.org/spreadsheetml/2006/main" xmlns:r="http://schemas.openxmlformats.org/officeDocument/2006/relationships">
  <sheetPr codeName="Sheet70"/>
  <dimension ref="A1:AG53"/>
  <sheetViews>
    <sheetView zoomScale="85" zoomScaleNormal="85" workbookViewId="0">
      <pane ySplit="5" topLeftCell="A6" activePane="bottomLeft" state="frozen"/>
      <selection pane="bottomLeft" activeCell="R53" sqref="R53"/>
    </sheetView>
  </sheetViews>
  <sheetFormatPr defaultRowHeight="12"/>
  <cols>
    <col min="1" max="1" width="11.25" style="102" bestFit="1" customWidth="1"/>
    <col min="2" max="77" width="7.125" style="102" customWidth="1"/>
    <col min="78" max="16384" width="9" style="102"/>
  </cols>
  <sheetData>
    <row r="1" spans="1:33" s="118" customFormat="1" ht="14.25" customHeight="1">
      <c r="A1" s="176" t="s">
        <v>198</v>
      </c>
      <c r="B1" s="176" t="s">
        <v>206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207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199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200</v>
      </c>
      <c r="O2" s="176"/>
      <c r="P2" s="176"/>
      <c r="Q2" s="176"/>
      <c r="R2" s="176" t="s">
        <v>201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 ht="24">
      <c r="A3" s="176"/>
      <c r="B3" s="125" t="s">
        <v>208</v>
      </c>
      <c r="C3" s="125" t="s">
        <v>209</v>
      </c>
      <c r="D3" s="125" t="s">
        <v>9</v>
      </c>
      <c r="E3" s="125" t="s">
        <v>10</v>
      </c>
      <c r="F3" s="125" t="s">
        <v>11</v>
      </c>
      <c r="G3" s="125" t="s">
        <v>12</v>
      </c>
      <c r="H3" s="125" t="s">
        <v>13</v>
      </c>
      <c r="I3" s="125" t="s">
        <v>14</v>
      </c>
      <c r="J3" s="125" t="s">
        <v>15</v>
      </c>
      <c r="K3" s="125" t="s">
        <v>16</v>
      </c>
      <c r="L3" s="125" t="s">
        <v>17</v>
      </c>
      <c r="M3" s="125" t="s">
        <v>18</v>
      </c>
      <c r="N3" s="125" t="s">
        <v>210</v>
      </c>
      <c r="O3" s="125" t="s">
        <v>211</v>
      </c>
      <c r="P3" s="125" t="s">
        <v>212</v>
      </c>
      <c r="Q3" s="125" t="s">
        <v>213</v>
      </c>
      <c r="R3" s="125" t="s">
        <v>208</v>
      </c>
      <c r="S3" s="125" t="s">
        <v>209</v>
      </c>
      <c r="T3" s="125" t="s">
        <v>214</v>
      </c>
      <c r="U3" s="125" t="s">
        <v>215</v>
      </c>
      <c r="V3" s="125" t="s">
        <v>216</v>
      </c>
      <c r="W3" s="125" t="s">
        <v>217</v>
      </c>
      <c r="X3" s="125" t="s">
        <v>25</v>
      </c>
      <c r="Y3" s="125" t="s">
        <v>26</v>
      </c>
      <c r="Z3" s="125" t="s">
        <v>27</v>
      </c>
      <c r="AA3" s="125" t="s">
        <v>218</v>
      </c>
      <c r="AB3" s="125" t="s">
        <v>219</v>
      </c>
      <c r="AC3" s="125" t="s">
        <v>220</v>
      </c>
      <c r="AD3" s="125" t="s">
        <v>202</v>
      </c>
      <c r="AE3" s="125" t="s">
        <v>203</v>
      </c>
      <c r="AF3" s="125" t="s">
        <v>204</v>
      </c>
      <c r="AG3" s="125" t="s">
        <v>205</v>
      </c>
    </row>
    <row r="4" spans="1:33" s="118" customFormat="1">
      <c r="A4" s="150" t="s">
        <v>261</v>
      </c>
      <c r="B4" s="150">
        <f t="shared" ref="B4:Q4" si="0">AVERAGE(B5:B52)</f>
        <v>13.725000000000001</v>
      </c>
      <c r="C4" s="150">
        <f t="shared" si="0"/>
        <v>14.031249999999998</v>
      </c>
      <c r="D4" s="150">
        <f t="shared" si="0"/>
        <v>24.520833333333332</v>
      </c>
      <c r="E4" s="150">
        <f t="shared" si="0"/>
        <v>49.016666666666673</v>
      </c>
      <c r="F4" s="150">
        <f t="shared" si="0"/>
        <v>100.40833333333335</v>
      </c>
      <c r="G4" s="150">
        <f t="shared" si="0"/>
        <v>157.20624999999998</v>
      </c>
      <c r="H4" s="150">
        <f t="shared" si="0"/>
        <v>175.54374999999996</v>
      </c>
      <c r="I4" s="150">
        <f t="shared" si="0"/>
        <v>152.61875000000001</v>
      </c>
      <c r="J4" s="150">
        <f t="shared" si="0"/>
        <v>97.829166666666666</v>
      </c>
      <c r="K4" s="150">
        <f t="shared" si="0"/>
        <v>56.518750000000004</v>
      </c>
      <c r="L4" s="150">
        <f t="shared" si="0"/>
        <v>25.902083333333334</v>
      </c>
      <c r="M4" s="150">
        <f t="shared" si="0"/>
        <v>12.064583333333333</v>
      </c>
      <c r="N4" s="150">
        <f t="shared" si="0"/>
        <v>101.29375000000003</v>
      </c>
      <c r="O4" s="150">
        <f t="shared" si="0"/>
        <v>683.60624999999982</v>
      </c>
      <c r="P4" s="150">
        <f t="shared" si="0"/>
        <v>94.485416666666694</v>
      </c>
      <c r="Q4" s="150">
        <f t="shared" si="0"/>
        <v>879.38541666666697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1967</v>
      </c>
      <c r="B5" s="103">
        <v>2.2999999999999998</v>
      </c>
      <c r="C5" s="103">
        <v>11.7</v>
      </c>
      <c r="D5" s="103">
        <v>12.7</v>
      </c>
      <c r="E5" s="103">
        <v>50.5</v>
      </c>
      <c r="F5" s="103">
        <v>90.9</v>
      </c>
      <c r="G5" s="103">
        <v>273.2</v>
      </c>
      <c r="H5" s="103">
        <v>92.8</v>
      </c>
      <c r="I5" s="103">
        <v>176</v>
      </c>
      <c r="J5" s="103">
        <v>131.6</v>
      </c>
      <c r="K5" s="103">
        <v>36.9</v>
      </c>
      <c r="L5" s="103">
        <v>37.5</v>
      </c>
      <c r="M5" s="103">
        <v>11.5</v>
      </c>
      <c r="N5" s="102">
        <f>SUM(B5:E5)</f>
        <v>77.2</v>
      </c>
      <c r="O5" s="102">
        <f>SUM(F5:J5)</f>
        <v>764.50000000000011</v>
      </c>
      <c r="P5" s="102">
        <f>SUM(K5:M5)</f>
        <v>85.9</v>
      </c>
      <c r="Q5" s="102">
        <f>SUM(B5:M5)</f>
        <v>927.6</v>
      </c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</row>
    <row r="6" spans="1:33">
      <c r="A6" s="102">
        <v>1968</v>
      </c>
      <c r="B6" s="103">
        <v>10.8</v>
      </c>
      <c r="C6" s="103">
        <v>22.6</v>
      </c>
      <c r="D6" s="103">
        <v>11.3</v>
      </c>
      <c r="E6" s="103">
        <v>32.799999999999997</v>
      </c>
      <c r="F6" s="103">
        <v>127.3</v>
      </c>
      <c r="G6" s="103">
        <v>223.3</v>
      </c>
      <c r="H6" s="103">
        <v>200.1</v>
      </c>
      <c r="I6" s="103">
        <v>286.89999999999998</v>
      </c>
      <c r="J6" s="103">
        <v>176.4</v>
      </c>
      <c r="K6" s="103">
        <v>61.8</v>
      </c>
      <c r="L6" s="103">
        <v>12.9</v>
      </c>
      <c r="M6" s="103">
        <v>8.1</v>
      </c>
      <c r="N6" s="102">
        <f t="shared" ref="N6:N52" si="1">SUM(B6:E6)</f>
        <v>77.5</v>
      </c>
      <c r="O6" s="102">
        <f t="shared" ref="O6:O52" si="2">SUM(F6:J6)</f>
        <v>1014</v>
      </c>
      <c r="P6" s="102">
        <f t="shared" ref="P6:P52" si="3">SUM(K6:M6)</f>
        <v>82.8</v>
      </c>
      <c r="Q6" s="102">
        <f t="shared" ref="Q6:Q52" si="4">SUM(B6:M6)</f>
        <v>1174.3</v>
      </c>
      <c r="R6" s="103"/>
      <c r="S6" s="103"/>
      <c r="T6" s="103"/>
      <c r="U6" s="103"/>
      <c r="V6" s="103"/>
      <c r="W6" s="103"/>
      <c r="X6" s="103"/>
      <c r="Y6" s="103"/>
      <c r="Z6" s="103"/>
      <c r="AA6" s="103"/>
      <c r="AB6" s="103"/>
      <c r="AC6" s="103"/>
      <c r="AD6" s="103"/>
      <c r="AE6" s="103"/>
    </row>
    <row r="7" spans="1:33">
      <c r="A7" s="102">
        <v>1969</v>
      </c>
      <c r="B7" s="103">
        <v>5.9</v>
      </c>
      <c r="C7" s="103">
        <v>2</v>
      </c>
      <c r="D7" s="103">
        <v>29.7</v>
      </c>
      <c r="E7" s="103">
        <v>32.5</v>
      </c>
      <c r="F7" s="103">
        <v>95.2</v>
      </c>
      <c r="G7" s="103">
        <v>121.8</v>
      </c>
      <c r="H7" s="103">
        <v>266.39999999999998</v>
      </c>
      <c r="I7" s="103">
        <v>117.7</v>
      </c>
      <c r="J7" s="103">
        <v>85.4</v>
      </c>
      <c r="K7" s="103">
        <v>65.7</v>
      </c>
      <c r="L7" s="103">
        <v>33.299999999999997</v>
      </c>
      <c r="M7" s="103">
        <v>6.9</v>
      </c>
      <c r="N7" s="102">
        <f t="shared" si="1"/>
        <v>70.099999999999994</v>
      </c>
      <c r="O7" s="102">
        <f t="shared" si="2"/>
        <v>686.5</v>
      </c>
      <c r="P7" s="102">
        <f t="shared" si="3"/>
        <v>105.9</v>
      </c>
      <c r="Q7" s="102">
        <f t="shared" si="4"/>
        <v>862.5</v>
      </c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</row>
    <row r="8" spans="1:33">
      <c r="A8" s="102">
        <v>1970</v>
      </c>
      <c r="B8" s="103">
        <v>10.1</v>
      </c>
      <c r="C8" s="103">
        <v>6</v>
      </c>
      <c r="D8" s="103">
        <v>26.7</v>
      </c>
      <c r="E8" s="103">
        <v>62.6</v>
      </c>
      <c r="F8" s="103">
        <v>117.4</v>
      </c>
      <c r="G8" s="103">
        <v>51.4</v>
      </c>
      <c r="H8" s="103">
        <v>310.8</v>
      </c>
      <c r="I8" s="103">
        <v>101.3</v>
      </c>
      <c r="J8" s="103">
        <v>106.2</v>
      </c>
      <c r="K8" s="103">
        <v>63.9</v>
      </c>
      <c r="L8" s="103">
        <v>27.2</v>
      </c>
      <c r="M8" s="103">
        <v>26.9</v>
      </c>
      <c r="N8" s="102">
        <f t="shared" si="1"/>
        <v>105.4</v>
      </c>
      <c r="O8" s="102">
        <f t="shared" si="2"/>
        <v>687.1</v>
      </c>
      <c r="P8" s="102">
        <f t="shared" si="3"/>
        <v>118</v>
      </c>
      <c r="Q8" s="102">
        <f t="shared" si="4"/>
        <v>910.5</v>
      </c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</row>
    <row r="9" spans="1:33">
      <c r="A9" s="102">
        <v>1971</v>
      </c>
      <c r="B9" s="103">
        <v>14.1</v>
      </c>
      <c r="C9" s="103">
        <v>13.2</v>
      </c>
      <c r="D9" s="103">
        <v>9.9</v>
      </c>
      <c r="E9" s="103">
        <v>65.3</v>
      </c>
      <c r="F9" s="103">
        <v>119.5</v>
      </c>
      <c r="G9" s="103">
        <v>220</v>
      </c>
      <c r="H9" s="103">
        <v>88.6</v>
      </c>
      <c r="I9" s="103">
        <v>211.1</v>
      </c>
      <c r="J9" s="103">
        <v>104.2</v>
      </c>
      <c r="K9" s="103">
        <v>40.299999999999997</v>
      </c>
      <c r="L9" s="103">
        <v>6.6</v>
      </c>
      <c r="M9" s="103">
        <v>6.6</v>
      </c>
      <c r="N9" s="102">
        <f t="shared" si="1"/>
        <v>102.5</v>
      </c>
      <c r="O9" s="102">
        <f t="shared" si="2"/>
        <v>743.40000000000009</v>
      </c>
      <c r="P9" s="102">
        <f t="shared" si="3"/>
        <v>53.5</v>
      </c>
      <c r="Q9" s="102">
        <f t="shared" si="4"/>
        <v>899.40000000000009</v>
      </c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</row>
    <row r="10" spans="1:33">
      <c r="A10" s="102">
        <v>1972</v>
      </c>
      <c r="B10" s="103">
        <v>8.4</v>
      </c>
      <c r="C10" s="103">
        <v>4.3</v>
      </c>
      <c r="D10" s="103">
        <v>7.6</v>
      </c>
      <c r="E10" s="103">
        <v>47.7</v>
      </c>
      <c r="F10" s="103">
        <v>253.6</v>
      </c>
      <c r="G10" s="103">
        <v>191.4</v>
      </c>
      <c r="H10" s="103">
        <v>78.400000000000006</v>
      </c>
      <c r="I10" s="103">
        <v>100.9</v>
      </c>
      <c r="J10" s="103">
        <v>203.1</v>
      </c>
      <c r="K10" s="103">
        <v>20</v>
      </c>
      <c r="L10" s="103">
        <v>69.7</v>
      </c>
      <c r="M10" s="103">
        <v>10.6</v>
      </c>
      <c r="N10" s="102">
        <f t="shared" si="1"/>
        <v>68</v>
      </c>
      <c r="O10" s="102">
        <f t="shared" si="2"/>
        <v>827.4</v>
      </c>
      <c r="P10" s="102">
        <f t="shared" si="3"/>
        <v>100.3</v>
      </c>
      <c r="Q10" s="102">
        <f t="shared" si="4"/>
        <v>995.7</v>
      </c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</row>
    <row r="11" spans="1:33">
      <c r="A11" s="102">
        <v>1973</v>
      </c>
      <c r="B11" s="103">
        <v>12.5</v>
      </c>
      <c r="C11" s="103">
        <v>7.4</v>
      </c>
      <c r="D11" s="103">
        <v>9</v>
      </c>
      <c r="E11" s="103">
        <v>101.1</v>
      </c>
      <c r="F11" s="103">
        <v>116.5</v>
      </c>
      <c r="G11" s="103">
        <v>169.5</v>
      </c>
      <c r="H11" s="103">
        <v>84.4</v>
      </c>
      <c r="I11" s="103">
        <v>80.900000000000006</v>
      </c>
      <c r="J11" s="103">
        <v>101.9</v>
      </c>
      <c r="K11" s="103">
        <v>28.3</v>
      </c>
      <c r="L11" s="103">
        <v>52.1</v>
      </c>
      <c r="M11" s="103">
        <v>11.4</v>
      </c>
      <c r="N11" s="102">
        <f t="shared" si="1"/>
        <v>130</v>
      </c>
      <c r="O11" s="102">
        <f t="shared" si="2"/>
        <v>553.19999999999993</v>
      </c>
      <c r="P11" s="102">
        <f t="shared" si="3"/>
        <v>91.800000000000011</v>
      </c>
      <c r="Q11" s="102">
        <f t="shared" si="4"/>
        <v>774.99999999999989</v>
      </c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</row>
    <row r="12" spans="1:33">
      <c r="A12" s="102">
        <v>1974</v>
      </c>
      <c r="B12" s="103">
        <v>5.6</v>
      </c>
      <c r="C12" s="103">
        <v>3.1</v>
      </c>
      <c r="D12" s="103">
        <v>33.9</v>
      </c>
      <c r="E12" s="103">
        <v>79.5</v>
      </c>
      <c r="F12" s="103">
        <v>114.5</v>
      </c>
      <c r="G12" s="103">
        <v>128.4</v>
      </c>
      <c r="H12" s="103">
        <v>72.2</v>
      </c>
      <c r="I12" s="103">
        <v>323.60000000000002</v>
      </c>
      <c r="J12" s="103">
        <v>75.099999999999994</v>
      </c>
      <c r="K12" s="103">
        <v>23.7</v>
      </c>
      <c r="L12" s="103">
        <v>11.6</v>
      </c>
      <c r="M12" s="103">
        <v>6.9</v>
      </c>
      <c r="N12" s="102">
        <f t="shared" si="1"/>
        <v>122.1</v>
      </c>
      <c r="O12" s="102">
        <f t="shared" si="2"/>
        <v>713.80000000000007</v>
      </c>
      <c r="P12" s="102">
        <f t="shared" si="3"/>
        <v>42.199999999999996</v>
      </c>
      <c r="Q12" s="102">
        <f t="shared" si="4"/>
        <v>878.1</v>
      </c>
      <c r="R12" s="103"/>
      <c r="S12" s="103"/>
      <c r="T12" s="103"/>
      <c r="U12" s="103"/>
      <c r="V12" s="103"/>
      <c r="W12" s="103"/>
      <c r="X12" s="103"/>
      <c r="Y12" s="103"/>
      <c r="Z12" s="103"/>
      <c r="AA12" s="103"/>
      <c r="AB12" s="103"/>
      <c r="AC12" s="103"/>
      <c r="AD12" s="103"/>
      <c r="AE12" s="103"/>
    </row>
    <row r="13" spans="1:33">
      <c r="A13" s="102">
        <v>1975</v>
      </c>
      <c r="B13" s="103">
        <v>15.4</v>
      </c>
      <c r="C13" s="103">
        <v>14</v>
      </c>
      <c r="D13" s="103">
        <v>28.7</v>
      </c>
      <c r="E13" s="103">
        <v>55.2</v>
      </c>
      <c r="F13" s="103">
        <v>75.599999999999994</v>
      </c>
      <c r="G13" s="103">
        <v>153.19999999999999</v>
      </c>
      <c r="H13" s="103">
        <v>194.1</v>
      </c>
      <c r="I13" s="103">
        <v>134.5</v>
      </c>
      <c r="J13" s="103">
        <v>269.8</v>
      </c>
      <c r="K13" s="103">
        <v>42.1</v>
      </c>
      <c r="L13" s="103">
        <v>40.4</v>
      </c>
      <c r="M13" s="103">
        <v>2.2999999999999998</v>
      </c>
      <c r="N13" s="102">
        <f t="shared" si="1"/>
        <v>113.3</v>
      </c>
      <c r="O13" s="102">
        <f t="shared" si="2"/>
        <v>827.2</v>
      </c>
      <c r="P13" s="102">
        <f t="shared" si="3"/>
        <v>84.8</v>
      </c>
      <c r="Q13" s="102">
        <f t="shared" si="4"/>
        <v>1025.3</v>
      </c>
      <c r="R13" s="103"/>
      <c r="S13" s="103"/>
      <c r="T13" s="103"/>
      <c r="U13" s="103"/>
      <c r="V13" s="103"/>
      <c r="W13" s="103"/>
      <c r="X13" s="103"/>
      <c r="Y13" s="103"/>
      <c r="Z13" s="103"/>
      <c r="AA13" s="103"/>
      <c r="AB13" s="103"/>
      <c r="AC13" s="103"/>
      <c r="AD13" s="103"/>
      <c r="AE13" s="103"/>
    </row>
    <row r="14" spans="1:33">
      <c r="A14" s="102">
        <v>1976</v>
      </c>
      <c r="B14" s="103">
        <v>20.100000000000001</v>
      </c>
      <c r="C14" s="103">
        <v>10.3</v>
      </c>
      <c r="D14" s="103">
        <v>21.4</v>
      </c>
      <c r="E14" s="103">
        <v>43</v>
      </c>
      <c r="F14" s="103">
        <v>109.4</v>
      </c>
      <c r="G14" s="103">
        <v>155.19999999999999</v>
      </c>
      <c r="H14" s="103">
        <v>173.9</v>
      </c>
      <c r="I14" s="103">
        <v>31.1</v>
      </c>
      <c r="J14" s="103">
        <v>68.900000000000006</v>
      </c>
      <c r="K14" s="103">
        <v>71.7</v>
      </c>
      <c r="L14" s="103">
        <v>25.2</v>
      </c>
      <c r="M14" s="103">
        <v>9.9</v>
      </c>
      <c r="N14" s="102">
        <f t="shared" si="1"/>
        <v>94.8</v>
      </c>
      <c r="O14" s="102">
        <f t="shared" si="2"/>
        <v>538.5</v>
      </c>
      <c r="P14" s="102">
        <f t="shared" si="3"/>
        <v>106.80000000000001</v>
      </c>
      <c r="Q14" s="102">
        <f t="shared" si="4"/>
        <v>740.1</v>
      </c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</row>
    <row r="15" spans="1:33">
      <c r="A15" s="102">
        <v>1977</v>
      </c>
      <c r="B15" s="103">
        <v>6.8</v>
      </c>
      <c r="C15" s="103">
        <v>14.9</v>
      </c>
      <c r="D15" s="103">
        <v>16.100000000000001</v>
      </c>
      <c r="E15" s="103">
        <v>42</v>
      </c>
      <c r="F15" s="103">
        <v>85.9</v>
      </c>
      <c r="G15" s="103">
        <v>214.7</v>
      </c>
      <c r="H15" s="103">
        <v>165.7</v>
      </c>
      <c r="I15" s="103">
        <v>113.1</v>
      </c>
      <c r="J15" s="103">
        <v>137.19999999999999</v>
      </c>
      <c r="K15" s="103">
        <v>72.900000000000006</v>
      </c>
      <c r="L15" s="103">
        <v>30.7</v>
      </c>
      <c r="M15" s="103">
        <v>2.1</v>
      </c>
      <c r="N15" s="102">
        <f t="shared" si="1"/>
        <v>79.8</v>
      </c>
      <c r="O15" s="102">
        <f t="shared" si="2"/>
        <v>716.59999999999991</v>
      </c>
      <c r="P15" s="102">
        <f t="shared" si="3"/>
        <v>105.7</v>
      </c>
      <c r="Q15" s="102">
        <f t="shared" si="4"/>
        <v>902.09999999999991</v>
      </c>
      <c r="R15" s="103"/>
      <c r="S15" s="103"/>
      <c r="T15" s="103"/>
      <c r="U15" s="103"/>
      <c r="V15" s="103"/>
      <c r="W15" s="103"/>
      <c r="X15" s="103"/>
      <c r="Y15" s="103"/>
      <c r="Z15" s="103"/>
      <c r="AA15" s="103"/>
      <c r="AB15" s="103"/>
      <c r="AC15" s="103"/>
      <c r="AD15" s="103"/>
      <c r="AE15" s="103"/>
    </row>
    <row r="16" spans="1:33">
      <c r="A16" s="102">
        <v>1978</v>
      </c>
      <c r="B16" s="103">
        <v>14.8</v>
      </c>
      <c r="C16" s="103">
        <v>3.6</v>
      </c>
      <c r="D16" s="103">
        <v>11.1</v>
      </c>
      <c r="E16" s="103">
        <v>18.100000000000001</v>
      </c>
      <c r="F16" s="103">
        <v>170.4</v>
      </c>
      <c r="G16" s="103">
        <v>205.2</v>
      </c>
      <c r="H16" s="103">
        <v>189.3</v>
      </c>
      <c r="I16" s="103">
        <v>270.2</v>
      </c>
      <c r="J16" s="103">
        <v>23.2</v>
      </c>
      <c r="K16" s="103">
        <v>49.1</v>
      </c>
      <c r="L16" s="103">
        <v>42.5</v>
      </c>
      <c r="M16" s="103">
        <v>5</v>
      </c>
      <c r="N16" s="102">
        <f t="shared" si="1"/>
        <v>47.6</v>
      </c>
      <c r="O16" s="102">
        <f t="shared" si="2"/>
        <v>858.30000000000018</v>
      </c>
      <c r="P16" s="102">
        <f t="shared" si="3"/>
        <v>96.6</v>
      </c>
      <c r="Q16" s="102">
        <f t="shared" si="4"/>
        <v>1002.5000000000001</v>
      </c>
      <c r="R16" s="103"/>
      <c r="S16" s="103"/>
      <c r="T16" s="103"/>
      <c r="U16" s="103"/>
      <c r="V16" s="103"/>
      <c r="W16" s="103"/>
      <c r="X16" s="103"/>
      <c r="Y16" s="103"/>
      <c r="Z16" s="103"/>
      <c r="AA16" s="103"/>
      <c r="AB16" s="103"/>
      <c r="AC16" s="103"/>
      <c r="AD16" s="103"/>
      <c r="AE16" s="103"/>
    </row>
    <row r="17" spans="1:31">
      <c r="A17" s="102">
        <v>1979</v>
      </c>
      <c r="B17" s="103">
        <v>9.8000000000000007</v>
      </c>
      <c r="C17" s="103">
        <v>6.5</v>
      </c>
      <c r="D17" s="103">
        <v>14.3</v>
      </c>
      <c r="E17" s="103">
        <v>15.3</v>
      </c>
      <c r="F17" s="103">
        <v>39.6</v>
      </c>
      <c r="G17" s="103">
        <v>93.7</v>
      </c>
      <c r="H17" s="103">
        <v>251.2</v>
      </c>
      <c r="I17" s="103">
        <v>219.3</v>
      </c>
      <c r="J17" s="103">
        <v>158.69999999999999</v>
      </c>
      <c r="K17" s="103">
        <v>83.4</v>
      </c>
      <c r="L17" s="103">
        <v>14.9</v>
      </c>
      <c r="M17" s="103">
        <v>30.2</v>
      </c>
      <c r="N17" s="102">
        <f t="shared" si="1"/>
        <v>45.900000000000006</v>
      </c>
      <c r="O17" s="102">
        <f t="shared" si="2"/>
        <v>762.5</v>
      </c>
      <c r="P17" s="102">
        <f t="shared" si="3"/>
        <v>128.5</v>
      </c>
      <c r="Q17" s="102">
        <f t="shared" si="4"/>
        <v>936.90000000000009</v>
      </c>
      <c r="R17" s="103"/>
      <c r="S17" s="103"/>
      <c r="T17" s="103"/>
      <c r="U17" s="103"/>
      <c r="V17" s="103"/>
      <c r="W17" s="103"/>
      <c r="X17" s="103"/>
      <c r="Y17" s="103"/>
      <c r="Z17" s="103"/>
      <c r="AA17" s="103"/>
      <c r="AB17" s="103"/>
      <c r="AC17" s="103"/>
      <c r="AD17" s="103"/>
      <c r="AE17" s="103"/>
    </row>
    <row r="18" spans="1:31">
      <c r="A18" s="102">
        <v>1980</v>
      </c>
      <c r="B18" s="103">
        <v>9</v>
      </c>
      <c r="C18" s="103">
        <v>9.5</v>
      </c>
      <c r="D18" s="103">
        <v>13</v>
      </c>
      <c r="E18" s="103">
        <v>41.6</v>
      </c>
      <c r="F18" s="103">
        <v>107.7</v>
      </c>
      <c r="G18" s="103">
        <v>125.8</v>
      </c>
      <c r="H18" s="103">
        <v>84.1</v>
      </c>
      <c r="I18" s="103">
        <v>141.1</v>
      </c>
      <c r="J18" s="103">
        <v>78.3</v>
      </c>
      <c r="K18" s="103">
        <v>78.3</v>
      </c>
      <c r="L18" s="103">
        <v>8.6999999999999993</v>
      </c>
      <c r="M18" s="103">
        <v>23.3</v>
      </c>
      <c r="N18" s="102">
        <f t="shared" si="1"/>
        <v>73.099999999999994</v>
      </c>
      <c r="O18" s="102">
        <f t="shared" si="2"/>
        <v>537</v>
      </c>
      <c r="P18" s="102">
        <f t="shared" si="3"/>
        <v>110.3</v>
      </c>
      <c r="Q18" s="102">
        <f t="shared" si="4"/>
        <v>720.4</v>
      </c>
      <c r="R18" s="103"/>
      <c r="S18" s="103"/>
      <c r="T18" s="103"/>
      <c r="U18" s="103"/>
      <c r="V18" s="103"/>
      <c r="W18" s="103"/>
      <c r="X18" s="103"/>
      <c r="Y18" s="103"/>
      <c r="Z18" s="103"/>
      <c r="AA18" s="103"/>
      <c r="AB18" s="103"/>
      <c r="AC18" s="103"/>
      <c r="AD18" s="103"/>
      <c r="AE18" s="103"/>
    </row>
    <row r="19" spans="1:31">
      <c r="A19" s="102">
        <v>1981</v>
      </c>
      <c r="B19" s="103">
        <v>14.6</v>
      </c>
      <c r="C19" s="103">
        <v>16.100000000000001</v>
      </c>
      <c r="D19" s="103">
        <v>19.2</v>
      </c>
      <c r="E19" s="103">
        <v>21.5</v>
      </c>
      <c r="F19" s="103">
        <v>115.5</v>
      </c>
      <c r="G19" s="103">
        <v>267.2</v>
      </c>
      <c r="H19" s="103">
        <v>120.2</v>
      </c>
      <c r="I19" s="103">
        <v>81.599999999999994</v>
      </c>
      <c r="J19" s="103">
        <v>121.1</v>
      </c>
      <c r="K19" s="103">
        <v>38.5</v>
      </c>
      <c r="L19" s="103">
        <v>21.1</v>
      </c>
      <c r="M19" s="103">
        <v>17.100000000000001</v>
      </c>
      <c r="N19" s="102">
        <f t="shared" si="1"/>
        <v>71.400000000000006</v>
      </c>
      <c r="O19" s="102">
        <f t="shared" si="2"/>
        <v>705.6</v>
      </c>
      <c r="P19" s="102">
        <f t="shared" si="3"/>
        <v>76.7</v>
      </c>
      <c r="Q19" s="102">
        <f t="shared" si="4"/>
        <v>853.70000000000016</v>
      </c>
      <c r="R19" s="103"/>
      <c r="S19" s="103"/>
      <c r="T19" s="103"/>
      <c r="U19" s="103"/>
      <c r="V19" s="103"/>
      <c r="W19" s="103"/>
      <c r="X19" s="103"/>
      <c r="Y19" s="103"/>
      <c r="Z19" s="103"/>
      <c r="AA19" s="103"/>
      <c r="AB19" s="103"/>
      <c r="AC19" s="103"/>
      <c r="AD19" s="103"/>
      <c r="AE19" s="103"/>
    </row>
    <row r="20" spans="1:31">
      <c r="A20" s="102">
        <v>1982</v>
      </c>
      <c r="B20" s="103">
        <v>18.100000000000001</v>
      </c>
      <c r="C20" s="103">
        <v>22.7</v>
      </c>
      <c r="D20" s="103">
        <v>10.199999999999999</v>
      </c>
      <c r="E20" s="103">
        <v>127.9</v>
      </c>
      <c r="F20" s="103">
        <v>100.2</v>
      </c>
      <c r="G20" s="103">
        <v>193.6</v>
      </c>
      <c r="H20" s="103">
        <v>123.6</v>
      </c>
      <c r="I20" s="103">
        <v>96.8</v>
      </c>
      <c r="J20" s="103">
        <v>124.4</v>
      </c>
      <c r="K20" s="103">
        <v>70.599999999999994</v>
      </c>
      <c r="L20" s="103">
        <v>79.599999999999994</v>
      </c>
      <c r="M20" s="103">
        <v>10.5</v>
      </c>
      <c r="N20" s="102">
        <f t="shared" si="1"/>
        <v>178.9</v>
      </c>
      <c r="O20" s="102">
        <f t="shared" si="2"/>
        <v>638.59999999999991</v>
      </c>
      <c r="P20" s="102">
        <f t="shared" si="3"/>
        <v>160.69999999999999</v>
      </c>
      <c r="Q20" s="102">
        <f t="shared" si="4"/>
        <v>978.2</v>
      </c>
      <c r="R20" s="103"/>
      <c r="S20" s="103"/>
      <c r="T20" s="103"/>
      <c r="U20" s="103"/>
      <c r="V20" s="103"/>
      <c r="W20" s="103"/>
      <c r="X20" s="103"/>
      <c r="Y20" s="103"/>
      <c r="Z20" s="103"/>
      <c r="AA20" s="103"/>
      <c r="AB20" s="103"/>
      <c r="AC20" s="103"/>
      <c r="AD20" s="103"/>
      <c r="AE20" s="103"/>
    </row>
    <row r="21" spans="1:31">
      <c r="A21" s="102">
        <v>1983</v>
      </c>
      <c r="B21" s="103">
        <v>16.899999999999999</v>
      </c>
      <c r="C21" s="103">
        <v>37</v>
      </c>
      <c r="D21" s="103">
        <v>38.5</v>
      </c>
      <c r="E21" s="103">
        <v>34.5</v>
      </c>
      <c r="F21" s="103">
        <v>161.4</v>
      </c>
      <c r="G21" s="103">
        <v>162.30000000000001</v>
      </c>
      <c r="H21" s="103">
        <v>249.5</v>
      </c>
      <c r="I21" s="103">
        <v>214.6</v>
      </c>
      <c r="J21" s="103">
        <v>236.3</v>
      </c>
      <c r="K21" s="103">
        <v>39.200000000000003</v>
      </c>
      <c r="L21" s="103">
        <v>43.1</v>
      </c>
      <c r="M21" s="103">
        <v>20.399999999999999</v>
      </c>
      <c r="N21" s="102">
        <f t="shared" si="1"/>
        <v>126.9</v>
      </c>
      <c r="O21" s="102">
        <f t="shared" si="2"/>
        <v>1024.1000000000001</v>
      </c>
      <c r="P21" s="102">
        <f t="shared" si="3"/>
        <v>102.70000000000002</v>
      </c>
      <c r="Q21" s="102">
        <f t="shared" si="4"/>
        <v>1253.7</v>
      </c>
      <c r="R21" s="103"/>
      <c r="S21" s="103"/>
      <c r="T21" s="103"/>
      <c r="U21" s="103"/>
      <c r="V21" s="103"/>
      <c r="W21" s="103"/>
      <c r="X21" s="103"/>
      <c r="Y21" s="103"/>
      <c r="Z21" s="103"/>
      <c r="AA21" s="103"/>
      <c r="AB21" s="103"/>
      <c r="AC21" s="103"/>
      <c r="AD21" s="103"/>
      <c r="AE21" s="103"/>
    </row>
    <row r="22" spans="1:31">
      <c r="A22" s="102">
        <v>1984</v>
      </c>
      <c r="B22" s="103">
        <v>6.4</v>
      </c>
      <c r="C22" s="103">
        <v>16.2</v>
      </c>
      <c r="D22" s="103">
        <v>16</v>
      </c>
      <c r="E22" s="103">
        <v>98.9</v>
      </c>
      <c r="F22" s="103">
        <v>173.5</v>
      </c>
      <c r="G22" s="103">
        <v>42.9</v>
      </c>
      <c r="H22" s="103">
        <v>191.9</v>
      </c>
      <c r="I22" s="103">
        <v>166.8</v>
      </c>
      <c r="J22" s="103">
        <v>70.5</v>
      </c>
      <c r="K22" s="103">
        <v>25.4</v>
      </c>
      <c r="L22" s="103">
        <v>6.3</v>
      </c>
      <c r="M22" s="103">
        <v>11.1</v>
      </c>
      <c r="N22" s="102">
        <f t="shared" si="1"/>
        <v>137.5</v>
      </c>
      <c r="O22" s="102">
        <f t="shared" si="2"/>
        <v>645.6</v>
      </c>
      <c r="P22" s="102">
        <f t="shared" si="3"/>
        <v>42.8</v>
      </c>
      <c r="Q22" s="102">
        <f t="shared" si="4"/>
        <v>825.89999999999986</v>
      </c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  <c r="AC22" s="103"/>
      <c r="AD22" s="103"/>
      <c r="AE22" s="103"/>
    </row>
    <row r="23" spans="1:31">
      <c r="A23" s="102">
        <v>1985</v>
      </c>
      <c r="B23" s="103">
        <v>10.1</v>
      </c>
      <c r="C23" s="103">
        <v>10.199999999999999</v>
      </c>
      <c r="D23" s="103">
        <v>58.5</v>
      </c>
      <c r="E23" s="103">
        <v>67.900000000000006</v>
      </c>
      <c r="F23" s="103">
        <v>66.400000000000006</v>
      </c>
      <c r="G23" s="103">
        <v>222.8</v>
      </c>
      <c r="H23" s="103">
        <v>121.8</v>
      </c>
      <c r="I23" s="103">
        <v>101.3</v>
      </c>
      <c r="J23" s="103">
        <v>74.099999999999994</v>
      </c>
      <c r="K23" s="103">
        <v>45.8</v>
      </c>
      <c r="L23" s="103">
        <v>16.8</v>
      </c>
      <c r="M23" s="103">
        <v>8.1999999999999993</v>
      </c>
      <c r="N23" s="102">
        <f t="shared" si="1"/>
        <v>146.69999999999999</v>
      </c>
      <c r="O23" s="102">
        <f t="shared" si="2"/>
        <v>586.40000000000009</v>
      </c>
      <c r="P23" s="102">
        <f t="shared" si="3"/>
        <v>70.8</v>
      </c>
      <c r="Q23" s="102">
        <f t="shared" si="4"/>
        <v>803.89999999999986</v>
      </c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  <c r="AC23" s="103"/>
      <c r="AD23" s="103"/>
      <c r="AE23" s="103"/>
    </row>
    <row r="24" spans="1:31">
      <c r="A24" s="102">
        <v>1986</v>
      </c>
      <c r="B24" s="103">
        <v>5.7</v>
      </c>
      <c r="C24" s="103">
        <v>21.4</v>
      </c>
      <c r="D24" s="103">
        <v>13.1</v>
      </c>
      <c r="E24" s="103">
        <v>22.2</v>
      </c>
      <c r="F24" s="103">
        <v>86.2</v>
      </c>
      <c r="G24" s="103">
        <v>231.5</v>
      </c>
      <c r="H24" s="103">
        <v>362.4</v>
      </c>
      <c r="I24" s="103">
        <v>98.2</v>
      </c>
      <c r="J24" s="103">
        <v>73.7</v>
      </c>
      <c r="K24" s="103">
        <v>64.8</v>
      </c>
      <c r="L24" s="103">
        <v>43.1</v>
      </c>
      <c r="M24" s="103">
        <v>2.6</v>
      </c>
      <c r="N24" s="102">
        <f t="shared" si="1"/>
        <v>62.399999999999991</v>
      </c>
      <c r="O24" s="102">
        <f t="shared" si="2"/>
        <v>852</v>
      </c>
      <c r="P24" s="102">
        <f t="shared" si="3"/>
        <v>110.5</v>
      </c>
      <c r="Q24" s="102">
        <f t="shared" si="4"/>
        <v>1024.9000000000001</v>
      </c>
      <c r="R24" s="103"/>
      <c r="S24" s="103"/>
      <c r="T24" s="103"/>
      <c r="U24" s="103"/>
      <c r="V24" s="103"/>
      <c r="W24" s="103"/>
      <c r="X24" s="103"/>
      <c r="Y24" s="103"/>
      <c r="Z24" s="103"/>
      <c r="AA24" s="103"/>
      <c r="AB24" s="103"/>
      <c r="AC24" s="103"/>
      <c r="AD24" s="103"/>
      <c r="AE24" s="103"/>
    </row>
    <row r="25" spans="1:31">
      <c r="A25" s="102">
        <v>1988</v>
      </c>
      <c r="B25" s="103">
        <v>7</v>
      </c>
      <c r="C25" s="103">
        <v>18.899999999999999</v>
      </c>
      <c r="D25" s="103">
        <v>15.9</v>
      </c>
      <c r="E25" s="103">
        <v>29.2</v>
      </c>
      <c r="F25" s="103">
        <v>46.9</v>
      </c>
      <c r="G25" s="103">
        <v>89.2</v>
      </c>
      <c r="H25" s="103">
        <v>117.5</v>
      </c>
      <c r="I25" s="103">
        <v>157.1</v>
      </c>
      <c r="J25" s="103">
        <v>92</v>
      </c>
      <c r="K25" s="103">
        <v>50.7</v>
      </c>
      <c r="L25" s="103">
        <v>12.9</v>
      </c>
      <c r="M25" s="103">
        <v>6</v>
      </c>
      <c r="N25" s="102">
        <f t="shared" si="1"/>
        <v>71</v>
      </c>
      <c r="O25" s="102">
        <f t="shared" si="2"/>
        <v>502.7</v>
      </c>
      <c r="P25" s="102">
        <f t="shared" si="3"/>
        <v>69.599999999999994</v>
      </c>
      <c r="Q25" s="102">
        <f t="shared" si="4"/>
        <v>643.30000000000007</v>
      </c>
      <c r="R25" s="103"/>
      <c r="S25" s="103"/>
      <c r="T25" s="103"/>
      <c r="U25" s="103"/>
      <c r="V25" s="103"/>
      <c r="W25" s="103"/>
      <c r="X25" s="103"/>
      <c r="Y25" s="103"/>
      <c r="Z25" s="103"/>
      <c r="AA25" s="103"/>
      <c r="AB25" s="103"/>
      <c r="AC25" s="103"/>
      <c r="AD25" s="103"/>
      <c r="AE25" s="103"/>
    </row>
    <row r="26" spans="1:31">
      <c r="A26" s="102">
        <v>1989</v>
      </c>
      <c r="B26" s="103">
        <v>12.8</v>
      </c>
      <c r="C26" s="103">
        <v>16</v>
      </c>
      <c r="D26" s="103">
        <v>55.1</v>
      </c>
      <c r="E26" s="103">
        <v>28.4</v>
      </c>
      <c r="F26" s="103">
        <v>45.4</v>
      </c>
      <c r="G26" s="103">
        <v>140.6</v>
      </c>
      <c r="H26" s="103">
        <v>70</v>
      </c>
      <c r="I26" s="103">
        <v>119.6</v>
      </c>
      <c r="J26" s="103">
        <v>60.9</v>
      </c>
      <c r="K26" s="103">
        <v>39.9</v>
      </c>
      <c r="L26" s="103">
        <v>22.1</v>
      </c>
      <c r="M26" s="103">
        <v>16.100000000000001</v>
      </c>
      <c r="N26" s="102">
        <f t="shared" si="1"/>
        <v>112.30000000000001</v>
      </c>
      <c r="O26" s="102">
        <f t="shared" si="2"/>
        <v>436.5</v>
      </c>
      <c r="P26" s="102">
        <f t="shared" si="3"/>
        <v>78.099999999999994</v>
      </c>
      <c r="Q26" s="102">
        <f t="shared" si="4"/>
        <v>626.9</v>
      </c>
      <c r="R26" s="103"/>
      <c r="S26" s="103"/>
      <c r="T26" s="103"/>
      <c r="U26" s="103"/>
      <c r="V26" s="103"/>
      <c r="W26" s="103"/>
      <c r="X26" s="103"/>
      <c r="Y26" s="103"/>
      <c r="Z26" s="103"/>
      <c r="AA26" s="103"/>
      <c r="AB26" s="103"/>
      <c r="AC26" s="103"/>
      <c r="AD26" s="103"/>
      <c r="AE26" s="103"/>
    </row>
    <row r="27" spans="1:31">
      <c r="A27" s="102">
        <v>1990</v>
      </c>
      <c r="B27" s="103">
        <v>12.8</v>
      </c>
      <c r="C27" s="103">
        <v>9.8000000000000007</v>
      </c>
      <c r="D27" s="103">
        <v>35.4</v>
      </c>
      <c r="E27" s="103">
        <v>63.9</v>
      </c>
      <c r="F27" s="103">
        <v>91.9</v>
      </c>
      <c r="G27" s="103">
        <v>110.9</v>
      </c>
      <c r="H27" s="103">
        <v>143.1</v>
      </c>
      <c r="I27" s="103">
        <v>81.400000000000006</v>
      </c>
      <c r="J27" s="103">
        <v>123.9</v>
      </c>
      <c r="K27" s="103">
        <v>82.1</v>
      </c>
      <c r="L27" s="103">
        <v>35.200000000000003</v>
      </c>
      <c r="M27" s="103">
        <v>7.1</v>
      </c>
      <c r="N27" s="102">
        <f t="shared" si="1"/>
        <v>121.9</v>
      </c>
      <c r="O27" s="102">
        <f t="shared" si="2"/>
        <v>551.19999999999993</v>
      </c>
      <c r="P27" s="102">
        <f t="shared" si="3"/>
        <v>124.39999999999999</v>
      </c>
      <c r="Q27" s="102">
        <f t="shared" si="4"/>
        <v>797.50000000000011</v>
      </c>
      <c r="R27" s="103"/>
      <c r="S27" s="103"/>
      <c r="T27" s="103"/>
      <c r="U27" s="103"/>
      <c r="V27" s="103"/>
      <c r="W27" s="103"/>
      <c r="X27" s="103"/>
      <c r="Y27" s="103"/>
      <c r="Z27" s="103"/>
      <c r="AA27" s="103"/>
      <c r="AB27" s="103"/>
      <c r="AC27" s="103"/>
      <c r="AD27" s="103"/>
      <c r="AE27" s="103"/>
    </row>
    <row r="28" spans="1:31">
      <c r="A28" s="102">
        <v>1991</v>
      </c>
      <c r="B28" s="103">
        <v>31</v>
      </c>
      <c r="C28" s="103">
        <v>15.7</v>
      </c>
      <c r="D28" s="103">
        <v>14.3</v>
      </c>
      <c r="E28" s="103">
        <v>30.2</v>
      </c>
      <c r="F28" s="103">
        <v>68.900000000000006</v>
      </c>
      <c r="G28" s="103">
        <v>94.2</v>
      </c>
      <c r="H28" s="103">
        <v>211.7</v>
      </c>
      <c r="I28" s="103">
        <v>195.6</v>
      </c>
      <c r="J28" s="103">
        <v>51.4</v>
      </c>
      <c r="K28" s="103">
        <v>105.5</v>
      </c>
      <c r="L28" s="103">
        <v>34.1</v>
      </c>
      <c r="M28" s="103">
        <v>5.4</v>
      </c>
      <c r="N28" s="102">
        <f t="shared" si="1"/>
        <v>91.2</v>
      </c>
      <c r="O28" s="102">
        <f t="shared" si="2"/>
        <v>621.79999999999995</v>
      </c>
      <c r="P28" s="102">
        <f t="shared" si="3"/>
        <v>145</v>
      </c>
      <c r="Q28" s="102">
        <f t="shared" si="4"/>
        <v>858</v>
      </c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</row>
    <row r="29" spans="1:31">
      <c r="A29" s="102">
        <v>1992</v>
      </c>
      <c r="B29" s="103">
        <v>21</v>
      </c>
      <c r="C29" s="103">
        <v>34.5</v>
      </c>
      <c r="D29" s="103">
        <v>33.6</v>
      </c>
      <c r="E29" s="103">
        <v>128.69999999999999</v>
      </c>
      <c r="F29" s="103">
        <v>76.8</v>
      </c>
      <c r="G29" s="103">
        <v>188.3</v>
      </c>
      <c r="H29" s="103">
        <v>90.5</v>
      </c>
      <c r="I29" s="103">
        <v>113.2</v>
      </c>
      <c r="J29" s="103">
        <v>32.799999999999997</v>
      </c>
      <c r="K29" s="103">
        <v>112.8</v>
      </c>
      <c r="L29" s="103">
        <v>4.2</v>
      </c>
      <c r="M29" s="103">
        <v>11.8</v>
      </c>
      <c r="N29" s="102">
        <f t="shared" si="1"/>
        <v>217.79999999999998</v>
      </c>
      <c r="O29" s="102">
        <f t="shared" si="2"/>
        <v>501.6</v>
      </c>
      <c r="P29" s="102">
        <f t="shared" si="3"/>
        <v>128.80000000000001</v>
      </c>
      <c r="Q29" s="102">
        <f t="shared" si="4"/>
        <v>848.19999999999993</v>
      </c>
      <c r="R29" s="103"/>
      <c r="S29" s="103"/>
      <c r="T29" s="103"/>
      <c r="U29" s="103"/>
      <c r="V29" s="103"/>
      <c r="W29" s="103"/>
      <c r="X29" s="103"/>
      <c r="Y29" s="103"/>
      <c r="Z29" s="103"/>
      <c r="AA29" s="103"/>
      <c r="AB29" s="103"/>
      <c r="AC29" s="103"/>
      <c r="AD29" s="103"/>
      <c r="AE29" s="103"/>
    </row>
    <row r="30" spans="1:31">
      <c r="A30" s="102">
        <v>1993</v>
      </c>
      <c r="B30" s="103">
        <v>22.1</v>
      </c>
      <c r="C30" s="103">
        <v>31.3</v>
      </c>
      <c r="D30" s="103">
        <v>20.5</v>
      </c>
      <c r="E30" s="103">
        <v>71.7</v>
      </c>
      <c r="F30" s="103">
        <v>80.2</v>
      </c>
      <c r="G30" s="103">
        <v>62.5</v>
      </c>
      <c r="H30" s="103">
        <v>254.3</v>
      </c>
      <c r="I30" s="103">
        <v>143.4</v>
      </c>
      <c r="J30" s="103">
        <v>83.1</v>
      </c>
      <c r="K30" s="103">
        <v>38.5</v>
      </c>
      <c r="L30" s="103">
        <v>10.3</v>
      </c>
      <c r="M30" s="103">
        <v>5.6</v>
      </c>
      <c r="N30" s="102">
        <f t="shared" si="1"/>
        <v>145.60000000000002</v>
      </c>
      <c r="O30" s="102">
        <f t="shared" si="2"/>
        <v>623.5</v>
      </c>
      <c r="P30" s="102">
        <f t="shared" si="3"/>
        <v>54.4</v>
      </c>
      <c r="Q30" s="102">
        <f t="shared" si="4"/>
        <v>823.5</v>
      </c>
      <c r="R30" s="103"/>
      <c r="S30" s="103"/>
      <c r="T30" s="103"/>
      <c r="U30" s="103"/>
      <c r="V30" s="103"/>
      <c r="W30" s="103"/>
      <c r="X30" s="103"/>
      <c r="Y30" s="103"/>
      <c r="Z30" s="103"/>
      <c r="AA30" s="103"/>
      <c r="AB30" s="103"/>
      <c r="AC30" s="103"/>
      <c r="AD30" s="103"/>
      <c r="AE30" s="103"/>
    </row>
    <row r="31" spans="1:31">
      <c r="A31" s="102">
        <v>1994</v>
      </c>
      <c r="B31" s="103">
        <v>7.6</v>
      </c>
      <c r="C31" s="103">
        <v>11.9</v>
      </c>
      <c r="D31" s="103">
        <v>59.3</v>
      </c>
      <c r="E31" s="103">
        <v>10</v>
      </c>
      <c r="F31" s="103">
        <v>106</v>
      </c>
      <c r="G31" s="103">
        <v>156.9</v>
      </c>
      <c r="H31" s="103">
        <v>129.4</v>
      </c>
      <c r="I31" s="103">
        <v>216.6</v>
      </c>
      <c r="J31" s="103">
        <v>98.2</v>
      </c>
      <c r="K31" s="103">
        <v>103.9</v>
      </c>
      <c r="L31" s="103">
        <v>31.8</v>
      </c>
      <c r="M31" s="103">
        <v>19.2</v>
      </c>
      <c r="N31" s="102">
        <f t="shared" si="1"/>
        <v>88.8</v>
      </c>
      <c r="O31" s="102">
        <f t="shared" si="2"/>
        <v>707.1</v>
      </c>
      <c r="P31" s="102">
        <f t="shared" si="3"/>
        <v>154.9</v>
      </c>
      <c r="Q31" s="102">
        <f t="shared" si="4"/>
        <v>950.80000000000007</v>
      </c>
      <c r="R31" s="103"/>
      <c r="S31" s="103"/>
      <c r="T31" s="103"/>
      <c r="U31" s="103"/>
      <c r="V31" s="103"/>
      <c r="W31" s="103"/>
      <c r="X31" s="103"/>
      <c r="Y31" s="103"/>
      <c r="Z31" s="103"/>
      <c r="AA31" s="103"/>
      <c r="AB31" s="103"/>
      <c r="AC31" s="103"/>
      <c r="AD31" s="103"/>
      <c r="AE31" s="103"/>
    </row>
    <row r="32" spans="1:31">
      <c r="A32" s="102">
        <v>1995</v>
      </c>
      <c r="B32" s="103">
        <v>22.7</v>
      </c>
      <c r="C32" s="103">
        <v>33.299999999999997</v>
      </c>
      <c r="D32" s="103">
        <v>29.9</v>
      </c>
      <c r="E32" s="103">
        <v>32</v>
      </c>
      <c r="F32" s="103">
        <v>169.3</v>
      </c>
      <c r="G32" s="103">
        <v>183.6</v>
      </c>
      <c r="H32" s="103">
        <v>219.7</v>
      </c>
      <c r="I32" s="103">
        <v>247.3</v>
      </c>
      <c r="J32" s="103">
        <v>141.6</v>
      </c>
      <c r="K32" s="103">
        <v>48</v>
      </c>
      <c r="L32" s="103">
        <v>28.1</v>
      </c>
      <c r="M32" s="103">
        <v>11.3</v>
      </c>
      <c r="N32" s="102">
        <f t="shared" si="1"/>
        <v>117.9</v>
      </c>
      <c r="O32" s="102">
        <f t="shared" si="2"/>
        <v>961.49999999999989</v>
      </c>
      <c r="P32" s="102">
        <f t="shared" si="3"/>
        <v>87.399999999999991</v>
      </c>
      <c r="Q32" s="102">
        <f t="shared" si="4"/>
        <v>1166.7999999999997</v>
      </c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</row>
    <row r="33" spans="1:31">
      <c r="A33" s="102">
        <v>1996</v>
      </c>
      <c r="B33" s="103">
        <v>14.5</v>
      </c>
      <c r="C33" s="103">
        <v>14.4</v>
      </c>
      <c r="D33" s="103">
        <v>26.4</v>
      </c>
      <c r="E33" s="103">
        <v>46.5</v>
      </c>
      <c r="F33" s="103">
        <v>128.69999999999999</v>
      </c>
      <c r="G33" s="103">
        <v>93.2</v>
      </c>
      <c r="H33" s="103">
        <v>322.5</v>
      </c>
      <c r="I33" s="103">
        <v>111.7</v>
      </c>
      <c r="J33" s="103">
        <v>58.5</v>
      </c>
      <c r="K33" s="103">
        <v>17.7</v>
      </c>
      <c r="L33" s="103">
        <v>65.400000000000006</v>
      </c>
      <c r="M33" s="103">
        <v>7.9</v>
      </c>
      <c r="N33" s="102">
        <f t="shared" si="1"/>
        <v>101.8</v>
      </c>
      <c r="O33" s="102">
        <f t="shared" si="2"/>
        <v>714.6</v>
      </c>
      <c r="P33" s="102">
        <f t="shared" si="3"/>
        <v>91.000000000000014</v>
      </c>
      <c r="Q33" s="102">
        <f t="shared" si="4"/>
        <v>907.40000000000009</v>
      </c>
      <c r="R33" s="103"/>
      <c r="S33" s="103"/>
      <c r="T33" s="103"/>
      <c r="U33" s="103"/>
      <c r="V33" s="103"/>
      <c r="W33" s="103"/>
      <c r="X33" s="103"/>
      <c r="Y33" s="103"/>
      <c r="Z33" s="103"/>
      <c r="AA33" s="103"/>
      <c r="AB33" s="103"/>
      <c r="AC33" s="103"/>
      <c r="AD33" s="103"/>
      <c r="AE33" s="103"/>
    </row>
    <row r="34" spans="1:31">
      <c r="A34" s="102">
        <v>1997</v>
      </c>
      <c r="B34" s="102">
        <v>11.4</v>
      </c>
      <c r="C34" s="102">
        <v>31.5</v>
      </c>
      <c r="D34" s="102">
        <v>25.7</v>
      </c>
      <c r="E34" s="102">
        <v>60.5</v>
      </c>
      <c r="F34" s="102">
        <v>94.2</v>
      </c>
      <c r="G34" s="102">
        <v>123.1</v>
      </c>
      <c r="H34" s="102">
        <v>358</v>
      </c>
      <c r="I34" s="102">
        <v>106.3</v>
      </c>
      <c r="J34" s="102">
        <v>195</v>
      </c>
      <c r="K34" s="102">
        <v>34.200000000000003</v>
      </c>
      <c r="L34" s="102">
        <v>4.5999999999999996</v>
      </c>
      <c r="M34" s="102">
        <v>16.5</v>
      </c>
      <c r="N34" s="102">
        <f t="shared" si="1"/>
        <v>129.1</v>
      </c>
      <c r="O34" s="102">
        <f t="shared" si="2"/>
        <v>876.59999999999991</v>
      </c>
      <c r="P34" s="102">
        <f t="shared" si="3"/>
        <v>55.300000000000004</v>
      </c>
      <c r="Q34" s="102">
        <f t="shared" si="4"/>
        <v>1060.9999999999998</v>
      </c>
    </row>
    <row r="35" spans="1:31">
      <c r="A35" s="102">
        <v>1998</v>
      </c>
      <c r="B35" s="102">
        <v>18</v>
      </c>
      <c r="C35" s="102">
        <v>17.399999999999999</v>
      </c>
      <c r="D35" s="102">
        <v>8.6</v>
      </c>
      <c r="E35" s="102">
        <v>33.6</v>
      </c>
      <c r="F35" s="102">
        <v>30.7</v>
      </c>
      <c r="G35" s="102">
        <v>132.69999999999999</v>
      </c>
      <c r="H35" s="102">
        <v>241.4</v>
      </c>
      <c r="I35" s="102">
        <v>311.8</v>
      </c>
      <c r="J35" s="102">
        <v>42.5</v>
      </c>
      <c r="K35" s="102">
        <v>47.8</v>
      </c>
      <c r="L35" s="102">
        <v>24.2</v>
      </c>
      <c r="M35" s="102">
        <v>11</v>
      </c>
      <c r="N35" s="102">
        <f t="shared" si="1"/>
        <v>77.599999999999994</v>
      </c>
      <c r="O35" s="102">
        <f t="shared" si="2"/>
        <v>759.09999999999991</v>
      </c>
      <c r="P35" s="102">
        <f t="shared" si="3"/>
        <v>83</v>
      </c>
      <c r="Q35" s="102">
        <f t="shared" si="4"/>
        <v>919.7</v>
      </c>
    </row>
    <row r="36" spans="1:31">
      <c r="A36" s="102">
        <v>1999</v>
      </c>
      <c r="B36" s="102">
        <v>25.7</v>
      </c>
      <c r="C36" s="102">
        <v>11.9</v>
      </c>
      <c r="D36" s="102">
        <v>10.5</v>
      </c>
      <c r="E36" s="102">
        <v>39.9</v>
      </c>
      <c r="F36" s="102">
        <v>74.3</v>
      </c>
      <c r="G36" s="102">
        <v>132.5</v>
      </c>
      <c r="H36" s="102">
        <v>231</v>
      </c>
      <c r="I36" s="102">
        <v>152</v>
      </c>
      <c r="J36" s="102">
        <v>122.8</v>
      </c>
      <c r="K36" s="102">
        <v>25.8</v>
      </c>
      <c r="L36" s="102">
        <v>35.5</v>
      </c>
      <c r="M36" s="102">
        <v>4.5</v>
      </c>
      <c r="N36" s="102">
        <f t="shared" si="1"/>
        <v>88</v>
      </c>
      <c r="O36" s="102">
        <f t="shared" si="2"/>
        <v>712.59999999999991</v>
      </c>
      <c r="P36" s="102">
        <f t="shared" si="3"/>
        <v>65.8</v>
      </c>
      <c r="Q36" s="102">
        <f t="shared" si="4"/>
        <v>866.39999999999986</v>
      </c>
    </row>
    <row r="37" spans="1:31">
      <c r="A37" s="102">
        <v>2000</v>
      </c>
      <c r="B37" s="102">
        <v>27.2</v>
      </c>
      <c r="C37" s="102">
        <v>18.899999999999999</v>
      </c>
      <c r="D37" s="102">
        <v>42.4</v>
      </c>
      <c r="E37" s="102">
        <v>56.9</v>
      </c>
      <c r="F37" s="102">
        <v>74</v>
      </c>
      <c r="G37" s="102">
        <v>311.10000000000002</v>
      </c>
      <c r="H37" s="102">
        <v>156.19999999999999</v>
      </c>
      <c r="I37" s="102">
        <v>220.7</v>
      </c>
      <c r="J37" s="102">
        <v>71</v>
      </c>
      <c r="K37" s="102">
        <v>70.900000000000006</v>
      </c>
      <c r="L37" s="102">
        <v>11.1</v>
      </c>
      <c r="M37" s="102">
        <v>7</v>
      </c>
      <c r="N37" s="102">
        <f t="shared" si="1"/>
        <v>145.4</v>
      </c>
      <c r="O37" s="102">
        <f t="shared" si="2"/>
        <v>833</v>
      </c>
      <c r="P37" s="102">
        <f t="shared" si="3"/>
        <v>89</v>
      </c>
      <c r="Q37" s="102">
        <f t="shared" si="4"/>
        <v>1067.4000000000001</v>
      </c>
    </row>
    <row r="38" spans="1:31">
      <c r="A38" s="102">
        <v>2001</v>
      </c>
      <c r="B38" s="102">
        <v>7.6</v>
      </c>
      <c r="C38" s="102">
        <v>17.399999999999999</v>
      </c>
      <c r="D38" s="102">
        <v>29.1</v>
      </c>
      <c r="E38" s="102">
        <v>54.7</v>
      </c>
      <c r="F38" s="102">
        <v>116.3</v>
      </c>
      <c r="G38" s="102">
        <v>160.19999999999999</v>
      </c>
      <c r="H38" s="102">
        <v>185.4</v>
      </c>
      <c r="I38" s="102">
        <v>171.4</v>
      </c>
      <c r="J38" s="102">
        <v>19.5</v>
      </c>
      <c r="K38" s="102">
        <v>85.5</v>
      </c>
      <c r="L38" s="102">
        <v>20.100000000000001</v>
      </c>
      <c r="M38" s="102">
        <v>9.6999999999999993</v>
      </c>
      <c r="N38" s="102">
        <f t="shared" si="1"/>
        <v>108.80000000000001</v>
      </c>
      <c r="O38" s="102">
        <f t="shared" si="2"/>
        <v>652.79999999999995</v>
      </c>
      <c r="P38" s="102">
        <f t="shared" si="3"/>
        <v>115.3</v>
      </c>
      <c r="Q38" s="102">
        <f t="shared" si="4"/>
        <v>876.90000000000009</v>
      </c>
    </row>
    <row r="39" spans="1:31">
      <c r="A39" s="102">
        <v>2002</v>
      </c>
      <c r="B39" s="102">
        <v>23.9</v>
      </c>
      <c r="C39" s="102">
        <v>15</v>
      </c>
      <c r="D39" s="102">
        <v>34.9</v>
      </c>
      <c r="E39" s="102">
        <v>53.1</v>
      </c>
      <c r="F39" s="102">
        <v>113.2</v>
      </c>
      <c r="G39" s="102">
        <v>122</v>
      </c>
      <c r="H39" s="102">
        <v>117.7</v>
      </c>
      <c r="I39" s="102">
        <v>148.30000000000001</v>
      </c>
      <c r="J39" s="102">
        <v>24.7</v>
      </c>
      <c r="K39" s="102">
        <v>32</v>
      </c>
      <c r="L39" s="102">
        <v>17</v>
      </c>
      <c r="M39" s="102">
        <v>13.8</v>
      </c>
      <c r="N39" s="102">
        <f t="shared" si="1"/>
        <v>126.9</v>
      </c>
      <c r="O39" s="102">
        <f t="shared" si="2"/>
        <v>525.9</v>
      </c>
      <c r="P39" s="102">
        <f t="shared" si="3"/>
        <v>62.8</v>
      </c>
      <c r="Q39" s="102">
        <f t="shared" si="4"/>
        <v>715.6</v>
      </c>
    </row>
    <row r="40" spans="1:31">
      <c r="A40" s="102">
        <v>2003</v>
      </c>
      <c r="B40" s="102">
        <v>12.8</v>
      </c>
      <c r="C40" s="102">
        <v>3.8</v>
      </c>
      <c r="D40" s="102">
        <v>21.1</v>
      </c>
      <c r="E40" s="102">
        <v>19.2</v>
      </c>
      <c r="F40" s="102">
        <v>62.5</v>
      </c>
      <c r="G40" s="102">
        <v>266.2</v>
      </c>
      <c r="H40" s="102">
        <v>133.4</v>
      </c>
      <c r="I40" s="102">
        <v>74.599999999999994</v>
      </c>
      <c r="J40" s="102">
        <v>91.4</v>
      </c>
      <c r="K40" s="102">
        <v>44.3</v>
      </c>
      <c r="L40" s="102">
        <v>20.2</v>
      </c>
      <c r="M40" s="102">
        <v>35.4</v>
      </c>
      <c r="N40" s="102">
        <f t="shared" si="1"/>
        <v>56.900000000000006</v>
      </c>
      <c r="O40" s="102">
        <f t="shared" si="2"/>
        <v>628.1</v>
      </c>
      <c r="P40" s="102">
        <f t="shared" si="3"/>
        <v>99.9</v>
      </c>
      <c r="Q40" s="102">
        <f t="shared" si="4"/>
        <v>784.9</v>
      </c>
    </row>
    <row r="41" spans="1:31">
      <c r="A41" s="102">
        <v>2004</v>
      </c>
      <c r="B41" s="102">
        <v>15.9</v>
      </c>
      <c r="C41" s="102">
        <v>17.600000000000001</v>
      </c>
      <c r="D41" s="102">
        <v>29.8</v>
      </c>
      <c r="E41" s="102">
        <v>74.400000000000006</v>
      </c>
      <c r="F41" s="102">
        <v>80.099999999999994</v>
      </c>
      <c r="G41" s="102">
        <v>197.9</v>
      </c>
      <c r="H41" s="102">
        <v>165.2</v>
      </c>
      <c r="I41" s="102">
        <v>177</v>
      </c>
      <c r="J41" s="102">
        <v>120.5</v>
      </c>
      <c r="K41" s="102">
        <v>25.2</v>
      </c>
      <c r="L41" s="102">
        <v>25.9</v>
      </c>
      <c r="M41" s="102">
        <v>8</v>
      </c>
      <c r="N41" s="102">
        <f t="shared" si="1"/>
        <v>137.69999999999999</v>
      </c>
      <c r="O41" s="102">
        <f t="shared" si="2"/>
        <v>740.7</v>
      </c>
      <c r="P41" s="102">
        <f t="shared" si="3"/>
        <v>59.099999999999994</v>
      </c>
      <c r="Q41" s="102">
        <f t="shared" si="4"/>
        <v>937.5</v>
      </c>
    </row>
    <row r="42" spans="1:31">
      <c r="A42" s="102">
        <v>2005</v>
      </c>
      <c r="B42" s="102">
        <v>20.6</v>
      </c>
      <c r="C42" s="102">
        <v>11.9</v>
      </c>
      <c r="D42" s="102">
        <v>32.9</v>
      </c>
      <c r="E42" s="102">
        <v>70.599999999999994</v>
      </c>
      <c r="F42" s="102">
        <v>146.30000000000001</v>
      </c>
      <c r="G42" s="102">
        <v>82.4</v>
      </c>
      <c r="H42" s="102">
        <v>191.8</v>
      </c>
      <c r="I42" s="102">
        <v>116.6</v>
      </c>
      <c r="J42" s="102">
        <v>70.7</v>
      </c>
      <c r="K42" s="102">
        <v>25.4</v>
      </c>
      <c r="L42" s="102">
        <v>23.1</v>
      </c>
      <c r="M42" s="102">
        <v>22.2</v>
      </c>
      <c r="N42" s="102">
        <f t="shared" si="1"/>
        <v>136</v>
      </c>
      <c r="O42" s="102">
        <f t="shared" si="2"/>
        <v>607.80000000000007</v>
      </c>
      <c r="P42" s="102">
        <f t="shared" si="3"/>
        <v>70.7</v>
      </c>
      <c r="Q42" s="102">
        <f t="shared" si="4"/>
        <v>814.50000000000011</v>
      </c>
    </row>
    <row r="43" spans="1:31">
      <c r="A43" s="102">
        <v>2006</v>
      </c>
      <c r="B43" s="102">
        <v>15.6</v>
      </c>
      <c r="C43" s="102">
        <v>23.6</v>
      </c>
      <c r="D43" s="102">
        <v>25.4</v>
      </c>
      <c r="E43" s="102">
        <v>37</v>
      </c>
      <c r="F43" s="102">
        <v>122.6</v>
      </c>
      <c r="G43" s="102">
        <v>228.4</v>
      </c>
      <c r="H43" s="102">
        <v>115.9</v>
      </c>
      <c r="I43" s="102">
        <v>58.4</v>
      </c>
      <c r="J43" s="102">
        <v>74.099999999999994</v>
      </c>
      <c r="K43" s="102">
        <v>79.599999999999994</v>
      </c>
      <c r="L43" s="102">
        <v>38.700000000000003</v>
      </c>
      <c r="M43" s="102">
        <v>14.8</v>
      </c>
      <c r="N43" s="102">
        <f t="shared" si="1"/>
        <v>101.6</v>
      </c>
      <c r="O43" s="102">
        <f t="shared" si="2"/>
        <v>599.4</v>
      </c>
      <c r="P43" s="102">
        <f t="shared" si="3"/>
        <v>133.1</v>
      </c>
      <c r="Q43" s="102">
        <f t="shared" si="4"/>
        <v>834.1</v>
      </c>
    </row>
    <row r="44" spans="1:31">
      <c r="A44" s="102">
        <v>2007</v>
      </c>
      <c r="B44" s="102">
        <v>33.1</v>
      </c>
      <c r="C44" s="102">
        <v>3.6</v>
      </c>
      <c r="D44" s="102">
        <v>14.6</v>
      </c>
      <c r="E44" s="102">
        <v>47.4</v>
      </c>
      <c r="F44" s="102">
        <v>75.400000000000006</v>
      </c>
      <c r="G44" s="102">
        <v>104.9</v>
      </c>
      <c r="H44" s="102">
        <v>170</v>
      </c>
      <c r="I44" s="102">
        <v>137.1</v>
      </c>
      <c r="J44" s="102">
        <v>112.1</v>
      </c>
      <c r="K44" s="102">
        <v>50.7</v>
      </c>
      <c r="L44" s="102">
        <v>9</v>
      </c>
      <c r="M44" s="102">
        <v>30</v>
      </c>
      <c r="N44" s="102">
        <f t="shared" si="1"/>
        <v>98.7</v>
      </c>
      <c r="O44" s="102">
        <f t="shared" si="2"/>
        <v>599.5</v>
      </c>
      <c r="P44" s="102">
        <f t="shared" si="3"/>
        <v>89.7</v>
      </c>
      <c r="Q44" s="102">
        <f t="shared" si="4"/>
        <v>787.90000000000009</v>
      </c>
    </row>
    <row r="45" spans="1:31">
      <c r="A45" s="102">
        <v>2008</v>
      </c>
      <c r="B45" s="102">
        <v>12.7</v>
      </c>
      <c r="C45" s="102">
        <v>10.9</v>
      </c>
      <c r="D45" s="102">
        <v>25.2</v>
      </c>
      <c r="E45" s="102">
        <v>38.200000000000003</v>
      </c>
      <c r="F45" s="102">
        <v>106.4</v>
      </c>
      <c r="G45" s="102">
        <v>218</v>
      </c>
      <c r="H45" s="102">
        <v>176.1</v>
      </c>
      <c r="I45" s="102">
        <v>141.80000000000001</v>
      </c>
      <c r="J45" s="102">
        <v>86.3</v>
      </c>
      <c r="K45" s="102">
        <v>135.5</v>
      </c>
      <c r="L45" s="102">
        <v>54.2</v>
      </c>
      <c r="M45" s="102">
        <v>10.9</v>
      </c>
      <c r="N45" s="102">
        <f t="shared" si="1"/>
        <v>87</v>
      </c>
      <c r="O45" s="102">
        <f t="shared" si="2"/>
        <v>728.59999999999991</v>
      </c>
      <c r="P45" s="102">
        <f t="shared" si="3"/>
        <v>200.6</v>
      </c>
      <c r="Q45" s="102">
        <f t="shared" si="4"/>
        <v>1016.1999999999999</v>
      </c>
    </row>
    <row r="46" spans="1:31">
      <c r="A46" s="102">
        <v>2009</v>
      </c>
      <c r="B46" s="102">
        <v>21.3</v>
      </c>
      <c r="C46" s="102">
        <v>7.5</v>
      </c>
      <c r="D46" s="102">
        <v>17.7</v>
      </c>
      <c r="E46" s="102">
        <v>43</v>
      </c>
      <c r="F46" s="102">
        <v>46.6</v>
      </c>
      <c r="G46" s="102">
        <v>149.6</v>
      </c>
      <c r="H46" s="102">
        <v>79.2</v>
      </c>
      <c r="I46" s="102">
        <v>183.9</v>
      </c>
      <c r="J46" s="102">
        <v>14.2</v>
      </c>
      <c r="K46" s="102">
        <v>35.4</v>
      </c>
      <c r="L46" s="102">
        <v>9.1999999999999993</v>
      </c>
      <c r="M46" s="102">
        <v>12.7</v>
      </c>
      <c r="N46" s="102">
        <f t="shared" si="1"/>
        <v>89.5</v>
      </c>
      <c r="O46" s="102">
        <f t="shared" si="2"/>
        <v>473.49999999999994</v>
      </c>
      <c r="P46" s="102">
        <f t="shared" si="3"/>
        <v>57.3</v>
      </c>
      <c r="Q46" s="102">
        <f t="shared" si="4"/>
        <v>620.30000000000007</v>
      </c>
    </row>
    <row r="47" spans="1:31">
      <c r="A47" s="102">
        <v>2010</v>
      </c>
      <c r="B47" s="102">
        <v>6.6</v>
      </c>
      <c r="C47" s="102">
        <v>9.5</v>
      </c>
      <c r="D47" s="102">
        <v>17.8</v>
      </c>
      <c r="E47" s="102">
        <v>35.6</v>
      </c>
      <c r="F47" s="102">
        <v>53.2</v>
      </c>
      <c r="G47" s="102">
        <v>83.4</v>
      </c>
      <c r="H47" s="102">
        <v>288.2</v>
      </c>
      <c r="I47" s="102">
        <v>27.4</v>
      </c>
      <c r="J47" s="102">
        <v>67.5</v>
      </c>
      <c r="K47" s="102">
        <v>68.099999999999994</v>
      </c>
      <c r="L47" s="102">
        <v>16.100000000000001</v>
      </c>
      <c r="M47" s="102">
        <v>9.1</v>
      </c>
      <c r="N47" s="102">
        <f t="shared" si="1"/>
        <v>69.5</v>
      </c>
      <c r="O47" s="102">
        <f t="shared" si="2"/>
        <v>519.70000000000005</v>
      </c>
      <c r="P47" s="102">
        <f t="shared" si="3"/>
        <v>93.299999999999983</v>
      </c>
      <c r="Q47" s="102">
        <f t="shared" si="4"/>
        <v>682.50000000000011</v>
      </c>
    </row>
    <row r="48" spans="1:31">
      <c r="A48" s="102">
        <v>2011</v>
      </c>
      <c r="B48" s="102">
        <v>4.5</v>
      </c>
      <c r="C48" s="102">
        <v>9</v>
      </c>
      <c r="D48" s="102">
        <v>13.5</v>
      </c>
      <c r="E48" s="102">
        <v>15</v>
      </c>
      <c r="F48" s="102">
        <v>25.5</v>
      </c>
      <c r="G48" s="102">
        <v>208</v>
      </c>
      <c r="H48" s="102">
        <v>74.5</v>
      </c>
      <c r="I48" s="102">
        <v>40</v>
      </c>
      <c r="J48" s="102">
        <v>61.5</v>
      </c>
      <c r="K48" s="102">
        <v>94</v>
      </c>
      <c r="L48" s="102">
        <v>27</v>
      </c>
      <c r="M48" s="102">
        <v>21.5</v>
      </c>
      <c r="N48" s="102">
        <f t="shared" si="1"/>
        <v>42</v>
      </c>
      <c r="O48" s="102">
        <f t="shared" si="2"/>
        <v>409.5</v>
      </c>
      <c r="P48" s="102">
        <f t="shared" si="3"/>
        <v>142.5</v>
      </c>
      <c r="Q48" s="102">
        <f t="shared" si="4"/>
        <v>594</v>
      </c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</row>
    <row r="49" spans="1:33">
      <c r="A49" s="102">
        <v>2012</v>
      </c>
      <c r="B49" s="102">
        <v>7</v>
      </c>
      <c r="C49" s="102">
        <v>9.5</v>
      </c>
      <c r="D49" s="102">
        <v>8.5</v>
      </c>
      <c r="E49" s="102">
        <v>38.5</v>
      </c>
      <c r="F49" s="102">
        <v>53</v>
      </c>
      <c r="G49" s="102">
        <v>125.5</v>
      </c>
      <c r="H49" s="102">
        <v>357.5</v>
      </c>
      <c r="I49" s="102">
        <v>53.5</v>
      </c>
      <c r="J49" s="102">
        <v>111.5</v>
      </c>
      <c r="K49" s="102">
        <v>35</v>
      </c>
      <c r="L49" s="102">
        <v>7</v>
      </c>
      <c r="M49" s="102">
        <v>5</v>
      </c>
      <c r="N49" s="102">
        <f t="shared" si="1"/>
        <v>63.5</v>
      </c>
      <c r="O49" s="102">
        <f t="shared" si="2"/>
        <v>701</v>
      </c>
      <c r="P49" s="102">
        <f t="shared" si="3"/>
        <v>47</v>
      </c>
      <c r="Q49" s="102">
        <f t="shared" si="4"/>
        <v>811.5</v>
      </c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  <c r="AD49" s="104"/>
      <c r="AE49" s="104"/>
      <c r="AF49" s="104"/>
      <c r="AG49" s="104"/>
    </row>
    <row r="50" spans="1:33">
      <c r="A50" s="102">
        <v>2013</v>
      </c>
      <c r="B50" s="102">
        <v>3.5</v>
      </c>
      <c r="C50" s="102">
        <v>2.5</v>
      </c>
      <c r="D50" s="102">
        <v>31.5</v>
      </c>
      <c r="E50" s="102">
        <v>36</v>
      </c>
      <c r="F50" s="102">
        <v>168.5</v>
      </c>
      <c r="G50" s="102">
        <v>130</v>
      </c>
      <c r="H50" s="102">
        <v>59</v>
      </c>
      <c r="I50" s="102">
        <v>225</v>
      </c>
      <c r="J50" s="102">
        <v>68.5</v>
      </c>
      <c r="K50" s="102">
        <v>49.5</v>
      </c>
      <c r="L50" s="102">
        <v>10.5</v>
      </c>
      <c r="M50" s="102">
        <v>7</v>
      </c>
      <c r="N50" s="102">
        <f t="shared" si="1"/>
        <v>73.5</v>
      </c>
      <c r="O50" s="102">
        <f t="shared" si="2"/>
        <v>651</v>
      </c>
      <c r="P50" s="102">
        <f t="shared" si="3"/>
        <v>67</v>
      </c>
      <c r="Q50" s="102">
        <f t="shared" si="4"/>
        <v>791.5</v>
      </c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</row>
    <row r="51" spans="1:33">
      <c r="A51" s="102">
        <v>2014</v>
      </c>
      <c r="B51" s="128">
        <v>7</v>
      </c>
      <c r="C51" s="128">
        <v>8</v>
      </c>
      <c r="D51" s="128">
        <v>52.5</v>
      </c>
      <c r="E51" s="128">
        <v>45</v>
      </c>
      <c r="F51" s="128">
        <v>48.5</v>
      </c>
      <c r="G51" s="128">
        <v>80</v>
      </c>
      <c r="H51" s="128">
        <v>258.5</v>
      </c>
      <c r="I51" s="128">
        <v>267.5</v>
      </c>
      <c r="J51" s="128">
        <v>82</v>
      </c>
      <c r="K51" s="128">
        <v>61.5</v>
      </c>
      <c r="L51" s="128">
        <v>21.5</v>
      </c>
      <c r="M51" s="128">
        <v>9</v>
      </c>
      <c r="N51" s="102">
        <f t="shared" si="1"/>
        <v>112.5</v>
      </c>
      <c r="O51" s="102">
        <f t="shared" si="2"/>
        <v>736.5</v>
      </c>
      <c r="P51" s="102">
        <f t="shared" si="3"/>
        <v>92</v>
      </c>
      <c r="Q51" s="102">
        <f t="shared" si="4"/>
        <v>941</v>
      </c>
    </row>
    <row r="52" spans="1:33">
      <c r="A52" s="102">
        <v>2015</v>
      </c>
      <c r="B52" s="128">
        <v>15.5</v>
      </c>
      <c r="C52" s="128">
        <v>5.5</v>
      </c>
      <c r="D52" s="128">
        <v>44</v>
      </c>
      <c r="E52" s="128">
        <v>53.5</v>
      </c>
      <c r="F52" s="128">
        <v>187.5</v>
      </c>
      <c r="G52" s="128">
        <v>123.5</v>
      </c>
      <c r="H52" s="128">
        <v>87</v>
      </c>
      <c r="I52" s="128">
        <v>259.5</v>
      </c>
      <c r="J52" s="128">
        <v>97.5</v>
      </c>
      <c r="K52" s="128">
        <v>91</v>
      </c>
      <c r="L52" s="128">
        <v>1</v>
      </c>
      <c r="M52" s="128">
        <v>9</v>
      </c>
      <c r="N52" s="102">
        <f t="shared" si="1"/>
        <v>118.5</v>
      </c>
      <c r="O52" s="102">
        <f t="shared" si="2"/>
        <v>755</v>
      </c>
      <c r="P52" s="102">
        <f t="shared" si="3"/>
        <v>101</v>
      </c>
      <c r="Q52" s="102">
        <f t="shared" si="4"/>
        <v>974.5</v>
      </c>
    </row>
    <row r="53" spans="1:33">
      <c r="A53" s="102">
        <v>2016</v>
      </c>
      <c r="B53" s="128">
        <v>4</v>
      </c>
      <c r="C53" s="128">
        <v>4</v>
      </c>
      <c r="D53" s="128">
        <v>29.5</v>
      </c>
      <c r="E53" s="128">
        <v>108.5</v>
      </c>
      <c r="F53" s="128">
        <v>161.5</v>
      </c>
      <c r="G53" s="128">
        <v>257.5</v>
      </c>
      <c r="H53" s="128">
        <v>112.5</v>
      </c>
      <c r="I53" s="128">
        <v>222.5</v>
      </c>
      <c r="J53" s="128">
        <v>101</v>
      </c>
      <c r="K53" s="128">
        <v>44</v>
      </c>
      <c r="L53" s="128">
        <v>18.5</v>
      </c>
      <c r="M53" s="128">
        <v>7</v>
      </c>
      <c r="N53" s="102">
        <f>SUM(B53:E53)</f>
        <v>146</v>
      </c>
      <c r="O53" s="102">
        <f>SUM(F53:J53)</f>
        <v>855</v>
      </c>
      <c r="P53" s="102">
        <f>SUM(K53:M53)</f>
        <v>69.5</v>
      </c>
      <c r="Q53" s="102">
        <f>SUM(B53:M53)</f>
        <v>1070.5</v>
      </c>
      <c r="R53" s="108">
        <f t="shared" ref="R53:AG53" si="5">100*(B53-B4)/B4</f>
        <v>-70.856102003642988</v>
      </c>
      <c r="S53" s="108">
        <f t="shared" si="5"/>
        <v>-71.492204899777278</v>
      </c>
      <c r="T53" s="108">
        <f t="shared" si="5"/>
        <v>20.305862361937134</v>
      </c>
      <c r="U53" s="108">
        <f t="shared" si="5"/>
        <v>121.35328119687179</v>
      </c>
      <c r="V53" s="108">
        <f t="shared" si="5"/>
        <v>60.843223504025211</v>
      </c>
      <c r="W53" s="108">
        <f t="shared" si="5"/>
        <v>63.797558939291555</v>
      </c>
      <c r="X53" s="108">
        <f t="shared" si="5"/>
        <v>-35.913411898743178</v>
      </c>
      <c r="Y53" s="108">
        <f t="shared" si="5"/>
        <v>45.788115811458283</v>
      </c>
      <c r="Z53" s="108">
        <f t="shared" si="5"/>
        <v>3.2411942586992644</v>
      </c>
      <c r="AA53" s="108">
        <f t="shared" si="5"/>
        <v>-22.149729072210555</v>
      </c>
      <c r="AB53" s="108">
        <f t="shared" si="5"/>
        <v>-28.577173650768117</v>
      </c>
      <c r="AC53" s="108">
        <f t="shared" si="5"/>
        <v>-41.978932826800204</v>
      </c>
      <c r="AD53" s="108">
        <f t="shared" si="5"/>
        <v>44.135250200530592</v>
      </c>
      <c r="AE53" s="108">
        <f t="shared" si="5"/>
        <v>25.07199868345268</v>
      </c>
      <c r="AF53" s="108">
        <f t="shared" si="5"/>
        <v>-26.44367517033054</v>
      </c>
      <c r="AG53" s="108">
        <f t="shared" si="5"/>
        <v>21.732744222409075</v>
      </c>
    </row>
  </sheetData>
  <mergeCells count="6">
    <mergeCell ref="A1:A3"/>
    <mergeCell ref="B2:M2"/>
    <mergeCell ref="B1:Q1"/>
    <mergeCell ref="R1:AG1"/>
    <mergeCell ref="N2:Q2"/>
    <mergeCell ref="R2:AG2"/>
  </mergeCells>
  <phoneticPr fontId="2" type="noConversion"/>
  <pageMargins left="0.75" right="0.75" top="1" bottom="1" header="0.5" footer="0.5"/>
  <headerFooter alignWithMargins="0"/>
</worksheet>
</file>

<file path=xl/worksheets/sheet71.xml><?xml version="1.0" encoding="utf-8"?>
<worksheet xmlns="http://schemas.openxmlformats.org/spreadsheetml/2006/main" xmlns:r="http://schemas.openxmlformats.org/officeDocument/2006/relationships">
  <sheetPr codeName="Sheet71"/>
  <dimension ref="A1:AG37"/>
  <sheetViews>
    <sheetView topLeftCell="C1" zoomScaleNormal="100" workbookViewId="0">
      <pane ySplit="5" topLeftCell="A6" activePane="bottomLeft" state="frozen"/>
      <selection pane="bottomLeft" activeCell="R37" sqref="R37"/>
    </sheetView>
  </sheetViews>
  <sheetFormatPr defaultRowHeight="12"/>
  <cols>
    <col min="1" max="1" width="7.875" style="102" bestFit="1" customWidth="1"/>
    <col min="2" max="2" width="7" style="102" bestFit="1" customWidth="1"/>
    <col min="3" max="4" width="6.125" style="102" bestFit="1" customWidth="1"/>
    <col min="5" max="5" width="7" style="102" bestFit="1" customWidth="1"/>
    <col min="6" max="10" width="8" style="102" bestFit="1" customWidth="1"/>
    <col min="11" max="11" width="7" style="102" bestFit="1" customWidth="1"/>
    <col min="12" max="13" width="6.125" style="102" bestFit="1" customWidth="1"/>
    <col min="14" max="14" width="7.75" style="102" bestFit="1" customWidth="1"/>
    <col min="15" max="15" width="7.875" style="102" bestFit="1" customWidth="1"/>
    <col min="16" max="16" width="9.5" style="102" bestFit="1" customWidth="1"/>
    <col min="17" max="17" width="8.625" style="102" bestFit="1" customWidth="1"/>
    <col min="18" max="18" width="7.5" style="102" bestFit="1" customWidth="1"/>
    <col min="19" max="19" width="7.875" style="102" bestFit="1" customWidth="1"/>
    <col min="20" max="21" width="7" style="102" bestFit="1" customWidth="1"/>
    <col min="22" max="22" width="6.125" style="102" bestFit="1" customWidth="1"/>
    <col min="23" max="27" width="7" style="102" bestFit="1" customWidth="1"/>
    <col min="28" max="28" width="7.875" style="102" bestFit="1" customWidth="1"/>
    <col min="29" max="33" width="7" style="102" bestFit="1" customWidth="1"/>
    <col min="34" max="34" width="7.125" style="102" customWidth="1"/>
    <col min="35" max="16384" width="9" style="102"/>
  </cols>
  <sheetData>
    <row r="1" spans="1:33" s="118" customFormat="1" ht="14.25" customHeight="1">
      <c r="A1" s="176" t="s">
        <v>53</v>
      </c>
      <c r="B1" s="176" t="s">
        <v>171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2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116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32</v>
      </c>
      <c r="O2" s="176"/>
      <c r="P2" s="176"/>
      <c r="Q2" s="176"/>
      <c r="R2" s="176" t="s">
        <v>38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>
      <c r="A3" s="176"/>
      <c r="B3" s="125" t="s">
        <v>149</v>
      </c>
      <c r="C3" s="125" t="s">
        <v>150</v>
      </c>
      <c r="D3" s="125" t="s">
        <v>9</v>
      </c>
      <c r="E3" s="125" t="s">
        <v>10</v>
      </c>
      <c r="F3" s="125" t="s">
        <v>11</v>
      </c>
      <c r="G3" s="125" t="s">
        <v>12</v>
      </c>
      <c r="H3" s="125" t="s">
        <v>13</v>
      </c>
      <c r="I3" s="125" t="s">
        <v>14</v>
      </c>
      <c r="J3" s="125" t="s">
        <v>15</v>
      </c>
      <c r="K3" s="125" t="s">
        <v>16</v>
      </c>
      <c r="L3" s="125" t="s">
        <v>17</v>
      </c>
      <c r="M3" s="125" t="s">
        <v>18</v>
      </c>
      <c r="N3" s="125" t="s">
        <v>145</v>
      </c>
      <c r="O3" s="125" t="s">
        <v>146</v>
      </c>
      <c r="P3" s="125" t="s">
        <v>147</v>
      </c>
      <c r="Q3" s="125" t="s">
        <v>148</v>
      </c>
      <c r="R3" s="125" t="s">
        <v>149</v>
      </c>
      <c r="S3" s="125" t="s">
        <v>150</v>
      </c>
      <c r="T3" s="125" t="s">
        <v>151</v>
      </c>
      <c r="U3" s="125" t="s">
        <v>152</v>
      </c>
      <c r="V3" s="125" t="s">
        <v>153</v>
      </c>
      <c r="W3" s="125" t="s">
        <v>154</v>
      </c>
      <c r="X3" s="125" t="s">
        <v>25</v>
      </c>
      <c r="Y3" s="125" t="s">
        <v>26</v>
      </c>
      <c r="Z3" s="125" t="s">
        <v>27</v>
      </c>
      <c r="AA3" s="125" t="s">
        <v>155</v>
      </c>
      <c r="AB3" s="125" t="s">
        <v>156</v>
      </c>
      <c r="AC3" s="125" t="s">
        <v>157</v>
      </c>
      <c r="AD3" s="125" t="s">
        <v>132</v>
      </c>
      <c r="AE3" s="125" t="s">
        <v>42</v>
      </c>
      <c r="AF3" s="125" t="s">
        <v>91</v>
      </c>
      <c r="AG3" s="125" t="s">
        <v>66</v>
      </c>
    </row>
    <row r="4" spans="1:33" s="118" customFormat="1">
      <c r="A4" s="150" t="s">
        <v>261</v>
      </c>
      <c r="B4" s="150">
        <f t="shared" ref="B4:Q4" si="0">AVERAGE(B5:B36)</f>
        <v>12.534375000000002</v>
      </c>
      <c r="C4" s="150">
        <f t="shared" si="0"/>
        <v>10.756250000000001</v>
      </c>
      <c r="D4" s="150">
        <f t="shared" si="0"/>
        <v>20.006250000000001</v>
      </c>
      <c r="E4" s="150">
        <f t="shared" si="0"/>
        <v>41.28125</v>
      </c>
      <c r="F4" s="150">
        <f t="shared" si="0"/>
        <v>91.368749999999991</v>
      </c>
      <c r="G4" s="150">
        <f t="shared" si="0"/>
        <v>175.95312500000003</v>
      </c>
      <c r="H4" s="150">
        <f t="shared" si="0"/>
        <v>174.64374999999998</v>
      </c>
      <c r="I4" s="150">
        <f t="shared" si="0"/>
        <v>148.65312499999999</v>
      </c>
      <c r="J4" s="150">
        <f t="shared" si="0"/>
        <v>103.85312499999999</v>
      </c>
      <c r="K4" s="150">
        <f t="shared" si="0"/>
        <v>62.937499999999993</v>
      </c>
      <c r="L4" s="150">
        <f t="shared" si="0"/>
        <v>16.443749999999998</v>
      </c>
      <c r="M4" s="150">
        <f t="shared" si="0"/>
        <v>8.3843750000000004</v>
      </c>
      <c r="N4" s="150">
        <f t="shared" si="0"/>
        <v>84.578125</v>
      </c>
      <c r="O4" s="150">
        <f t="shared" si="0"/>
        <v>694.47187499999995</v>
      </c>
      <c r="P4" s="150">
        <f t="shared" si="0"/>
        <v>87.765624999999986</v>
      </c>
      <c r="Q4" s="150">
        <f t="shared" si="0"/>
        <v>866.81562500000007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1984</v>
      </c>
      <c r="B5" s="102">
        <v>7.2</v>
      </c>
      <c r="C5" s="102">
        <v>5.6</v>
      </c>
      <c r="D5" s="102">
        <v>10</v>
      </c>
      <c r="E5" s="102">
        <v>53.9</v>
      </c>
      <c r="F5" s="102">
        <v>230.3</v>
      </c>
      <c r="G5" s="102">
        <v>74.900000000000006</v>
      </c>
      <c r="H5" s="102">
        <v>298.5</v>
      </c>
      <c r="I5" s="102">
        <v>173.3</v>
      </c>
      <c r="J5" s="102">
        <v>35.4</v>
      </c>
      <c r="K5" s="102">
        <v>24.5</v>
      </c>
      <c r="L5" s="102">
        <v>4.8</v>
      </c>
      <c r="M5" s="102">
        <v>13.4</v>
      </c>
      <c r="N5" s="102">
        <f>SUM(B5:E5)</f>
        <v>76.7</v>
      </c>
      <c r="O5" s="102">
        <f>SUM(F5:J5)</f>
        <v>812.4</v>
      </c>
      <c r="P5" s="102">
        <f>SUM(K5:M5)</f>
        <v>42.7</v>
      </c>
      <c r="Q5" s="102">
        <f>SUM(B5:M5)</f>
        <v>931.8</v>
      </c>
    </row>
    <row r="6" spans="1:33">
      <c r="A6" s="102">
        <v>1985</v>
      </c>
      <c r="B6" s="102">
        <v>6.3</v>
      </c>
      <c r="C6" s="102">
        <v>10.7</v>
      </c>
      <c r="D6" s="102">
        <v>27.8</v>
      </c>
      <c r="E6" s="102">
        <v>76.400000000000006</v>
      </c>
      <c r="F6" s="102">
        <v>87</v>
      </c>
      <c r="G6" s="102">
        <v>262.3</v>
      </c>
      <c r="H6" s="102">
        <v>198.5</v>
      </c>
      <c r="I6" s="102">
        <v>110.5</v>
      </c>
      <c r="J6" s="102">
        <v>97.1</v>
      </c>
      <c r="K6" s="102">
        <v>62.2</v>
      </c>
      <c r="L6" s="102">
        <v>9.1999999999999993</v>
      </c>
      <c r="M6" s="102">
        <v>12.9</v>
      </c>
      <c r="N6" s="102">
        <f t="shared" ref="N6:N36" si="1">SUM(B6:E6)</f>
        <v>121.2</v>
      </c>
      <c r="O6" s="102">
        <f t="shared" ref="O6:O36" si="2">SUM(F6:J6)</f>
        <v>755.4</v>
      </c>
      <c r="P6" s="102">
        <f t="shared" ref="P6:P36" si="3">SUM(K6:M6)</f>
        <v>84.300000000000011</v>
      </c>
      <c r="Q6" s="102">
        <f t="shared" ref="Q6:Q36" si="4">SUM(B6:M6)</f>
        <v>960.90000000000009</v>
      </c>
    </row>
    <row r="7" spans="1:33">
      <c r="A7" s="102">
        <v>1986</v>
      </c>
      <c r="B7" s="102">
        <v>5.4</v>
      </c>
      <c r="C7" s="102">
        <v>28.5</v>
      </c>
      <c r="D7" s="102">
        <v>9.1</v>
      </c>
      <c r="E7" s="102">
        <v>48.1</v>
      </c>
      <c r="F7" s="102">
        <v>105.7</v>
      </c>
      <c r="G7" s="102">
        <v>267.2</v>
      </c>
      <c r="H7" s="102">
        <v>252.6</v>
      </c>
      <c r="I7" s="102">
        <v>195</v>
      </c>
      <c r="J7" s="102">
        <v>165.6</v>
      </c>
      <c r="K7" s="102">
        <v>80.400000000000006</v>
      </c>
      <c r="L7" s="102">
        <v>18.100000000000001</v>
      </c>
      <c r="M7" s="102">
        <v>2.5</v>
      </c>
      <c r="N7" s="102">
        <f t="shared" si="1"/>
        <v>91.1</v>
      </c>
      <c r="O7" s="102">
        <f t="shared" si="2"/>
        <v>986.1</v>
      </c>
      <c r="P7" s="102">
        <f t="shared" si="3"/>
        <v>101</v>
      </c>
      <c r="Q7" s="102">
        <f t="shared" si="4"/>
        <v>1178.2</v>
      </c>
    </row>
    <row r="8" spans="1:33">
      <c r="A8" s="102">
        <v>1987</v>
      </c>
      <c r="B8" s="102">
        <v>18.3</v>
      </c>
      <c r="C8" s="102">
        <v>5.9</v>
      </c>
      <c r="D8" s="102">
        <v>4.3</v>
      </c>
      <c r="E8" s="102">
        <v>11.7</v>
      </c>
      <c r="F8" s="102">
        <v>73.7</v>
      </c>
      <c r="G8" s="102">
        <v>166.5</v>
      </c>
      <c r="H8" s="102">
        <v>158.69999999999999</v>
      </c>
      <c r="I8" s="102">
        <v>91.3</v>
      </c>
      <c r="J8" s="102">
        <v>99.4</v>
      </c>
      <c r="K8" s="102">
        <v>20.2</v>
      </c>
      <c r="L8" s="102">
        <v>22.5</v>
      </c>
      <c r="M8" s="102">
        <v>12.2</v>
      </c>
      <c r="N8" s="102">
        <f t="shared" si="1"/>
        <v>40.200000000000003</v>
      </c>
      <c r="O8" s="102">
        <f t="shared" si="2"/>
        <v>589.6</v>
      </c>
      <c r="P8" s="102">
        <f t="shared" si="3"/>
        <v>54.900000000000006</v>
      </c>
      <c r="Q8" s="102">
        <f t="shared" si="4"/>
        <v>684.7</v>
      </c>
    </row>
    <row r="9" spans="1:33">
      <c r="A9" s="102">
        <v>1988</v>
      </c>
      <c r="B9" s="102">
        <v>4.7</v>
      </c>
      <c r="C9" s="102">
        <v>11.6</v>
      </c>
      <c r="D9" s="102">
        <v>8.1999999999999993</v>
      </c>
      <c r="E9" s="102">
        <v>20.5</v>
      </c>
      <c r="F9" s="102">
        <v>54.2</v>
      </c>
      <c r="G9" s="102">
        <v>140.69999999999999</v>
      </c>
      <c r="H9" s="102">
        <v>112</v>
      </c>
      <c r="I9" s="102">
        <v>167.1</v>
      </c>
      <c r="J9" s="102">
        <v>89.3</v>
      </c>
      <c r="K9" s="102">
        <v>50</v>
      </c>
      <c r="L9" s="102">
        <v>20.7</v>
      </c>
      <c r="M9" s="102">
        <v>3.2</v>
      </c>
      <c r="N9" s="102">
        <f t="shared" si="1"/>
        <v>45</v>
      </c>
      <c r="O9" s="102">
        <f t="shared" si="2"/>
        <v>563.29999999999995</v>
      </c>
      <c r="P9" s="102">
        <f t="shared" si="3"/>
        <v>73.900000000000006</v>
      </c>
      <c r="Q9" s="102">
        <f t="shared" si="4"/>
        <v>682.2</v>
      </c>
    </row>
    <row r="10" spans="1:33">
      <c r="A10" s="102">
        <v>1989</v>
      </c>
      <c r="B10" s="102">
        <v>9.8000000000000007</v>
      </c>
      <c r="C10" s="102">
        <v>7.5</v>
      </c>
      <c r="D10" s="102">
        <v>35.9</v>
      </c>
      <c r="E10" s="102">
        <v>36.1</v>
      </c>
      <c r="F10" s="102">
        <v>52.9</v>
      </c>
      <c r="G10" s="102">
        <v>112.5</v>
      </c>
      <c r="H10" s="102">
        <v>47.6</v>
      </c>
      <c r="I10" s="102">
        <v>72.3</v>
      </c>
      <c r="J10" s="102">
        <v>117.4</v>
      </c>
      <c r="K10" s="102">
        <v>42.7</v>
      </c>
      <c r="L10" s="102">
        <v>10.7</v>
      </c>
      <c r="M10" s="102">
        <v>2.8</v>
      </c>
      <c r="N10" s="102">
        <f t="shared" si="1"/>
        <v>89.300000000000011</v>
      </c>
      <c r="O10" s="102">
        <f t="shared" si="2"/>
        <v>402.70000000000005</v>
      </c>
      <c r="P10" s="102">
        <f t="shared" si="3"/>
        <v>56.2</v>
      </c>
      <c r="Q10" s="102">
        <f t="shared" si="4"/>
        <v>548.20000000000005</v>
      </c>
    </row>
    <row r="11" spans="1:33">
      <c r="A11" s="102">
        <v>1990</v>
      </c>
      <c r="B11" s="102">
        <v>9</v>
      </c>
      <c r="C11" s="102">
        <v>8</v>
      </c>
      <c r="D11" s="102">
        <v>34.799999999999997</v>
      </c>
      <c r="E11" s="102">
        <v>78.099999999999994</v>
      </c>
      <c r="F11" s="102">
        <v>131.9</v>
      </c>
      <c r="G11" s="102">
        <v>109.7</v>
      </c>
      <c r="H11" s="102">
        <v>153.80000000000001</v>
      </c>
      <c r="I11" s="102">
        <v>55</v>
      </c>
      <c r="J11" s="102">
        <v>104.6</v>
      </c>
      <c r="K11" s="102">
        <v>105.7</v>
      </c>
      <c r="L11" s="102">
        <v>12.5</v>
      </c>
      <c r="M11" s="102">
        <v>4.5999999999999996</v>
      </c>
      <c r="N11" s="102">
        <f t="shared" si="1"/>
        <v>129.89999999999998</v>
      </c>
      <c r="O11" s="102">
        <f t="shared" si="2"/>
        <v>555</v>
      </c>
      <c r="P11" s="102">
        <f t="shared" si="3"/>
        <v>122.8</v>
      </c>
      <c r="Q11" s="102">
        <f t="shared" si="4"/>
        <v>807.7</v>
      </c>
    </row>
    <row r="12" spans="1:33">
      <c r="A12" s="102">
        <v>1991</v>
      </c>
      <c r="B12" s="102">
        <v>33.200000000000003</v>
      </c>
      <c r="C12" s="102">
        <v>9.4</v>
      </c>
      <c r="D12" s="102">
        <v>14.1</v>
      </c>
      <c r="E12" s="102">
        <v>37.6</v>
      </c>
      <c r="F12" s="102">
        <v>39.5</v>
      </c>
      <c r="G12" s="102">
        <v>172.1</v>
      </c>
      <c r="H12" s="102">
        <v>183.1</v>
      </c>
      <c r="I12" s="102">
        <v>131.30000000000001</v>
      </c>
      <c r="J12" s="102">
        <v>106.6</v>
      </c>
      <c r="K12" s="102">
        <v>44.4</v>
      </c>
      <c r="L12" s="102">
        <v>28.6</v>
      </c>
      <c r="M12" s="102">
        <v>1.6</v>
      </c>
      <c r="N12" s="102">
        <f t="shared" si="1"/>
        <v>94.300000000000011</v>
      </c>
      <c r="O12" s="102">
        <f t="shared" si="2"/>
        <v>632.6</v>
      </c>
      <c r="P12" s="102">
        <f t="shared" si="3"/>
        <v>74.599999999999994</v>
      </c>
      <c r="Q12" s="102">
        <f t="shared" si="4"/>
        <v>801.5</v>
      </c>
    </row>
    <row r="13" spans="1:33">
      <c r="A13" s="102">
        <v>1992</v>
      </c>
      <c r="B13" s="102">
        <v>23.6</v>
      </c>
      <c r="C13" s="102">
        <v>20.100000000000001</v>
      </c>
      <c r="D13" s="102">
        <v>27.5</v>
      </c>
      <c r="E13" s="102">
        <v>44.5</v>
      </c>
      <c r="F13" s="102">
        <v>114.8</v>
      </c>
      <c r="G13" s="102">
        <v>207</v>
      </c>
      <c r="H13" s="102">
        <v>182.4</v>
      </c>
      <c r="I13" s="102">
        <v>94.4</v>
      </c>
      <c r="J13" s="102">
        <v>108.4</v>
      </c>
      <c r="K13" s="102">
        <v>88.4</v>
      </c>
      <c r="L13" s="102">
        <v>17.8</v>
      </c>
      <c r="M13" s="102">
        <v>1.7</v>
      </c>
      <c r="N13" s="102">
        <f t="shared" si="1"/>
        <v>115.7</v>
      </c>
      <c r="O13" s="102">
        <f t="shared" si="2"/>
        <v>707</v>
      </c>
      <c r="P13" s="102">
        <f t="shared" si="3"/>
        <v>107.9</v>
      </c>
      <c r="Q13" s="102">
        <f t="shared" si="4"/>
        <v>930.59999999999991</v>
      </c>
    </row>
    <row r="14" spans="1:33">
      <c r="A14" s="102">
        <v>1993</v>
      </c>
      <c r="B14" s="102">
        <v>16.7</v>
      </c>
      <c r="C14" s="102">
        <v>36.200000000000003</v>
      </c>
      <c r="D14" s="102">
        <v>13.9</v>
      </c>
      <c r="E14" s="102">
        <v>67</v>
      </c>
      <c r="F14" s="102">
        <v>58.2</v>
      </c>
      <c r="G14" s="102">
        <v>122.7</v>
      </c>
      <c r="H14" s="102">
        <v>169</v>
      </c>
      <c r="I14" s="102">
        <v>288.60000000000002</v>
      </c>
      <c r="J14" s="102">
        <v>134.6</v>
      </c>
      <c r="K14" s="102">
        <v>61</v>
      </c>
      <c r="L14" s="102">
        <v>3.8</v>
      </c>
      <c r="M14" s="102">
        <v>5</v>
      </c>
      <c r="N14" s="102">
        <f t="shared" si="1"/>
        <v>133.80000000000001</v>
      </c>
      <c r="O14" s="102">
        <f t="shared" si="2"/>
        <v>773.1</v>
      </c>
      <c r="P14" s="102">
        <f t="shared" si="3"/>
        <v>69.8</v>
      </c>
      <c r="Q14" s="102">
        <f t="shared" si="4"/>
        <v>976.69999999999993</v>
      </c>
    </row>
    <row r="15" spans="1:33">
      <c r="A15" s="102">
        <v>1994</v>
      </c>
      <c r="B15" s="102">
        <v>6.2</v>
      </c>
      <c r="C15" s="102">
        <v>8.8000000000000007</v>
      </c>
      <c r="D15" s="102">
        <v>72.5</v>
      </c>
      <c r="E15" s="102">
        <v>3.4</v>
      </c>
      <c r="F15" s="102">
        <v>97.4</v>
      </c>
      <c r="G15" s="102">
        <v>136.19999999999999</v>
      </c>
      <c r="H15" s="102">
        <v>71.400000000000006</v>
      </c>
      <c r="I15" s="102">
        <v>117</v>
      </c>
      <c r="J15" s="102">
        <v>104.7</v>
      </c>
      <c r="K15" s="102">
        <v>72</v>
      </c>
      <c r="L15" s="102">
        <v>47.7</v>
      </c>
      <c r="M15" s="102">
        <v>3.7</v>
      </c>
      <c r="N15" s="102">
        <f t="shared" si="1"/>
        <v>90.9</v>
      </c>
      <c r="O15" s="102">
        <f t="shared" si="2"/>
        <v>526.70000000000005</v>
      </c>
      <c r="P15" s="102">
        <f t="shared" si="3"/>
        <v>123.4</v>
      </c>
      <c r="Q15" s="102">
        <f t="shared" si="4"/>
        <v>741.00000000000011</v>
      </c>
    </row>
    <row r="16" spans="1:33">
      <c r="A16" s="102">
        <v>1995</v>
      </c>
      <c r="B16" s="102">
        <v>26.6</v>
      </c>
      <c r="C16" s="102">
        <v>16.8</v>
      </c>
      <c r="D16" s="102">
        <v>12.3</v>
      </c>
      <c r="E16" s="102">
        <v>30.7</v>
      </c>
      <c r="F16" s="102">
        <v>88.3</v>
      </c>
      <c r="G16" s="102">
        <v>149.80000000000001</v>
      </c>
      <c r="H16" s="102">
        <v>258.5</v>
      </c>
      <c r="I16" s="102">
        <v>167.6</v>
      </c>
      <c r="J16" s="102">
        <v>154.5</v>
      </c>
      <c r="K16" s="102">
        <v>61.8</v>
      </c>
      <c r="L16" s="102">
        <v>45.5</v>
      </c>
      <c r="M16" s="102">
        <v>11</v>
      </c>
      <c r="N16" s="102">
        <f t="shared" si="1"/>
        <v>86.4</v>
      </c>
      <c r="O16" s="102">
        <f t="shared" si="2"/>
        <v>818.7</v>
      </c>
      <c r="P16" s="102">
        <f t="shared" si="3"/>
        <v>118.3</v>
      </c>
      <c r="Q16" s="102">
        <f t="shared" si="4"/>
        <v>1023.4</v>
      </c>
    </row>
    <row r="17" spans="1:17">
      <c r="A17" s="102">
        <v>1996</v>
      </c>
      <c r="B17" s="102">
        <v>8.1999999999999993</v>
      </c>
      <c r="C17" s="102">
        <v>10.8</v>
      </c>
      <c r="D17" s="102">
        <v>33.6</v>
      </c>
      <c r="E17" s="102">
        <v>58.4</v>
      </c>
      <c r="F17" s="102">
        <v>67</v>
      </c>
      <c r="G17" s="102">
        <v>99.6</v>
      </c>
      <c r="H17" s="102">
        <v>122.6</v>
      </c>
      <c r="I17" s="102">
        <v>154.9</v>
      </c>
      <c r="J17" s="102">
        <v>32.200000000000003</v>
      </c>
      <c r="K17" s="102">
        <v>28.3</v>
      </c>
      <c r="L17" s="102">
        <v>57.7</v>
      </c>
      <c r="M17" s="102">
        <v>0.7</v>
      </c>
      <c r="N17" s="102">
        <f t="shared" si="1"/>
        <v>111</v>
      </c>
      <c r="O17" s="102">
        <f t="shared" si="2"/>
        <v>476.3</v>
      </c>
      <c r="P17" s="102">
        <f t="shared" si="3"/>
        <v>86.7</v>
      </c>
      <c r="Q17" s="102">
        <f t="shared" si="4"/>
        <v>674.00000000000011</v>
      </c>
    </row>
    <row r="18" spans="1:17">
      <c r="A18" s="102">
        <v>1997</v>
      </c>
      <c r="B18" s="102">
        <v>6.8</v>
      </c>
      <c r="C18" s="102">
        <v>29.6</v>
      </c>
      <c r="D18" s="102">
        <v>21.3</v>
      </c>
      <c r="E18" s="102">
        <v>31.1</v>
      </c>
      <c r="F18" s="102">
        <v>80.900000000000006</v>
      </c>
      <c r="G18" s="102">
        <v>309</v>
      </c>
      <c r="H18" s="102">
        <v>231</v>
      </c>
      <c r="I18" s="102">
        <v>85.7</v>
      </c>
      <c r="J18" s="102">
        <v>247.9</v>
      </c>
      <c r="K18" s="102">
        <v>67.400000000000006</v>
      </c>
      <c r="L18" s="102">
        <v>5.9</v>
      </c>
      <c r="M18" s="102">
        <v>7.9</v>
      </c>
      <c r="N18" s="102">
        <f t="shared" si="1"/>
        <v>88.800000000000011</v>
      </c>
      <c r="O18" s="102">
        <f t="shared" si="2"/>
        <v>954.5</v>
      </c>
      <c r="P18" s="102">
        <f t="shared" si="3"/>
        <v>81.200000000000017</v>
      </c>
      <c r="Q18" s="102">
        <f t="shared" si="4"/>
        <v>1124.5000000000005</v>
      </c>
    </row>
    <row r="19" spans="1:17">
      <c r="A19" s="102">
        <v>1998</v>
      </c>
      <c r="B19" s="102">
        <v>14.8</v>
      </c>
      <c r="C19" s="102">
        <v>13.8</v>
      </c>
      <c r="D19" s="102">
        <v>17.600000000000001</v>
      </c>
      <c r="E19" s="102">
        <v>44.5</v>
      </c>
      <c r="F19" s="102">
        <v>63.4</v>
      </c>
      <c r="G19" s="102">
        <v>142.30000000000001</v>
      </c>
      <c r="H19" s="102">
        <v>252.7</v>
      </c>
      <c r="I19" s="102">
        <v>232.9</v>
      </c>
      <c r="J19" s="102">
        <v>36.200000000000003</v>
      </c>
      <c r="K19" s="102">
        <v>61.3</v>
      </c>
      <c r="L19" s="102">
        <v>33.299999999999997</v>
      </c>
      <c r="M19" s="102">
        <v>5.9</v>
      </c>
      <c r="N19" s="102">
        <f t="shared" si="1"/>
        <v>90.7</v>
      </c>
      <c r="O19" s="102">
        <f t="shared" si="2"/>
        <v>727.5</v>
      </c>
      <c r="P19" s="102">
        <f t="shared" si="3"/>
        <v>100.5</v>
      </c>
      <c r="Q19" s="102">
        <f t="shared" si="4"/>
        <v>918.69999999999982</v>
      </c>
    </row>
    <row r="20" spans="1:17">
      <c r="A20" s="102">
        <v>1999</v>
      </c>
      <c r="B20" s="102">
        <v>23.5</v>
      </c>
      <c r="C20" s="102">
        <v>5.3</v>
      </c>
      <c r="D20" s="102">
        <v>15.2</v>
      </c>
      <c r="E20" s="102">
        <v>31.2</v>
      </c>
      <c r="F20" s="102">
        <v>79.3</v>
      </c>
      <c r="G20" s="102">
        <v>214.9</v>
      </c>
      <c r="H20" s="102">
        <v>160.4</v>
      </c>
      <c r="I20" s="102">
        <v>226.5</v>
      </c>
      <c r="J20" s="102">
        <v>62.6</v>
      </c>
      <c r="K20" s="102">
        <v>28.9</v>
      </c>
      <c r="L20" s="102">
        <v>25.4</v>
      </c>
      <c r="M20" s="102">
        <v>8.4</v>
      </c>
      <c r="N20" s="102">
        <f t="shared" si="1"/>
        <v>75.2</v>
      </c>
      <c r="O20" s="102">
        <f t="shared" si="2"/>
        <v>743.7</v>
      </c>
      <c r="P20" s="102">
        <f t="shared" si="3"/>
        <v>62.699999999999996</v>
      </c>
      <c r="Q20" s="102">
        <f t="shared" si="4"/>
        <v>881.59999999999991</v>
      </c>
    </row>
    <row r="21" spans="1:17">
      <c r="A21" s="102">
        <v>2000</v>
      </c>
      <c r="B21" s="102">
        <v>25.1</v>
      </c>
      <c r="C21" s="102">
        <v>15.2</v>
      </c>
      <c r="D21" s="102">
        <v>40.6</v>
      </c>
      <c r="E21" s="102">
        <v>65.2</v>
      </c>
      <c r="F21" s="102">
        <v>57.4</v>
      </c>
      <c r="G21" s="102">
        <v>258.89999999999998</v>
      </c>
      <c r="H21" s="102">
        <v>150.69999999999999</v>
      </c>
      <c r="I21" s="102">
        <v>100.2</v>
      </c>
      <c r="J21" s="102">
        <v>73.7</v>
      </c>
      <c r="K21" s="102">
        <v>91.5</v>
      </c>
      <c r="L21" s="102">
        <v>3.7</v>
      </c>
      <c r="M21" s="102">
        <v>4.9000000000000004</v>
      </c>
      <c r="N21" s="102">
        <f t="shared" si="1"/>
        <v>146.10000000000002</v>
      </c>
      <c r="O21" s="102">
        <f t="shared" si="2"/>
        <v>640.9</v>
      </c>
      <c r="P21" s="102">
        <f t="shared" si="3"/>
        <v>100.10000000000001</v>
      </c>
      <c r="Q21" s="102">
        <f t="shared" si="4"/>
        <v>887.1</v>
      </c>
    </row>
    <row r="22" spans="1:17">
      <c r="A22" s="102">
        <v>2001</v>
      </c>
      <c r="B22" s="102">
        <v>4.5999999999999996</v>
      </c>
      <c r="C22" s="102">
        <v>7.1</v>
      </c>
      <c r="D22" s="102">
        <v>11.4</v>
      </c>
      <c r="E22" s="102">
        <v>10.6</v>
      </c>
      <c r="F22" s="102">
        <v>126.1</v>
      </c>
      <c r="G22" s="102">
        <v>260.10000000000002</v>
      </c>
      <c r="H22" s="102">
        <v>189.2</v>
      </c>
      <c r="I22" s="102">
        <v>95.8</v>
      </c>
      <c r="J22" s="102">
        <v>94.9</v>
      </c>
      <c r="K22" s="102">
        <v>99.8</v>
      </c>
      <c r="L22" s="102">
        <v>17</v>
      </c>
      <c r="M22" s="102">
        <v>1.5</v>
      </c>
      <c r="N22" s="102">
        <f t="shared" si="1"/>
        <v>33.700000000000003</v>
      </c>
      <c r="O22" s="102">
        <f t="shared" si="2"/>
        <v>766.1</v>
      </c>
      <c r="P22" s="102">
        <f t="shared" si="3"/>
        <v>118.3</v>
      </c>
      <c r="Q22" s="102">
        <f t="shared" si="4"/>
        <v>918.09999999999991</v>
      </c>
    </row>
    <row r="23" spans="1:17">
      <c r="A23" s="102">
        <v>2002</v>
      </c>
      <c r="B23" s="102">
        <v>13.9</v>
      </c>
      <c r="C23" s="102">
        <v>2.4</v>
      </c>
      <c r="D23" s="102">
        <v>37.9</v>
      </c>
      <c r="E23" s="102">
        <v>14.8</v>
      </c>
      <c r="F23" s="102">
        <v>199.3</v>
      </c>
      <c r="G23" s="102">
        <v>192.9</v>
      </c>
      <c r="H23" s="102">
        <v>144.30000000000001</v>
      </c>
      <c r="I23" s="102">
        <v>185</v>
      </c>
      <c r="J23" s="102">
        <v>25.7</v>
      </c>
      <c r="K23" s="102">
        <v>68.599999999999994</v>
      </c>
      <c r="L23" s="102">
        <v>8.3000000000000007</v>
      </c>
      <c r="M23" s="102">
        <v>8.8000000000000007</v>
      </c>
      <c r="N23" s="102">
        <f t="shared" si="1"/>
        <v>69</v>
      </c>
      <c r="O23" s="102">
        <f t="shared" si="2"/>
        <v>747.2</v>
      </c>
      <c r="P23" s="102">
        <f t="shared" si="3"/>
        <v>85.699999999999989</v>
      </c>
      <c r="Q23" s="102">
        <f t="shared" si="4"/>
        <v>901.9</v>
      </c>
    </row>
    <row r="24" spans="1:17">
      <c r="A24" s="102">
        <v>2003</v>
      </c>
      <c r="B24" s="102">
        <v>8.6</v>
      </c>
      <c r="C24" s="102">
        <v>2.5</v>
      </c>
      <c r="D24" s="102">
        <v>9.9</v>
      </c>
      <c r="E24" s="102">
        <v>15.9</v>
      </c>
      <c r="F24" s="102">
        <v>59.2</v>
      </c>
      <c r="G24" s="102">
        <v>189.3</v>
      </c>
      <c r="H24" s="102">
        <v>179.1</v>
      </c>
      <c r="I24" s="102">
        <v>55.8</v>
      </c>
      <c r="J24" s="102">
        <v>125</v>
      </c>
      <c r="K24" s="102">
        <v>92</v>
      </c>
      <c r="L24" s="102">
        <v>8.1999999999999993</v>
      </c>
      <c r="M24" s="102">
        <v>21.6</v>
      </c>
      <c r="N24" s="102">
        <f t="shared" si="1"/>
        <v>36.9</v>
      </c>
      <c r="O24" s="102">
        <f t="shared" si="2"/>
        <v>608.40000000000009</v>
      </c>
      <c r="P24" s="102">
        <f t="shared" si="3"/>
        <v>121.80000000000001</v>
      </c>
      <c r="Q24" s="102">
        <f t="shared" si="4"/>
        <v>767.1</v>
      </c>
    </row>
    <row r="25" spans="1:17">
      <c r="A25" s="102">
        <v>2004</v>
      </c>
      <c r="B25" s="102">
        <v>7.9</v>
      </c>
      <c r="C25" s="102">
        <v>8.9</v>
      </c>
      <c r="D25" s="102">
        <v>13.3</v>
      </c>
      <c r="E25" s="102">
        <v>72.2</v>
      </c>
      <c r="F25" s="102">
        <v>93.3</v>
      </c>
      <c r="G25" s="102">
        <v>176.7</v>
      </c>
      <c r="H25" s="102">
        <v>175.4</v>
      </c>
      <c r="I25" s="102">
        <v>212.2</v>
      </c>
      <c r="J25" s="102">
        <v>67.2</v>
      </c>
      <c r="K25" s="102">
        <v>22.8</v>
      </c>
      <c r="L25" s="102">
        <v>13.5</v>
      </c>
      <c r="M25" s="102">
        <v>3.6</v>
      </c>
      <c r="N25" s="102">
        <f t="shared" si="1"/>
        <v>102.30000000000001</v>
      </c>
      <c r="O25" s="102">
        <f t="shared" si="2"/>
        <v>724.8</v>
      </c>
      <c r="P25" s="102">
        <f t="shared" si="3"/>
        <v>39.9</v>
      </c>
      <c r="Q25" s="102">
        <f t="shared" si="4"/>
        <v>867.00000000000011</v>
      </c>
    </row>
    <row r="26" spans="1:17">
      <c r="A26" s="102">
        <v>2005</v>
      </c>
      <c r="B26" s="102">
        <v>17.100000000000001</v>
      </c>
      <c r="C26" s="102">
        <v>2.9</v>
      </c>
      <c r="D26" s="102">
        <v>21.2</v>
      </c>
      <c r="E26" s="102">
        <v>56.6</v>
      </c>
      <c r="F26" s="102">
        <v>39.799999999999997</v>
      </c>
      <c r="G26" s="102">
        <v>108.1</v>
      </c>
      <c r="H26" s="102">
        <v>153.1</v>
      </c>
      <c r="I26" s="102">
        <v>162.19999999999999</v>
      </c>
      <c r="J26" s="102">
        <v>117.1</v>
      </c>
      <c r="K26" s="102">
        <v>37.200000000000003</v>
      </c>
      <c r="L26" s="102">
        <v>8.5</v>
      </c>
      <c r="M26" s="102">
        <v>25.9</v>
      </c>
      <c r="N26" s="102">
        <f t="shared" si="1"/>
        <v>97.800000000000011</v>
      </c>
      <c r="O26" s="102">
        <f t="shared" si="2"/>
        <v>580.29999999999995</v>
      </c>
      <c r="P26" s="102">
        <f t="shared" si="3"/>
        <v>71.599999999999994</v>
      </c>
      <c r="Q26" s="102">
        <f t="shared" si="4"/>
        <v>749.7</v>
      </c>
    </row>
    <row r="27" spans="1:17">
      <c r="A27" s="102">
        <v>2006</v>
      </c>
      <c r="B27" s="102">
        <v>1.7</v>
      </c>
      <c r="C27" s="102">
        <v>16.3</v>
      </c>
      <c r="D27" s="102">
        <v>3</v>
      </c>
      <c r="E27" s="102">
        <v>17</v>
      </c>
      <c r="F27" s="102">
        <v>129.5</v>
      </c>
      <c r="G27" s="102">
        <v>105.8</v>
      </c>
      <c r="H27" s="102">
        <v>56.3</v>
      </c>
      <c r="I27" s="102">
        <v>70.2</v>
      </c>
      <c r="J27" s="102">
        <v>96.2</v>
      </c>
      <c r="K27" s="102">
        <v>127.2</v>
      </c>
      <c r="L27" s="102">
        <v>12</v>
      </c>
      <c r="M27" s="102">
        <v>6.7</v>
      </c>
      <c r="N27" s="102">
        <f t="shared" si="1"/>
        <v>38</v>
      </c>
      <c r="O27" s="102">
        <f t="shared" si="2"/>
        <v>458</v>
      </c>
      <c r="P27" s="102">
        <f t="shared" si="3"/>
        <v>145.89999999999998</v>
      </c>
      <c r="Q27" s="102">
        <f t="shared" si="4"/>
        <v>641.90000000000009</v>
      </c>
    </row>
    <row r="28" spans="1:17">
      <c r="A28" s="102">
        <v>2007</v>
      </c>
      <c r="B28" s="103">
        <v>24.6</v>
      </c>
      <c r="C28" s="103">
        <v>2.8</v>
      </c>
      <c r="D28" s="103">
        <v>4.5999999999999996</v>
      </c>
      <c r="E28" s="103">
        <v>83.6</v>
      </c>
      <c r="F28" s="103">
        <v>149.69999999999999</v>
      </c>
      <c r="G28" s="103">
        <v>120.2</v>
      </c>
      <c r="H28" s="103">
        <v>252.6</v>
      </c>
      <c r="I28" s="103">
        <v>141.69999999999999</v>
      </c>
      <c r="J28" s="103">
        <v>146.6</v>
      </c>
      <c r="K28" s="102">
        <v>67.2</v>
      </c>
      <c r="L28" s="102">
        <v>12.5</v>
      </c>
      <c r="M28" s="102">
        <v>6.1</v>
      </c>
      <c r="N28" s="102">
        <f t="shared" si="1"/>
        <v>115.6</v>
      </c>
      <c r="O28" s="102">
        <f t="shared" si="2"/>
        <v>810.80000000000007</v>
      </c>
      <c r="P28" s="102">
        <f t="shared" si="3"/>
        <v>85.8</v>
      </c>
      <c r="Q28" s="102">
        <f t="shared" si="4"/>
        <v>1012.2</v>
      </c>
    </row>
    <row r="29" spans="1:17">
      <c r="A29" s="102">
        <v>2008</v>
      </c>
      <c r="B29" s="102">
        <v>26.9</v>
      </c>
      <c r="C29" s="102">
        <v>40.1</v>
      </c>
      <c r="D29" s="102">
        <v>35.4</v>
      </c>
      <c r="E29" s="102">
        <v>34.700000000000003</v>
      </c>
      <c r="F29" s="102">
        <v>96.1</v>
      </c>
      <c r="G29" s="102">
        <v>223.5</v>
      </c>
      <c r="H29" s="102">
        <v>169</v>
      </c>
      <c r="I29" s="102">
        <v>187.2</v>
      </c>
      <c r="J29" s="102">
        <v>133.69999999999999</v>
      </c>
      <c r="K29" s="102">
        <v>111</v>
      </c>
      <c r="L29" s="102">
        <v>53.2</v>
      </c>
      <c r="M29" s="102">
        <v>8</v>
      </c>
      <c r="N29" s="102">
        <f t="shared" si="1"/>
        <v>137.10000000000002</v>
      </c>
      <c r="O29" s="102">
        <f t="shared" si="2"/>
        <v>809.5</v>
      </c>
      <c r="P29" s="102">
        <f t="shared" si="3"/>
        <v>172.2</v>
      </c>
      <c r="Q29" s="102">
        <f t="shared" si="4"/>
        <v>1118.8000000000002</v>
      </c>
    </row>
    <row r="30" spans="1:17">
      <c r="A30" s="102">
        <v>2009</v>
      </c>
      <c r="B30" s="102">
        <v>11.1</v>
      </c>
      <c r="C30" s="102">
        <v>2.5</v>
      </c>
      <c r="D30" s="102">
        <v>16.2</v>
      </c>
      <c r="E30" s="102">
        <v>52.8</v>
      </c>
      <c r="F30" s="102">
        <v>53</v>
      </c>
      <c r="G30" s="102">
        <v>185.8</v>
      </c>
      <c r="H30" s="102">
        <v>126</v>
      </c>
      <c r="I30" s="102">
        <v>89.9</v>
      </c>
      <c r="J30" s="102">
        <v>25.7</v>
      </c>
      <c r="K30" s="102">
        <v>46.5</v>
      </c>
      <c r="L30" s="102">
        <v>4.0999999999999996</v>
      </c>
      <c r="M30" s="102">
        <v>13.1</v>
      </c>
      <c r="N30" s="102">
        <f t="shared" si="1"/>
        <v>82.6</v>
      </c>
      <c r="O30" s="102">
        <f t="shared" si="2"/>
        <v>480.40000000000003</v>
      </c>
      <c r="P30" s="102">
        <f t="shared" si="3"/>
        <v>63.7</v>
      </c>
      <c r="Q30" s="102">
        <f t="shared" si="4"/>
        <v>626.70000000000005</v>
      </c>
    </row>
    <row r="31" spans="1:17">
      <c r="A31" s="102">
        <v>2010</v>
      </c>
      <c r="B31" s="102">
        <v>1.2</v>
      </c>
      <c r="C31" s="102">
        <v>6.2</v>
      </c>
      <c r="D31" s="102">
        <v>1.2</v>
      </c>
      <c r="E31" s="102">
        <v>25.5</v>
      </c>
      <c r="F31" s="102">
        <v>50.2</v>
      </c>
      <c r="G31" s="102">
        <v>156.30000000000001</v>
      </c>
      <c r="H31" s="102">
        <v>189.5</v>
      </c>
      <c r="I31" s="102">
        <v>150.9</v>
      </c>
      <c r="J31" s="102">
        <v>93.4</v>
      </c>
      <c r="K31" s="102">
        <v>96.8</v>
      </c>
      <c r="L31" s="102">
        <v>10.7</v>
      </c>
      <c r="M31" s="102">
        <v>5</v>
      </c>
      <c r="N31" s="102">
        <f t="shared" si="1"/>
        <v>34.1</v>
      </c>
      <c r="O31" s="102">
        <f t="shared" si="2"/>
        <v>640.29999999999995</v>
      </c>
      <c r="P31" s="102">
        <f t="shared" si="3"/>
        <v>112.5</v>
      </c>
      <c r="Q31" s="102">
        <f t="shared" si="4"/>
        <v>786.9</v>
      </c>
    </row>
    <row r="32" spans="1:17">
      <c r="A32" s="102">
        <v>2011</v>
      </c>
      <c r="B32" s="102">
        <v>26.1</v>
      </c>
      <c r="C32" s="102">
        <v>3</v>
      </c>
      <c r="D32" s="102">
        <v>6.6</v>
      </c>
      <c r="E32" s="102">
        <v>8.3000000000000007</v>
      </c>
      <c r="F32" s="102">
        <v>63.8</v>
      </c>
      <c r="G32" s="102">
        <v>302.60000000000002</v>
      </c>
      <c r="H32" s="102">
        <v>101.9</v>
      </c>
      <c r="I32" s="102">
        <v>72.5</v>
      </c>
      <c r="J32" s="102">
        <v>120.5</v>
      </c>
      <c r="K32" s="102">
        <v>34.9</v>
      </c>
      <c r="L32" s="102">
        <v>4.3</v>
      </c>
      <c r="M32" s="102">
        <v>10.4</v>
      </c>
      <c r="N32" s="102">
        <f t="shared" si="1"/>
        <v>44</v>
      </c>
      <c r="O32" s="102">
        <f t="shared" si="2"/>
        <v>661.30000000000007</v>
      </c>
      <c r="P32" s="102">
        <f t="shared" si="3"/>
        <v>49.599999999999994</v>
      </c>
      <c r="Q32" s="102">
        <f t="shared" si="4"/>
        <v>754.9</v>
      </c>
    </row>
    <row r="33" spans="1:33">
      <c r="A33" s="102">
        <v>2012</v>
      </c>
      <c r="B33" s="102">
        <v>1.1000000000000001</v>
      </c>
      <c r="C33" s="102">
        <v>0.7</v>
      </c>
      <c r="D33" s="102">
        <v>14.5</v>
      </c>
      <c r="E33" s="102">
        <v>32.799999999999997</v>
      </c>
      <c r="F33" s="102">
        <v>153.9</v>
      </c>
      <c r="G33" s="102">
        <v>200.3</v>
      </c>
      <c r="H33" s="102">
        <v>248.3</v>
      </c>
      <c r="I33" s="102">
        <v>96.8</v>
      </c>
      <c r="J33" s="102">
        <v>158.69999999999999</v>
      </c>
      <c r="K33" s="102">
        <v>38</v>
      </c>
      <c r="L33" s="102">
        <v>0</v>
      </c>
      <c r="M33" s="102">
        <v>1.2</v>
      </c>
      <c r="N33" s="102">
        <f t="shared" si="1"/>
        <v>49.099999999999994</v>
      </c>
      <c r="O33" s="102">
        <f t="shared" si="2"/>
        <v>858</v>
      </c>
      <c r="P33" s="102">
        <f t="shared" si="3"/>
        <v>39.200000000000003</v>
      </c>
      <c r="Q33" s="102">
        <f t="shared" si="4"/>
        <v>946.3</v>
      </c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</row>
    <row r="34" spans="1:33">
      <c r="A34" s="102">
        <v>2013</v>
      </c>
      <c r="B34" s="102">
        <v>1.8</v>
      </c>
      <c r="C34" s="102">
        <v>0</v>
      </c>
      <c r="D34" s="102">
        <v>33.9</v>
      </c>
      <c r="E34" s="102">
        <v>56.8</v>
      </c>
      <c r="F34" s="102">
        <v>96.1</v>
      </c>
      <c r="G34" s="102">
        <v>161.19999999999999</v>
      </c>
      <c r="H34" s="102">
        <v>91</v>
      </c>
      <c r="I34" s="102">
        <v>130.9</v>
      </c>
      <c r="J34" s="102">
        <v>66</v>
      </c>
      <c r="K34" s="102">
        <v>69</v>
      </c>
      <c r="L34" s="102">
        <v>1.1000000000000001</v>
      </c>
      <c r="M34" s="102">
        <v>16</v>
      </c>
      <c r="N34" s="102">
        <f t="shared" si="1"/>
        <v>92.5</v>
      </c>
      <c r="O34" s="102">
        <f t="shared" si="2"/>
        <v>545.19999999999993</v>
      </c>
      <c r="P34" s="102">
        <f t="shared" si="3"/>
        <v>86.1</v>
      </c>
      <c r="Q34" s="102">
        <f t="shared" si="4"/>
        <v>723.8</v>
      </c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</row>
    <row r="35" spans="1:33">
      <c r="A35" s="102">
        <v>2014</v>
      </c>
      <c r="B35" s="128">
        <v>8.3000000000000007</v>
      </c>
      <c r="C35" s="128">
        <v>4.5</v>
      </c>
      <c r="D35" s="128">
        <v>19</v>
      </c>
      <c r="E35" s="128">
        <v>40.799999999999997</v>
      </c>
      <c r="F35" s="128">
        <v>85</v>
      </c>
      <c r="G35" s="128">
        <v>103</v>
      </c>
      <c r="H35" s="128">
        <v>306.7</v>
      </c>
      <c r="I35" s="128">
        <v>367.8</v>
      </c>
      <c r="J35" s="128">
        <v>212.3</v>
      </c>
      <c r="K35" s="128">
        <v>62.3</v>
      </c>
      <c r="L35" s="128">
        <v>4.9000000000000004</v>
      </c>
      <c r="M35" s="128">
        <v>8.1999999999999993</v>
      </c>
      <c r="N35" s="102">
        <f t="shared" si="1"/>
        <v>72.599999999999994</v>
      </c>
      <c r="O35" s="102">
        <f t="shared" si="2"/>
        <v>1074.8</v>
      </c>
      <c r="P35" s="102">
        <f t="shared" si="3"/>
        <v>75.400000000000006</v>
      </c>
      <c r="Q35" s="102">
        <f t="shared" si="4"/>
        <v>1222.8</v>
      </c>
    </row>
    <row r="36" spans="1:33">
      <c r="A36" s="102">
        <v>2015</v>
      </c>
      <c r="B36" s="128">
        <v>0.8</v>
      </c>
      <c r="C36" s="128">
        <v>0.5</v>
      </c>
      <c r="D36" s="128">
        <v>13.4</v>
      </c>
      <c r="E36" s="128">
        <v>60.2</v>
      </c>
      <c r="F36" s="128">
        <v>46.9</v>
      </c>
      <c r="G36" s="128">
        <v>198.4</v>
      </c>
      <c r="H36" s="128">
        <v>202.7</v>
      </c>
      <c r="I36" s="128">
        <v>274.39999999999998</v>
      </c>
      <c r="J36" s="128">
        <v>70.099999999999994</v>
      </c>
      <c r="K36" s="128">
        <v>50</v>
      </c>
      <c r="L36" s="128">
        <v>0</v>
      </c>
      <c r="M36" s="128">
        <v>29.8</v>
      </c>
      <c r="N36" s="102">
        <f t="shared" si="1"/>
        <v>74.900000000000006</v>
      </c>
      <c r="O36" s="102">
        <f t="shared" si="2"/>
        <v>792.5</v>
      </c>
      <c r="P36" s="102">
        <f t="shared" si="3"/>
        <v>79.8</v>
      </c>
      <c r="Q36" s="102">
        <f t="shared" si="4"/>
        <v>947.2</v>
      </c>
    </row>
    <row r="37" spans="1:33">
      <c r="A37" s="102">
        <v>2016</v>
      </c>
      <c r="B37" s="128">
        <v>2</v>
      </c>
      <c r="C37" s="128">
        <v>3.5</v>
      </c>
      <c r="D37" s="128">
        <v>10</v>
      </c>
      <c r="E37" s="128">
        <v>91.5</v>
      </c>
      <c r="F37" s="128">
        <v>123</v>
      </c>
      <c r="G37" s="128">
        <v>311.5</v>
      </c>
      <c r="H37" s="128">
        <v>64.5</v>
      </c>
      <c r="I37" s="128">
        <v>132</v>
      </c>
      <c r="J37" s="128">
        <v>118.5</v>
      </c>
      <c r="K37" s="128">
        <v>60.5</v>
      </c>
      <c r="L37" s="128">
        <v>28.5</v>
      </c>
      <c r="M37" s="128">
        <v>6.5</v>
      </c>
      <c r="N37" s="102">
        <f>SUM(B37:E37)</f>
        <v>107</v>
      </c>
      <c r="O37" s="102">
        <f>SUM(F37:J37)</f>
        <v>749.5</v>
      </c>
      <c r="P37" s="102">
        <f>SUM(K37:M37)</f>
        <v>95.5</v>
      </c>
      <c r="Q37" s="102">
        <f>SUM(B37:M37)</f>
        <v>952</v>
      </c>
      <c r="R37" s="108">
        <f t="shared" ref="R37:AG37" si="5">100*(B37-B4)/B4</f>
        <v>-84.043879331837445</v>
      </c>
      <c r="S37" s="108">
        <f t="shared" si="5"/>
        <v>-67.460778617083093</v>
      </c>
      <c r="T37" s="108">
        <f t="shared" si="5"/>
        <v>-50.015620118712903</v>
      </c>
      <c r="U37" s="108">
        <f t="shared" si="5"/>
        <v>121.65026495079485</v>
      </c>
      <c r="V37" s="108">
        <f t="shared" si="5"/>
        <v>34.619331007592869</v>
      </c>
      <c r="W37" s="108">
        <f t="shared" si="5"/>
        <v>77.035787230263708</v>
      </c>
      <c r="X37" s="108">
        <f t="shared" si="5"/>
        <v>-63.067673478151946</v>
      </c>
      <c r="Y37" s="108">
        <f t="shared" si="5"/>
        <v>-11.202674010384907</v>
      </c>
      <c r="Z37" s="108">
        <f t="shared" si="5"/>
        <v>14.103451388679936</v>
      </c>
      <c r="AA37" s="108">
        <f t="shared" si="5"/>
        <v>-3.8728897715987975</v>
      </c>
      <c r="AB37" s="108">
        <f t="shared" si="5"/>
        <v>73.318129988597519</v>
      </c>
      <c r="AC37" s="108">
        <f t="shared" si="5"/>
        <v>-22.474841595229222</v>
      </c>
      <c r="AD37" s="108">
        <f t="shared" si="5"/>
        <v>26.510253094402366</v>
      </c>
      <c r="AE37" s="108">
        <f t="shared" si="5"/>
        <v>7.9237370123880178</v>
      </c>
      <c r="AF37" s="108">
        <f t="shared" si="5"/>
        <v>8.8125333808082775</v>
      </c>
      <c r="AG37" s="108">
        <f t="shared" si="5"/>
        <v>9.8272772828708437</v>
      </c>
    </row>
  </sheetData>
  <mergeCells count="6">
    <mergeCell ref="A1:A3"/>
    <mergeCell ref="B2:M2"/>
    <mergeCell ref="B1:Q1"/>
    <mergeCell ref="R1:AG1"/>
    <mergeCell ref="N2:Q2"/>
    <mergeCell ref="R2:AG2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2.xml><?xml version="1.0" encoding="utf-8"?>
<worksheet xmlns="http://schemas.openxmlformats.org/spreadsheetml/2006/main" xmlns:r="http://schemas.openxmlformats.org/officeDocument/2006/relationships">
  <sheetPr codeName="Sheet72"/>
  <dimension ref="A1:AG58"/>
  <sheetViews>
    <sheetView zoomScale="85" zoomScaleNormal="85" workbookViewId="0">
      <pane ySplit="5" topLeftCell="A6" activePane="bottomLeft" state="frozen"/>
      <selection pane="bottomLeft" activeCell="R58" sqref="R58"/>
    </sheetView>
  </sheetViews>
  <sheetFormatPr defaultRowHeight="12"/>
  <cols>
    <col min="1" max="70" width="7.125" style="102" customWidth="1"/>
    <col min="71" max="16384" width="9" style="102"/>
  </cols>
  <sheetData>
    <row r="1" spans="1:33" s="118" customFormat="1" ht="14.25" customHeight="1">
      <c r="A1" s="176" t="s">
        <v>198</v>
      </c>
      <c r="B1" s="176" t="s">
        <v>206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207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199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200</v>
      </c>
      <c r="O2" s="176"/>
      <c r="P2" s="176"/>
      <c r="Q2" s="176"/>
      <c r="R2" s="176" t="s">
        <v>201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 ht="24">
      <c r="A3" s="176"/>
      <c r="B3" s="125" t="s">
        <v>208</v>
      </c>
      <c r="C3" s="125" t="s">
        <v>209</v>
      </c>
      <c r="D3" s="125" t="s">
        <v>9</v>
      </c>
      <c r="E3" s="125" t="s">
        <v>10</v>
      </c>
      <c r="F3" s="125" t="s">
        <v>11</v>
      </c>
      <c r="G3" s="125" t="s">
        <v>12</v>
      </c>
      <c r="H3" s="125" t="s">
        <v>13</v>
      </c>
      <c r="I3" s="125" t="s">
        <v>14</v>
      </c>
      <c r="J3" s="125" t="s">
        <v>15</v>
      </c>
      <c r="K3" s="125" t="s">
        <v>16</v>
      </c>
      <c r="L3" s="125" t="s">
        <v>17</v>
      </c>
      <c r="M3" s="125" t="s">
        <v>18</v>
      </c>
      <c r="N3" s="125" t="s">
        <v>210</v>
      </c>
      <c r="O3" s="125" t="s">
        <v>211</v>
      </c>
      <c r="P3" s="125" t="s">
        <v>212</v>
      </c>
      <c r="Q3" s="125" t="s">
        <v>213</v>
      </c>
      <c r="R3" s="125" t="s">
        <v>208</v>
      </c>
      <c r="S3" s="125" t="s">
        <v>209</v>
      </c>
      <c r="T3" s="125" t="s">
        <v>214</v>
      </c>
      <c r="U3" s="125" t="s">
        <v>215</v>
      </c>
      <c r="V3" s="125" t="s">
        <v>216</v>
      </c>
      <c r="W3" s="125" t="s">
        <v>217</v>
      </c>
      <c r="X3" s="125" t="s">
        <v>25</v>
      </c>
      <c r="Y3" s="125" t="s">
        <v>26</v>
      </c>
      <c r="Z3" s="125" t="s">
        <v>27</v>
      </c>
      <c r="AA3" s="125" t="s">
        <v>218</v>
      </c>
      <c r="AB3" s="125" t="s">
        <v>219</v>
      </c>
      <c r="AC3" s="125" t="s">
        <v>220</v>
      </c>
      <c r="AD3" s="125" t="s">
        <v>202</v>
      </c>
      <c r="AE3" s="125" t="s">
        <v>203</v>
      </c>
      <c r="AF3" s="125" t="s">
        <v>204</v>
      </c>
      <c r="AG3" s="125" t="s">
        <v>205</v>
      </c>
    </row>
    <row r="4" spans="1:33" s="118" customFormat="1">
      <c r="A4" s="150" t="s">
        <v>261</v>
      </c>
      <c r="B4" s="150">
        <f t="shared" ref="B4:Q4" si="0">AVERAGE(B5:B57)</f>
        <v>8.164150943396228</v>
      </c>
      <c r="C4" s="150">
        <f t="shared" si="0"/>
        <v>6.0566037735849081</v>
      </c>
      <c r="D4" s="150">
        <f t="shared" si="0"/>
        <v>13.022641509433958</v>
      </c>
      <c r="E4" s="150">
        <f t="shared" si="0"/>
        <v>37.986792452830187</v>
      </c>
      <c r="F4" s="150">
        <f t="shared" si="0"/>
        <v>114.12075471698114</v>
      </c>
      <c r="G4" s="150">
        <f t="shared" si="0"/>
        <v>192.75283018867927</v>
      </c>
      <c r="H4" s="150">
        <f t="shared" si="0"/>
        <v>162.70566037735856</v>
      </c>
      <c r="I4" s="150">
        <f t="shared" si="0"/>
        <v>143.9283018867925</v>
      </c>
      <c r="J4" s="150">
        <f t="shared" si="0"/>
        <v>113.58679245283018</v>
      </c>
      <c r="K4" s="150">
        <f t="shared" si="0"/>
        <v>70.811320754716988</v>
      </c>
      <c r="L4" s="150">
        <f t="shared" si="0"/>
        <v>17.879245283018868</v>
      </c>
      <c r="M4" s="150">
        <f t="shared" si="0"/>
        <v>4.758490566037735</v>
      </c>
      <c r="N4" s="150">
        <f t="shared" si="0"/>
        <v>65.230188679245288</v>
      </c>
      <c r="O4" s="150">
        <f t="shared" si="0"/>
        <v>727.0943396226412</v>
      </c>
      <c r="P4" s="150">
        <f t="shared" si="0"/>
        <v>93.449056603773599</v>
      </c>
      <c r="Q4" s="150">
        <f t="shared" si="0"/>
        <v>885.77358490566053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1963</v>
      </c>
      <c r="B5" s="102">
        <v>1.6</v>
      </c>
      <c r="C5" s="102">
        <v>2.7</v>
      </c>
      <c r="D5" s="102">
        <v>3.9</v>
      </c>
      <c r="E5" s="102">
        <v>2.2000000000000002</v>
      </c>
      <c r="F5" s="102">
        <v>133.9</v>
      </c>
      <c r="G5" s="102">
        <v>166.3</v>
      </c>
      <c r="H5" s="102">
        <v>94.1</v>
      </c>
      <c r="I5" s="102">
        <v>113.7</v>
      </c>
      <c r="J5" s="102">
        <v>96.2</v>
      </c>
      <c r="K5" s="102">
        <v>72.8</v>
      </c>
      <c r="L5" s="102">
        <v>3.1</v>
      </c>
      <c r="M5" s="102">
        <v>3.6</v>
      </c>
      <c r="N5" s="102">
        <f>SUM(B5:E5)</f>
        <v>10.400000000000002</v>
      </c>
      <c r="O5" s="102">
        <f>SUM(F5:J5)</f>
        <v>604.20000000000005</v>
      </c>
      <c r="P5" s="102">
        <f>SUM(K5:M5)</f>
        <v>79.499999999999986</v>
      </c>
      <c r="Q5" s="102">
        <f>SUM(B5:M5)</f>
        <v>694.10000000000014</v>
      </c>
    </row>
    <row r="6" spans="1:33">
      <c r="A6" s="102">
        <v>1964</v>
      </c>
      <c r="B6" s="102">
        <v>0</v>
      </c>
      <c r="C6" s="102">
        <v>4.4000000000000004</v>
      </c>
      <c r="D6" s="102">
        <v>3.8</v>
      </c>
      <c r="E6" s="102">
        <v>16.5</v>
      </c>
      <c r="F6" s="102">
        <v>109</v>
      </c>
      <c r="G6" s="102">
        <v>239.4</v>
      </c>
      <c r="H6" s="102">
        <v>145.6</v>
      </c>
      <c r="I6" s="102">
        <v>57.8</v>
      </c>
      <c r="J6" s="102">
        <v>115.9</v>
      </c>
      <c r="K6" s="102">
        <v>179</v>
      </c>
      <c r="L6" s="102">
        <v>14</v>
      </c>
      <c r="M6" s="102">
        <v>6.3</v>
      </c>
      <c r="N6" s="102">
        <f t="shared" ref="N6:N57" si="1">SUM(B6:E6)</f>
        <v>24.7</v>
      </c>
      <c r="O6" s="102">
        <f t="shared" ref="O6:O57" si="2">SUM(F6:J6)</f>
        <v>667.69999999999993</v>
      </c>
      <c r="P6" s="102">
        <f t="shared" ref="P6:P57" si="3">SUM(K6:M6)</f>
        <v>199.3</v>
      </c>
      <c r="Q6" s="102">
        <f t="shared" ref="Q6:Q57" si="4">SUM(B6:M6)</f>
        <v>891.69999999999993</v>
      </c>
    </row>
    <row r="7" spans="1:33">
      <c r="A7" s="102">
        <v>1965</v>
      </c>
      <c r="B7" s="102">
        <v>10.1</v>
      </c>
      <c r="C7" s="102">
        <v>1.6</v>
      </c>
      <c r="D7" s="102">
        <v>22.5</v>
      </c>
      <c r="E7" s="102">
        <v>98.2</v>
      </c>
      <c r="F7" s="102">
        <v>155.80000000000001</v>
      </c>
      <c r="G7" s="102">
        <v>295</v>
      </c>
      <c r="H7" s="102">
        <v>154</v>
      </c>
      <c r="I7" s="102">
        <v>311.5</v>
      </c>
      <c r="J7" s="102">
        <v>86.4</v>
      </c>
      <c r="K7" s="102">
        <v>197.5</v>
      </c>
      <c r="L7" s="102">
        <v>15.9</v>
      </c>
      <c r="M7" s="102">
        <v>16.399999999999999</v>
      </c>
      <c r="N7" s="102">
        <f t="shared" si="1"/>
        <v>132.4</v>
      </c>
      <c r="O7" s="102">
        <f t="shared" si="2"/>
        <v>1002.6999999999999</v>
      </c>
      <c r="P7" s="102">
        <f t="shared" si="3"/>
        <v>229.8</v>
      </c>
      <c r="Q7" s="102">
        <f t="shared" si="4"/>
        <v>1364.9000000000003</v>
      </c>
    </row>
    <row r="8" spans="1:33">
      <c r="A8" s="102">
        <v>1966</v>
      </c>
      <c r="B8" s="102">
        <v>0.5</v>
      </c>
      <c r="C8" s="102">
        <v>1</v>
      </c>
      <c r="D8" s="102">
        <v>1.5</v>
      </c>
      <c r="E8" s="102">
        <v>13.6</v>
      </c>
      <c r="F8" s="102">
        <v>214.6</v>
      </c>
      <c r="G8" s="102">
        <v>167.2</v>
      </c>
      <c r="H8" s="102">
        <v>103.4</v>
      </c>
      <c r="I8" s="102">
        <v>111.3</v>
      </c>
      <c r="J8" s="102">
        <v>87.5</v>
      </c>
      <c r="K8" s="102">
        <v>53.7</v>
      </c>
      <c r="L8" s="102">
        <v>0.8</v>
      </c>
      <c r="M8" s="102">
        <v>0</v>
      </c>
      <c r="N8" s="102">
        <f t="shared" si="1"/>
        <v>16.600000000000001</v>
      </c>
      <c r="O8" s="102">
        <f t="shared" si="2"/>
        <v>683.99999999999989</v>
      </c>
      <c r="P8" s="102">
        <f t="shared" si="3"/>
        <v>54.5</v>
      </c>
      <c r="Q8" s="102">
        <f t="shared" si="4"/>
        <v>755.09999999999991</v>
      </c>
    </row>
    <row r="9" spans="1:33">
      <c r="A9" s="102">
        <v>1967</v>
      </c>
      <c r="B9" s="102">
        <v>1.9</v>
      </c>
      <c r="C9" s="102">
        <v>12.8</v>
      </c>
      <c r="D9" s="102">
        <v>23.3</v>
      </c>
      <c r="E9" s="102">
        <v>83.4</v>
      </c>
      <c r="F9" s="102">
        <v>211.6</v>
      </c>
      <c r="G9" s="102">
        <v>271.60000000000002</v>
      </c>
      <c r="H9" s="102">
        <v>121.7</v>
      </c>
      <c r="I9" s="102">
        <v>89</v>
      </c>
      <c r="J9" s="102">
        <v>96.7</v>
      </c>
      <c r="K9" s="102">
        <v>58.4</v>
      </c>
      <c r="L9" s="102">
        <v>48.4</v>
      </c>
      <c r="M9" s="102">
        <v>5.7</v>
      </c>
      <c r="N9" s="102">
        <f t="shared" si="1"/>
        <v>121.4</v>
      </c>
      <c r="O9" s="102">
        <f t="shared" si="2"/>
        <v>790.60000000000014</v>
      </c>
      <c r="P9" s="102">
        <f t="shared" si="3"/>
        <v>112.5</v>
      </c>
      <c r="Q9" s="102">
        <f t="shared" si="4"/>
        <v>1024.5</v>
      </c>
    </row>
    <row r="10" spans="1:33">
      <c r="A10" s="102">
        <v>1968</v>
      </c>
      <c r="B10" s="102">
        <v>4.3</v>
      </c>
      <c r="C10" s="102">
        <v>15.9</v>
      </c>
      <c r="D10" s="102">
        <v>1.7</v>
      </c>
      <c r="E10" s="102">
        <v>77.2</v>
      </c>
      <c r="F10" s="102">
        <v>97</v>
      </c>
      <c r="G10" s="102">
        <v>148.69999999999999</v>
      </c>
      <c r="H10" s="102">
        <v>222.1</v>
      </c>
      <c r="I10" s="102">
        <v>128.4</v>
      </c>
      <c r="J10" s="102">
        <v>148.69999999999999</v>
      </c>
      <c r="K10" s="102">
        <v>48.3</v>
      </c>
      <c r="L10" s="102">
        <v>4.5999999999999996</v>
      </c>
      <c r="M10" s="102">
        <v>0</v>
      </c>
      <c r="N10" s="102">
        <f t="shared" si="1"/>
        <v>99.1</v>
      </c>
      <c r="O10" s="102">
        <f t="shared" si="2"/>
        <v>744.89999999999986</v>
      </c>
      <c r="P10" s="102">
        <f t="shared" si="3"/>
        <v>52.9</v>
      </c>
      <c r="Q10" s="102">
        <f t="shared" si="4"/>
        <v>896.9</v>
      </c>
    </row>
    <row r="11" spans="1:33">
      <c r="A11" s="102">
        <v>1969</v>
      </c>
      <c r="B11" s="102">
        <v>3.3</v>
      </c>
      <c r="C11" s="102">
        <v>0</v>
      </c>
      <c r="D11" s="102">
        <v>17.8</v>
      </c>
      <c r="E11" s="102">
        <v>13</v>
      </c>
      <c r="F11" s="102">
        <v>40.9</v>
      </c>
      <c r="G11" s="102">
        <v>221.2</v>
      </c>
      <c r="H11" s="102">
        <v>128</v>
      </c>
      <c r="I11" s="102">
        <v>89.5</v>
      </c>
      <c r="J11" s="102">
        <v>79</v>
      </c>
      <c r="K11" s="102">
        <v>58.9</v>
      </c>
      <c r="L11" s="102">
        <v>17</v>
      </c>
      <c r="M11" s="102">
        <v>2.1</v>
      </c>
      <c r="N11" s="102">
        <f t="shared" si="1"/>
        <v>34.1</v>
      </c>
      <c r="O11" s="102">
        <f t="shared" si="2"/>
        <v>558.59999999999991</v>
      </c>
      <c r="P11" s="102">
        <f t="shared" si="3"/>
        <v>78</v>
      </c>
      <c r="Q11" s="102">
        <f t="shared" si="4"/>
        <v>670.7</v>
      </c>
    </row>
    <row r="12" spans="1:33">
      <c r="A12" s="102">
        <v>1970</v>
      </c>
      <c r="B12" s="102">
        <v>8.6</v>
      </c>
      <c r="C12" s="102">
        <v>0.3</v>
      </c>
      <c r="D12" s="102">
        <v>12.3</v>
      </c>
      <c r="E12" s="102">
        <v>104.1</v>
      </c>
      <c r="F12" s="102">
        <v>123.9</v>
      </c>
      <c r="G12" s="102">
        <v>136.4</v>
      </c>
      <c r="H12" s="102">
        <v>267.5</v>
      </c>
      <c r="I12" s="102">
        <v>68.5</v>
      </c>
      <c r="J12" s="102">
        <v>238.7</v>
      </c>
      <c r="K12" s="102">
        <v>60.1</v>
      </c>
      <c r="L12" s="102">
        <v>43.6</v>
      </c>
      <c r="M12" s="102">
        <v>19.899999999999999</v>
      </c>
      <c r="N12" s="102">
        <f t="shared" si="1"/>
        <v>125.3</v>
      </c>
      <c r="O12" s="102">
        <f t="shared" si="2"/>
        <v>835</v>
      </c>
      <c r="P12" s="102">
        <f t="shared" si="3"/>
        <v>123.6</v>
      </c>
      <c r="Q12" s="102">
        <f t="shared" si="4"/>
        <v>1083.9000000000001</v>
      </c>
    </row>
    <row r="13" spans="1:33">
      <c r="A13" s="102">
        <v>1971</v>
      </c>
      <c r="B13" s="102">
        <v>4.7</v>
      </c>
      <c r="C13" s="102">
        <v>3.2</v>
      </c>
      <c r="D13" s="102">
        <v>11.5</v>
      </c>
      <c r="E13" s="102">
        <v>29.4</v>
      </c>
      <c r="F13" s="102">
        <v>125.4</v>
      </c>
      <c r="G13" s="102">
        <v>186.3</v>
      </c>
      <c r="H13" s="102">
        <v>89.5</v>
      </c>
      <c r="I13" s="102">
        <v>116.6</v>
      </c>
      <c r="J13" s="102">
        <v>169.3</v>
      </c>
      <c r="K13" s="102">
        <v>107.4</v>
      </c>
      <c r="L13" s="102">
        <v>11</v>
      </c>
      <c r="M13" s="102">
        <v>5.9</v>
      </c>
      <c r="N13" s="102">
        <f t="shared" si="1"/>
        <v>48.8</v>
      </c>
      <c r="O13" s="102">
        <f t="shared" si="2"/>
        <v>687.10000000000014</v>
      </c>
      <c r="P13" s="102">
        <f t="shared" si="3"/>
        <v>124.30000000000001</v>
      </c>
      <c r="Q13" s="102">
        <f t="shared" si="4"/>
        <v>860.2</v>
      </c>
    </row>
    <row r="14" spans="1:33">
      <c r="A14" s="102">
        <v>1972</v>
      </c>
      <c r="B14" s="102">
        <v>1</v>
      </c>
      <c r="C14" s="102">
        <v>4</v>
      </c>
      <c r="D14" s="102">
        <v>18.3</v>
      </c>
      <c r="E14" s="102">
        <v>28</v>
      </c>
      <c r="F14" s="102">
        <v>213.1</v>
      </c>
      <c r="G14" s="102">
        <v>102.2</v>
      </c>
      <c r="H14" s="102">
        <v>104.9</v>
      </c>
      <c r="I14" s="102">
        <v>52.7</v>
      </c>
      <c r="J14" s="102">
        <v>212.1</v>
      </c>
      <c r="K14" s="102">
        <v>37.4</v>
      </c>
      <c r="L14" s="102">
        <v>44.3</v>
      </c>
      <c r="M14" s="102">
        <v>0.1</v>
      </c>
      <c r="N14" s="102">
        <f t="shared" si="1"/>
        <v>51.3</v>
      </c>
      <c r="O14" s="102">
        <f t="shared" si="2"/>
        <v>685</v>
      </c>
      <c r="P14" s="102">
        <f t="shared" si="3"/>
        <v>81.799999999999983</v>
      </c>
      <c r="Q14" s="102">
        <f t="shared" si="4"/>
        <v>818.1</v>
      </c>
    </row>
    <row r="15" spans="1:33">
      <c r="A15" s="102">
        <v>1973</v>
      </c>
      <c r="B15" s="102">
        <v>0.8</v>
      </c>
      <c r="C15" s="102">
        <v>0.1</v>
      </c>
      <c r="D15" s="102">
        <v>5.5</v>
      </c>
      <c r="E15" s="102">
        <v>18.7</v>
      </c>
      <c r="F15" s="102">
        <v>101.2</v>
      </c>
      <c r="G15" s="102">
        <v>273.8</v>
      </c>
      <c r="H15" s="102">
        <v>189.8</v>
      </c>
      <c r="I15" s="102">
        <v>141.4</v>
      </c>
      <c r="J15" s="102">
        <v>125.5</v>
      </c>
      <c r="K15" s="102">
        <v>24.1</v>
      </c>
      <c r="L15" s="102">
        <v>51.4</v>
      </c>
      <c r="M15" s="102">
        <v>2.7</v>
      </c>
      <c r="N15" s="102">
        <f t="shared" si="1"/>
        <v>25.1</v>
      </c>
      <c r="O15" s="102">
        <f t="shared" si="2"/>
        <v>831.69999999999993</v>
      </c>
      <c r="P15" s="102">
        <f t="shared" si="3"/>
        <v>78.2</v>
      </c>
      <c r="Q15" s="102">
        <f t="shared" si="4"/>
        <v>935.00000000000011</v>
      </c>
    </row>
    <row r="16" spans="1:33">
      <c r="A16" s="102">
        <v>1974</v>
      </c>
      <c r="B16" s="102">
        <v>0</v>
      </c>
      <c r="C16" s="102">
        <v>0.1</v>
      </c>
      <c r="D16" s="102">
        <v>15.8</v>
      </c>
      <c r="E16" s="102">
        <v>78.8</v>
      </c>
      <c r="F16" s="102">
        <v>67.3</v>
      </c>
      <c r="G16" s="102">
        <v>115.2</v>
      </c>
      <c r="H16" s="102">
        <v>217.8</v>
      </c>
      <c r="I16" s="102">
        <v>265</v>
      </c>
      <c r="J16" s="102">
        <v>98.4</v>
      </c>
      <c r="K16" s="102">
        <v>40.799999999999997</v>
      </c>
      <c r="L16" s="102">
        <v>17.100000000000001</v>
      </c>
      <c r="M16" s="102">
        <v>2.1</v>
      </c>
      <c r="N16" s="102">
        <f t="shared" si="1"/>
        <v>94.7</v>
      </c>
      <c r="O16" s="102">
        <f t="shared" si="2"/>
        <v>763.69999999999993</v>
      </c>
      <c r="P16" s="102">
        <f t="shared" si="3"/>
        <v>60</v>
      </c>
      <c r="Q16" s="102">
        <f t="shared" si="4"/>
        <v>918.4</v>
      </c>
    </row>
    <row r="17" spans="1:17">
      <c r="A17" s="102">
        <v>1975</v>
      </c>
      <c r="B17" s="102">
        <v>16.899999999999999</v>
      </c>
      <c r="C17" s="102">
        <v>6.1</v>
      </c>
      <c r="D17" s="102">
        <v>18.8</v>
      </c>
      <c r="E17" s="102">
        <v>19.600000000000001</v>
      </c>
      <c r="F17" s="102">
        <v>66.8</v>
      </c>
      <c r="G17" s="102">
        <v>225.9</v>
      </c>
      <c r="H17" s="102">
        <v>272.5</v>
      </c>
      <c r="I17" s="102">
        <v>86.2</v>
      </c>
      <c r="J17" s="102">
        <v>189.3</v>
      </c>
      <c r="K17" s="102">
        <v>7.8</v>
      </c>
      <c r="L17" s="102">
        <v>45.1</v>
      </c>
      <c r="M17" s="102">
        <v>1.1000000000000001</v>
      </c>
      <c r="N17" s="102">
        <f t="shared" si="1"/>
        <v>61.4</v>
      </c>
      <c r="O17" s="102">
        <f t="shared" si="2"/>
        <v>840.7</v>
      </c>
      <c r="P17" s="102">
        <f t="shared" si="3"/>
        <v>54</v>
      </c>
      <c r="Q17" s="102">
        <f t="shared" si="4"/>
        <v>956.10000000000014</v>
      </c>
    </row>
    <row r="18" spans="1:17">
      <c r="A18" s="102">
        <v>1976</v>
      </c>
      <c r="B18" s="102">
        <v>39.4</v>
      </c>
      <c r="C18" s="102">
        <v>0.7</v>
      </c>
      <c r="D18" s="102">
        <v>7.9</v>
      </c>
      <c r="E18" s="102">
        <v>23.7</v>
      </c>
      <c r="F18" s="102">
        <v>93.8</v>
      </c>
      <c r="G18" s="102">
        <v>159</v>
      </c>
      <c r="H18" s="102">
        <v>198.9</v>
      </c>
      <c r="I18" s="102">
        <v>45.5</v>
      </c>
      <c r="J18" s="102">
        <v>131.6</v>
      </c>
      <c r="K18" s="102">
        <v>136.19999999999999</v>
      </c>
      <c r="L18" s="102">
        <v>1.5</v>
      </c>
      <c r="M18" s="102">
        <v>1</v>
      </c>
      <c r="N18" s="102">
        <f t="shared" si="1"/>
        <v>71.7</v>
      </c>
      <c r="O18" s="102">
        <f t="shared" si="2"/>
        <v>628.80000000000007</v>
      </c>
      <c r="P18" s="102">
        <f t="shared" si="3"/>
        <v>138.69999999999999</v>
      </c>
      <c r="Q18" s="102">
        <f t="shared" si="4"/>
        <v>839.2</v>
      </c>
    </row>
    <row r="19" spans="1:17">
      <c r="A19" s="102">
        <v>1977</v>
      </c>
      <c r="B19" s="102">
        <v>6.2</v>
      </c>
      <c r="C19" s="102">
        <v>24.4</v>
      </c>
      <c r="D19" s="102">
        <v>11.5</v>
      </c>
      <c r="E19" s="102">
        <v>64.5</v>
      </c>
      <c r="F19" s="102">
        <v>59.1</v>
      </c>
      <c r="G19" s="102">
        <v>133.6</v>
      </c>
      <c r="H19" s="102">
        <v>145.19999999999999</v>
      </c>
      <c r="I19" s="102">
        <v>74.8</v>
      </c>
      <c r="J19" s="102">
        <v>121.7</v>
      </c>
      <c r="K19" s="102">
        <v>57.8</v>
      </c>
      <c r="L19" s="102">
        <v>35.6</v>
      </c>
      <c r="M19" s="102">
        <v>1.1000000000000001</v>
      </c>
      <c r="N19" s="102">
        <f t="shared" si="1"/>
        <v>106.6</v>
      </c>
      <c r="O19" s="102">
        <f t="shared" si="2"/>
        <v>534.4</v>
      </c>
      <c r="P19" s="102">
        <f t="shared" si="3"/>
        <v>94.5</v>
      </c>
      <c r="Q19" s="102">
        <f t="shared" si="4"/>
        <v>735.5</v>
      </c>
    </row>
    <row r="20" spans="1:17">
      <c r="A20" s="102">
        <v>1978</v>
      </c>
      <c r="B20" s="102">
        <v>11.1</v>
      </c>
      <c r="C20" s="102">
        <v>1.3</v>
      </c>
      <c r="D20" s="102">
        <v>0.7</v>
      </c>
      <c r="E20" s="102">
        <v>39.6</v>
      </c>
      <c r="F20" s="102">
        <v>155.6</v>
      </c>
      <c r="G20" s="102">
        <v>189</v>
      </c>
      <c r="H20" s="102">
        <v>64.8</v>
      </c>
      <c r="I20" s="102">
        <v>217.1</v>
      </c>
      <c r="J20" s="102">
        <v>38.4</v>
      </c>
      <c r="K20" s="102">
        <v>51.7</v>
      </c>
      <c r="L20" s="102">
        <v>19.899999999999999</v>
      </c>
      <c r="M20" s="102">
        <v>1</v>
      </c>
      <c r="N20" s="102">
        <f t="shared" si="1"/>
        <v>52.7</v>
      </c>
      <c r="O20" s="102">
        <f t="shared" si="2"/>
        <v>664.9</v>
      </c>
      <c r="P20" s="102">
        <f t="shared" si="3"/>
        <v>72.599999999999994</v>
      </c>
      <c r="Q20" s="102">
        <f t="shared" si="4"/>
        <v>790.2</v>
      </c>
    </row>
    <row r="21" spans="1:17">
      <c r="A21" s="102">
        <v>1979</v>
      </c>
      <c r="B21" s="102">
        <v>0.4</v>
      </c>
      <c r="C21" s="102">
        <v>0</v>
      </c>
      <c r="D21" s="102">
        <v>1.9</v>
      </c>
      <c r="E21" s="102">
        <v>71.3</v>
      </c>
      <c r="F21" s="102">
        <v>72.8</v>
      </c>
      <c r="G21" s="102">
        <v>262.5</v>
      </c>
      <c r="H21" s="102">
        <v>99.1</v>
      </c>
      <c r="I21" s="102">
        <v>155.19999999999999</v>
      </c>
      <c r="J21" s="102">
        <v>124.7</v>
      </c>
      <c r="K21" s="102">
        <v>36.700000000000003</v>
      </c>
      <c r="L21" s="102">
        <v>5.9</v>
      </c>
      <c r="M21" s="102">
        <v>35.5</v>
      </c>
      <c r="N21" s="102">
        <f t="shared" si="1"/>
        <v>73.599999999999994</v>
      </c>
      <c r="O21" s="102">
        <f t="shared" si="2"/>
        <v>714.3</v>
      </c>
      <c r="P21" s="102">
        <f t="shared" si="3"/>
        <v>78.099999999999994</v>
      </c>
      <c r="Q21" s="102">
        <f t="shared" si="4"/>
        <v>866.00000000000011</v>
      </c>
    </row>
    <row r="22" spans="1:17">
      <c r="A22" s="102">
        <v>1980</v>
      </c>
      <c r="B22" s="102">
        <v>2.2999999999999998</v>
      </c>
      <c r="C22" s="102">
        <v>1</v>
      </c>
      <c r="D22" s="102">
        <v>1.6</v>
      </c>
      <c r="E22" s="102">
        <v>19.7</v>
      </c>
      <c r="F22" s="102">
        <v>165.3</v>
      </c>
      <c r="G22" s="102">
        <v>181.8</v>
      </c>
      <c r="H22" s="102">
        <v>117.4</v>
      </c>
      <c r="I22" s="102">
        <v>178.9</v>
      </c>
      <c r="J22" s="102">
        <v>94.8</v>
      </c>
      <c r="K22" s="102">
        <v>128.1</v>
      </c>
      <c r="L22" s="102">
        <v>5.2</v>
      </c>
      <c r="M22" s="102">
        <v>7.3</v>
      </c>
      <c r="N22" s="102">
        <f t="shared" si="1"/>
        <v>24.6</v>
      </c>
      <c r="O22" s="102">
        <f t="shared" si="2"/>
        <v>738.19999999999993</v>
      </c>
      <c r="P22" s="102">
        <f t="shared" si="3"/>
        <v>140.6</v>
      </c>
      <c r="Q22" s="102">
        <f t="shared" si="4"/>
        <v>903.4</v>
      </c>
    </row>
    <row r="23" spans="1:17">
      <c r="A23" s="102">
        <v>1981</v>
      </c>
      <c r="B23" s="102">
        <v>15.4</v>
      </c>
      <c r="C23" s="102">
        <v>4.0999999999999996</v>
      </c>
      <c r="D23" s="102">
        <v>29.1</v>
      </c>
      <c r="E23" s="102">
        <v>43.3</v>
      </c>
      <c r="F23" s="102">
        <v>143.4</v>
      </c>
      <c r="G23" s="102">
        <v>330.8</v>
      </c>
      <c r="H23" s="102">
        <v>105.3</v>
      </c>
      <c r="I23" s="102">
        <v>134.80000000000001</v>
      </c>
      <c r="J23" s="102">
        <v>59.3</v>
      </c>
      <c r="K23" s="102">
        <v>24.7</v>
      </c>
      <c r="L23" s="102">
        <v>8.3000000000000007</v>
      </c>
      <c r="M23" s="102">
        <v>1.8</v>
      </c>
      <c r="N23" s="102">
        <f t="shared" si="1"/>
        <v>91.9</v>
      </c>
      <c r="O23" s="102">
        <f t="shared" si="2"/>
        <v>773.59999999999991</v>
      </c>
      <c r="P23" s="102">
        <f t="shared" si="3"/>
        <v>34.799999999999997</v>
      </c>
      <c r="Q23" s="102">
        <f t="shared" si="4"/>
        <v>900.3</v>
      </c>
    </row>
    <row r="24" spans="1:17">
      <c r="A24" s="102">
        <v>1982</v>
      </c>
      <c r="B24" s="102">
        <v>2</v>
      </c>
      <c r="C24" s="102">
        <v>19</v>
      </c>
      <c r="D24" s="102">
        <v>8.6</v>
      </c>
      <c r="E24" s="102">
        <v>54.1</v>
      </c>
      <c r="F24" s="102">
        <v>101.6</v>
      </c>
      <c r="G24" s="102">
        <v>261.60000000000002</v>
      </c>
      <c r="H24" s="102">
        <v>193</v>
      </c>
      <c r="I24" s="102">
        <v>136.9</v>
      </c>
      <c r="J24" s="102">
        <v>138.69999999999999</v>
      </c>
      <c r="K24" s="102">
        <v>104.1</v>
      </c>
      <c r="L24" s="102">
        <v>13.5</v>
      </c>
      <c r="M24" s="102">
        <v>2</v>
      </c>
      <c r="N24" s="102">
        <f t="shared" si="1"/>
        <v>83.7</v>
      </c>
      <c r="O24" s="102">
        <f t="shared" si="2"/>
        <v>831.8</v>
      </c>
      <c r="P24" s="102">
        <f t="shared" si="3"/>
        <v>119.6</v>
      </c>
      <c r="Q24" s="102">
        <f t="shared" si="4"/>
        <v>1035.0999999999999</v>
      </c>
    </row>
    <row r="25" spans="1:17">
      <c r="A25" s="102">
        <v>1983</v>
      </c>
      <c r="B25" s="102">
        <v>32.299999999999997</v>
      </c>
      <c r="C25" s="102">
        <v>15.3</v>
      </c>
      <c r="D25" s="102">
        <v>16.8</v>
      </c>
      <c r="E25" s="102">
        <v>17.5</v>
      </c>
      <c r="F25" s="102">
        <v>203</v>
      </c>
      <c r="G25" s="102">
        <v>193.5</v>
      </c>
      <c r="H25" s="102">
        <v>242.2</v>
      </c>
      <c r="I25" s="102">
        <v>261.3</v>
      </c>
      <c r="J25" s="102">
        <v>145.6</v>
      </c>
      <c r="K25" s="102">
        <v>37.700000000000003</v>
      </c>
      <c r="L25" s="102">
        <v>35</v>
      </c>
      <c r="M25" s="102">
        <v>7.8</v>
      </c>
      <c r="N25" s="102">
        <f t="shared" si="1"/>
        <v>81.899999999999991</v>
      </c>
      <c r="O25" s="102">
        <f t="shared" si="2"/>
        <v>1045.5999999999999</v>
      </c>
      <c r="P25" s="102">
        <f t="shared" si="3"/>
        <v>80.5</v>
      </c>
      <c r="Q25" s="102">
        <f t="shared" si="4"/>
        <v>1207.9999999999998</v>
      </c>
    </row>
    <row r="26" spans="1:17">
      <c r="A26" s="102">
        <v>1984</v>
      </c>
      <c r="B26" s="102">
        <v>2</v>
      </c>
      <c r="C26" s="102">
        <v>3.5</v>
      </c>
      <c r="D26" s="102">
        <v>2.6</v>
      </c>
      <c r="E26" s="102">
        <v>89.4</v>
      </c>
      <c r="F26" s="102">
        <v>200.2</v>
      </c>
      <c r="G26" s="102">
        <v>100</v>
      </c>
      <c r="H26" s="102">
        <v>215.9</v>
      </c>
      <c r="I26" s="102">
        <v>129.30000000000001</v>
      </c>
      <c r="J26" s="102">
        <v>124.4</v>
      </c>
      <c r="K26" s="102">
        <v>33.299999999999997</v>
      </c>
      <c r="L26" s="102">
        <v>1</v>
      </c>
      <c r="M26" s="102">
        <v>5.7</v>
      </c>
      <c r="N26" s="102">
        <f t="shared" si="1"/>
        <v>97.5</v>
      </c>
      <c r="O26" s="102">
        <f t="shared" si="2"/>
        <v>769.80000000000007</v>
      </c>
      <c r="P26" s="102">
        <f t="shared" si="3"/>
        <v>40</v>
      </c>
      <c r="Q26" s="102">
        <f t="shared" si="4"/>
        <v>907.30000000000007</v>
      </c>
    </row>
    <row r="27" spans="1:17">
      <c r="A27" s="102">
        <v>1985</v>
      </c>
      <c r="B27" s="102">
        <v>0.2</v>
      </c>
      <c r="C27" s="102">
        <v>5.2</v>
      </c>
      <c r="D27" s="102">
        <v>6.1</v>
      </c>
      <c r="E27" s="102">
        <v>53.4</v>
      </c>
      <c r="F27" s="102">
        <v>65.400000000000006</v>
      </c>
      <c r="G27" s="102">
        <v>284.39999999999998</v>
      </c>
      <c r="H27" s="102">
        <v>240</v>
      </c>
      <c r="I27" s="102">
        <v>67.7</v>
      </c>
      <c r="J27" s="102">
        <v>93.6</v>
      </c>
      <c r="K27" s="102">
        <v>19.600000000000001</v>
      </c>
      <c r="L27" s="102">
        <v>4</v>
      </c>
      <c r="M27" s="102">
        <v>0.5</v>
      </c>
      <c r="N27" s="102">
        <f t="shared" si="1"/>
        <v>64.900000000000006</v>
      </c>
      <c r="O27" s="102">
        <f t="shared" si="2"/>
        <v>751.1</v>
      </c>
      <c r="P27" s="102">
        <f t="shared" si="3"/>
        <v>24.1</v>
      </c>
      <c r="Q27" s="102">
        <f t="shared" si="4"/>
        <v>840.10000000000014</v>
      </c>
    </row>
    <row r="28" spans="1:17">
      <c r="A28" s="102">
        <v>1986</v>
      </c>
      <c r="B28" s="102">
        <v>0.2</v>
      </c>
      <c r="C28" s="102">
        <v>13.4</v>
      </c>
      <c r="D28" s="102">
        <v>13.9</v>
      </c>
      <c r="E28" s="102">
        <v>35</v>
      </c>
      <c r="F28" s="102">
        <v>279.8</v>
      </c>
      <c r="G28" s="102">
        <v>283</v>
      </c>
      <c r="H28" s="102">
        <v>261.3</v>
      </c>
      <c r="I28" s="102">
        <v>220.6</v>
      </c>
      <c r="J28" s="102">
        <v>81.2</v>
      </c>
      <c r="K28" s="102">
        <v>86.1</v>
      </c>
      <c r="L28" s="102">
        <v>6.3</v>
      </c>
      <c r="M28" s="102">
        <v>5.5</v>
      </c>
      <c r="N28" s="102">
        <f t="shared" si="1"/>
        <v>62.5</v>
      </c>
      <c r="O28" s="102">
        <f t="shared" si="2"/>
        <v>1125.8999999999999</v>
      </c>
      <c r="P28" s="102">
        <f t="shared" si="3"/>
        <v>97.899999999999991</v>
      </c>
      <c r="Q28" s="102">
        <f t="shared" si="4"/>
        <v>1286.2999999999997</v>
      </c>
    </row>
    <row r="29" spans="1:17">
      <c r="A29" s="102">
        <v>1987</v>
      </c>
      <c r="B29" s="102">
        <v>19.399999999999999</v>
      </c>
      <c r="C29" s="102">
        <v>5.5</v>
      </c>
      <c r="D29" s="102">
        <v>2.9</v>
      </c>
      <c r="E29" s="102">
        <v>5.7</v>
      </c>
      <c r="F29" s="102">
        <v>79.3</v>
      </c>
      <c r="G29" s="102">
        <v>195.2</v>
      </c>
      <c r="H29" s="102">
        <v>228.6</v>
      </c>
      <c r="I29" s="102">
        <v>106.8</v>
      </c>
      <c r="J29" s="102">
        <v>79.400000000000006</v>
      </c>
      <c r="K29" s="102">
        <v>27.6</v>
      </c>
      <c r="L29" s="102">
        <v>22.8</v>
      </c>
      <c r="M29" s="102">
        <v>4</v>
      </c>
      <c r="N29" s="102">
        <f t="shared" si="1"/>
        <v>33.5</v>
      </c>
      <c r="O29" s="102">
        <f t="shared" si="2"/>
        <v>689.3</v>
      </c>
      <c r="P29" s="102">
        <f t="shared" si="3"/>
        <v>54.400000000000006</v>
      </c>
      <c r="Q29" s="102">
        <f t="shared" si="4"/>
        <v>777.19999999999993</v>
      </c>
    </row>
    <row r="30" spans="1:17">
      <c r="A30" s="102">
        <v>1988</v>
      </c>
      <c r="B30" s="102">
        <v>1.8</v>
      </c>
      <c r="C30" s="102">
        <v>12.3</v>
      </c>
      <c r="D30" s="102">
        <v>0</v>
      </c>
      <c r="E30" s="102">
        <v>22.8</v>
      </c>
      <c r="F30" s="102">
        <v>66.7</v>
      </c>
      <c r="G30" s="102">
        <v>128.6</v>
      </c>
      <c r="H30" s="102">
        <v>116.7</v>
      </c>
      <c r="I30" s="102">
        <v>240.2</v>
      </c>
      <c r="J30" s="102">
        <v>71.5</v>
      </c>
      <c r="K30" s="102">
        <v>28.6</v>
      </c>
      <c r="L30" s="102">
        <v>9.8000000000000007</v>
      </c>
      <c r="M30" s="102">
        <v>0.5</v>
      </c>
      <c r="N30" s="102">
        <f t="shared" si="1"/>
        <v>36.900000000000006</v>
      </c>
      <c r="O30" s="102">
        <f t="shared" si="2"/>
        <v>623.70000000000005</v>
      </c>
      <c r="P30" s="102">
        <f t="shared" si="3"/>
        <v>38.900000000000006</v>
      </c>
      <c r="Q30" s="102">
        <f t="shared" si="4"/>
        <v>699.49999999999989</v>
      </c>
    </row>
    <row r="31" spans="1:17">
      <c r="A31" s="102">
        <v>1989</v>
      </c>
      <c r="B31" s="102">
        <v>0.3</v>
      </c>
      <c r="C31" s="102">
        <v>0.9</v>
      </c>
      <c r="D31" s="102">
        <v>14.9</v>
      </c>
      <c r="E31" s="102">
        <v>23.3</v>
      </c>
      <c r="F31" s="102">
        <v>57.8</v>
      </c>
      <c r="G31" s="102">
        <v>195.6</v>
      </c>
      <c r="H31" s="102">
        <v>53.1</v>
      </c>
      <c r="I31" s="102">
        <v>73.3</v>
      </c>
      <c r="J31" s="102">
        <v>69.400000000000006</v>
      </c>
      <c r="K31" s="102">
        <v>31.2</v>
      </c>
      <c r="L31" s="102">
        <v>6.5</v>
      </c>
      <c r="M31" s="102">
        <v>5</v>
      </c>
      <c r="N31" s="102">
        <f t="shared" si="1"/>
        <v>39.400000000000006</v>
      </c>
      <c r="O31" s="102">
        <f t="shared" si="2"/>
        <v>449.20000000000005</v>
      </c>
      <c r="P31" s="102">
        <f t="shared" si="3"/>
        <v>42.7</v>
      </c>
      <c r="Q31" s="102">
        <f t="shared" si="4"/>
        <v>531.30000000000007</v>
      </c>
    </row>
    <row r="32" spans="1:17">
      <c r="A32" s="102">
        <v>1990</v>
      </c>
      <c r="B32" s="102">
        <v>2.1</v>
      </c>
      <c r="C32" s="102">
        <v>3.5</v>
      </c>
      <c r="D32" s="102">
        <v>22.4</v>
      </c>
      <c r="E32" s="102">
        <v>55.5</v>
      </c>
      <c r="F32" s="102">
        <v>151.19999999999999</v>
      </c>
      <c r="G32" s="102">
        <v>144.6</v>
      </c>
      <c r="H32" s="102">
        <v>148.80000000000001</v>
      </c>
      <c r="I32" s="102">
        <v>50.3</v>
      </c>
      <c r="J32" s="102">
        <v>101.4</v>
      </c>
      <c r="K32" s="102">
        <v>150.5</v>
      </c>
      <c r="L32" s="102">
        <v>11.3</v>
      </c>
      <c r="M32" s="102">
        <v>0.5</v>
      </c>
      <c r="N32" s="102">
        <f t="shared" si="1"/>
        <v>83.5</v>
      </c>
      <c r="O32" s="102">
        <f t="shared" si="2"/>
        <v>596.29999999999995</v>
      </c>
      <c r="P32" s="102">
        <f t="shared" si="3"/>
        <v>162.30000000000001</v>
      </c>
      <c r="Q32" s="102">
        <f t="shared" si="4"/>
        <v>842.0999999999998</v>
      </c>
    </row>
    <row r="33" spans="1:17">
      <c r="A33" s="102">
        <v>1991</v>
      </c>
      <c r="B33" s="102">
        <v>31.1</v>
      </c>
      <c r="C33" s="102">
        <v>0</v>
      </c>
      <c r="D33" s="102">
        <v>3.9</v>
      </c>
      <c r="E33" s="102">
        <v>7.1</v>
      </c>
      <c r="F33" s="102">
        <v>98.2</v>
      </c>
      <c r="G33" s="102">
        <v>205.1</v>
      </c>
      <c r="H33" s="102">
        <v>234</v>
      </c>
      <c r="I33" s="102">
        <v>145</v>
      </c>
      <c r="J33" s="102">
        <v>90.6</v>
      </c>
      <c r="K33" s="102">
        <v>80.099999999999994</v>
      </c>
      <c r="L33" s="102">
        <v>23.2</v>
      </c>
      <c r="M33" s="102">
        <v>2.6</v>
      </c>
      <c r="N33" s="102">
        <f t="shared" si="1"/>
        <v>42.1</v>
      </c>
      <c r="O33" s="102">
        <f t="shared" si="2"/>
        <v>772.9</v>
      </c>
      <c r="P33" s="102">
        <f t="shared" si="3"/>
        <v>105.89999999999999</v>
      </c>
      <c r="Q33" s="102">
        <f t="shared" si="4"/>
        <v>920.90000000000009</v>
      </c>
    </row>
    <row r="34" spans="1:17">
      <c r="A34" s="102">
        <v>1992</v>
      </c>
      <c r="B34" s="102">
        <v>11.2</v>
      </c>
      <c r="C34" s="102">
        <v>14.3</v>
      </c>
      <c r="D34" s="102">
        <v>12.3</v>
      </c>
      <c r="E34" s="102">
        <v>57.8</v>
      </c>
      <c r="F34" s="102">
        <v>122.4</v>
      </c>
      <c r="G34" s="102">
        <v>228.8</v>
      </c>
      <c r="H34" s="102">
        <v>185.1</v>
      </c>
      <c r="I34" s="102">
        <v>138.30000000000001</v>
      </c>
      <c r="J34" s="102">
        <v>149.5</v>
      </c>
      <c r="K34" s="102">
        <v>93.4</v>
      </c>
      <c r="L34" s="102">
        <v>6</v>
      </c>
      <c r="M34" s="102">
        <v>0</v>
      </c>
      <c r="N34" s="102">
        <f t="shared" si="1"/>
        <v>95.6</v>
      </c>
      <c r="O34" s="102">
        <f t="shared" si="2"/>
        <v>824.10000000000014</v>
      </c>
      <c r="P34" s="102">
        <f t="shared" si="3"/>
        <v>99.4</v>
      </c>
      <c r="Q34" s="102">
        <f t="shared" si="4"/>
        <v>1019.1</v>
      </c>
    </row>
    <row r="35" spans="1:17">
      <c r="A35" s="102">
        <v>1993</v>
      </c>
      <c r="B35" s="102">
        <v>13.4</v>
      </c>
      <c r="C35" s="102">
        <v>33</v>
      </c>
      <c r="D35" s="102">
        <v>5.9</v>
      </c>
      <c r="E35" s="102">
        <v>32</v>
      </c>
      <c r="F35" s="102">
        <v>71.5</v>
      </c>
      <c r="G35" s="102">
        <v>91.2</v>
      </c>
      <c r="H35" s="102">
        <v>156.30000000000001</v>
      </c>
      <c r="I35" s="102">
        <v>387.9</v>
      </c>
      <c r="J35" s="102">
        <v>129.1</v>
      </c>
      <c r="K35" s="102">
        <v>29.7</v>
      </c>
      <c r="L35" s="102">
        <v>13</v>
      </c>
      <c r="M35" s="102">
        <v>0</v>
      </c>
      <c r="N35" s="102">
        <f t="shared" si="1"/>
        <v>84.3</v>
      </c>
      <c r="O35" s="102">
        <f t="shared" si="2"/>
        <v>836</v>
      </c>
      <c r="P35" s="102">
        <f t="shared" si="3"/>
        <v>42.7</v>
      </c>
      <c r="Q35" s="102">
        <f t="shared" si="4"/>
        <v>963.00000000000011</v>
      </c>
    </row>
    <row r="36" spans="1:17">
      <c r="A36" s="102">
        <v>1994</v>
      </c>
      <c r="B36" s="102">
        <v>0.2</v>
      </c>
      <c r="C36" s="102">
        <v>14.4</v>
      </c>
      <c r="D36" s="102">
        <v>57.5</v>
      </c>
      <c r="E36" s="102">
        <v>2.9</v>
      </c>
      <c r="F36" s="102">
        <v>94.3</v>
      </c>
      <c r="G36" s="102">
        <v>140.69999999999999</v>
      </c>
      <c r="H36" s="102">
        <v>92.7</v>
      </c>
      <c r="I36" s="102">
        <v>39.6</v>
      </c>
      <c r="J36" s="102">
        <v>166</v>
      </c>
      <c r="K36" s="102">
        <v>49.4</v>
      </c>
      <c r="L36" s="102">
        <v>65.5</v>
      </c>
      <c r="M36" s="102">
        <v>2</v>
      </c>
      <c r="N36" s="102">
        <f t="shared" si="1"/>
        <v>75</v>
      </c>
      <c r="O36" s="102">
        <f t="shared" si="2"/>
        <v>533.29999999999995</v>
      </c>
      <c r="P36" s="102">
        <f t="shared" si="3"/>
        <v>116.9</v>
      </c>
      <c r="Q36" s="102">
        <f t="shared" si="4"/>
        <v>725.19999999999993</v>
      </c>
    </row>
    <row r="37" spans="1:17">
      <c r="A37" s="102">
        <v>1995</v>
      </c>
      <c r="B37" s="102">
        <v>23</v>
      </c>
      <c r="C37" s="102">
        <v>17.600000000000001</v>
      </c>
      <c r="D37" s="102">
        <v>6.4</v>
      </c>
      <c r="E37" s="102">
        <v>2.7</v>
      </c>
      <c r="F37" s="102">
        <v>65</v>
      </c>
      <c r="G37" s="102">
        <v>156.5</v>
      </c>
      <c r="H37" s="102">
        <v>141.5</v>
      </c>
      <c r="I37" s="102">
        <v>123</v>
      </c>
      <c r="J37" s="102">
        <v>176.7</v>
      </c>
      <c r="K37" s="102">
        <v>54.9</v>
      </c>
      <c r="L37" s="102">
        <v>37.299999999999997</v>
      </c>
      <c r="M37" s="102">
        <v>1.2</v>
      </c>
      <c r="N37" s="102">
        <f t="shared" si="1"/>
        <v>49.7</v>
      </c>
      <c r="O37" s="102">
        <f t="shared" si="2"/>
        <v>662.7</v>
      </c>
      <c r="P37" s="102">
        <f t="shared" si="3"/>
        <v>93.399999999999991</v>
      </c>
      <c r="Q37" s="102">
        <f t="shared" si="4"/>
        <v>805.80000000000007</v>
      </c>
    </row>
    <row r="38" spans="1:17">
      <c r="A38" s="102">
        <v>1996</v>
      </c>
      <c r="B38" s="102">
        <v>2.2999999999999998</v>
      </c>
      <c r="C38" s="102">
        <v>0.4</v>
      </c>
      <c r="D38" s="102">
        <v>25.9</v>
      </c>
      <c r="E38" s="102">
        <v>40.4</v>
      </c>
      <c r="F38" s="102">
        <v>115.2</v>
      </c>
      <c r="G38" s="102">
        <v>151.1</v>
      </c>
      <c r="H38" s="102">
        <v>177</v>
      </c>
      <c r="I38" s="102">
        <v>108.6</v>
      </c>
      <c r="J38" s="102">
        <v>69.599999999999994</v>
      </c>
      <c r="K38" s="102">
        <v>25.2</v>
      </c>
      <c r="L38" s="102">
        <v>77.8</v>
      </c>
      <c r="M38" s="102">
        <v>0.5</v>
      </c>
      <c r="N38" s="102">
        <f t="shared" si="1"/>
        <v>69</v>
      </c>
      <c r="O38" s="102">
        <f t="shared" si="2"/>
        <v>621.5</v>
      </c>
      <c r="P38" s="102">
        <f t="shared" si="3"/>
        <v>103.5</v>
      </c>
      <c r="Q38" s="102">
        <f t="shared" si="4"/>
        <v>794</v>
      </c>
    </row>
    <row r="39" spans="1:17">
      <c r="A39" s="102">
        <v>1997</v>
      </c>
      <c r="B39" s="102">
        <v>5.5</v>
      </c>
      <c r="C39" s="102">
        <v>18.2</v>
      </c>
      <c r="D39" s="102">
        <v>20.6</v>
      </c>
      <c r="E39" s="102">
        <v>26.5</v>
      </c>
      <c r="F39" s="102">
        <v>65.099999999999994</v>
      </c>
      <c r="G39" s="102">
        <v>367.1</v>
      </c>
      <c r="H39" s="102">
        <v>156</v>
      </c>
      <c r="I39" s="102">
        <v>58.5</v>
      </c>
      <c r="J39" s="102">
        <v>241.8</v>
      </c>
      <c r="K39" s="102">
        <v>85.9</v>
      </c>
      <c r="L39" s="102">
        <v>0</v>
      </c>
      <c r="M39" s="102">
        <v>2.5</v>
      </c>
      <c r="N39" s="102">
        <f t="shared" si="1"/>
        <v>70.8</v>
      </c>
      <c r="O39" s="102">
        <f t="shared" si="2"/>
        <v>888.5</v>
      </c>
      <c r="P39" s="102">
        <f t="shared" si="3"/>
        <v>88.4</v>
      </c>
      <c r="Q39" s="102">
        <f t="shared" si="4"/>
        <v>1047.7</v>
      </c>
    </row>
    <row r="40" spans="1:17">
      <c r="A40" s="102">
        <v>1998</v>
      </c>
      <c r="B40" s="102">
        <v>9.8000000000000007</v>
      </c>
      <c r="C40" s="102">
        <v>2</v>
      </c>
      <c r="D40" s="102">
        <v>17.8</v>
      </c>
      <c r="E40" s="102">
        <v>31.1</v>
      </c>
      <c r="F40" s="102">
        <v>172.5</v>
      </c>
      <c r="G40" s="102">
        <v>173</v>
      </c>
      <c r="H40" s="102">
        <v>289.10000000000002</v>
      </c>
      <c r="I40" s="102">
        <v>214.4</v>
      </c>
      <c r="J40" s="102">
        <v>78.2</v>
      </c>
      <c r="K40" s="102">
        <v>27.9</v>
      </c>
      <c r="L40" s="102">
        <v>35.200000000000003</v>
      </c>
      <c r="M40" s="102">
        <v>1.5</v>
      </c>
      <c r="N40" s="102">
        <f t="shared" si="1"/>
        <v>60.7</v>
      </c>
      <c r="O40" s="102">
        <f t="shared" si="2"/>
        <v>927.2</v>
      </c>
      <c r="P40" s="102">
        <f t="shared" si="3"/>
        <v>64.599999999999994</v>
      </c>
      <c r="Q40" s="102">
        <f t="shared" si="4"/>
        <v>1052.5</v>
      </c>
    </row>
    <row r="41" spans="1:17">
      <c r="A41" s="102">
        <v>1999</v>
      </c>
      <c r="B41" s="102">
        <v>21.2</v>
      </c>
      <c r="C41" s="102">
        <v>0.1</v>
      </c>
      <c r="D41" s="102">
        <v>9.3000000000000007</v>
      </c>
      <c r="E41" s="102">
        <v>55.2</v>
      </c>
      <c r="F41" s="102">
        <v>103.2</v>
      </c>
      <c r="G41" s="102">
        <v>195.4</v>
      </c>
      <c r="H41" s="102">
        <v>182.6</v>
      </c>
      <c r="I41" s="102">
        <v>195.3</v>
      </c>
      <c r="J41" s="102">
        <v>70.8</v>
      </c>
      <c r="K41" s="102">
        <v>35.700000000000003</v>
      </c>
      <c r="L41" s="102">
        <v>18.2</v>
      </c>
      <c r="M41" s="102">
        <v>1.4</v>
      </c>
      <c r="N41" s="102">
        <f t="shared" si="1"/>
        <v>85.800000000000011</v>
      </c>
      <c r="O41" s="102">
        <f t="shared" si="2"/>
        <v>747.3</v>
      </c>
      <c r="P41" s="102">
        <f t="shared" si="3"/>
        <v>55.300000000000004</v>
      </c>
      <c r="Q41" s="102">
        <f t="shared" si="4"/>
        <v>888.4</v>
      </c>
    </row>
    <row r="42" spans="1:17">
      <c r="A42" s="102">
        <v>2000</v>
      </c>
      <c r="B42" s="102">
        <v>10.199999999999999</v>
      </c>
      <c r="C42" s="102">
        <v>8.1</v>
      </c>
      <c r="D42" s="102">
        <v>30.4</v>
      </c>
      <c r="E42" s="102">
        <v>52.1</v>
      </c>
      <c r="F42" s="102">
        <v>48.3</v>
      </c>
      <c r="G42" s="102">
        <v>240.1</v>
      </c>
      <c r="H42" s="102">
        <v>228.3</v>
      </c>
      <c r="I42" s="102">
        <v>130.19999999999999</v>
      </c>
      <c r="J42" s="102">
        <v>125</v>
      </c>
      <c r="K42" s="102">
        <v>120.6</v>
      </c>
      <c r="L42" s="102">
        <v>0.8</v>
      </c>
      <c r="M42" s="102">
        <v>1.8</v>
      </c>
      <c r="N42" s="102">
        <f t="shared" si="1"/>
        <v>100.8</v>
      </c>
      <c r="O42" s="102">
        <f t="shared" si="2"/>
        <v>771.90000000000009</v>
      </c>
      <c r="P42" s="102">
        <f t="shared" si="3"/>
        <v>123.19999999999999</v>
      </c>
      <c r="Q42" s="102">
        <f t="shared" si="4"/>
        <v>995.9</v>
      </c>
    </row>
    <row r="43" spans="1:17">
      <c r="A43" s="102">
        <v>2001</v>
      </c>
      <c r="B43" s="102">
        <v>0</v>
      </c>
      <c r="C43" s="102">
        <v>1</v>
      </c>
      <c r="D43" s="102">
        <v>6.6</v>
      </c>
      <c r="E43" s="102">
        <v>3.2</v>
      </c>
      <c r="F43" s="102">
        <v>156.30000000000001</v>
      </c>
      <c r="G43" s="102">
        <v>206.5</v>
      </c>
      <c r="H43" s="102">
        <v>146.80000000000001</v>
      </c>
      <c r="I43" s="102">
        <v>116.5</v>
      </c>
      <c r="J43" s="102">
        <v>92</v>
      </c>
      <c r="K43" s="102">
        <v>110</v>
      </c>
      <c r="L43" s="102">
        <v>11.9</v>
      </c>
      <c r="M43" s="102">
        <v>0</v>
      </c>
      <c r="N43" s="102">
        <f t="shared" si="1"/>
        <v>10.8</v>
      </c>
      <c r="O43" s="102">
        <f t="shared" si="2"/>
        <v>718.1</v>
      </c>
      <c r="P43" s="102">
        <f t="shared" si="3"/>
        <v>121.9</v>
      </c>
      <c r="Q43" s="102">
        <f t="shared" si="4"/>
        <v>850.80000000000007</v>
      </c>
    </row>
    <row r="44" spans="1:17">
      <c r="A44" s="102">
        <v>2002</v>
      </c>
      <c r="B44" s="102">
        <v>10.3</v>
      </c>
      <c r="C44" s="102">
        <v>10.199999999999999</v>
      </c>
      <c r="D44" s="102">
        <v>29.8</v>
      </c>
      <c r="E44" s="102">
        <v>6.8</v>
      </c>
      <c r="F44" s="102">
        <v>182.2</v>
      </c>
      <c r="G44" s="102">
        <v>179</v>
      </c>
      <c r="H44" s="102">
        <v>94.1</v>
      </c>
      <c r="I44" s="102">
        <v>235.6</v>
      </c>
      <c r="J44" s="102">
        <v>28.2</v>
      </c>
      <c r="K44" s="102">
        <v>51.5</v>
      </c>
      <c r="L44" s="102">
        <v>4.5999999999999996</v>
      </c>
      <c r="M44" s="102">
        <v>3.9</v>
      </c>
      <c r="N44" s="102">
        <f t="shared" si="1"/>
        <v>57.099999999999994</v>
      </c>
      <c r="O44" s="102">
        <f t="shared" si="2"/>
        <v>719.1</v>
      </c>
      <c r="P44" s="102">
        <f t="shared" si="3"/>
        <v>60</v>
      </c>
      <c r="Q44" s="102">
        <f t="shared" si="4"/>
        <v>836.2</v>
      </c>
    </row>
    <row r="45" spans="1:17">
      <c r="A45" s="102">
        <v>2003</v>
      </c>
      <c r="B45" s="102">
        <v>6.8</v>
      </c>
      <c r="C45" s="102">
        <v>0</v>
      </c>
      <c r="D45" s="102">
        <v>7</v>
      </c>
      <c r="E45" s="102">
        <v>30.1</v>
      </c>
      <c r="F45" s="102">
        <v>108.3</v>
      </c>
      <c r="G45" s="102">
        <v>173.1</v>
      </c>
      <c r="H45" s="102">
        <v>110.5</v>
      </c>
      <c r="I45" s="102">
        <v>24.2</v>
      </c>
      <c r="J45" s="102">
        <v>65</v>
      </c>
      <c r="K45" s="102">
        <v>77.099999999999994</v>
      </c>
      <c r="L45" s="102">
        <v>3.7</v>
      </c>
      <c r="M45" s="102">
        <v>23.7</v>
      </c>
      <c r="N45" s="102">
        <f t="shared" si="1"/>
        <v>43.900000000000006</v>
      </c>
      <c r="O45" s="102">
        <f t="shared" si="2"/>
        <v>481.09999999999997</v>
      </c>
      <c r="P45" s="102">
        <f t="shared" si="3"/>
        <v>104.5</v>
      </c>
      <c r="Q45" s="102">
        <f t="shared" si="4"/>
        <v>629.50000000000011</v>
      </c>
    </row>
    <row r="46" spans="1:17">
      <c r="A46" s="102">
        <v>2004</v>
      </c>
      <c r="B46" s="102">
        <v>9</v>
      </c>
      <c r="C46" s="102">
        <v>2.8</v>
      </c>
      <c r="D46" s="102">
        <v>7.3</v>
      </c>
      <c r="E46" s="102">
        <v>57.3</v>
      </c>
      <c r="F46" s="102">
        <v>137.19999999999999</v>
      </c>
      <c r="G46" s="102">
        <v>171.3</v>
      </c>
      <c r="H46" s="102">
        <v>192.5</v>
      </c>
      <c r="I46" s="102">
        <v>221.1</v>
      </c>
      <c r="J46" s="102">
        <v>118.8</v>
      </c>
      <c r="K46" s="102">
        <v>18.3</v>
      </c>
      <c r="L46" s="102">
        <v>14.8</v>
      </c>
      <c r="M46" s="102">
        <v>4</v>
      </c>
      <c r="N46" s="102">
        <f t="shared" si="1"/>
        <v>76.400000000000006</v>
      </c>
      <c r="O46" s="102">
        <f t="shared" si="2"/>
        <v>840.9</v>
      </c>
      <c r="P46" s="102">
        <f t="shared" si="3"/>
        <v>37.1</v>
      </c>
      <c r="Q46" s="102">
        <f t="shared" si="4"/>
        <v>954.39999999999986</v>
      </c>
    </row>
    <row r="47" spans="1:17">
      <c r="A47" s="102">
        <v>2005</v>
      </c>
      <c r="B47" s="102">
        <v>17.5</v>
      </c>
      <c r="C47" s="102">
        <v>0.3</v>
      </c>
      <c r="D47" s="102">
        <v>15.8</v>
      </c>
      <c r="E47" s="102">
        <v>54.5</v>
      </c>
      <c r="F47" s="102">
        <v>44.1</v>
      </c>
      <c r="G47" s="102">
        <v>174</v>
      </c>
      <c r="H47" s="102">
        <v>141.6</v>
      </c>
      <c r="I47" s="102">
        <v>110.9</v>
      </c>
      <c r="J47" s="102">
        <v>184.9</v>
      </c>
      <c r="K47" s="102">
        <v>57.5</v>
      </c>
      <c r="L47" s="102">
        <v>2</v>
      </c>
      <c r="M47" s="102">
        <v>18.399999999999999</v>
      </c>
      <c r="N47" s="102">
        <f t="shared" si="1"/>
        <v>88.1</v>
      </c>
      <c r="O47" s="102">
        <f t="shared" si="2"/>
        <v>655.5</v>
      </c>
      <c r="P47" s="102">
        <f t="shared" si="3"/>
        <v>77.900000000000006</v>
      </c>
      <c r="Q47" s="102">
        <f t="shared" si="4"/>
        <v>821.49999999999989</v>
      </c>
    </row>
    <row r="48" spans="1:17">
      <c r="A48" s="102">
        <v>2006</v>
      </c>
      <c r="B48" s="102">
        <v>0.2</v>
      </c>
      <c r="C48" s="102">
        <v>12.8</v>
      </c>
      <c r="D48" s="102">
        <v>0.4</v>
      </c>
      <c r="E48" s="102">
        <v>19.8</v>
      </c>
      <c r="F48" s="102">
        <v>60.3</v>
      </c>
      <c r="G48" s="102">
        <v>185.1</v>
      </c>
      <c r="H48" s="102">
        <v>99.1</v>
      </c>
      <c r="I48" s="102">
        <v>84.8</v>
      </c>
      <c r="J48" s="102">
        <v>87.5</v>
      </c>
      <c r="K48" s="102">
        <v>195.9</v>
      </c>
      <c r="L48" s="102">
        <v>6.5</v>
      </c>
      <c r="M48" s="102">
        <v>3</v>
      </c>
      <c r="N48" s="102">
        <f t="shared" si="1"/>
        <v>33.200000000000003</v>
      </c>
      <c r="O48" s="102">
        <f t="shared" si="2"/>
        <v>516.79999999999995</v>
      </c>
      <c r="P48" s="102">
        <f t="shared" si="3"/>
        <v>205.4</v>
      </c>
      <c r="Q48" s="102">
        <f t="shared" si="4"/>
        <v>755.4</v>
      </c>
    </row>
    <row r="49" spans="1:33">
      <c r="A49" s="102">
        <v>2007</v>
      </c>
      <c r="B49" s="102">
        <v>8.9</v>
      </c>
      <c r="C49" s="102">
        <v>2.8</v>
      </c>
      <c r="D49" s="102">
        <v>1</v>
      </c>
      <c r="E49" s="102">
        <v>32.200000000000003</v>
      </c>
      <c r="F49" s="102">
        <v>145.69999999999999</v>
      </c>
      <c r="G49" s="102">
        <v>144.4</v>
      </c>
      <c r="H49" s="102">
        <v>185.1</v>
      </c>
      <c r="I49" s="102">
        <v>150.5</v>
      </c>
      <c r="J49" s="102">
        <v>76.3</v>
      </c>
      <c r="K49" s="102">
        <v>45.4</v>
      </c>
      <c r="L49" s="102">
        <v>7.8</v>
      </c>
      <c r="M49" s="102">
        <v>2.2000000000000002</v>
      </c>
      <c r="N49" s="102">
        <f t="shared" si="1"/>
        <v>44.900000000000006</v>
      </c>
      <c r="O49" s="102">
        <f t="shared" si="2"/>
        <v>702</v>
      </c>
      <c r="P49" s="102">
        <f t="shared" si="3"/>
        <v>55.4</v>
      </c>
      <c r="Q49" s="102">
        <f t="shared" si="4"/>
        <v>802.3</v>
      </c>
    </row>
    <row r="50" spans="1:33">
      <c r="A50" s="102">
        <v>2008</v>
      </c>
      <c r="B50" s="102">
        <v>21.7</v>
      </c>
      <c r="C50" s="102">
        <v>4.4000000000000004</v>
      </c>
      <c r="D50" s="102">
        <v>45.1</v>
      </c>
      <c r="E50" s="102">
        <v>27.8</v>
      </c>
      <c r="F50" s="102">
        <v>162.6</v>
      </c>
      <c r="G50" s="102">
        <v>248.2</v>
      </c>
      <c r="H50" s="102">
        <v>191.5</v>
      </c>
      <c r="I50" s="102">
        <v>127.7</v>
      </c>
      <c r="J50" s="102">
        <v>158.5</v>
      </c>
      <c r="K50" s="102">
        <v>220.8</v>
      </c>
      <c r="L50" s="102">
        <v>69.2</v>
      </c>
      <c r="M50" s="102">
        <v>3.5</v>
      </c>
      <c r="N50" s="102">
        <f t="shared" si="1"/>
        <v>99</v>
      </c>
      <c r="O50" s="102">
        <f t="shared" si="2"/>
        <v>888.5</v>
      </c>
      <c r="P50" s="102">
        <f t="shared" si="3"/>
        <v>293.5</v>
      </c>
      <c r="Q50" s="102">
        <f t="shared" si="4"/>
        <v>1281</v>
      </c>
    </row>
    <row r="51" spans="1:33">
      <c r="A51" s="102">
        <v>2009</v>
      </c>
      <c r="B51" s="102">
        <v>5.6</v>
      </c>
      <c r="C51" s="102">
        <v>3.5</v>
      </c>
      <c r="D51" s="102">
        <v>20.5</v>
      </c>
      <c r="E51" s="102">
        <v>40</v>
      </c>
      <c r="F51" s="102">
        <v>89.5</v>
      </c>
      <c r="G51" s="102">
        <v>221.1</v>
      </c>
      <c r="H51" s="102">
        <v>98.4</v>
      </c>
      <c r="I51" s="102">
        <v>115.5</v>
      </c>
      <c r="J51" s="102">
        <v>11.6</v>
      </c>
      <c r="K51" s="102">
        <v>24.8</v>
      </c>
      <c r="L51" s="102">
        <v>0</v>
      </c>
      <c r="M51" s="102">
        <v>3.8</v>
      </c>
      <c r="N51" s="102">
        <f t="shared" si="1"/>
        <v>69.599999999999994</v>
      </c>
      <c r="O51" s="102">
        <f t="shared" si="2"/>
        <v>536.1</v>
      </c>
      <c r="P51" s="102">
        <f t="shared" si="3"/>
        <v>28.6</v>
      </c>
      <c r="Q51" s="102">
        <f t="shared" si="4"/>
        <v>634.29999999999995</v>
      </c>
    </row>
    <row r="52" spans="1:33">
      <c r="A52" s="102">
        <v>2010</v>
      </c>
      <c r="B52" s="102">
        <v>0.1</v>
      </c>
      <c r="C52" s="102">
        <v>1.3</v>
      </c>
      <c r="D52" s="102">
        <v>0.5</v>
      </c>
      <c r="E52" s="102">
        <v>72.2</v>
      </c>
      <c r="F52" s="102">
        <v>92.3</v>
      </c>
      <c r="G52" s="102">
        <v>110.1</v>
      </c>
      <c r="H52" s="102">
        <v>156.9</v>
      </c>
      <c r="I52" s="102">
        <v>154.19999999999999</v>
      </c>
      <c r="J52" s="102">
        <v>179.7</v>
      </c>
      <c r="K52" s="102">
        <v>99.5</v>
      </c>
      <c r="L52" s="102">
        <v>12.2</v>
      </c>
      <c r="M52" s="102">
        <v>5</v>
      </c>
      <c r="N52" s="102">
        <f t="shared" si="1"/>
        <v>74.100000000000009</v>
      </c>
      <c r="O52" s="102">
        <f t="shared" si="2"/>
        <v>693.2</v>
      </c>
      <c r="P52" s="102">
        <f t="shared" si="3"/>
        <v>116.7</v>
      </c>
      <c r="Q52" s="102">
        <f t="shared" si="4"/>
        <v>884</v>
      </c>
    </row>
    <row r="53" spans="1:33">
      <c r="A53" s="102">
        <v>2011</v>
      </c>
      <c r="B53" s="102">
        <v>12.1</v>
      </c>
      <c r="C53" s="102">
        <v>0</v>
      </c>
      <c r="D53" s="102">
        <v>4.2</v>
      </c>
      <c r="E53" s="102">
        <v>14.6</v>
      </c>
      <c r="F53" s="102">
        <v>21.4</v>
      </c>
      <c r="G53" s="102">
        <v>208</v>
      </c>
      <c r="H53" s="102">
        <v>68.3</v>
      </c>
      <c r="I53" s="102">
        <v>143</v>
      </c>
      <c r="J53" s="102">
        <v>76.900000000000006</v>
      </c>
      <c r="K53" s="102">
        <v>39.299999999999997</v>
      </c>
      <c r="L53" s="102">
        <v>10.5</v>
      </c>
      <c r="M53" s="102">
        <v>0.5</v>
      </c>
      <c r="N53" s="102">
        <f t="shared" si="1"/>
        <v>30.9</v>
      </c>
      <c r="O53" s="102">
        <f t="shared" si="2"/>
        <v>517.6</v>
      </c>
      <c r="P53" s="102">
        <f t="shared" si="3"/>
        <v>50.3</v>
      </c>
      <c r="Q53" s="102">
        <f t="shared" si="4"/>
        <v>598.79999999999995</v>
      </c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  <c r="AD53" s="104"/>
      <c r="AE53" s="104"/>
    </row>
    <row r="54" spans="1:33">
      <c r="A54" s="102">
        <v>2012</v>
      </c>
      <c r="B54" s="102">
        <v>1.2</v>
      </c>
      <c r="C54" s="102">
        <v>0.8</v>
      </c>
      <c r="D54" s="102">
        <v>11</v>
      </c>
      <c r="E54" s="102">
        <v>22.7</v>
      </c>
      <c r="F54" s="102">
        <v>137.4</v>
      </c>
      <c r="G54" s="102">
        <v>170.5</v>
      </c>
      <c r="H54" s="102">
        <v>246</v>
      </c>
      <c r="I54" s="102">
        <v>213.8</v>
      </c>
      <c r="J54" s="102">
        <v>150.9</v>
      </c>
      <c r="K54" s="102">
        <v>43</v>
      </c>
      <c r="L54" s="102">
        <v>3.8</v>
      </c>
      <c r="M54" s="102">
        <v>0</v>
      </c>
      <c r="N54" s="102">
        <f t="shared" si="1"/>
        <v>35.700000000000003</v>
      </c>
      <c r="O54" s="102">
        <f t="shared" si="2"/>
        <v>918.6</v>
      </c>
      <c r="P54" s="102">
        <f t="shared" si="3"/>
        <v>46.8</v>
      </c>
      <c r="Q54" s="102">
        <f t="shared" si="4"/>
        <v>1001.1</v>
      </c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</row>
    <row r="55" spans="1:33">
      <c r="A55" s="102">
        <v>2013</v>
      </c>
      <c r="B55" s="102">
        <v>1.6</v>
      </c>
      <c r="C55" s="102">
        <v>0.2</v>
      </c>
      <c r="D55" s="102">
        <v>27.9</v>
      </c>
      <c r="E55" s="102">
        <v>44.8</v>
      </c>
      <c r="F55" s="102">
        <v>62.4</v>
      </c>
      <c r="G55" s="102">
        <v>140.80000000000001</v>
      </c>
      <c r="H55" s="102">
        <v>136.6</v>
      </c>
      <c r="I55" s="102">
        <v>157.30000000000001</v>
      </c>
      <c r="J55" s="102">
        <v>60.6</v>
      </c>
      <c r="K55" s="102">
        <v>55.8</v>
      </c>
      <c r="L55" s="102">
        <v>2.5</v>
      </c>
      <c r="M55" s="102">
        <v>9.1999999999999993</v>
      </c>
      <c r="N55" s="102">
        <f t="shared" si="1"/>
        <v>74.5</v>
      </c>
      <c r="O55" s="102">
        <f t="shared" si="2"/>
        <v>557.70000000000005</v>
      </c>
      <c r="P55" s="102">
        <f t="shared" si="3"/>
        <v>67.5</v>
      </c>
      <c r="Q55" s="102">
        <f t="shared" si="4"/>
        <v>699.70000000000016</v>
      </c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  <c r="AD55" s="104"/>
      <c r="AE55" s="104"/>
      <c r="AF55" s="104"/>
      <c r="AG55" s="104"/>
    </row>
    <row r="56" spans="1:33">
      <c r="A56" s="102">
        <v>2014</v>
      </c>
      <c r="B56" s="128">
        <v>2.5</v>
      </c>
      <c r="C56" s="128">
        <v>10</v>
      </c>
      <c r="D56" s="128">
        <v>21</v>
      </c>
      <c r="E56" s="128">
        <v>39</v>
      </c>
      <c r="F56" s="128">
        <v>80.5</v>
      </c>
      <c r="G56" s="128">
        <v>127.4</v>
      </c>
      <c r="H56" s="128">
        <v>208.7</v>
      </c>
      <c r="I56" s="128">
        <v>284</v>
      </c>
      <c r="J56" s="128">
        <v>94</v>
      </c>
      <c r="K56" s="128">
        <v>117.2</v>
      </c>
      <c r="L56" s="128">
        <v>17.2</v>
      </c>
      <c r="M56" s="128">
        <v>1.9</v>
      </c>
      <c r="N56" s="102">
        <f t="shared" si="1"/>
        <v>72.5</v>
      </c>
      <c r="O56" s="102">
        <f t="shared" si="2"/>
        <v>794.6</v>
      </c>
      <c r="P56" s="102">
        <f t="shared" si="3"/>
        <v>136.30000000000001</v>
      </c>
      <c r="Q56" s="102">
        <f t="shared" si="4"/>
        <v>1003.4</v>
      </c>
    </row>
    <row r="57" spans="1:33">
      <c r="A57" s="102">
        <v>2015</v>
      </c>
      <c r="B57" s="128">
        <v>18.5</v>
      </c>
      <c r="C57" s="128">
        <v>0.5</v>
      </c>
      <c r="D57" s="128">
        <v>4.5</v>
      </c>
      <c r="E57" s="128">
        <v>39</v>
      </c>
      <c r="F57" s="128">
        <v>57</v>
      </c>
      <c r="G57" s="128">
        <v>215</v>
      </c>
      <c r="H57" s="128">
        <v>163.5</v>
      </c>
      <c r="I57" s="128">
        <v>224</v>
      </c>
      <c r="J57" s="128">
        <v>118.5</v>
      </c>
      <c r="K57" s="128">
        <v>94</v>
      </c>
      <c r="L57" s="128">
        <v>1</v>
      </c>
      <c r="M57" s="128">
        <v>14.5</v>
      </c>
      <c r="N57" s="102">
        <f t="shared" si="1"/>
        <v>62.5</v>
      </c>
      <c r="O57" s="102">
        <f t="shared" si="2"/>
        <v>778</v>
      </c>
      <c r="P57" s="102">
        <f t="shared" si="3"/>
        <v>109.5</v>
      </c>
      <c r="Q57" s="102">
        <f t="shared" si="4"/>
        <v>950</v>
      </c>
    </row>
    <row r="58" spans="1:33">
      <c r="A58" s="102">
        <v>2016</v>
      </c>
      <c r="B58" s="128">
        <v>1</v>
      </c>
      <c r="C58" s="128">
        <v>1.5</v>
      </c>
      <c r="D58" s="128">
        <v>16</v>
      </c>
      <c r="E58" s="128">
        <v>87.5</v>
      </c>
      <c r="F58" s="128">
        <v>139</v>
      </c>
      <c r="G58" s="128">
        <v>196</v>
      </c>
      <c r="H58" s="128">
        <v>151.5</v>
      </c>
      <c r="I58" s="128">
        <v>120.5</v>
      </c>
      <c r="J58" s="128">
        <v>163.5</v>
      </c>
      <c r="K58" s="128">
        <v>43</v>
      </c>
      <c r="L58" s="128">
        <v>21.5</v>
      </c>
      <c r="M58" s="128">
        <v>0</v>
      </c>
      <c r="N58" s="102">
        <f>SUM(B58:E58)</f>
        <v>106</v>
      </c>
      <c r="O58" s="102">
        <f>SUM(F58:J58)</f>
        <v>770.5</v>
      </c>
      <c r="P58" s="102">
        <f>SUM(K58:M58)</f>
        <v>64.5</v>
      </c>
      <c r="Q58" s="102">
        <f>SUM(B58:M58)</f>
        <v>941</v>
      </c>
      <c r="R58" s="108">
        <f t="shared" ref="R58:AG58" si="5">100*(B58-B4)/B4</f>
        <v>-87.751328865264611</v>
      </c>
      <c r="S58" s="108">
        <f t="shared" si="5"/>
        <v>-75.233644859813097</v>
      </c>
      <c r="T58" s="108">
        <f t="shared" si="5"/>
        <v>22.86293827875982</v>
      </c>
      <c r="U58" s="108">
        <f t="shared" si="5"/>
        <v>130.34321760294046</v>
      </c>
      <c r="V58" s="108">
        <f t="shared" si="5"/>
        <v>21.800806824945436</v>
      </c>
      <c r="W58" s="108">
        <f t="shared" si="5"/>
        <v>1.6846288628510333</v>
      </c>
      <c r="X58" s="108">
        <f t="shared" si="5"/>
        <v>-6.8870747037131892</v>
      </c>
      <c r="Y58" s="108">
        <f t="shared" si="5"/>
        <v>-16.277758842190845</v>
      </c>
      <c r="Z58" s="108">
        <f t="shared" si="5"/>
        <v>43.942791647979284</v>
      </c>
      <c r="AA58" s="108">
        <f t="shared" si="5"/>
        <v>-39.27524646949108</v>
      </c>
      <c r="AB58" s="108">
        <f t="shared" si="5"/>
        <v>20.251160827353313</v>
      </c>
      <c r="AC58" s="108">
        <f t="shared" si="5"/>
        <v>-100</v>
      </c>
      <c r="AD58" s="108">
        <f t="shared" si="5"/>
        <v>62.501446257086648</v>
      </c>
      <c r="AE58" s="108">
        <f t="shared" si="5"/>
        <v>5.969742578368324</v>
      </c>
      <c r="AF58" s="108">
        <f t="shared" si="5"/>
        <v>-30.978436439993548</v>
      </c>
      <c r="AG58" s="108">
        <f t="shared" si="5"/>
        <v>6.2348229881139856</v>
      </c>
    </row>
  </sheetData>
  <mergeCells count="6">
    <mergeCell ref="A1:A3"/>
    <mergeCell ref="B2:M2"/>
    <mergeCell ref="B1:Q1"/>
    <mergeCell ref="R1:AG1"/>
    <mergeCell ref="N2:Q2"/>
    <mergeCell ref="R2:AG2"/>
  </mergeCells>
  <phoneticPr fontId="2" type="noConversion"/>
  <pageMargins left="0.75" right="0.75" top="1" bottom="1" header="0.5" footer="0.5"/>
  <headerFooter alignWithMargins="0"/>
</worksheet>
</file>

<file path=xl/worksheets/sheet73.xml><?xml version="1.0" encoding="utf-8"?>
<worksheet xmlns="http://schemas.openxmlformats.org/spreadsheetml/2006/main" xmlns:r="http://schemas.openxmlformats.org/officeDocument/2006/relationships">
  <sheetPr codeName="Sheet73"/>
  <dimension ref="A1:AG61"/>
  <sheetViews>
    <sheetView zoomScale="85" zoomScaleNormal="85" workbookViewId="0">
      <pane ySplit="5" topLeftCell="A6" activePane="bottomLeft" state="frozen"/>
      <selection pane="bottomLeft" activeCell="R61" sqref="R61"/>
    </sheetView>
  </sheetViews>
  <sheetFormatPr defaultRowHeight="12"/>
  <cols>
    <col min="1" max="77" width="7.125" style="102" customWidth="1"/>
    <col min="78" max="16384" width="9" style="102"/>
  </cols>
  <sheetData>
    <row r="1" spans="1:33" s="118" customFormat="1" ht="14.25" customHeight="1">
      <c r="A1" s="176" t="s">
        <v>53</v>
      </c>
      <c r="B1" s="176" t="s">
        <v>171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2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116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32</v>
      </c>
      <c r="O2" s="176"/>
      <c r="P2" s="176"/>
      <c r="Q2" s="176"/>
      <c r="R2" s="176" t="s">
        <v>38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 ht="24">
      <c r="A3" s="176"/>
      <c r="B3" s="125" t="s">
        <v>149</v>
      </c>
      <c r="C3" s="125" t="s">
        <v>150</v>
      </c>
      <c r="D3" s="125" t="s">
        <v>9</v>
      </c>
      <c r="E3" s="125" t="s">
        <v>10</v>
      </c>
      <c r="F3" s="125" t="s">
        <v>11</v>
      </c>
      <c r="G3" s="125" t="s">
        <v>12</v>
      </c>
      <c r="H3" s="125" t="s">
        <v>13</v>
      </c>
      <c r="I3" s="125" t="s">
        <v>14</v>
      </c>
      <c r="J3" s="125" t="s">
        <v>15</v>
      </c>
      <c r="K3" s="125" t="s">
        <v>16</v>
      </c>
      <c r="L3" s="125" t="s">
        <v>17</v>
      </c>
      <c r="M3" s="125" t="s">
        <v>18</v>
      </c>
      <c r="N3" s="125" t="s">
        <v>145</v>
      </c>
      <c r="O3" s="125" t="s">
        <v>146</v>
      </c>
      <c r="P3" s="125" t="s">
        <v>147</v>
      </c>
      <c r="Q3" s="125" t="s">
        <v>148</v>
      </c>
      <c r="R3" s="125" t="s">
        <v>149</v>
      </c>
      <c r="S3" s="125" t="s">
        <v>150</v>
      </c>
      <c r="T3" s="125" t="s">
        <v>151</v>
      </c>
      <c r="U3" s="125" t="s">
        <v>152</v>
      </c>
      <c r="V3" s="125" t="s">
        <v>153</v>
      </c>
      <c r="W3" s="125" t="s">
        <v>154</v>
      </c>
      <c r="X3" s="125" t="s">
        <v>25</v>
      </c>
      <c r="Y3" s="125" t="s">
        <v>26</v>
      </c>
      <c r="Z3" s="125" t="s">
        <v>27</v>
      </c>
      <c r="AA3" s="125" t="s">
        <v>155</v>
      </c>
      <c r="AB3" s="125" t="s">
        <v>156</v>
      </c>
      <c r="AC3" s="125" t="s">
        <v>157</v>
      </c>
      <c r="AD3" s="125" t="s">
        <v>132</v>
      </c>
      <c r="AE3" s="125" t="s">
        <v>42</v>
      </c>
      <c r="AF3" s="125" t="s">
        <v>91</v>
      </c>
      <c r="AG3" s="125" t="s">
        <v>66</v>
      </c>
    </row>
    <row r="4" spans="1:33" s="118" customFormat="1">
      <c r="A4" s="150" t="s">
        <v>261</v>
      </c>
      <c r="B4" s="150">
        <f t="shared" ref="B4:Q4" si="0">AVERAGE(B5:B60)</f>
        <v>11.280357142857143</v>
      </c>
      <c r="C4" s="150">
        <f t="shared" si="0"/>
        <v>11.185714285714285</v>
      </c>
      <c r="D4" s="150">
        <f t="shared" si="0"/>
        <v>18.683928571428567</v>
      </c>
      <c r="E4" s="150">
        <f t="shared" si="0"/>
        <v>64.303571428571416</v>
      </c>
      <c r="F4" s="150">
        <f t="shared" si="0"/>
        <v>141.64107142857139</v>
      </c>
      <c r="G4" s="150">
        <f t="shared" si="0"/>
        <v>245.9375</v>
      </c>
      <c r="H4" s="150">
        <f t="shared" si="0"/>
        <v>231.73392857142849</v>
      </c>
      <c r="I4" s="150">
        <f t="shared" si="0"/>
        <v>176.00000000000003</v>
      </c>
      <c r="J4" s="150">
        <f t="shared" si="0"/>
        <v>142.35714285714283</v>
      </c>
      <c r="K4" s="150">
        <f t="shared" si="0"/>
        <v>85.585714285714289</v>
      </c>
      <c r="L4" s="150">
        <f t="shared" si="0"/>
        <v>24.666071428571435</v>
      </c>
      <c r="M4" s="150">
        <f t="shared" si="0"/>
        <v>9.2089285714285758</v>
      </c>
      <c r="N4" s="150">
        <f t="shared" si="0"/>
        <v>105.45357142857141</v>
      </c>
      <c r="O4" s="150">
        <f t="shared" si="0"/>
        <v>937.66964285714289</v>
      </c>
      <c r="P4" s="150">
        <f t="shared" si="0"/>
        <v>119.46071428571427</v>
      </c>
      <c r="Q4" s="150">
        <f t="shared" si="0"/>
        <v>1162.5839285714283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1960</v>
      </c>
      <c r="B5" s="103">
        <v>5.0999999999999996</v>
      </c>
      <c r="C5" s="103">
        <v>11.6</v>
      </c>
      <c r="D5" s="103">
        <v>4.4000000000000004</v>
      </c>
      <c r="E5" s="103">
        <v>94.1</v>
      </c>
      <c r="F5" s="103">
        <v>20</v>
      </c>
      <c r="G5" s="103">
        <v>260.5</v>
      </c>
      <c r="H5" s="103">
        <v>205.6</v>
      </c>
      <c r="I5" s="103">
        <v>232.9</v>
      </c>
      <c r="J5" s="103">
        <v>98</v>
      </c>
      <c r="K5" s="103">
        <v>102.6</v>
      </c>
      <c r="L5" s="103">
        <v>11.3</v>
      </c>
      <c r="M5" s="103">
        <v>11.9</v>
      </c>
      <c r="N5" s="102">
        <f>SUM(B5:E5)</f>
        <v>115.19999999999999</v>
      </c>
      <c r="O5" s="102">
        <f>SUM(F5:J5)</f>
        <v>817</v>
      </c>
      <c r="P5" s="102">
        <f>SUM(K5:M5)</f>
        <v>125.8</v>
      </c>
      <c r="Q5" s="102">
        <f>SUM(B5:M5)</f>
        <v>1058</v>
      </c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</row>
    <row r="6" spans="1:33">
      <c r="A6" s="102">
        <v>1961</v>
      </c>
      <c r="B6" s="103">
        <v>7.8</v>
      </c>
      <c r="C6" s="103">
        <v>34</v>
      </c>
      <c r="D6" s="103">
        <v>28.1</v>
      </c>
      <c r="E6" s="103">
        <v>84</v>
      </c>
      <c r="F6" s="103">
        <v>158.1</v>
      </c>
      <c r="G6" s="103">
        <v>380.2</v>
      </c>
      <c r="H6" s="103">
        <v>177.2</v>
      </c>
      <c r="I6" s="103">
        <v>179.1</v>
      </c>
      <c r="J6" s="103">
        <v>151.4</v>
      </c>
      <c r="K6" s="103">
        <v>145.4</v>
      </c>
      <c r="L6" s="103">
        <v>2.6</v>
      </c>
      <c r="M6" s="103">
        <v>9.9</v>
      </c>
      <c r="N6" s="102">
        <f t="shared" ref="N6:N60" si="1">SUM(B6:E6)</f>
        <v>153.9</v>
      </c>
      <c r="O6" s="102">
        <f t="shared" ref="O6:O60" si="2">SUM(F6:J6)</f>
        <v>1046</v>
      </c>
      <c r="P6" s="102">
        <f t="shared" ref="P6:P60" si="3">SUM(K6:M6)</f>
        <v>157.9</v>
      </c>
      <c r="Q6" s="102">
        <f t="shared" ref="Q6:Q60" si="4">SUM(B6:M6)</f>
        <v>1357.8000000000002</v>
      </c>
      <c r="R6" s="103"/>
      <c r="S6" s="103"/>
      <c r="T6" s="103"/>
      <c r="U6" s="103"/>
      <c r="V6" s="103"/>
      <c r="W6" s="103"/>
      <c r="X6" s="103"/>
      <c r="Y6" s="103"/>
      <c r="Z6" s="103"/>
      <c r="AA6" s="103"/>
      <c r="AB6" s="103"/>
      <c r="AC6" s="103"/>
      <c r="AD6" s="103"/>
      <c r="AE6" s="103"/>
    </row>
    <row r="7" spans="1:33">
      <c r="A7" s="102">
        <v>1962</v>
      </c>
      <c r="B7" s="103">
        <v>0.5</v>
      </c>
      <c r="C7" s="103">
        <v>34</v>
      </c>
      <c r="D7" s="103">
        <v>5.2</v>
      </c>
      <c r="E7" s="103">
        <v>19.8</v>
      </c>
      <c r="F7" s="103">
        <v>110.9</v>
      </c>
      <c r="G7" s="103">
        <v>283.60000000000002</v>
      </c>
      <c r="H7" s="103">
        <v>319.7</v>
      </c>
      <c r="I7" s="103">
        <v>143.69999999999999</v>
      </c>
      <c r="J7" s="103">
        <v>121.8</v>
      </c>
      <c r="K7" s="103">
        <v>28.7</v>
      </c>
      <c r="L7" s="103">
        <v>15.6</v>
      </c>
      <c r="M7" s="103">
        <v>10.8</v>
      </c>
      <c r="N7" s="102">
        <f t="shared" si="1"/>
        <v>59.5</v>
      </c>
      <c r="O7" s="102">
        <f t="shared" si="2"/>
        <v>979.7</v>
      </c>
      <c r="P7" s="102">
        <f t="shared" si="3"/>
        <v>55.099999999999994</v>
      </c>
      <c r="Q7" s="102">
        <f t="shared" si="4"/>
        <v>1094.3</v>
      </c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</row>
    <row r="8" spans="1:33">
      <c r="A8" s="102">
        <v>1963</v>
      </c>
      <c r="B8" s="103">
        <v>4.9000000000000004</v>
      </c>
      <c r="C8" s="103">
        <v>12.8</v>
      </c>
      <c r="D8" s="103">
        <v>16.399999999999999</v>
      </c>
      <c r="E8" s="103">
        <v>148.5</v>
      </c>
      <c r="F8" s="103">
        <v>75.099999999999994</v>
      </c>
      <c r="G8" s="103">
        <v>48.9</v>
      </c>
      <c r="H8" s="103">
        <v>103.4</v>
      </c>
      <c r="I8" s="103">
        <v>172.4</v>
      </c>
      <c r="J8" s="103">
        <v>41</v>
      </c>
      <c r="K8" s="103">
        <v>182.1</v>
      </c>
      <c r="L8" s="103">
        <v>40.4</v>
      </c>
      <c r="M8" s="103">
        <v>10.6</v>
      </c>
      <c r="N8" s="102">
        <f t="shared" si="1"/>
        <v>182.6</v>
      </c>
      <c r="O8" s="102">
        <f t="shared" si="2"/>
        <v>440.8</v>
      </c>
      <c r="P8" s="102">
        <f t="shared" si="3"/>
        <v>233.1</v>
      </c>
      <c r="Q8" s="102">
        <f t="shared" si="4"/>
        <v>856.5</v>
      </c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</row>
    <row r="9" spans="1:33">
      <c r="A9" s="102">
        <v>1964</v>
      </c>
      <c r="B9" s="103">
        <v>29.2</v>
      </c>
      <c r="C9" s="103">
        <v>17.100000000000001</v>
      </c>
      <c r="D9" s="103">
        <v>16.3</v>
      </c>
      <c r="E9" s="103">
        <v>40.4</v>
      </c>
      <c r="F9" s="103">
        <v>94.4</v>
      </c>
      <c r="G9" s="103">
        <v>220.1</v>
      </c>
      <c r="H9" s="103">
        <v>153</v>
      </c>
      <c r="I9" s="103">
        <v>276.5</v>
      </c>
      <c r="J9" s="103">
        <v>79.8</v>
      </c>
      <c r="K9" s="103">
        <v>153.69999999999999</v>
      </c>
      <c r="L9" s="103">
        <v>8.5</v>
      </c>
      <c r="M9" s="103">
        <v>3.8</v>
      </c>
      <c r="N9" s="102">
        <f t="shared" si="1"/>
        <v>103</v>
      </c>
      <c r="O9" s="102">
        <f t="shared" si="2"/>
        <v>823.8</v>
      </c>
      <c r="P9" s="102">
        <f t="shared" si="3"/>
        <v>166</v>
      </c>
      <c r="Q9" s="102">
        <f t="shared" si="4"/>
        <v>1092.8</v>
      </c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</row>
    <row r="10" spans="1:33">
      <c r="A10" s="102">
        <v>1965</v>
      </c>
      <c r="B10" s="103">
        <v>1.6</v>
      </c>
      <c r="C10" s="103">
        <v>9</v>
      </c>
      <c r="D10" s="103">
        <v>17.5</v>
      </c>
      <c r="E10" s="103">
        <v>13</v>
      </c>
      <c r="F10" s="103">
        <v>203.2</v>
      </c>
      <c r="G10" s="103">
        <v>207.1</v>
      </c>
      <c r="H10" s="103">
        <v>205.8</v>
      </c>
      <c r="I10" s="103">
        <v>209.2</v>
      </c>
      <c r="J10" s="103">
        <v>190.5</v>
      </c>
      <c r="K10" s="103">
        <v>85.5</v>
      </c>
      <c r="L10" s="103">
        <v>52.7</v>
      </c>
      <c r="M10" s="103">
        <v>10.7</v>
      </c>
      <c r="N10" s="102">
        <f t="shared" si="1"/>
        <v>41.1</v>
      </c>
      <c r="O10" s="102">
        <f t="shared" si="2"/>
        <v>1015.8</v>
      </c>
      <c r="P10" s="102">
        <f t="shared" si="3"/>
        <v>148.89999999999998</v>
      </c>
      <c r="Q10" s="102">
        <f t="shared" si="4"/>
        <v>1205.8000000000002</v>
      </c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</row>
    <row r="11" spans="1:33">
      <c r="A11" s="102">
        <v>1966</v>
      </c>
      <c r="B11" s="103">
        <v>7.1</v>
      </c>
      <c r="C11" s="103">
        <v>17</v>
      </c>
      <c r="D11" s="103">
        <v>4.7</v>
      </c>
      <c r="E11" s="103">
        <v>101.3</v>
      </c>
      <c r="F11" s="103">
        <v>173.6</v>
      </c>
      <c r="G11" s="103">
        <v>384.3</v>
      </c>
      <c r="H11" s="103">
        <v>201.5</v>
      </c>
      <c r="I11" s="103">
        <v>167.4</v>
      </c>
      <c r="J11" s="103">
        <v>186.5</v>
      </c>
      <c r="K11" s="103">
        <v>155</v>
      </c>
      <c r="L11" s="103">
        <v>39.200000000000003</v>
      </c>
      <c r="M11" s="103">
        <v>19.3</v>
      </c>
      <c r="N11" s="102">
        <f t="shared" si="1"/>
        <v>130.1</v>
      </c>
      <c r="O11" s="102">
        <f t="shared" si="2"/>
        <v>1113.3</v>
      </c>
      <c r="P11" s="102">
        <f t="shared" si="3"/>
        <v>213.5</v>
      </c>
      <c r="Q11" s="102">
        <f t="shared" si="4"/>
        <v>1456.9</v>
      </c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</row>
    <row r="12" spans="1:33">
      <c r="A12" s="102">
        <v>1967</v>
      </c>
      <c r="B12" s="103">
        <v>14.3</v>
      </c>
      <c r="C12" s="103">
        <v>3.4</v>
      </c>
      <c r="D12" s="103">
        <v>36.299999999999997</v>
      </c>
      <c r="E12" s="103">
        <v>83.8</v>
      </c>
      <c r="F12" s="103">
        <v>208.9</v>
      </c>
      <c r="G12" s="103">
        <v>208.5</v>
      </c>
      <c r="H12" s="103">
        <v>170.7</v>
      </c>
      <c r="I12" s="103">
        <v>265.10000000000002</v>
      </c>
      <c r="J12" s="103">
        <v>93.6</v>
      </c>
      <c r="K12" s="103">
        <v>103.3</v>
      </c>
      <c r="L12" s="103">
        <v>17.100000000000001</v>
      </c>
      <c r="M12" s="103">
        <v>17</v>
      </c>
      <c r="N12" s="102">
        <f t="shared" si="1"/>
        <v>137.80000000000001</v>
      </c>
      <c r="O12" s="102">
        <f t="shared" si="2"/>
        <v>946.8</v>
      </c>
      <c r="P12" s="102">
        <f t="shared" si="3"/>
        <v>137.4</v>
      </c>
      <c r="Q12" s="102">
        <f t="shared" si="4"/>
        <v>1222</v>
      </c>
      <c r="R12" s="103"/>
      <c r="S12" s="103"/>
      <c r="T12" s="103"/>
      <c r="U12" s="103"/>
      <c r="V12" s="103"/>
      <c r="W12" s="103"/>
      <c r="X12" s="103"/>
      <c r="Y12" s="103"/>
      <c r="Z12" s="103"/>
      <c r="AA12" s="103"/>
      <c r="AB12" s="103"/>
      <c r="AC12" s="103"/>
      <c r="AD12" s="103"/>
      <c r="AE12" s="103"/>
    </row>
    <row r="13" spans="1:33">
      <c r="A13" s="102">
        <v>1968</v>
      </c>
      <c r="B13" s="103">
        <v>4.5</v>
      </c>
      <c r="C13" s="103">
        <v>2.4</v>
      </c>
      <c r="D13" s="103">
        <v>11.3</v>
      </c>
      <c r="E13" s="103">
        <v>53.3</v>
      </c>
      <c r="F13" s="103">
        <v>174.9</v>
      </c>
      <c r="G13" s="103">
        <v>143</v>
      </c>
      <c r="H13" s="103">
        <v>208.8</v>
      </c>
      <c r="I13" s="103">
        <v>142.80000000000001</v>
      </c>
      <c r="J13" s="103">
        <v>119</v>
      </c>
      <c r="K13" s="103">
        <v>90.4</v>
      </c>
      <c r="L13" s="103">
        <v>5.0999999999999996</v>
      </c>
      <c r="M13" s="103">
        <v>3.8</v>
      </c>
      <c r="N13" s="102">
        <f t="shared" si="1"/>
        <v>71.5</v>
      </c>
      <c r="O13" s="102">
        <f t="shared" si="2"/>
        <v>788.5</v>
      </c>
      <c r="P13" s="102">
        <f t="shared" si="3"/>
        <v>99.3</v>
      </c>
      <c r="Q13" s="102">
        <f t="shared" si="4"/>
        <v>959.3</v>
      </c>
      <c r="R13" s="103"/>
      <c r="S13" s="103"/>
      <c r="T13" s="103"/>
      <c r="U13" s="103"/>
      <c r="V13" s="103"/>
      <c r="W13" s="103"/>
      <c r="X13" s="103"/>
      <c r="Y13" s="103"/>
      <c r="Z13" s="103"/>
      <c r="AA13" s="103"/>
      <c r="AB13" s="103"/>
      <c r="AC13" s="103"/>
      <c r="AD13" s="103"/>
      <c r="AE13" s="103"/>
    </row>
    <row r="14" spans="1:33">
      <c r="A14" s="102">
        <v>1969</v>
      </c>
      <c r="B14" s="103">
        <v>6.2</v>
      </c>
      <c r="C14" s="103">
        <v>30.8</v>
      </c>
      <c r="D14" s="103">
        <v>14.7</v>
      </c>
      <c r="E14" s="103">
        <v>102.3</v>
      </c>
      <c r="F14" s="103">
        <v>198.7</v>
      </c>
      <c r="G14" s="103">
        <v>459.3</v>
      </c>
      <c r="H14" s="103">
        <v>193.4</v>
      </c>
      <c r="I14" s="103">
        <v>203.9</v>
      </c>
      <c r="J14" s="103">
        <v>217.1</v>
      </c>
      <c r="K14" s="103">
        <v>46.9</v>
      </c>
      <c r="L14" s="103">
        <v>87.6</v>
      </c>
      <c r="M14" s="103">
        <v>18</v>
      </c>
      <c r="N14" s="102">
        <f t="shared" si="1"/>
        <v>154</v>
      </c>
      <c r="O14" s="102">
        <f t="shared" si="2"/>
        <v>1272.3999999999999</v>
      </c>
      <c r="P14" s="102">
        <f t="shared" si="3"/>
        <v>152.5</v>
      </c>
      <c r="Q14" s="102">
        <f t="shared" si="4"/>
        <v>1578.8999999999999</v>
      </c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</row>
    <row r="15" spans="1:33">
      <c r="A15" s="102">
        <v>1970</v>
      </c>
      <c r="B15" s="103">
        <v>7.4</v>
      </c>
      <c r="C15" s="103">
        <v>19.399999999999999</v>
      </c>
      <c r="D15" s="103">
        <v>8.8000000000000007</v>
      </c>
      <c r="E15" s="103">
        <v>105.2</v>
      </c>
      <c r="F15" s="103">
        <v>166.4</v>
      </c>
      <c r="G15" s="103">
        <v>159.19999999999999</v>
      </c>
      <c r="H15" s="103">
        <v>355.6</v>
      </c>
      <c r="I15" s="103">
        <v>320.7</v>
      </c>
      <c r="J15" s="103">
        <v>134.30000000000001</v>
      </c>
      <c r="K15" s="103">
        <v>107.8</v>
      </c>
      <c r="L15" s="103">
        <v>26.3</v>
      </c>
      <c r="M15" s="103">
        <v>4.0999999999999996</v>
      </c>
      <c r="N15" s="102">
        <f t="shared" si="1"/>
        <v>140.80000000000001</v>
      </c>
      <c r="O15" s="102">
        <f t="shared" si="2"/>
        <v>1136.2</v>
      </c>
      <c r="P15" s="102">
        <f t="shared" si="3"/>
        <v>138.19999999999999</v>
      </c>
      <c r="Q15" s="102">
        <f t="shared" si="4"/>
        <v>1415.1999999999998</v>
      </c>
      <c r="R15" s="103"/>
      <c r="S15" s="103"/>
      <c r="T15" s="103"/>
      <c r="U15" s="103"/>
      <c r="V15" s="103"/>
      <c r="W15" s="103"/>
      <c r="X15" s="103"/>
      <c r="Y15" s="103"/>
      <c r="Z15" s="103"/>
      <c r="AA15" s="103"/>
      <c r="AB15" s="103"/>
      <c r="AC15" s="103"/>
      <c r="AD15" s="103"/>
      <c r="AE15" s="103"/>
    </row>
    <row r="16" spans="1:33">
      <c r="A16" s="102">
        <v>1971</v>
      </c>
      <c r="B16" s="103">
        <v>10.5</v>
      </c>
      <c r="C16" s="103">
        <v>0.4</v>
      </c>
      <c r="D16" s="103">
        <v>25.4</v>
      </c>
      <c r="E16" s="103">
        <v>80.900000000000006</v>
      </c>
      <c r="F16" s="103">
        <v>56.7</v>
      </c>
      <c r="G16" s="103">
        <v>318.8</v>
      </c>
      <c r="H16" s="103">
        <v>326.3</v>
      </c>
      <c r="I16" s="103">
        <v>165.4</v>
      </c>
      <c r="J16" s="103">
        <v>113.9</v>
      </c>
      <c r="K16" s="103">
        <v>45.9</v>
      </c>
      <c r="L16" s="103">
        <v>33.9</v>
      </c>
      <c r="M16" s="103">
        <v>8.4</v>
      </c>
      <c r="N16" s="102">
        <f t="shared" si="1"/>
        <v>117.2</v>
      </c>
      <c r="O16" s="102">
        <f t="shared" si="2"/>
        <v>981.09999999999991</v>
      </c>
      <c r="P16" s="102">
        <f t="shared" si="3"/>
        <v>88.2</v>
      </c>
      <c r="Q16" s="102">
        <f t="shared" si="4"/>
        <v>1186.5000000000002</v>
      </c>
      <c r="R16" s="103"/>
      <c r="S16" s="103"/>
      <c r="T16" s="103"/>
      <c r="U16" s="103"/>
      <c r="V16" s="103"/>
      <c r="W16" s="103"/>
      <c r="X16" s="103"/>
      <c r="Y16" s="103"/>
      <c r="Z16" s="103"/>
      <c r="AA16" s="103"/>
      <c r="AB16" s="103"/>
      <c r="AC16" s="103"/>
      <c r="AD16" s="103"/>
      <c r="AE16" s="103"/>
    </row>
    <row r="17" spans="1:31">
      <c r="A17" s="102">
        <v>1972</v>
      </c>
      <c r="B17" s="103">
        <v>18.3</v>
      </c>
      <c r="C17" s="103">
        <v>4.0999999999999996</v>
      </c>
      <c r="D17" s="103">
        <v>24.9</v>
      </c>
      <c r="E17" s="103">
        <v>114.3</v>
      </c>
      <c r="F17" s="103">
        <v>78.900000000000006</v>
      </c>
      <c r="G17" s="103">
        <v>180.8</v>
      </c>
      <c r="H17" s="103">
        <v>302.39999999999998</v>
      </c>
      <c r="I17" s="103">
        <v>129</v>
      </c>
      <c r="J17" s="103">
        <v>226.1</v>
      </c>
      <c r="K17" s="103">
        <v>99</v>
      </c>
      <c r="L17" s="103">
        <v>38.299999999999997</v>
      </c>
      <c r="M17" s="103">
        <v>33.6</v>
      </c>
      <c r="N17" s="102">
        <f t="shared" si="1"/>
        <v>161.6</v>
      </c>
      <c r="O17" s="102">
        <f t="shared" si="2"/>
        <v>917.2</v>
      </c>
      <c r="P17" s="102">
        <f t="shared" si="3"/>
        <v>170.9</v>
      </c>
      <c r="Q17" s="102">
        <f t="shared" si="4"/>
        <v>1249.6999999999998</v>
      </c>
      <c r="R17" s="103"/>
      <c r="S17" s="103"/>
      <c r="T17" s="103"/>
      <c r="U17" s="103"/>
      <c r="V17" s="103"/>
      <c r="W17" s="103"/>
      <c r="X17" s="103"/>
      <c r="Y17" s="103"/>
      <c r="Z17" s="103"/>
      <c r="AA17" s="103"/>
      <c r="AB17" s="103"/>
      <c r="AC17" s="103"/>
      <c r="AD17" s="103"/>
      <c r="AE17" s="103"/>
    </row>
    <row r="18" spans="1:31">
      <c r="A18" s="102">
        <v>1973</v>
      </c>
      <c r="B18" s="103">
        <v>14.4</v>
      </c>
      <c r="C18" s="103">
        <v>11.4</v>
      </c>
      <c r="D18" s="103">
        <v>21.6</v>
      </c>
      <c r="E18" s="103">
        <v>99.4</v>
      </c>
      <c r="F18" s="103">
        <v>236.5</v>
      </c>
      <c r="G18" s="103">
        <v>378.1</v>
      </c>
      <c r="H18" s="103">
        <v>125.3</v>
      </c>
      <c r="I18" s="103">
        <v>225.1</v>
      </c>
      <c r="J18" s="103">
        <v>260.3</v>
      </c>
      <c r="K18" s="103">
        <v>88.8</v>
      </c>
      <c r="L18" s="103">
        <v>9.1</v>
      </c>
      <c r="M18" s="103">
        <v>14.8</v>
      </c>
      <c r="N18" s="102">
        <f t="shared" si="1"/>
        <v>146.80000000000001</v>
      </c>
      <c r="O18" s="102">
        <f t="shared" si="2"/>
        <v>1225.3</v>
      </c>
      <c r="P18" s="102">
        <f t="shared" si="3"/>
        <v>112.69999999999999</v>
      </c>
      <c r="Q18" s="102">
        <f t="shared" si="4"/>
        <v>1484.7999999999997</v>
      </c>
      <c r="R18" s="103"/>
      <c r="S18" s="103"/>
      <c r="T18" s="103"/>
      <c r="U18" s="103"/>
      <c r="V18" s="103"/>
      <c r="W18" s="103"/>
      <c r="X18" s="103"/>
      <c r="Y18" s="103"/>
      <c r="Z18" s="103"/>
      <c r="AA18" s="103"/>
      <c r="AB18" s="103"/>
      <c r="AC18" s="103"/>
      <c r="AD18" s="103"/>
      <c r="AE18" s="103"/>
    </row>
    <row r="19" spans="1:31">
      <c r="A19" s="102">
        <v>1974</v>
      </c>
      <c r="B19" s="103">
        <v>12.7</v>
      </c>
      <c r="C19" s="103">
        <v>4.3</v>
      </c>
      <c r="D19" s="103">
        <v>33.4</v>
      </c>
      <c r="E19" s="103">
        <v>75.900000000000006</v>
      </c>
      <c r="F19" s="103">
        <v>90.1</v>
      </c>
      <c r="G19" s="103">
        <v>305.60000000000002</v>
      </c>
      <c r="H19" s="103">
        <v>118.6</v>
      </c>
      <c r="I19" s="103">
        <v>130.4</v>
      </c>
      <c r="J19" s="103">
        <v>121.2</v>
      </c>
      <c r="K19" s="103">
        <v>30.7</v>
      </c>
      <c r="L19" s="103">
        <v>40.799999999999997</v>
      </c>
      <c r="M19" s="103">
        <v>7.3</v>
      </c>
      <c r="N19" s="102">
        <f t="shared" si="1"/>
        <v>126.30000000000001</v>
      </c>
      <c r="O19" s="102">
        <f t="shared" si="2"/>
        <v>765.90000000000009</v>
      </c>
      <c r="P19" s="102">
        <f t="shared" si="3"/>
        <v>78.8</v>
      </c>
      <c r="Q19" s="102">
        <f t="shared" si="4"/>
        <v>971</v>
      </c>
      <c r="R19" s="103"/>
      <c r="S19" s="103"/>
      <c r="T19" s="103"/>
      <c r="U19" s="103"/>
      <c r="V19" s="103"/>
      <c r="W19" s="103"/>
      <c r="X19" s="103"/>
      <c r="Y19" s="103"/>
      <c r="Z19" s="103"/>
      <c r="AA19" s="103"/>
      <c r="AB19" s="103"/>
      <c r="AC19" s="103"/>
      <c r="AD19" s="103"/>
      <c r="AE19" s="103"/>
    </row>
    <row r="20" spans="1:31">
      <c r="A20" s="102">
        <v>1975</v>
      </c>
      <c r="B20" s="103">
        <v>14.9</v>
      </c>
      <c r="C20" s="103">
        <v>13.1</v>
      </c>
      <c r="D20" s="103">
        <v>23.9</v>
      </c>
      <c r="E20" s="103">
        <v>32.6</v>
      </c>
      <c r="F20" s="103">
        <v>145.30000000000001</v>
      </c>
      <c r="G20" s="103">
        <v>141.80000000000001</v>
      </c>
      <c r="H20" s="103">
        <v>140.4</v>
      </c>
      <c r="I20" s="103">
        <v>137.69999999999999</v>
      </c>
      <c r="J20" s="103">
        <v>269</v>
      </c>
      <c r="K20" s="103">
        <v>54.7</v>
      </c>
      <c r="L20" s="103">
        <v>52.3</v>
      </c>
      <c r="M20" s="103">
        <v>1</v>
      </c>
      <c r="N20" s="102">
        <f t="shared" si="1"/>
        <v>84.5</v>
      </c>
      <c r="O20" s="102">
        <f t="shared" si="2"/>
        <v>834.2</v>
      </c>
      <c r="P20" s="102">
        <f t="shared" si="3"/>
        <v>108</v>
      </c>
      <c r="Q20" s="102">
        <f t="shared" si="4"/>
        <v>1026.7</v>
      </c>
      <c r="R20" s="103"/>
      <c r="S20" s="103"/>
      <c r="T20" s="103"/>
      <c r="U20" s="103"/>
      <c r="V20" s="103"/>
      <c r="W20" s="103"/>
      <c r="X20" s="103"/>
      <c r="Y20" s="103"/>
      <c r="Z20" s="103"/>
      <c r="AA20" s="103"/>
      <c r="AB20" s="103"/>
      <c r="AC20" s="103"/>
      <c r="AD20" s="103"/>
      <c r="AE20" s="103"/>
    </row>
    <row r="21" spans="1:31">
      <c r="A21" s="102">
        <v>1976</v>
      </c>
      <c r="B21" s="103">
        <v>13.9</v>
      </c>
      <c r="C21" s="103">
        <v>2.2999999999999998</v>
      </c>
      <c r="D21" s="103">
        <v>14</v>
      </c>
      <c r="E21" s="103">
        <v>81.8</v>
      </c>
      <c r="F21" s="103">
        <v>194</v>
      </c>
      <c r="G21" s="103">
        <v>258.3</v>
      </c>
      <c r="H21" s="103">
        <v>186.9</v>
      </c>
      <c r="I21" s="103">
        <v>90.1</v>
      </c>
      <c r="J21" s="103">
        <v>177.7</v>
      </c>
      <c r="K21" s="103">
        <v>163.4</v>
      </c>
      <c r="L21" s="103">
        <v>16.3</v>
      </c>
      <c r="M21" s="103">
        <v>12.6</v>
      </c>
      <c r="N21" s="102">
        <f t="shared" si="1"/>
        <v>112</v>
      </c>
      <c r="O21" s="102">
        <f t="shared" si="2"/>
        <v>907</v>
      </c>
      <c r="P21" s="102">
        <f t="shared" si="3"/>
        <v>192.3</v>
      </c>
      <c r="Q21" s="102">
        <f t="shared" si="4"/>
        <v>1211.3</v>
      </c>
      <c r="R21" s="103"/>
      <c r="S21" s="103"/>
      <c r="T21" s="103"/>
      <c r="U21" s="103"/>
      <c r="V21" s="103"/>
      <c r="W21" s="103"/>
      <c r="X21" s="103"/>
      <c r="Y21" s="103"/>
      <c r="Z21" s="103"/>
      <c r="AA21" s="103"/>
      <c r="AB21" s="103"/>
      <c r="AC21" s="103"/>
      <c r="AD21" s="103"/>
      <c r="AE21" s="103"/>
    </row>
    <row r="22" spans="1:31">
      <c r="A22" s="102">
        <v>1977</v>
      </c>
      <c r="B22" s="103">
        <v>13</v>
      </c>
      <c r="C22" s="103">
        <v>18.100000000000001</v>
      </c>
      <c r="D22" s="103">
        <v>13.2</v>
      </c>
      <c r="E22" s="103">
        <v>61.5</v>
      </c>
      <c r="F22" s="103">
        <v>109.7</v>
      </c>
      <c r="G22" s="103">
        <v>327.3</v>
      </c>
      <c r="H22" s="103">
        <v>290.10000000000002</v>
      </c>
      <c r="I22" s="103">
        <v>181.8</v>
      </c>
      <c r="J22" s="103">
        <v>145.9</v>
      </c>
      <c r="K22" s="103">
        <v>160</v>
      </c>
      <c r="L22" s="103">
        <v>34.4</v>
      </c>
      <c r="M22" s="103">
        <v>0.8</v>
      </c>
      <c r="N22" s="102">
        <f t="shared" si="1"/>
        <v>105.8</v>
      </c>
      <c r="O22" s="102">
        <f t="shared" si="2"/>
        <v>1054.8000000000002</v>
      </c>
      <c r="P22" s="102">
        <f t="shared" si="3"/>
        <v>195.20000000000002</v>
      </c>
      <c r="Q22" s="102">
        <f t="shared" si="4"/>
        <v>1355.8000000000002</v>
      </c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  <c r="AC22" s="103"/>
      <c r="AD22" s="103"/>
      <c r="AE22" s="103"/>
    </row>
    <row r="23" spans="1:31">
      <c r="A23" s="102">
        <v>1978</v>
      </c>
      <c r="B23" s="103">
        <v>5.9</v>
      </c>
      <c r="C23" s="103">
        <v>3.1</v>
      </c>
      <c r="D23" s="103">
        <v>11.5</v>
      </c>
      <c r="E23" s="103">
        <v>44</v>
      </c>
      <c r="F23" s="103">
        <v>194.7</v>
      </c>
      <c r="G23" s="103">
        <v>303</v>
      </c>
      <c r="H23" s="103">
        <v>130.80000000000001</v>
      </c>
      <c r="I23" s="103">
        <v>145.80000000000001</v>
      </c>
      <c r="J23" s="103">
        <v>67.3</v>
      </c>
      <c r="K23" s="103">
        <v>68.3</v>
      </c>
      <c r="L23" s="103">
        <v>49.9</v>
      </c>
      <c r="M23" s="103">
        <v>3.5</v>
      </c>
      <c r="N23" s="102">
        <f t="shared" si="1"/>
        <v>64.5</v>
      </c>
      <c r="O23" s="102">
        <f t="shared" si="2"/>
        <v>841.59999999999991</v>
      </c>
      <c r="P23" s="102">
        <f t="shared" si="3"/>
        <v>121.69999999999999</v>
      </c>
      <c r="Q23" s="102">
        <f t="shared" si="4"/>
        <v>1027.8</v>
      </c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  <c r="AC23" s="103"/>
      <c r="AD23" s="103"/>
      <c r="AE23" s="103"/>
    </row>
    <row r="24" spans="1:31">
      <c r="A24" s="102">
        <v>1979</v>
      </c>
      <c r="B24" s="103">
        <v>1.3</v>
      </c>
      <c r="C24" s="103">
        <v>5.3</v>
      </c>
      <c r="D24" s="103">
        <v>10</v>
      </c>
      <c r="E24" s="103">
        <v>88.1</v>
      </c>
      <c r="F24" s="103">
        <v>44.7</v>
      </c>
      <c r="G24" s="103">
        <v>267.60000000000002</v>
      </c>
      <c r="H24" s="103">
        <v>232.9</v>
      </c>
      <c r="I24" s="103">
        <v>212.5</v>
      </c>
      <c r="J24" s="103">
        <v>224.3</v>
      </c>
      <c r="K24" s="103">
        <v>40.6</v>
      </c>
      <c r="L24" s="103">
        <v>3</v>
      </c>
      <c r="M24" s="103">
        <v>24.5</v>
      </c>
      <c r="N24" s="102">
        <f t="shared" si="1"/>
        <v>104.69999999999999</v>
      </c>
      <c r="O24" s="102">
        <f t="shared" si="2"/>
        <v>982</v>
      </c>
      <c r="P24" s="102">
        <f t="shared" si="3"/>
        <v>68.099999999999994</v>
      </c>
      <c r="Q24" s="102">
        <f t="shared" si="4"/>
        <v>1154.8</v>
      </c>
      <c r="R24" s="103"/>
      <c r="S24" s="103"/>
      <c r="T24" s="103"/>
      <c r="U24" s="103"/>
      <c r="V24" s="103"/>
      <c r="W24" s="103"/>
      <c r="X24" s="103"/>
      <c r="Y24" s="103"/>
      <c r="Z24" s="103"/>
      <c r="AA24" s="103"/>
      <c r="AB24" s="103"/>
      <c r="AC24" s="103"/>
      <c r="AD24" s="103"/>
      <c r="AE24" s="103"/>
    </row>
    <row r="25" spans="1:31">
      <c r="A25" s="102">
        <v>1980</v>
      </c>
      <c r="B25" s="103">
        <v>5.4</v>
      </c>
      <c r="C25" s="103">
        <v>11.9</v>
      </c>
      <c r="D25" s="103">
        <v>5.0999999999999996</v>
      </c>
      <c r="E25" s="103">
        <v>40.6</v>
      </c>
      <c r="F25" s="103">
        <v>170.9</v>
      </c>
      <c r="G25" s="103">
        <v>253.1</v>
      </c>
      <c r="H25" s="103">
        <v>288.10000000000002</v>
      </c>
      <c r="I25" s="103">
        <v>207.8</v>
      </c>
      <c r="J25" s="103">
        <v>89</v>
      </c>
      <c r="K25" s="103">
        <v>109.8</v>
      </c>
      <c r="L25" s="103">
        <v>17.600000000000001</v>
      </c>
      <c r="M25" s="103">
        <v>26.5</v>
      </c>
      <c r="N25" s="102">
        <f t="shared" si="1"/>
        <v>63</v>
      </c>
      <c r="O25" s="102">
        <f t="shared" si="2"/>
        <v>1008.9000000000001</v>
      </c>
      <c r="P25" s="102">
        <f t="shared" si="3"/>
        <v>153.9</v>
      </c>
      <c r="Q25" s="102">
        <f t="shared" si="4"/>
        <v>1225.8</v>
      </c>
      <c r="R25" s="103"/>
      <c r="S25" s="103"/>
      <c r="T25" s="103"/>
      <c r="U25" s="103"/>
      <c r="V25" s="103"/>
      <c r="W25" s="103"/>
      <c r="X25" s="103"/>
      <c r="Y25" s="103"/>
      <c r="Z25" s="103"/>
      <c r="AA25" s="103"/>
      <c r="AB25" s="103"/>
      <c r="AC25" s="103"/>
      <c r="AD25" s="103"/>
      <c r="AE25" s="103"/>
    </row>
    <row r="26" spans="1:31">
      <c r="A26" s="102">
        <v>1981</v>
      </c>
      <c r="B26" s="103">
        <v>10.3</v>
      </c>
      <c r="C26" s="103">
        <v>8.3000000000000007</v>
      </c>
      <c r="D26" s="103">
        <v>12.6</v>
      </c>
      <c r="E26" s="103">
        <v>47.6</v>
      </c>
      <c r="F26" s="103">
        <v>95.4</v>
      </c>
      <c r="G26" s="103">
        <v>256.5</v>
      </c>
      <c r="H26" s="103">
        <v>166.8</v>
      </c>
      <c r="I26" s="103">
        <v>146.69999999999999</v>
      </c>
      <c r="J26" s="103">
        <v>168.1</v>
      </c>
      <c r="K26" s="103">
        <v>57.6</v>
      </c>
      <c r="L26" s="103">
        <v>17</v>
      </c>
      <c r="M26" s="103">
        <v>9.8000000000000007</v>
      </c>
      <c r="N26" s="102">
        <f t="shared" si="1"/>
        <v>78.800000000000011</v>
      </c>
      <c r="O26" s="102">
        <f t="shared" si="2"/>
        <v>833.50000000000011</v>
      </c>
      <c r="P26" s="102">
        <f t="shared" si="3"/>
        <v>84.399999999999991</v>
      </c>
      <c r="Q26" s="102">
        <f t="shared" si="4"/>
        <v>996.7</v>
      </c>
      <c r="R26" s="103"/>
      <c r="S26" s="103"/>
      <c r="T26" s="103"/>
      <c r="U26" s="103"/>
      <c r="V26" s="103"/>
      <c r="W26" s="103"/>
      <c r="X26" s="103"/>
      <c r="Y26" s="103"/>
      <c r="Z26" s="103"/>
      <c r="AA26" s="103"/>
      <c r="AB26" s="103"/>
      <c r="AC26" s="103"/>
      <c r="AD26" s="103"/>
      <c r="AE26" s="103"/>
    </row>
    <row r="27" spans="1:31">
      <c r="A27" s="102">
        <v>1982</v>
      </c>
      <c r="B27" s="103">
        <v>12.3</v>
      </c>
      <c r="C27" s="103">
        <v>41</v>
      </c>
      <c r="D27" s="103">
        <v>14.3</v>
      </c>
      <c r="E27" s="103">
        <v>96.7</v>
      </c>
      <c r="F27" s="103">
        <v>238.9</v>
      </c>
      <c r="G27" s="103">
        <v>212.3</v>
      </c>
      <c r="H27" s="103">
        <v>204.4</v>
      </c>
      <c r="I27" s="103">
        <v>299.8</v>
      </c>
      <c r="J27" s="103">
        <v>153.80000000000001</v>
      </c>
      <c r="K27" s="103">
        <v>135.80000000000001</v>
      </c>
      <c r="L27" s="103">
        <v>43.2</v>
      </c>
      <c r="M27" s="103">
        <v>7.1</v>
      </c>
      <c r="N27" s="102">
        <f t="shared" si="1"/>
        <v>164.3</v>
      </c>
      <c r="O27" s="102">
        <f t="shared" si="2"/>
        <v>1109.2</v>
      </c>
      <c r="P27" s="102">
        <f t="shared" si="3"/>
        <v>186.1</v>
      </c>
      <c r="Q27" s="102">
        <f t="shared" si="4"/>
        <v>1459.6</v>
      </c>
      <c r="R27" s="103"/>
      <c r="S27" s="103"/>
      <c r="T27" s="103"/>
      <c r="U27" s="103"/>
      <c r="V27" s="103"/>
      <c r="W27" s="103"/>
      <c r="X27" s="103"/>
      <c r="Y27" s="103"/>
      <c r="Z27" s="103"/>
      <c r="AA27" s="103"/>
      <c r="AB27" s="103"/>
      <c r="AC27" s="103"/>
      <c r="AD27" s="103"/>
      <c r="AE27" s="103"/>
    </row>
    <row r="28" spans="1:31">
      <c r="A28" s="102">
        <v>1983</v>
      </c>
      <c r="B28" s="103">
        <v>29.8</v>
      </c>
      <c r="C28" s="103">
        <v>32.5</v>
      </c>
      <c r="D28" s="103">
        <v>22.3</v>
      </c>
      <c r="E28" s="103">
        <v>28.2</v>
      </c>
      <c r="F28" s="103">
        <v>337.1</v>
      </c>
      <c r="G28" s="103">
        <v>197.6</v>
      </c>
      <c r="H28" s="103">
        <v>232.2</v>
      </c>
      <c r="I28" s="103">
        <v>153.30000000000001</v>
      </c>
      <c r="J28" s="103">
        <v>378.9</v>
      </c>
      <c r="K28" s="103">
        <v>145.19999999999999</v>
      </c>
      <c r="L28" s="103">
        <v>48</v>
      </c>
      <c r="M28" s="103">
        <v>9.4</v>
      </c>
      <c r="N28" s="102">
        <f t="shared" si="1"/>
        <v>112.8</v>
      </c>
      <c r="O28" s="102">
        <f t="shared" si="2"/>
        <v>1299.0999999999999</v>
      </c>
      <c r="P28" s="102">
        <f t="shared" si="3"/>
        <v>202.6</v>
      </c>
      <c r="Q28" s="102">
        <f t="shared" si="4"/>
        <v>1614.5000000000002</v>
      </c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</row>
    <row r="29" spans="1:31">
      <c r="A29" s="102">
        <v>1984</v>
      </c>
      <c r="B29" s="103">
        <v>2</v>
      </c>
      <c r="C29" s="103">
        <v>7.1</v>
      </c>
      <c r="D29" s="103">
        <v>15.7</v>
      </c>
      <c r="E29" s="103">
        <v>95.4</v>
      </c>
      <c r="F29" s="103">
        <v>283.3</v>
      </c>
      <c r="G29" s="103">
        <v>57.8</v>
      </c>
      <c r="H29" s="103">
        <v>287</v>
      </c>
      <c r="I29" s="103">
        <v>110.8</v>
      </c>
      <c r="J29" s="103">
        <v>118.6</v>
      </c>
      <c r="K29" s="103">
        <v>77.099999999999994</v>
      </c>
      <c r="L29" s="103">
        <v>10.5</v>
      </c>
      <c r="M29" s="103">
        <v>5.6</v>
      </c>
      <c r="N29" s="102">
        <f t="shared" si="1"/>
        <v>120.2</v>
      </c>
      <c r="O29" s="102">
        <f t="shared" si="2"/>
        <v>857.5</v>
      </c>
      <c r="P29" s="102">
        <f t="shared" si="3"/>
        <v>93.199999999999989</v>
      </c>
      <c r="Q29" s="102">
        <f t="shared" si="4"/>
        <v>1070.8999999999999</v>
      </c>
      <c r="R29" s="103"/>
      <c r="S29" s="103"/>
      <c r="T29" s="103"/>
      <c r="U29" s="103"/>
      <c r="V29" s="103"/>
      <c r="W29" s="103"/>
      <c r="X29" s="103"/>
      <c r="Y29" s="103"/>
      <c r="Z29" s="103"/>
      <c r="AA29" s="103"/>
      <c r="AB29" s="103"/>
      <c r="AC29" s="103"/>
      <c r="AD29" s="103"/>
      <c r="AE29" s="103"/>
    </row>
    <row r="30" spans="1:31">
      <c r="A30" s="102">
        <v>1985</v>
      </c>
      <c r="B30" s="103">
        <v>11.3</v>
      </c>
      <c r="C30" s="103">
        <v>7.6</v>
      </c>
      <c r="D30" s="103">
        <v>9.3000000000000007</v>
      </c>
      <c r="E30" s="103">
        <v>60.4</v>
      </c>
      <c r="F30" s="103">
        <v>116.5</v>
      </c>
      <c r="G30" s="103">
        <v>430.2</v>
      </c>
      <c r="H30" s="103">
        <v>229.3</v>
      </c>
      <c r="I30" s="103">
        <v>153</v>
      </c>
      <c r="J30" s="103">
        <v>61.6</v>
      </c>
      <c r="K30" s="103">
        <v>43.7</v>
      </c>
      <c r="L30" s="103">
        <v>24</v>
      </c>
      <c r="M30" s="103">
        <v>7</v>
      </c>
      <c r="N30" s="102">
        <f t="shared" si="1"/>
        <v>88.6</v>
      </c>
      <c r="O30" s="102">
        <f t="shared" si="2"/>
        <v>990.6</v>
      </c>
      <c r="P30" s="102">
        <f t="shared" si="3"/>
        <v>74.7</v>
      </c>
      <c r="Q30" s="102">
        <f t="shared" si="4"/>
        <v>1153.8999999999999</v>
      </c>
      <c r="R30" s="103"/>
      <c r="S30" s="103"/>
      <c r="T30" s="103"/>
      <c r="U30" s="103"/>
      <c r="V30" s="103"/>
      <c r="W30" s="103"/>
      <c r="X30" s="103"/>
      <c r="Y30" s="103"/>
      <c r="Z30" s="103"/>
      <c r="AA30" s="103"/>
      <c r="AB30" s="103"/>
      <c r="AC30" s="103"/>
      <c r="AD30" s="103"/>
      <c r="AE30" s="103"/>
    </row>
    <row r="31" spans="1:31">
      <c r="A31" s="102">
        <v>1986</v>
      </c>
      <c r="B31" s="103">
        <v>2.1</v>
      </c>
      <c r="C31" s="103">
        <v>11.5</v>
      </c>
      <c r="D31" s="103">
        <v>12.7</v>
      </c>
      <c r="E31" s="103">
        <v>73.099999999999994</v>
      </c>
      <c r="F31" s="103">
        <v>171.6</v>
      </c>
      <c r="G31" s="103">
        <v>209.5</v>
      </c>
      <c r="H31" s="103">
        <v>416</v>
      </c>
      <c r="I31" s="103">
        <v>192.2</v>
      </c>
      <c r="J31" s="103">
        <v>175.2</v>
      </c>
      <c r="K31" s="103">
        <v>70.599999999999994</v>
      </c>
      <c r="L31" s="103">
        <v>39.700000000000003</v>
      </c>
      <c r="M31" s="103">
        <v>0.8</v>
      </c>
      <c r="N31" s="102">
        <f t="shared" si="1"/>
        <v>99.399999999999991</v>
      </c>
      <c r="O31" s="102">
        <f t="shared" si="2"/>
        <v>1164.5</v>
      </c>
      <c r="P31" s="102">
        <f t="shared" si="3"/>
        <v>111.1</v>
      </c>
      <c r="Q31" s="102">
        <f t="shared" si="4"/>
        <v>1375</v>
      </c>
      <c r="R31" s="103"/>
      <c r="S31" s="103"/>
      <c r="T31" s="103"/>
      <c r="U31" s="103"/>
      <c r="V31" s="103"/>
      <c r="W31" s="103"/>
      <c r="X31" s="103"/>
      <c r="Y31" s="103"/>
      <c r="Z31" s="103"/>
      <c r="AA31" s="103"/>
      <c r="AB31" s="103"/>
      <c r="AC31" s="103"/>
      <c r="AD31" s="103"/>
      <c r="AE31" s="103"/>
    </row>
    <row r="32" spans="1:31">
      <c r="A32" s="102">
        <v>1987</v>
      </c>
      <c r="B32" s="103">
        <v>12.2</v>
      </c>
      <c r="C32" s="103">
        <v>4.9000000000000004</v>
      </c>
      <c r="D32" s="103">
        <v>13.4</v>
      </c>
      <c r="E32" s="103">
        <v>11.7</v>
      </c>
      <c r="F32" s="103">
        <v>109.9</v>
      </c>
      <c r="G32" s="103">
        <v>258.8</v>
      </c>
      <c r="H32" s="103">
        <v>401.6</v>
      </c>
      <c r="I32" s="103">
        <v>260.60000000000002</v>
      </c>
      <c r="J32" s="103">
        <v>148.6</v>
      </c>
      <c r="K32" s="103">
        <v>56.8</v>
      </c>
      <c r="L32" s="103">
        <v>24.1</v>
      </c>
      <c r="M32" s="103">
        <v>4.4000000000000004</v>
      </c>
      <c r="N32" s="102">
        <f t="shared" si="1"/>
        <v>42.2</v>
      </c>
      <c r="O32" s="102">
        <f t="shared" si="2"/>
        <v>1179.5</v>
      </c>
      <c r="P32" s="102">
        <f t="shared" si="3"/>
        <v>85.300000000000011</v>
      </c>
      <c r="Q32" s="102">
        <f t="shared" si="4"/>
        <v>1306.9999999999998</v>
      </c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</row>
    <row r="33" spans="1:31">
      <c r="A33" s="102">
        <v>1988</v>
      </c>
      <c r="B33" s="103">
        <v>4.2</v>
      </c>
      <c r="C33" s="103">
        <v>14.3</v>
      </c>
      <c r="D33" s="103">
        <v>7.4</v>
      </c>
      <c r="E33" s="103">
        <v>47.6</v>
      </c>
      <c r="F33" s="103">
        <v>83</v>
      </c>
      <c r="G33" s="103">
        <v>173.2</v>
      </c>
      <c r="H33" s="103">
        <v>337.7</v>
      </c>
      <c r="I33" s="103">
        <v>324.7</v>
      </c>
      <c r="J33" s="103">
        <v>136.69999999999999</v>
      </c>
      <c r="K33" s="103">
        <v>39.6</v>
      </c>
      <c r="L33" s="103">
        <v>6.7</v>
      </c>
      <c r="M33" s="103">
        <v>1.3</v>
      </c>
      <c r="N33" s="102">
        <f t="shared" si="1"/>
        <v>73.5</v>
      </c>
      <c r="O33" s="102">
        <f t="shared" si="2"/>
        <v>1055.3</v>
      </c>
      <c r="P33" s="102">
        <f t="shared" si="3"/>
        <v>47.6</v>
      </c>
      <c r="Q33" s="102">
        <f t="shared" si="4"/>
        <v>1176.3999999999999</v>
      </c>
      <c r="R33" s="103"/>
      <c r="S33" s="103"/>
      <c r="T33" s="103"/>
      <c r="U33" s="103"/>
      <c r="V33" s="103"/>
      <c r="W33" s="103"/>
      <c r="X33" s="103"/>
      <c r="Y33" s="103"/>
      <c r="Z33" s="103"/>
      <c r="AA33" s="103"/>
      <c r="AB33" s="103"/>
      <c r="AC33" s="103"/>
      <c r="AD33" s="103"/>
      <c r="AE33" s="103"/>
    </row>
    <row r="34" spans="1:31">
      <c r="A34" s="102">
        <v>1989</v>
      </c>
      <c r="B34" s="103">
        <v>7.1</v>
      </c>
      <c r="C34" s="103">
        <v>11.3</v>
      </c>
      <c r="D34" s="103">
        <v>21</v>
      </c>
      <c r="E34" s="103">
        <v>21.9</v>
      </c>
      <c r="F34" s="103">
        <v>99.9</v>
      </c>
      <c r="G34" s="103">
        <v>277.89999999999998</v>
      </c>
      <c r="H34" s="103">
        <v>210.5</v>
      </c>
      <c r="I34" s="103">
        <v>86.4</v>
      </c>
      <c r="J34" s="103">
        <v>127.2</v>
      </c>
      <c r="K34" s="103">
        <v>38.5</v>
      </c>
      <c r="L34" s="103">
        <v>22.1</v>
      </c>
      <c r="M34" s="103">
        <v>6.9</v>
      </c>
      <c r="N34" s="102">
        <f t="shared" si="1"/>
        <v>61.3</v>
      </c>
      <c r="O34" s="102">
        <f t="shared" si="2"/>
        <v>801.9</v>
      </c>
      <c r="P34" s="102">
        <f t="shared" si="3"/>
        <v>67.5</v>
      </c>
      <c r="Q34" s="102">
        <f t="shared" si="4"/>
        <v>930.69999999999993</v>
      </c>
      <c r="R34" s="103"/>
      <c r="S34" s="103"/>
      <c r="T34" s="103"/>
      <c r="U34" s="103"/>
      <c r="V34" s="103"/>
      <c r="W34" s="103"/>
      <c r="X34" s="103"/>
      <c r="Y34" s="103"/>
      <c r="Z34" s="103"/>
      <c r="AA34" s="103"/>
      <c r="AB34" s="103"/>
      <c r="AC34" s="103"/>
      <c r="AD34" s="103"/>
      <c r="AE34" s="103"/>
    </row>
    <row r="35" spans="1:31">
      <c r="A35" s="102">
        <v>1990</v>
      </c>
      <c r="B35" s="103">
        <v>6.5</v>
      </c>
      <c r="C35" s="103">
        <v>6.5</v>
      </c>
      <c r="D35" s="103">
        <v>28.4</v>
      </c>
      <c r="E35" s="103">
        <v>55.7</v>
      </c>
      <c r="F35" s="103">
        <v>132.9</v>
      </c>
      <c r="G35" s="103">
        <v>246.9</v>
      </c>
      <c r="H35" s="103">
        <v>226.9</v>
      </c>
      <c r="I35" s="103">
        <v>113.6</v>
      </c>
      <c r="J35" s="103">
        <v>117.4</v>
      </c>
      <c r="K35" s="103">
        <v>103.6</v>
      </c>
      <c r="L35" s="103">
        <v>43.1</v>
      </c>
      <c r="M35" s="103">
        <v>1.5</v>
      </c>
      <c r="N35" s="102">
        <f t="shared" si="1"/>
        <v>97.1</v>
      </c>
      <c r="O35" s="102">
        <f t="shared" si="2"/>
        <v>837.7</v>
      </c>
      <c r="P35" s="102">
        <f t="shared" si="3"/>
        <v>148.19999999999999</v>
      </c>
      <c r="Q35" s="102">
        <f t="shared" si="4"/>
        <v>1082.9999999999998</v>
      </c>
      <c r="R35" s="103"/>
      <c r="S35" s="103"/>
      <c r="T35" s="103"/>
      <c r="U35" s="103"/>
      <c r="V35" s="103"/>
      <c r="W35" s="103"/>
      <c r="X35" s="103"/>
      <c r="Y35" s="103"/>
      <c r="Z35" s="103"/>
      <c r="AA35" s="103"/>
      <c r="AB35" s="103"/>
      <c r="AC35" s="103"/>
      <c r="AD35" s="103"/>
      <c r="AE35" s="103"/>
    </row>
    <row r="36" spans="1:31">
      <c r="A36" s="102">
        <v>1991</v>
      </c>
      <c r="B36" s="103">
        <v>32.4</v>
      </c>
      <c r="C36" s="103">
        <v>4.9000000000000004</v>
      </c>
      <c r="D36" s="103">
        <v>7.4</v>
      </c>
      <c r="E36" s="103">
        <v>32.700000000000003</v>
      </c>
      <c r="F36" s="103">
        <v>52.9</v>
      </c>
      <c r="G36" s="103">
        <v>266.7</v>
      </c>
      <c r="H36" s="103">
        <v>468.2</v>
      </c>
      <c r="I36" s="103">
        <v>194.8</v>
      </c>
      <c r="J36" s="103">
        <v>106.2</v>
      </c>
      <c r="K36" s="103">
        <v>73.099999999999994</v>
      </c>
      <c r="L36" s="103">
        <v>27.3</v>
      </c>
      <c r="M36" s="103">
        <v>5.3</v>
      </c>
      <c r="N36" s="102">
        <f t="shared" si="1"/>
        <v>77.400000000000006</v>
      </c>
      <c r="O36" s="102">
        <f t="shared" si="2"/>
        <v>1088.8</v>
      </c>
      <c r="P36" s="102">
        <f t="shared" si="3"/>
        <v>105.69999999999999</v>
      </c>
      <c r="Q36" s="102">
        <f t="shared" si="4"/>
        <v>1271.8999999999999</v>
      </c>
      <c r="R36" s="103"/>
      <c r="S36" s="103"/>
      <c r="T36" s="103"/>
      <c r="U36" s="103"/>
      <c r="V36" s="103"/>
      <c r="W36" s="103"/>
      <c r="X36" s="103"/>
      <c r="Y36" s="103"/>
      <c r="Z36" s="103"/>
      <c r="AA36" s="103"/>
      <c r="AB36" s="103"/>
      <c r="AC36" s="103"/>
      <c r="AD36" s="103"/>
      <c r="AE36" s="103"/>
    </row>
    <row r="37" spans="1:31">
      <c r="A37" s="102">
        <v>1992</v>
      </c>
      <c r="B37" s="103">
        <v>19.2</v>
      </c>
      <c r="C37" s="103">
        <v>19.8</v>
      </c>
      <c r="D37" s="103">
        <v>20.3</v>
      </c>
      <c r="E37" s="103">
        <v>168.4</v>
      </c>
      <c r="F37" s="103">
        <v>135.19999999999999</v>
      </c>
      <c r="G37" s="103">
        <v>325.8</v>
      </c>
      <c r="H37" s="103">
        <v>265.3</v>
      </c>
      <c r="I37" s="103">
        <v>51.6</v>
      </c>
      <c r="J37" s="103">
        <v>233.8</v>
      </c>
      <c r="K37" s="103">
        <v>116.3</v>
      </c>
      <c r="L37" s="103">
        <v>4.7</v>
      </c>
      <c r="M37" s="103">
        <v>5.0999999999999996</v>
      </c>
      <c r="N37" s="102">
        <f t="shared" si="1"/>
        <v>227.7</v>
      </c>
      <c r="O37" s="102">
        <f t="shared" si="2"/>
        <v>1011.7</v>
      </c>
      <c r="P37" s="102">
        <f t="shared" si="3"/>
        <v>126.1</v>
      </c>
      <c r="Q37" s="102">
        <f t="shared" si="4"/>
        <v>1365.5</v>
      </c>
      <c r="R37" s="103"/>
      <c r="S37" s="103"/>
      <c r="T37" s="103"/>
      <c r="U37" s="103"/>
      <c r="V37" s="103"/>
      <c r="W37" s="103"/>
      <c r="X37" s="103"/>
      <c r="Y37" s="103"/>
      <c r="Z37" s="103"/>
      <c r="AA37" s="103"/>
      <c r="AB37" s="103"/>
      <c r="AC37" s="103"/>
      <c r="AD37" s="103"/>
      <c r="AE37" s="103"/>
    </row>
    <row r="38" spans="1:31">
      <c r="A38" s="102">
        <v>1993</v>
      </c>
      <c r="B38" s="102">
        <v>15.4</v>
      </c>
      <c r="C38" s="102">
        <v>17.100000000000001</v>
      </c>
      <c r="D38" s="102">
        <v>3.7</v>
      </c>
      <c r="E38" s="102">
        <v>45.8</v>
      </c>
      <c r="F38" s="102">
        <v>100.1</v>
      </c>
      <c r="G38" s="102">
        <v>114.6</v>
      </c>
      <c r="H38" s="102">
        <v>162.69999999999999</v>
      </c>
      <c r="I38" s="102">
        <v>332</v>
      </c>
      <c r="J38" s="102">
        <v>122.2</v>
      </c>
      <c r="K38" s="102">
        <v>39.200000000000003</v>
      </c>
      <c r="L38" s="102">
        <v>12.7</v>
      </c>
      <c r="M38" s="102">
        <v>2.1</v>
      </c>
      <c r="N38" s="102">
        <f t="shared" si="1"/>
        <v>82</v>
      </c>
      <c r="O38" s="102">
        <f t="shared" si="2"/>
        <v>831.6</v>
      </c>
      <c r="P38" s="102">
        <f t="shared" si="3"/>
        <v>54.000000000000007</v>
      </c>
      <c r="Q38" s="102">
        <f t="shared" si="4"/>
        <v>967.60000000000014</v>
      </c>
    </row>
    <row r="39" spans="1:31">
      <c r="A39" s="102">
        <v>1994</v>
      </c>
      <c r="B39" s="102">
        <v>6.7</v>
      </c>
      <c r="C39" s="102">
        <v>10.7</v>
      </c>
      <c r="D39" s="102">
        <v>62.4</v>
      </c>
      <c r="E39" s="102">
        <v>11.1</v>
      </c>
      <c r="F39" s="102">
        <v>112.5</v>
      </c>
      <c r="G39" s="102">
        <v>280.2</v>
      </c>
      <c r="H39" s="102">
        <v>173.5</v>
      </c>
      <c r="I39" s="102">
        <v>200.8</v>
      </c>
      <c r="J39" s="102">
        <v>208.7</v>
      </c>
      <c r="K39" s="102">
        <v>72.599999999999994</v>
      </c>
      <c r="L39" s="102">
        <v>49.5</v>
      </c>
      <c r="M39" s="102">
        <v>16.8</v>
      </c>
      <c r="N39" s="102">
        <f t="shared" si="1"/>
        <v>90.899999999999991</v>
      </c>
      <c r="O39" s="102">
        <f t="shared" si="2"/>
        <v>975.7</v>
      </c>
      <c r="P39" s="102">
        <f t="shared" si="3"/>
        <v>138.9</v>
      </c>
      <c r="Q39" s="102">
        <f t="shared" si="4"/>
        <v>1205.4999999999998</v>
      </c>
    </row>
    <row r="40" spans="1:31">
      <c r="A40" s="102">
        <v>1995</v>
      </c>
      <c r="B40" s="102">
        <v>24.6</v>
      </c>
      <c r="C40" s="102">
        <v>27.6</v>
      </c>
      <c r="D40" s="102">
        <v>10.5</v>
      </c>
      <c r="E40" s="102">
        <v>18.399999999999999</v>
      </c>
      <c r="F40" s="102">
        <v>33.9</v>
      </c>
      <c r="G40" s="102">
        <v>245</v>
      </c>
      <c r="H40" s="102">
        <v>206.3</v>
      </c>
      <c r="I40" s="102">
        <v>122.4</v>
      </c>
      <c r="J40" s="102">
        <v>279.10000000000002</v>
      </c>
      <c r="K40" s="102">
        <v>135.9</v>
      </c>
      <c r="L40" s="102">
        <v>32.200000000000003</v>
      </c>
      <c r="M40" s="102">
        <v>6.8</v>
      </c>
      <c r="N40" s="102">
        <f t="shared" si="1"/>
        <v>81.099999999999994</v>
      </c>
      <c r="O40" s="102">
        <f t="shared" si="2"/>
        <v>886.7</v>
      </c>
      <c r="P40" s="102">
        <f t="shared" si="3"/>
        <v>174.90000000000003</v>
      </c>
      <c r="Q40" s="102">
        <f t="shared" si="4"/>
        <v>1142.7</v>
      </c>
    </row>
    <row r="41" spans="1:31">
      <c r="A41" s="102">
        <v>1996</v>
      </c>
      <c r="B41" s="102">
        <v>7.8</v>
      </c>
      <c r="C41" s="102">
        <v>3.3</v>
      </c>
      <c r="D41" s="102">
        <v>18.899999999999999</v>
      </c>
      <c r="E41" s="102">
        <v>66.7</v>
      </c>
      <c r="F41" s="102">
        <v>254.9</v>
      </c>
      <c r="G41" s="102">
        <v>295.7</v>
      </c>
      <c r="H41" s="102">
        <v>258.8</v>
      </c>
      <c r="I41" s="102">
        <v>154.9</v>
      </c>
      <c r="J41" s="102">
        <v>210.3</v>
      </c>
      <c r="K41" s="102">
        <v>36.700000000000003</v>
      </c>
      <c r="L41" s="102">
        <v>59.9</v>
      </c>
      <c r="M41" s="102">
        <v>3.4</v>
      </c>
      <c r="N41" s="102">
        <f t="shared" si="1"/>
        <v>96.7</v>
      </c>
      <c r="O41" s="102">
        <f t="shared" si="2"/>
        <v>1174.6000000000001</v>
      </c>
      <c r="P41" s="102">
        <f t="shared" si="3"/>
        <v>100</v>
      </c>
      <c r="Q41" s="102">
        <f t="shared" si="4"/>
        <v>1371.3000000000002</v>
      </c>
    </row>
    <row r="42" spans="1:31">
      <c r="A42" s="102">
        <v>1997</v>
      </c>
      <c r="B42" s="102">
        <v>25.7</v>
      </c>
      <c r="C42" s="102">
        <v>18.5</v>
      </c>
      <c r="D42" s="102">
        <v>27.3</v>
      </c>
      <c r="E42" s="102">
        <v>123.6</v>
      </c>
      <c r="F42" s="102">
        <v>65.3</v>
      </c>
      <c r="G42" s="102">
        <v>312.3</v>
      </c>
      <c r="H42" s="102">
        <v>428.4</v>
      </c>
      <c r="I42" s="102">
        <v>58.5</v>
      </c>
      <c r="J42" s="102">
        <v>311.10000000000002</v>
      </c>
      <c r="K42" s="102">
        <v>89.2</v>
      </c>
      <c r="L42" s="102">
        <v>0.6</v>
      </c>
      <c r="M42" s="102">
        <v>4.2</v>
      </c>
      <c r="N42" s="102">
        <f t="shared" si="1"/>
        <v>195.1</v>
      </c>
      <c r="O42" s="102">
        <f t="shared" si="2"/>
        <v>1175.5999999999999</v>
      </c>
      <c r="P42" s="102">
        <f t="shared" si="3"/>
        <v>94</v>
      </c>
      <c r="Q42" s="102">
        <f t="shared" si="4"/>
        <v>1464.6999999999998</v>
      </c>
    </row>
    <row r="43" spans="1:31">
      <c r="A43" s="102">
        <v>1998</v>
      </c>
      <c r="B43" s="102">
        <v>11.7</v>
      </c>
      <c r="C43" s="102">
        <v>11</v>
      </c>
      <c r="D43" s="102">
        <v>17.899999999999999</v>
      </c>
      <c r="E43" s="102">
        <v>90.2</v>
      </c>
      <c r="F43" s="102">
        <v>83.2</v>
      </c>
      <c r="G43" s="102">
        <v>242.8</v>
      </c>
      <c r="H43" s="102">
        <v>304.10000000000002</v>
      </c>
      <c r="I43" s="102">
        <v>219.6</v>
      </c>
      <c r="J43" s="102">
        <v>65</v>
      </c>
      <c r="K43" s="102">
        <v>111.9</v>
      </c>
      <c r="L43" s="102">
        <v>21</v>
      </c>
      <c r="M43" s="102">
        <v>5.8</v>
      </c>
      <c r="N43" s="102">
        <f t="shared" si="1"/>
        <v>130.80000000000001</v>
      </c>
      <c r="O43" s="102">
        <f t="shared" si="2"/>
        <v>914.7</v>
      </c>
      <c r="P43" s="102">
        <f t="shared" si="3"/>
        <v>138.70000000000002</v>
      </c>
      <c r="Q43" s="102">
        <f t="shared" si="4"/>
        <v>1184.2</v>
      </c>
    </row>
    <row r="44" spans="1:31">
      <c r="A44" s="102">
        <v>1999</v>
      </c>
      <c r="B44" s="102">
        <v>14.4</v>
      </c>
      <c r="C44" s="102">
        <v>0.8</v>
      </c>
      <c r="D44" s="102">
        <v>8.5</v>
      </c>
      <c r="E44" s="102">
        <v>91</v>
      </c>
      <c r="F44" s="102">
        <v>97.6</v>
      </c>
      <c r="G44" s="102">
        <v>269.3</v>
      </c>
      <c r="H44" s="102">
        <v>276.5</v>
      </c>
      <c r="I44" s="102">
        <v>153.1</v>
      </c>
      <c r="J44" s="102">
        <v>61.3</v>
      </c>
      <c r="K44" s="102">
        <v>89.8</v>
      </c>
      <c r="L44" s="102">
        <v>34.700000000000003</v>
      </c>
      <c r="M44" s="102">
        <v>1.5</v>
      </c>
      <c r="N44" s="102">
        <f t="shared" si="1"/>
        <v>114.7</v>
      </c>
      <c r="O44" s="102">
        <f t="shared" si="2"/>
        <v>857.8</v>
      </c>
      <c r="P44" s="102">
        <f t="shared" si="3"/>
        <v>126</v>
      </c>
      <c r="Q44" s="102">
        <f t="shared" si="4"/>
        <v>1098.5</v>
      </c>
    </row>
    <row r="45" spans="1:31">
      <c r="A45" s="102">
        <v>2000</v>
      </c>
      <c r="B45" s="102">
        <v>15.7</v>
      </c>
      <c r="C45" s="102">
        <v>14.8</v>
      </c>
      <c r="D45" s="102">
        <v>21.7</v>
      </c>
      <c r="E45" s="102">
        <v>84.8</v>
      </c>
      <c r="F45" s="102">
        <v>155.19999999999999</v>
      </c>
      <c r="G45" s="102">
        <v>297.7</v>
      </c>
      <c r="H45" s="102">
        <v>207.8</v>
      </c>
      <c r="I45" s="102">
        <v>205.1</v>
      </c>
      <c r="J45" s="102">
        <v>70.7</v>
      </c>
      <c r="K45" s="102">
        <v>78.8</v>
      </c>
      <c r="L45" s="102">
        <v>10</v>
      </c>
      <c r="M45" s="102">
        <v>9.1</v>
      </c>
      <c r="N45" s="102">
        <f t="shared" si="1"/>
        <v>137</v>
      </c>
      <c r="O45" s="102">
        <f t="shared" si="2"/>
        <v>936.50000000000011</v>
      </c>
      <c r="P45" s="102">
        <f t="shared" si="3"/>
        <v>97.899999999999991</v>
      </c>
      <c r="Q45" s="102">
        <f t="shared" si="4"/>
        <v>1171.3999999999999</v>
      </c>
    </row>
    <row r="46" spans="1:31">
      <c r="A46" s="102">
        <v>2001</v>
      </c>
      <c r="B46" s="102">
        <v>1.1000000000000001</v>
      </c>
      <c r="C46" s="102">
        <v>4.3</v>
      </c>
      <c r="D46" s="102">
        <v>12.4</v>
      </c>
      <c r="E46" s="102">
        <v>31.3</v>
      </c>
      <c r="F46" s="102">
        <v>128.5</v>
      </c>
      <c r="G46" s="102">
        <v>292.10000000000002</v>
      </c>
      <c r="H46" s="102">
        <v>355.4</v>
      </c>
      <c r="I46" s="102">
        <v>219.8</v>
      </c>
      <c r="J46" s="102">
        <v>48.7</v>
      </c>
      <c r="K46" s="102">
        <v>119</v>
      </c>
      <c r="L46" s="102">
        <v>11.5</v>
      </c>
      <c r="M46" s="102">
        <v>1.3</v>
      </c>
      <c r="N46" s="102">
        <f t="shared" si="1"/>
        <v>49.1</v>
      </c>
      <c r="O46" s="102">
        <f t="shared" si="2"/>
        <v>1044.5</v>
      </c>
      <c r="P46" s="102">
        <f t="shared" si="3"/>
        <v>131.80000000000001</v>
      </c>
      <c r="Q46" s="102">
        <f t="shared" si="4"/>
        <v>1225.4000000000001</v>
      </c>
    </row>
    <row r="47" spans="1:31">
      <c r="A47" s="102">
        <v>2002</v>
      </c>
      <c r="B47" s="102">
        <v>5</v>
      </c>
      <c r="C47" s="102">
        <v>12</v>
      </c>
      <c r="D47" s="102">
        <v>25.3</v>
      </c>
      <c r="E47" s="102">
        <v>8.1999999999999993</v>
      </c>
      <c r="F47" s="102">
        <v>284.2</v>
      </c>
      <c r="G47" s="102">
        <v>256.39999999999998</v>
      </c>
      <c r="H47" s="102">
        <v>143.69999999999999</v>
      </c>
      <c r="I47" s="102">
        <v>173.3</v>
      </c>
      <c r="J47" s="102">
        <v>27.9</v>
      </c>
      <c r="K47" s="102">
        <v>75.099999999999994</v>
      </c>
      <c r="L47" s="102">
        <v>2.5</v>
      </c>
      <c r="M47" s="102">
        <v>7.1</v>
      </c>
      <c r="N47" s="102">
        <f t="shared" si="1"/>
        <v>50.5</v>
      </c>
      <c r="O47" s="102">
        <f t="shared" si="2"/>
        <v>885.49999999999989</v>
      </c>
      <c r="P47" s="102">
        <f t="shared" si="3"/>
        <v>84.699999999999989</v>
      </c>
      <c r="Q47" s="102">
        <f t="shared" si="4"/>
        <v>1020.6999999999999</v>
      </c>
    </row>
    <row r="48" spans="1:31">
      <c r="A48" s="102">
        <v>2003</v>
      </c>
      <c r="B48" s="102">
        <v>11.1</v>
      </c>
      <c r="C48" s="102">
        <v>0.2</v>
      </c>
      <c r="D48" s="102">
        <v>10.4</v>
      </c>
      <c r="E48" s="102">
        <v>70</v>
      </c>
      <c r="F48" s="102">
        <v>136.6</v>
      </c>
      <c r="G48" s="102">
        <v>257.2</v>
      </c>
      <c r="H48" s="102">
        <v>254.6</v>
      </c>
      <c r="I48" s="102">
        <v>113.2</v>
      </c>
      <c r="J48" s="102">
        <v>108.7</v>
      </c>
      <c r="K48" s="102">
        <v>35</v>
      </c>
      <c r="L48" s="102">
        <v>7.5</v>
      </c>
      <c r="M48" s="102">
        <v>37.799999999999997</v>
      </c>
      <c r="N48" s="102">
        <f t="shared" si="1"/>
        <v>91.7</v>
      </c>
      <c r="O48" s="102">
        <f t="shared" si="2"/>
        <v>870.30000000000007</v>
      </c>
      <c r="P48" s="102">
        <f t="shared" si="3"/>
        <v>80.3</v>
      </c>
      <c r="Q48" s="102">
        <f t="shared" si="4"/>
        <v>1042.3000000000002</v>
      </c>
    </row>
    <row r="49" spans="1:33">
      <c r="A49" s="102">
        <v>2004</v>
      </c>
      <c r="B49" s="102">
        <v>24.9</v>
      </c>
      <c r="C49" s="102">
        <v>10.8</v>
      </c>
      <c r="D49" s="102">
        <v>6.5</v>
      </c>
      <c r="E49" s="102">
        <v>93</v>
      </c>
      <c r="F49" s="102">
        <v>209.1</v>
      </c>
      <c r="G49" s="102">
        <v>222</v>
      </c>
      <c r="H49" s="102">
        <v>191.9</v>
      </c>
      <c r="I49" s="102">
        <v>178.1</v>
      </c>
      <c r="J49" s="102">
        <v>221.9</v>
      </c>
      <c r="K49" s="102">
        <v>23.7</v>
      </c>
      <c r="L49" s="102">
        <v>16.7</v>
      </c>
      <c r="M49" s="102">
        <v>12.6</v>
      </c>
      <c r="N49" s="102">
        <f t="shared" si="1"/>
        <v>135.19999999999999</v>
      </c>
      <c r="O49" s="102">
        <f t="shared" si="2"/>
        <v>1023</v>
      </c>
      <c r="P49" s="102">
        <f t="shared" si="3"/>
        <v>53</v>
      </c>
      <c r="Q49" s="102">
        <f t="shared" si="4"/>
        <v>1211.2</v>
      </c>
    </row>
    <row r="50" spans="1:33">
      <c r="A50" s="102">
        <v>2005</v>
      </c>
      <c r="B50" s="102">
        <v>16.8</v>
      </c>
      <c r="C50" s="102">
        <v>1.9</v>
      </c>
      <c r="D50" s="102">
        <v>22.8</v>
      </c>
      <c r="E50" s="102">
        <v>68.5</v>
      </c>
      <c r="F50" s="102">
        <v>181.7</v>
      </c>
      <c r="G50" s="102">
        <v>172.4</v>
      </c>
      <c r="H50" s="102">
        <v>198</v>
      </c>
      <c r="I50" s="102">
        <v>74.599999999999994</v>
      </c>
      <c r="J50" s="102">
        <v>91.5</v>
      </c>
      <c r="K50" s="102">
        <v>37.799999999999997</v>
      </c>
      <c r="L50" s="102">
        <v>13.6</v>
      </c>
      <c r="M50" s="102">
        <v>12.6</v>
      </c>
      <c r="N50" s="102">
        <f t="shared" si="1"/>
        <v>110</v>
      </c>
      <c r="O50" s="102">
        <f t="shared" si="2"/>
        <v>718.2</v>
      </c>
      <c r="P50" s="102">
        <f t="shared" si="3"/>
        <v>64</v>
      </c>
      <c r="Q50" s="102">
        <f t="shared" si="4"/>
        <v>892.2</v>
      </c>
    </row>
    <row r="51" spans="1:33">
      <c r="A51" s="102">
        <v>2006</v>
      </c>
      <c r="B51" s="102">
        <v>1.6</v>
      </c>
      <c r="C51" s="102">
        <v>13.6</v>
      </c>
      <c r="D51" s="102">
        <v>3.5</v>
      </c>
      <c r="E51" s="102">
        <v>13</v>
      </c>
      <c r="F51" s="102">
        <v>138.19999999999999</v>
      </c>
      <c r="G51" s="102">
        <v>243.4</v>
      </c>
      <c r="H51" s="102">
        <v>150.9</v>
      </c>
      <c r="I51" s="102">
        <v>71.599999999999994</v>
      </c>
      <c r="J51" s="102">
        <v>57.2</v>
      </c>
      <c r="K51" s="102">
        <v>204</v>
      </c>
      <c r="L51" s="102">
        <v>10</v>
      </c>
      <c r="M51" s="102">
        <v>8.1</v>
      </c>
      <c r="N51" s="102">
        <f t="shared" si="1"/>
        <v>31.7</v>
      </c>
      <c r="O51" s="102">
        <f t="shared" si="2"/>
        <v>661.30000000000007</v>
      </c>
      <c r="P51" s="102">
        <f t="shared" si="3"/>
        <v>222.1</v>
      </c>
      <c r="Q51" s="102">
        <f t="shared" si="4"/>
        <v>915.1</v>
      </c>
    </row>
    <row r="52" spans="1:33">
      <c r="A52" s="102">
        <v>2007</v>
      </c>
      <c r="B52" s="102">
        <v>19</v>
      </c>
      <c r="C52" s="102">
        <v>8.6</v>
      </c>
      <c r="D52" s="102">
        <v>6.8</v>
      </c>
      <c r="E52" s="102">
        <v>56.3</v>
      </c>
      <c r="F52" s="102">
        <v>160.6</v>
      </c>
      <c r="G52" s="102">
        <v>263.60000000000002</v>
      </c>
      <c r="H52" s="102">
        <v>252.8</v>
      </c>
      <c r="I52" s="102">
        <v>217.8</v>
      </c>
      <c r="J52" s="102">
        <v>69.5</v>
      </c>
      <c r="K52" s="102">
        <v>43.9</v>
      </c>
      <c r="L52" s="102">
        <v>7.1</v>
      </c>
      <c r="M52" s="102">
        <v>9.6999999999999993</v>
      </c>
      <c r="N52" s="102">
        <f t="shared" si="1"/>
        <v>90.699999999999989</v>
      </c>
      <c r="O52" s="102">
        <f t="shared" si="2"/>
        <v>964.3</v>
      </c>
      <c r="P52" s="102">
        <f t="shared" si="3"/>
        <v>60.7</v>
      </c>
      <c r="Q52" s="102">
        <f t="shared" si="4"/>
        <v>1115.7</v>
      </c>
    </row>
    <row r="53" spans="1:33">
      <c r="A53" s="102">
        <v>2008</v>
      </c>
      <c r="B53" s="102">
        <v>10.5</v>
      </c>
      <c r="C53" s="102">
        <v>7.5</v>
      </c>
      <c r="D53" s="102">
        <v>33.799999999999997</v>
      </c>
      <c r="E53" s="102">
        <v>53.5</v>
      </c>
      <c r="F53" s="102">
        <v>161.69999999999999</v>
      </c>
      <c r="G53" s="102">
        <v>284.8</v>
      </c>
      <c r="H53" s="102">
        <v>179.5</v>
      </c>
      <c r="I53" s="102">
        <v>185.1</v>
      </c>
      <c r="J53" s="102">
        <v>65.400000000000006</v>
      </c>
      <c r="K53" s="102">
        <v>123</v>
      </c>
      <c r="L53" s="102">
        <v>57.9</v>
      </c>
      <c r="M53" s="102">
        <v>3</v>
      </c>
      <c r="N53" s="102">
        <f t="shared" si="1"/>
        <v>105.3</v>
      </c>
      <c r="O53" s="102">
        <f t="shared" si="2"/>
        <v>876.5</v>
      </c>
      <c r="P53" s="102">
        <f t="shared" si="3"/>
        <v>183.9</v>
      </c>
      <c r="Q53" s="102">
        <f t="shared" si="4"/>
        <v>1165.7</v>
      </c>
    </row>
    <row r="54" spans="1:33">
      <c r="A54" s="102">
        <v>2009</v>
      </c>
      <c r="B54" s="102">
        <v>6.6</v>
      </c>
      <c r="C54" s="102">
        <v>3</v>
      </c>
      <c r="D54" s="102">
        <v>22.4</v>
      </c>
      <c r="E54" s="102">
        <v>95.5</v>
      </c>
      <c r="F54" s="102">
        <v>154.1</v>
      </c>
      <c r="G54" s="102">
        <v>182.3</v>
      </c>
      <c r="H54" s="102">
        <v>153.4</v>
      </c>
      <c r="I54" s="102">
        <v>184.8</v>
      </c>
      <c r="J54" s="102">
        <v>13.7</v>
      </c>
      <c r="K54" s="102">
        <v>42.8</v>
      </c>
      <c r="L54" s="102">
        <v>2.2000000000000002</v>
      </c>
      <c r="M54" s="102">
        <v>9</v>
      </c>
      <c r="N54" s="102">
        <f t="shared" si="1"/>
        <v>127.5</v>
      </c>
      <c r="O54" s="102">
        <f t="shared" si="2"/>
        <v>688.3</v>
      </c>
      <c r="P54" s="102">
        <f t="shared" si="3"/>
        <v>54</v>
      </c>
      <c r="Q54" s="102">
        <f t="shared" si="4"/>
        <v>869.80000000000018</v>
      </c>
    </row>
    <row r="55" spans="1:33">
      <c r="A55" s="102">
        <v>2010</v>
      </c>
      <c r="B55" s="102">
        <v>0.9</v>
      </c>
      <c r="C55" s="102">
        <v>0.8</v>
      </c>
      <c r="D55" s="102">
        <v>0.8</v>
      </c>
      <c r="E55" s="102">
        <v>42.9</v>
      </c>
      <c r="F55" s="102">
        <v>78.2</v>
      </c>
      <c r="G55" s="102">
        <v>166.2</v>
      </c>
      <c r="H55" s="102">
        <v>173.9</v>
      </c>
      <c r="I55" s="102">
        <v>181.2</v>
      </c>
      <c r="J55" s="102">
        <v>174.1</v>
      </c>
      <c r="K55" s="102">
        <v>75.5</v>
      </c>
      <c r="L55" s="102">
        <v>34</v>
      </c>
      <c r="M55" s="102">
        <v>8.6</v>
      </c>
      <c r="N55" s="102">
        <f t="shared" si="1"/>
        <v>45.4</v>
      </c>
      <c r="O55" s="102">
        <f t="shared" si="2"/>
        <v>773.6</v>
      </c>
      <c r="P55" s="102">
        <f t="shared" si="3"/>
        <v>118.1</v>
      </c>
      <c r="Q55" s="102">
        <f t="shared" si="4"/>
        <v>937.09999999999991</v>
      </c>
    </row>
    <row r="56" spans="1:33">
      <c r="A56" s="102">
        <v>2011</v>
      </c>
      <c r="B56" s="102">
        <v>15.3</v>
      </c>
      <c r="C56" s="102">
        <v>1.7</v>
      </c>
      <c r="D56" s="102">
        <v>5.3</v>
      </c>
      <c r="E56" s="102">
        <v>28.2</v>
      </c>
      <c r="F56" s="102">
        <v>51.9</v>
      </c>
      <c r="G56" s="102">
        <v>233.9</v>
      </c>
      <c r="H56" s="102">
        <v>58.9</v>
      </c>
      <c r="I56" s="102">
        <v>106.4</v>
      </c>
      <c r="J56" s="102">
        <v>99</v>
      </c>
      <c r="K56" s="102">
        <v>60.6</v>
      </c>
      <c r="L56" s="102">
        <v>31.3</v>
      </c>
      <c r="M56" s="102">
        <v>6.1</v>
      </c>
      <c r="N56" s="102">
        <f t="shared" si="1"/>
        <v>50.5</v>
      </c>
      <c r="O56" s="102">
        <f t="shared" si="2"/>
        <v>550.1</v>
      </c>
      <c r="P56" s="102">
        <f t="shared" si="3"/>
        <v>98</v>
      </c>
      <c r="Q56" s="102">
        <f t="shared" si="4"/>
        <v>698.6</v>
      </c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</row>
    <row r="57" spans="1:33">
      <c r="A57" s="102">
        <v>2012</v>
      </c>
      <c r="B57" s="102">
        <v>16.899999999999999</v>
      </c>
      <c r="C57" s="102">
        <v>2.5</v>
      </c>
      <c r="D57" s="102">
        <v>16.2</v>
      </c>
      <c r="E57" s="102">
        <v>33.1</v>
      </c>
      <c r="F57" s="102">
        <v>137.30000000000001</v>
      </c>
      <c r="G57" s="102">
        <v>161.9</v>
      </c>
      <c r="H57" s="102">
        <v>332.3</v>
      </c>
      <c r="I57" s="102">
        <v>79.3</v>
      </c>
      <c r="J57" s="102">
        <v>108.3</v>
      </c>
      <c r="K57" s="102">
        <v>46.7</v>
      </c>
      <c r="L57" s="102">
        <v>4.5</v>
      </c>
      <c r="M57" s="102">
        <v>1.6</v>
      </c>
      <c r="N57" s="102">
        <f t="shared" si="1"/>
        <v>68.699999999999989</v>
      </c>
      <c r="O57" s="102">
        <f t="shared" si="2"/>
        <v>819.09999999999991</v>
      </c>
      <c r="P57" s="102">
        <f t="shared" si="3"/>
        <v>52.800000000000004</v>
      </c>
      <c r="Q57" s="102">
        <f t="shared" si="4"/>
        <v>940.6</v>
      </c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</row>
    <row r="58" spans="1:33">
      <c r="A58" s="102">
        <v>2013</v>
      </c>
      <c r="B58" s="102">
        <v>1.2</v>
      </c>
      <c r="C58" s="102">
        <v>1</v>
      </c>
      <c r="D58" s="102">
        <v>32.200000000000003</v>
      </c>
      <c r="E58" s="102">
        <v>47</v>
      </c>
      <c r="F58" s="102">
        <v>201.3</v>
      </c>
      <c r="G58" s="102">
        <v>249.9</v>
      </c>
      <c r="H58" s="102">
        <v>134.5</v>
      </c>
      <c r="I58" s="102">
        <v>134.6</v>
      </c>
      <c r="J58" s="102">
        <v>114.9</v>
      </c>
      <c r="K58" s="102">
        <v>53.6</v>
      </c>
      <c r="L58" s="102">
        <v>11</v>
      </c>
      <c r="M58" s="102">
        <v>9.9</v>
      </c>
      <c r="N58" s="102">
        <f t="shared" si="1"/>
        <v>81.400000000000006</v>
      </c>
      <c r="O58" s="102">
        <f t="shared" si="2"/>
        <v>835.2</v>
      </c>
      <c r="P58" s="102">
        <f t="shared" si="3"/>
        <v>74.5</v>
      </c>
      <c r="Q58" s="102">
        <f t="shared" si="4"/>
        <v>991.1</v>
      </c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</row>
    <row r="59" spans="1:33">
      <c r="A59" s="102">
        <v>2014</v>
      </c>
      <c r="B59" s="128">
        <v>2.5</v>
      </c>
      <c r="C59" s="128">
        <v>15</v>
      </c>
      <c r="D59" s="128">
        <v>67</v>
      </c>
      <c r="E59" s="128">
        <v>49.2</v>
      </c>
      <c r="F59" s="128">
        <v>111.5</v>
      </c>
      <c r="G59" s="128">
        <v>183.5</v>
      </c>
      <c r="H59" s="128">
        <v>374.8</v>
      </c>
      <c r="I59" s="128">
        <v>268.5</v>
      </c>
      <c r="J59" s="128">
        <v>237.5</v>
      </c>
      <c r="K59" s="128">
        <v>53</v>
      </c>
      <c r="L59" s="128">
        <v>36.5</v>
      </c>
      <c r="M59" s="128">
        <v>5</v>
      </c>
      <c r="N59" s="102">
        <f t="shared" si="1"/>
        <v>133.69999999999999</v>
      </c>
      <c r="O59" s="102">
        <f t="shared" si="2"/>
        <v>1175.8</v>
      </c>
      <c r="P59" s="102">
        <f t="shared" si="3"/>
        <v>94.5</v>
      </c>
      <c r="Q59" s="102">
        <f t="shared" si="4"/>
        <v>1404</v>
      </c>
    </row>
    <row r="60" spans="1:33">
      <c r="A60" s="102">
        <v>2015</v>
      </c>
      <c r="B60" s="128">
        <v>28</v>
      </c>
      <c r="C60" s="128">
        <v>4.5</v>
      </c>
      <c r="D60" s="128">
        <v>78.5</v>
      </c>
      <c r="E60" s="128">
        <v>75.5</v>
      </c>
      <c r="F60" s="128">
        <v>132</v>
      </c>
      <c r="G60" s="128">
        <v>143</v>
      </c>
      <c r="H60" s="128">
        <v>122</v>
      </c>
      <c r="I60" s="128">
        <v>194.5</v>
      </c>
      <c r="J60" s="128">
        <v>151.5</v>
      </c>
      <c r="K60" s="128">
        <v>124.5</v>
      </c>
      <c r="L60" s="128">
        <v>2</v>
      </c>
      <c r="M60" s="128">
        <v>16.5</v>
      </c>
      <c r="N60" s="102">
        <f t="shared" si="1"/>
        <v>186.5</v>
      </c>
      <c r="O60" s="102">
        <f t="shared" si="2"/>
        <v>743</v>
      </c>
      <c r="P60" s="102">
        <f t="shared" si="3"/>
        <v>143</v>
      </c>
      <c r="Q60" s="102">
        <f t="shared" si="4"/>
        <v>1072.5</v>
      </c>
    </row>
    <row r="61" spans="1:33">
      <c r="A61" s="102">
        <v>2016</v>
      </c>
      <c r="B61" s="128">
        <v>4.5</v>
      </c>
      <c r="C61" s="128">
        <v>4.5</v>
      </c>
      <c r="D61" s="128">
        <v>30</v>
      </c>
      <c r="E61" s="128">
        <v>115</v>
      </c>
      <c r="F61" s="128">
        <v>97</v>
      </c>
      <c r="G61" s="128">
        <v>399</v>
      </c>
      <c r="H61" s="128">
        <v>91.5</v>
      </c>
      <c r="I61" s="128">
        <v>184.5</v>
      </c>
      <c r="J61" s="128">
        <v>57.5</v>
      </c>
      <c r="K61" s="128">
        <v>52</v>
      </c>
      <c r="L61" s="128">
        <v>47.5</v>
      </c>
      <c r="M61" s="128">
        <v>5</v>
      </c>
      <c r="N61" s="102">
        <f>SUM(B61:E61)</f>
        <v>154</v>
      </c>
      <c r="O61" s="102">
        <f>SUM(F61:J61)</f>
        <v>829.5</v>
      </c>
      <c r="P61" s="102">
        <f>SUM(K61:M61)</f>
        <v>104.5</v>
      </c>
      <c r="Q61" s="102">
        <f>SUM(B61:M61)</f>
        <v>1088</v>
      </c>
      <c r="R61" s="108">
        <f t="shared" ref="R61:AG61" si="5">100*(B61-B4)/B4</f>
        <v>-60.107646034510054</v>
      </c>
      <c r="S61" s="108">
        <f t="shared" si="5"/>
        <v>-59.770114942528735</v>
      </c>
      <c r="T61" s="108">
        <f t="shared" si="5"/>
        <v>60.565803306890992</v>
      </c>
      <c r="U61" s="108">
        <f t="shared" si="5"/>
        <v>78.839211330186103</v>
      </c>
      <c r="V61" s="108">
        <f t="shared" si="5"/>
        <v>-31.517038792723039</v>
      </c>
      <c r="W61" s="108">
        <f t="shared" si="5"/>
        <v>62.23634053367217</v>
      </c>
      <c r="X61" s="108">
        <f t="shared" si="5"/>
        <v>-60.515061146172862</v>
      </c>
      <c r="Y61" s="108">
        <f t="shared" si="5"/>
        <v>4.8295454545454373</v>
      </c>
      <c r="Z61" s="108">
        <f t="shared" si="5"/>
        <v>-59.608630205720011</v>
      </c>
      <c r="AA61" s="108">
        <f t="shared" si="5"/>
        <v>-39.24219662827575</v>
      </c>
      <c r="AB61" s="108">
        <f t="shared" si="5"/>
        <v>92.572214580467616</v>
      </c>
      <c r="AC61" s="108">
        <f t="shared" si="5"/>
        <v>-45.704867170835783</v>
      </c>
      <c r="AD61" s="108">
        <f t="shared" si="5"/>
        <v>46.035831611745216</v>
      </c>
      <c r="AE61" s="108">
        <f t="shared" si="5"/>
        <v>-11.536007770022572</v>
      </c>
      <c r="AF61" s="108">
        <f t="shared" si="5"/>
        <v>-12.52354330473257</v>
      </c>
      <c r="AG61" s="108">
        <f t="shared" si="5"/>
        <v>-6.4153586453819518</v>
      </c>
    </row>
  </sheetData>
  <mergeCells count="6">
    <mergeCell ref="A1:A3"/>
    <mergeCell ref="B2:M2"/>
    <mergeCell ref="B1:Q1"/>
    <mergeCell ref="R1:AG1"/>
    <mergeCell ref="N2:Q2"/>
    <mergeCell ref="R2:AG2"/>
  </mergeCells>
  <phoneticPr fontId="2" type="noConversion"/>
  <pageMargins left="0.75" right="0.75" top="1" bottom="1" header="0.5" footer="0.5"/>
  <pageSetup paperSize="9" orientation="portrait" horizontalDpi="200" verticalDpi="200" copies="0" r:id="rId1"/>
  <headerFooter alignWithMargins="0"/>
</worksheet>
</file>

<file path=xl/worksheets/sheet74.xml><?xml version="1.0" encoding="utf-8"?>
<worksheet xmlns="http://schemas.openxmlformats.org/spreadsheetml/2006/main" xmlns:r="http://schemas.openxmlformats.org/officeDocument/2006/relationships">
  <sheetPr codeName="Sheet74"/>
  <dimension ref="A1:AG61"/>
  <sheetViews>
    <sheetView zoomScale="85" zoomScaleNormal="85" workbookViewId="0">
      <pane ySplit="5" topLeftCell="A6" activePane="bottomLeft" state="frozen"/>
      <selection pane="bottomLeft" activeCell="R61" sqref="R61"/>
    </sheetView>
  </sheetViews>
  <sheetFormatPr defaultRowHeight="12"/>
  <cols>
    <col min="1" max="77" width="7.125" style="102" customWidth="1"/>
    <col min="78" max="16384" width="9" style="102"/>
  </cols>
  <sheetData>
    <row r="1" spans="1:33" s="118" customFormat="1" ht="14.25" customHeight="1">
      <c r="A1" s="176" t="s">
        <v>53</v>
      </c>
      <c r="B1" s="176" t="s">
        <v>171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2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116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32</v>
      </c>
      <c r="O2" s="176"/>
      <c r="P2" s="176"/>
      <c r="Q2" s="176"/>
      <c r="R2" s="176" t="s">
        <v>38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 ht="24">
      <c r="A3" s="176"/>
      <c r="B3" s="125" t="s">
        <v>149</v>
      </c>
      <c r="C3" s="125" t="s">
        <v>150</v>
      </c>
      <c r="D3" s="125" t="s">
        <v>9</v>
      </c>
      <c r="E3" s="125" t="s">
        <v>10</v>
      </c>
      <c r="F3" s="125" t="s">
        <v>11</v>
      </c>
      <c r="G3" s="125" t="s">
        <v>12</v>
      </c>
      <c r="H3" s="125" t="s">
        <v>13</v>
      </c>
      <c r="I3" s="125" t="s">
        <v>14</v>
      </c>
      <c r="J3" s="125" t="s">
        <v>15</v>
      </c>
      <c r="K3" s="125" t="s">
        <v>16</v>
      </c>
      <c r="L3" s="125" t="s">
        <v>17</v>
      </c>
      <c r="M3" s="125" t="s">
        <v>18</v>
      </c>
      <c r="N3" s="125" t="s">
        <v>145</v>
      </c>
      <c r="O3" s="125" t="s">
        <v>146</v>
      </c>
      <c r="P3" s="125" t="s">
        <v>147</v>
      </c>
      <c r="Q3" s="125" t="s">
        <v>148</v>
      </c>
      <c r="R3" s="125" t="s">
        <v>149</v>
      </c>
      <c r="S3" s="125" t="s">
        <v>150</v>
      </c>
      <c r="T3" s="125" t="s">
        <v>151</v>
      </c>
      <c r="U3" s="125" t="s">
        <v>152</v>
      </c>
      <c r="V3" s="125" t="s">
        <v>153</v>
      </c>
      <c r="W3" s="125" t="s">
        <v>154</v>
      </c>
      <c r="X3" s="125" t="s">
        <v>25</v>
      </c>
      <c r="Y3" s="125" t="s">
        <v>26</v>
      </c>
      <c r="Z3" s="125" t="s">
        <v>27</v>
      </c>
      <c r="AA3" s="125" t="s">
        <v>155</v>
      </c>
      <c r="AB3" s="125" t="s">
        <v>156</v>
      </c>
      <c r="AC3" s="125" t="s">
        <v>157</v>
      </c>
      <c r="AD3" s="125" t="s">
        <v>132</v>
      </c>
      <c r="AE3" s="125" t="s">
        <v>42</v>
      </c>
      <c r="AF3" s="125" t="s">
        <v>91</v>
      </c>
      <c r="AG3" s="125" t="s">
        <v>66</v>
      </c>
    </row>
    <row r="4" spans="1:33" s="118" customFormat="1">
      <c r="A4" s="150" t="s">
        <v>261</v>
      </c>
      <c r="B4" s="150">
        <f t="shared" ref="B4:Q4" si="0">AVERAGE(B5:B60)</f>
        <v>13.375</v>
      </c>
      <c r="C4" s="150">
        <f t="shared" si="0"/>
        <v>12.982142857142856</v>
      </c>
      <c r="D4" s="150">
        <f t="shared" si="0"/>
        <v>22.998214285714283</v>
      </c>
      <c r="E4" s="150">
        <f t="shared" si="0"/>
        <v>74.214285714285737</v>
      </c>
      <c r="F4" s="150">
        <f t="shared" si="0"/>
        <v>135.85357142857143</v>
      </c>
      <c r="G4" s="150">
        <f t="shared" si="0"/>
        <v>167.74285714285708</v>
      </c>
      <c r="H4" s="150">
        <f t="shared" si="0"/>
        <v>156.1767857142857</v>
      </c>
      <c r="I4" s="150">
        <f t="shared" si="0"/>
        <v>126.26249999999997</v>
      </c>
      <c r="J4" s="150">
        <f t="shared" si="0"/>
        <v>91.748214285714269</v>
      </c>
      <c r="K4" s="150">
        <f t="shared" si="0"/>
        <v>66.860714285714266</v>
      </c>
      <c r="L4" s="150">
        <f t="shared" si="0"/>
        <v>29.783928571428579</v>
      </c>
      <c r="M4" s="150">
        <f t="shared" si="0"/>
        <v>13.432142857142859</v>
      </c>
      <c r="N4" s="150">
        <f t="shared" si="0"/>
        <v>123.56964285714284</v>
      </c>
      <c r="O4" s="150">
        <f t="shared" si="0"/>
        <v>677.78392857142842</v>
      </c>
      <c r="P4" s="150">
        <f t="shared" si="0"/>
        <v>110.07678571428572</v>
      </c>
      <c r="Q4" s="150">
        <f t="shared" si="0"/>
        <v>911.43035714285713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1960</v>
      </c>
      <c r="B5" s="103">
        <v>2.7</v>
      </c>
      <c r="C5" s="103">
        <v>34.9</v>
      </c>
      <c r="D5" s="103">
        <v>8.1</v>
      </c>
      <c r="E5" s="103">
        <v>24.5</v>
      </c>
      <c r="F5" s="103">
        <v>124.9</v>
      </c>
      <c r="G5" s="103">
        <v>120.6</v>
      </c>
      <c r="H5" s="103">
        <v>260.10000000000002</v>
      </c>
      <c r="I5" s="103">
        <v>41.2</v>
      </c>
      <c r="J5" s="103">
        <v>38.700000000000003</v>
      </c>
      <c r="K5" s="103">
        <v>22</v>
      </c>
      <c r="L5" s="103">
        <v>18.2</v>
      </c>
      <c r="M5" s="103">
        <v>11.5</v>
      </c>
      <c r="N5" s="102">
        <f>SUM(B5:E5)</f>
        <v>70.2</v>
      </c>
      <c r="O5" s="102">
        <f>SUM(F5:J5)</f>
        <v>585.50000000000011</v>
      </c>
      <c r="P5" s="102">
        <f>SUM(K5:M5)</f>
        <v>51.7</v>
      </c>
      <c r="Q5" s="102">
        <f>SUM(B5:M5)</f>
        <v>707.4000000000002</v>
      </c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</row>
    <row r="6" spans="1:33">
      <c r="A6" s="102">
        <v>1961</v>
      </c>
      <c r="B6" s="103">
        <v>10.9</v>
      </c>
      <c r="C6" s="103">
        <v>17.2</v>
      </c>
      <c r="D6" s="103">
        <v>38.299999999999997</v>
      </c>
      <c r="E6" s="103">
        <v>152</v>
      </c>
      <c r="F6" s="103">
        <v>134.30000000000001</v>
      </c>
      <c r="G6" s="103">
        <v>26.7</v>
      </c>
      <c r="H6" s="103">
        <v>222.1</v>
      </c>
      <c r="I6" s="103">
        <v>233.7</v>
      </c>
      <c r="J6" s="103">
        <v>184.5</v>
      </c>
      <c r="K6" s="103">
        <v>133.30000000000001</v>
      </c>
      <c r="L6" s="103">
        <v>55.8</v>
      </c>
      <c r="M6" s="103">
        <v>46</v>
      </c>
      <c r="N6" s="102">
        <f t="shared" ref="N6:N60" si="1">SUM(B6:E6)</f>
        <v>218.4</v>
      </c>
      <c r="O6" s="102">
        <f t="shared" ref="O6:O60" si="2">SUM(F6:J6)</f>
        <v>801.3</v>
      </c>
      <c r="P6" s="102">
        <f t="shared" ref="P6:P60" si="3">SUM(K6:M6)</f>
        <v>235.10000000000002</v>
      </c>
      <c r="Q6" s="102">
        <f t="shared" ref="Q6:Q60" si="4">SUM(B6:M6)</f>
        <v>1254.8</v>
      </c>
      <c r="R6" s="103"/>
      <c r="S6" s="103"/>
      <c r="T6" s="103"/>
      <c r="U6" s="103"/>
      <c r="V6" s="103"/>
      <c r="W6" s="103"/>
      <c r="X6" s="103"/>
      <c r="Y6" s="103"/>
      <c r="Z6" s="103"/>
      <c r="AA6" s="103"/>
      <c r="AB6" s="103"/>
      <c r="AC6" s="103"/>
      <c r="AD6" s="103"/>
      <c r="AE6" s="103"/>
    </row>
    <row r="7" spans="1:33">
      <c r="A7" s="102">
        <v>1962</v>
      </c>
      <c r="B7" s="103">
        <v>15.5</v>
      </c>
      <c r="C7" s="103">
        <v>6.2</v>
      </c>
      <c r="D7" s="103">
        <v>15.2</v>
      </c>
      <c r="E7" s="103">
        <v>55</v>
      </c>
      <c r="F7" s="103">
        <v>89.1</v>
      </c>
      <c r="G7" s="103">
        <v>193.8</v>
      </c>
      <c r="H7" s="103">
        <v>150.1</v>
      </c>
      <c r="I7" s="103">
        <v>177.7</v>
      </c>
      <c r="J7" s="103">
        <v>105.7</v>
      </c>
      <c r="K7" s="103">
        <v>66</v>
      </c>
      <c r="L7" s="103">
        <v>16</v>
      </c>
      <c r="M7" s="103">
        <v>4.5999999999999996</v>
      </c>
      <c r="N7" s="102">
        <f t="shared" si="1"/>
        <v>91.9</v>
      </c>
      <c r="O7" s="102">
        <f t="shared" si="2"/>
        <v>716.40000000000009</v>
      </c>
      <c r="P7" s="102">
        <f t="shared" si="3"/>
        <v>86.6</v>
      </c>
      <c r="Q7" s="102">
        <f t="shared" si="4"/>
        <v>894.9</v>
      </c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</row>
    <row r="8" spans="1:33">
      <c r="A8" s="102">
        <v>1963</v>
      </c>
      <c r="B8" s="103">
        <v>9.4</v>
      </c>
      <c r="C8" s="103">
        <v>12.9</v>
      </c>
      <c r="D8" s="103">
        <v>21.8</v>
      </c>
      <c r="E8" s="103">
        <v>102</v>
      </c>
      <c r="F8" s="103">
        <v>224.4</v>
      </c>
      <c r="G8" s="103">
        <v>95.7</v>
      </c>
      <c r="H8" s="103">
        <v>174.5</v>
      </c>
      <c r="I8" s="103">
        <v>142.19999999999999</v>
      </c>
      <c r="J8" s="103">
        <v>66.5</v>
      </c>
      <c r="K8" s="103">
        <v>71.5</v>
      </c>
      <c r="L8" s="103">
        <v>85.2</v>
      </c>
      <c r="M8" s="103">
        <v>6.9</v>
      </c>
      <c r="N8" s="102">
        <f t="shared" si="1"/>
        <v>146.1</v>
      </c>
      <c r="O8" s="102">
        <f t="shared" si="2"/>
        <v>703.3</v>
      </c>
      <c r="P8" s="102">
        <f t="shared" si="3"/>
        <v>163.6</v>
      </c>
      <c r="Q8" s="102">
        <f t="shared" si="4"/>
        <v>1013.0000000000001</v>
      </c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</row>
    <row r="9" spans="1:33">
      <c r="A9" s="102">
        <v>1964</v>
      </c>
      <c r="B9" s="103">
        <v>8.1999999999999993</v>
      </c>
      <c r="C9" s="103">
        <v>22.2</v>
      </c>
      <c r="D9" s="103">
        <v>23.4</v>
      </c>
      <c r="E9" s="103">
        <v>159.9</v>
      </c>
      <c r="F9" s="103">
        <v>86.4</v>
      </c>
      <c r="G9" s="103">
        <v>501.8</v>
      </c>
      <c r="H9" s="103">
        <v>86.2</v>
      </c>
      <c r="I9" s="103">
        <v>287.60000000000002</v>
      </c>
      <c r="J9" s="103">
        <v>78.3</v>
      </c>
      <c r="K9" s="103">
        <v>54.5</v>
      </c>
      <c r="L9" s="103">
        <v>26.2</v>
      </c>
      <c r="M9" s="103">
        <v>18.8</v>
      </c>
      <c r="N9" s="102">
        <f t="shared" si="1"/>
        <v>213.7</v>
      </c>
      <c r="O9" s="102">
        <f t="shared" si="2"/>
        <v>1040.3000000000002</v>
      </c>
      <c r="P9" s="102">
        <f t="shared" si="3"/>
        <v>99.5</v>
      </c>
      <c r="Q9" s="102">
        <f t="shared" si="4"/>
        <v>1353.5000000000002</v>
      </c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</row>
    <row r="10" spans="1:33">
      <c r="A10" s="102">
        <v>1965</v>
      </c>
      <c r="B10" s="103">
        <v>19.100000000000001</v>
      </c>
      <c r="C10" s="103">
        <v>9</v>
      </c>
      <c r="D10" s="103">
        <v>27.4</v>
      </c>
      <c r="E10" s="103">
        <v>87.8</v>
      </c>
      <c r="F10" s="103">
        <v>127.1</v>
      </c>
      <c r="G10" s="103">
        <v>161.19999999999999</v>
      </c>
      <c r="H10" s="103">
        <v>126.7</v>
      </c>
      <c r="I10" s="103">
        <v>158.80000000000001</v>
      </c>
      <c r="J10" s="103">
        <v>72.900000000000006</v>
      </c>
      <c r="K10" s="103">
        <v>79.099999999999994</v>
      </c>
      <c r="L10" s="103">
        <v>23.5</v>
      </c>
      <c r="M10" s="103">
        <v>12.5</v>
      </c>
      <c r="N10" s="102">
        <f t="shared" si="1"/>
        <v>143.30000000000001</v>
      </c>
      <c r="O10" s="102">
        <f t="shared" si="2"/>
        <v>646.69999999999993</v>
      </c>
      <c r="P10" s="102">
        <f t="shared" si="3"/>
        <v>115.1</v>
      </c>
      <c r="Q10" s="102">
        <f t="shared" si="4"/>
        <v>905.09999999999991</v>
      </c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</row>
    <row r="11" spans="1:33">
      <c r="A11" s="102">
        <v>1966</v>
      </c>
      <c r="B11" s="103">
        <v>5.5</v>
      </c>
      <c r="C11" s="103">
        <v>16.7</v>
      </c>
      <c r="D11" s="103">
        <v>3.3</v>
      </c>
      <c r="E11" s="103">
        <v>60.6</v>
      </c>
      <c r="F11" s="103">
        <v>180.1</v>
      </c>
      <c r="G11" s="103">
        <v>103.8</v>
      </c>
      <c r="H11" s="103">
        <v>45.3</v>
      </c>
      <c r="I11" s="103">
        <v>116.9</v>
      </c>
      <c r="J11" s="103">
        <v>71.599999999999994</v>
      </c>
      <c r="K11" s="103">
        <v>51.5</v>
      </c>
      <c r="L11" s="103">
        <v>9.3000000000000007</v>
      </c>
      <c r="M11" s="103">
        <v>5.7</v>
      </c>
      <c r="N11" s="102">
        <f t="shared" si="1"/>
        <v>86.1</v>
      </c>
      <c r="O11" s="102">
        <f t="shared" si="2"/>
        <v>517.70000000000005</v>
      </c>
      <c r="P11" s="102">
        <f t="shared" si="3"/>
        <v>66.5</v>
      </c>
      <c r="Q11" s="102">
        <f t="shared" si="4"/>
        <v>670.30000000000007</v>
      </c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</row>
    <row r="12" spans="1:33">
      <c r="A12" s="102">
        <v>1967</v>
      </c>
      <c r="B12" s="103">
        <v>2.6</v>
      </c>
      <c r="C12" s="103">
        <v>18.600000000000001</v>
      </c>
      <c r="D12" s="103">
        <v>13.3</v>
      </c>
      <c r="E12" s="103">
        <v>48.6</v>
      </c>
      <c r="F12" s="103">
        <v>141.6</v>
      </c>
      <c r="G12" s="103">
        <v>302.60000000000002</v>
      </c>
      <c r="H12" s="103">
        <v>96.4</v>
      </c>
      <c r="I12" s="103">
        <v>246.4</v>
      </c>
      <c r="J12" s="103">
        <v>215.5</v>
      </c>
      <c r="K12" s="103">
        <v>41.8</v>
      </c>
      <c r="L12" s="103">
        <v>62.7</v>
      </c>
      <c r="M12" s="103">
        <v>21.3</v>
      </c>
      <c r="N12" s="102">
        <f t="shared" si="1"/>
        <v>83.1</v>
      </c>
      <c r="O12" s="102">
        <f t="shared" si="2"/>
        <v>1002.5</v>
      </c>
      <c r="P12" s="102">
        <f t="shared" si="3"/>
        <v>125.8</v>
      </c>
      <c r="Q12" s="102">
        <f t="shared" si="4"/>
        <v>1211.3999999999999</v>
      </c>
      <c r="R12" s="103"/>
      <c r="S12" s="103"/>
      <c r="T12" s="103"/>
      <c r="U12" s="103"/>
      <c r="V12" s="103"/>
      <c r="W12" s="103"/>
      <c r="X12" s="103"/>
      <c r="Y12" s="103"/>
      <c r="Z12" s="103"/>
      <c r="AA12" s="103"/>
      <c r="AB12" s="103"/>
      <c r="AC12" s="103"/>
      <c r="AD12" s="103"/>
      <c r="AE12" s="103"/>
    </row>
    <row r="13" spans="1:33">
      <c r="A13" s="102">
        <v>1968</v>
      </c>
      <c r="B13" s="103">
        <v>7.2</v>
      </c>
      <c r="C13" s="103">
        <v>17.7</v>
      </c>
      <c r="D13" s="103">
        <v>10</v>
      </c>
      <c r="E13" s="103">
        <v>63.2</v>
      </c>
      <c r="F13" s="103">
        <v>110.7</v>
      </c>
      <c r="G13" s="103">
        <v>117</v>
      </c>
      <c r="H13" s="103">
        <v>123.6</v>
      </c>
      <c r="I13" s="103">
        <v>111</v>
      </c>
      <c r="J13" s="103">
        <v>68.5</v>
      </c>
      <c r="K13" s="103">
        <v>91.4</v>
      </c>
      <c r="L13" s="103">
        <v>16.399999999999999</v>
      </c>
      <c r="M13" s="103">
        <v>6</v>
      </c>
      <c r="N13" s="102">
        <f t="shared" si="1"/>
        <v>98.1</v>
      </c>
      <c r="O13" s="102">
        <f t="shared" si="2"/>
        <v>530.79999999999995</v>
      </c>
      <c r="P13" s="102">
        <f t="shared" si="3"/>
        <v>113.80000000000001</v>
      </c>
      <c r="Q13" s="102">
        <f t="shared" si="4"/>
        <v>742.69999999999993</v>
      </c>
      <c r="R13" s="103"/>
      <c r="S13" s="103"/>
      <c r="T13" s="103"/>
      <c r="U13" s="103"/>
      <c r="V13" s="103"/>
      <c r="W13" s="103"/>
      <c r="X13" s="103"/>
      <c r="Y13" s="103"/>
      <c r="Z13" s="103"/>
      <c r="AA13" s="103"/>
      <c r="AB13" s="103"/>
      <c r="AC13" s="103"/>
      <c r="AD13" s="103"/>
      <c r="AE13" s="103"/>
    </row>
    <row r="14" spans="1:33">
      <c r="A14" s="102">
        <v>1969</v>
      </c>
      <c r="B14" s="103">
        <v>11.1</v>
      </c>
      <c r="C14" s="103">
        <v>1</v>
      </c>
      <c r="D14" s="103">
        <v>6.9</v>
      </c>
      <c r="E14" s="103">
        <v>48.2</v>
      </c>
      <c r="F14" s="103">
        <v>146.9</v>
      </c>
      <c r="G14" s="103">
        <v>195.4</v>
      </c>
      <c r="H14" s="103">
        <v>230</v>
      </c>
      <c r="I14" s="103">
        <v>159.9</v>
      </c>
      <c r="J14" s="103">
        <v>13.4</v>
      </c>
      <c r="K14" s="103">
        <v>110.6</v>
      </c>
      <c r="L14" s="103">
        <v>28.3</v>
      </c>
      <c r="M14" s="103">
        <v>7.3</v>
      </c>
      <c r="N14" s="102">
        <f t="shared" si="1"/>
        <v>67.2</v>
      </c>
      <c r="O14" s="102">
        <f t="shared" si="2"/>
        <v>745.59999999999991</v>
      </c>
      <c r="P14" s="102">
        <f t="shared" si="3"/>
        <v>146.20000000000002</v>
      </c>
      <c r="Q14" s="102">
        <f t="shared" si="4"/>
        <v>958.99999999999989</v>
      </c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</row>
    <row r="15" spans="1:33">
      <c r="A15" s="102">
        <v>1970</v>
      </c>
      <c r="B15" s="103">
        <v>11.4</v>
      </c>
      <c r="C15" s="103">
        <v>8.3000000000000007</v>
      </c>
      <c r="D15" s="103">
        <v>24.9</v>
      </c>
      <c r="E15" s="103">
        <v>85.4</v>
      </c>
      <c r="F15" s="103">
        <v>78.099999999999994</v>
      </c>
      <c r="G15" s="103">
        <v>64.5</v>
      </c>
      <c r="H15" s="103">
        <v>302.89999999999998</v>
      </c>
      <c r="I15" s="103">
        <v>61.1</v>
      </c>
      <c r="J15" s="103">
        <v>212.5</v>
      </c>
      <c r="K15" s="103">
        <v>62.3</v>
      </c>
      <c r="L15" s="103">
        <v>31.1</v>
      </c>
      <c r="M15" s="103">
        <v>42.9</v>
      </c>
      <c r="N15" s="102">
        <f t="shared" si="1"/>
        <v>130</v>
      </c>
      <c r="O15" s="102">
        <f t="shared" si="2"/>
        <v>719.1</v>
      </c>
      <c r="P15" s="102">
        <f t="shared" si="3"/>
        <v>136.30000000000001</v>
      </c>
      <c r="Q15" s="102">
        <f t="shared" si="4"/>
        <v>985.4</v>
      </c>
      <c r="R15" s="103"/>
      <c r="S15" s="103"/>
      <c r="T15" s="103"/>
      <c r="U15" s="103"/>
      <c r="V15" s="103"/>
      <c r="W15" s="103"/>
      <c r="X15" s="103"/>
      <c r="Y15" s="103"/>
      <c r="Z15" s="103"/>
      <c r="AA15" s="103"/>
      <c r="AB15" s="103"/>
      <c r="AC15" s="103"/>
      <c r="AD15" s="103"/>
      <c r="AE15" s="103"/>
    </row>
    <row r="16" spans="1:33">
      <c r="A16" s="102">
        <v>1971</v>
      </c>
      <c r="B16" s="103">
        <v>8.9</v>
      </c>
      <c r="C16" s="103">
        <v>11.2</v>
      </c>
      <c r="D16" s="103">
        <v>18.399999999999999</v>
      </c>
      <c r="E16" s="103">
        <v>65.3</v>
      </c>
      <c r="F16" s="103">
        <v>120.6</v>
      </c>
      <c r="G16" s="103">
        <v>171</v>
      </c>
      <c r="H16" s="103">
        <v>114.1</v>
      </c>
      <c r="I16" s="103">
        <v>106.2</v>
      </c>
      <c r="J16" s="103">
        <v>89.5</v>
      </c>
      <c r="K16" s="103">
        <v>66.900000000000006</v>
      </c>
      <c r="L16" s="103">
        <v>24.9</v>
      </c>
      <c r="M16" s="103">
        <v>30.1</v>
      </c>
      <c r="N16" s="102">
        <f t="shared" si="1"/>
        <v>103.8</v>
      </c>
      <c r="O16" s="102">
        <f t="shared" si="2"/>
        <v>601.40000000000009</v>
      </c>
      <c r="P16" s="102">
        <f t="shared" si="3"/>
        <v>121.9</v>
      </c>
      <c r="Q16" s="102">
        <f t="shared" si="4"/>
        <v>827.1</v>
      </c>
      <c r="R16" s="103"/>
      <c r="S16" s="103"/>
      <c r="T16" s="103"/>
      <c r="U16" s="103"/>
      <c r="V16" s="103"/>
      <c r="W16" s="103"/>
      <c r="X16" s="103"/>
      <c r="Y16" s="103"/>
      <c r="Z16" s="103"/>
      <c r="AA16" s="103"/>
      <c r="AB16" s="103"/>
      <c r="AC16" s="103"/>
      <c r="AD16" s="103"/>
      <c r="AE16" s="103"/>
    </row>
    <row r="17" spans="1:31">
      <c r="A17" s="102">
        <v>1972</v>
      </c>
      <c r="B17" s="103">
        <v>6</v>
      </c>
      <c r="C17" s="103">
        <v>8.1999999999999993</v>
      </c>
      <c r="D17" s="103">
        <v>7.1</v>
      </c>
      <c r="E17" s="103">
        <v>52.7</v>
      </c>
      <c r="F17" s="103">
        <v>193.5</v>
      </c>
      <c r="G17" s="103">
        <v>169.1</v>
      </c>
      <c r="H17" s="103">
        <v>28.7</v>
      </c>
      <c r="I17" s="103">
        <v>58.8</v>
      </c>
      <c r="J17" s="103">
        <v>254.9</v>
      </c>
      <c r="K17" s="103">
        <v>46.8</v>
      </c>
      <c r="L17" s="103">
        <v>43.4</v>
      </c>
      <c r="M17" s="103">
        <v>9.6</v>
      </c>
      <c r="N17" s="102">
        <f t="shared" si="1"/>
        <v>74</v>
      </c>
      <c r="O17" s="102">
        <f t="shared" si="2"/>
        <v>705</v>
      </c>
      <c r="P17" s="102">
        <f t="shared" si="3"/>
        <v>99.799999999999983</v>
      </c>
      <c r="Q17" s="102">
        <f t="shared" si="4"/>
        <v>878.8</v>
      </c>
      <c r="R17" s="103"/>
      <c r="S17" s="103"/>
      <c r="T17" s="103"/>
      <c r="U17" s="103"/>
      <c r="V17" s="103"/>
      <c r="W17" s="103"/>
      <c r="X17" s="103"/>
      <c r="Y17" s="103"/>
      <c r="Z17" s="103"/>
      <c r="AA17" s="103"/>
      <c r="AB17" s="103"/>
      <c r="AC17" s="103"/>
      <c r="AD17" s="103"/>
      <c r="AE17" s="103"/>
    </row>
    <row r="18" spans="1:31">
      <c r="A18" s="102">
        <v>1973</v>
      </c>
      <c r="B18" s="103">
        <v>9.3000000000000007</v>
      </c>
      <c r="C18" s="103">
        <v>7</v>
      </c>
      <c r="D18" s="103">
        <v>17.899999999999999</v>
      </c>
      <c r="E18" s="103">
        <v>41.9</v>
      </c>
      <c r="F18" s="103">
        <v>127.7</v>
      </c>
      <c r="G18" s="103">
        <v>225.4</v>
      </c>
      <c r="H18" s="103">
        <v>52.6</v>
      </c>
      <c r="I18" s="103">
        <v>86.3</v>
      </c>
      <c r="J18" s="103">
        <v>100</v>
      </c>
      <c r="K18" s="103">
        <v>20.9</v>
      </c>
      <c r="L18" s="103">
        <v>42.6</v>
      </c>
      <c r="M18" s="103">
        <v>8.1</v>
      </c>
      <c r="N18" s="102">
        <f t="shared" si="1"/>
        <v>76.099999999999994</v>
      </c>
      <c r="O18" s="102">
        <f t="shared" si="2"/>
        <v>592</v>
      </c>
      <c r="P18" s="102">
        <f t="shared" si="3"/>
        <v>71.599999999999994</v>
      </c>
      <c r="Q18" s="102">
        <f t="shared" si="4"/>
        <v>739.7</v>
      </c>
      <c r="R18" s="103"/>
      <c r="S18" s="103"/>
      <c r="T18" s="103"/>
      <c r="U18" s="103"/>
      <c r="V18" s="103"/>
      <c r="W18" s="103"/>
      <c r="X18" s="103"/>
      <c r="Y18" s="103"/>
      <c r="Z18" s="103"/>
      <c r="AA18" s="103"/>
      <c r="AB18" s="103"/>
      <c r="AC18" s="103"/>
      <c r="AD18" s="103"/>
      <c r="AE18" s="103"/>
    </row>
    <row r="19" spans="1:31">
      <c r="A19" s="102">
        <v>1974</v>
      </c>
      <c r="B19" s="103">
        <v>12.4</v>
      </c>
      <c r="C19" s="103">
        <v>2.1</v>
      </c>
      <c r="D19" s="103">
        <v>33</v>
      </c>
      <c r="E19" s="103">
        <v>167.3</v>
      </c>
      <c r="F19" s="103">
        <v>135.6</v>
      </c>
      <c r="G19" s="103">
        <v>154.19999999999999</v>
      </c>
      <c r="H19" s="103">
        <v>99.2</v>
      </c>
      <c r="I19" s="103">
        <v>190.2</v>
      </c>
      <c r="J19" s="103">
        <v>78.7</v>
      </c>
      <c r="K19" s="103">
        <v>53.4</v>
      </c>
      <c r="L19" s="103">
        <v>12</v>
      </c>
      <c r="M19" s="103">
        <v>8.1999999999999993</v>
      </c>
      <c r="N19" s="102">
        <f t="shared" si="1"/>
        <v>214.8</v>
      </c>
      <c r="O19" s="102">
        <f t="shared" si="2"/>
        <v>657.9</v>
      </c>
      <c r="P19" s="102">
        <f t="shared" si="3"/>
        <v>73.600000000000009</v>
      </c>
      <c r="Q19" s="102">
        <f t="shared" si="4"/>
        <v>946.30000000000007</v>
      </c>
      <c r="R19" s="103"/>
      <c r="S19" s="103"/>
      <c r="T19" s="103"/>
      <c r="U19" s="103"/>
      <c r="V19" s="103"/>
      <c r="W19" s="103"/>
      <c r="X19" s="103"/>
      <c r="Y19" s="103"/>
      <c r="Z19" s="103"/>
      <c r="AA19" s="103"/>
      <c r="AB19" s="103"/>
      <c r="AC19" s="103"/>
      <c r="AD19" s="103"/>
      <c r="AE19" s="103"/>
    </row>
    <row r="20" spans="1:31">
      <c r="A20" s="102">
        <v>1975</v>
      </c>
      <c r="B20" s="103">
        <v>22.6</v>
      </c>
      <c r="C20" s="103">
        <v>9.6999999999999993</v>
      </c>
      <c r="D20" s="103">
        <v>21.6</v>
      </c>
      <c r="E20" s="103">
        <v>152.69999999999999</v>
      </c>
      <c r="F20" s="103">
        <v>190.4</v>
      </c>
      <c r="G20" s="103">
        <v>147.1</v>
      </c>
      <c r="H20" s="103">
        <v>94.4</v>
      </c>
      <c r="I20" s="103">
        <v>107.5</v>
      </c>
      <c r="J20" s="103">
        <v>139.30000000000001</v>
      </c>
      <c r="K20" s="103">
        <v>53.7</v>
      </c>
      <c r="L20" s="103">
        <v>64.3</v>
      </c>
      <c r="M20" s="103">
        <v>2.4</v>
      </c>
      <c r="N20" s="102">
        <f t="shared" si="1"/>
        <v>206.6</v>
      </c>
      <c r="O20" s="102">
        <f t="shared" si="2"/>
        <v>678.7</v>
      </c>
      <c r="P20" s="102">
        <f t="shared" si="3"/>
        <v>120.4</v>
      </c>
      <c r="Q20" s="102">
        <f t="shared" si="4"/>
        <v>1005.6999999999999</v>
      </c>
      <c r="R20" s="103"/>
      <c r="S20" s="103"/>
      <c r="T20" s="103"/>
      <c r="U20" s="103"/>
      <c r="V20" s="103"/>
      <c r="W20" s="103"/>
      <c r="X20" s="103"/>
      <c r="Y20" s="103"/>
      <c r="Z20" s="103"/>
      <c r="AA20" s="103"/>
      <c r="AB20" s="103"/>
      <c r="AC20" s="103"/>
      <c r="AD20" s="103"/>
      <c r="AE20" s="103"/>
    </row>
    <row r="21" spans="1:31">
      <c r="A21" s="102">
        <v>1976</v>
      </c>
      <c r="B21" s="103">
        <v>15.6</v>
      </c>
      <c r="C21" s="103">
        <v>5.6</v>
      </c>
      <c r="D21" s="103">
        <v>19.8</v>
      </c>
      <c r="E21" s="103">
        <v>65.5</v>
      </c>
      <c r="F21" s="103">
        <v>139</v>
      </c>
      <c r="G21" s="103">
        <v>196.9</v>
      </c>
      <c r="H21" s="103">
        <v>167.5</v>
      </c>
      <c r="I21" s="103">
        <v>129.5</v>
      </c>
      <c r="J21" s="103">
        <v>105.1</v>
      </c>
      <c r="K21" s="103">
        <v>121.6</v>
      </c>
      <c r="L21" s="103">
        <v>28</v>
      </c>
      <c r="M21" s="103">
        <v>20.2</v>
      </c>
      <c r="N21" s="102">
        <f t="shared" si="1"/>
        <v>106.5</v>
      </c>
      <c r="O21" s="102">
        <f t="shared" si="2"/>
        <v>738</v>
      </c>
      <c r="P21" s="102">
        <f t="shared" si="3"/>
        <v>169.79999999999998</v>
      </c>
      <c r="Q21" s="102">
        <f t="shared" si="4"/>
        <v>1014.3000000000001</v>
      </c>
      <c r="R21" s="103"/>
      <c r="S21" s="103"/>
      <c r="T21" s="103"/>
      <c r="U21" s="103"/>
      <c r="V21" s="103"/>
      <c r="W21" s="103"/>
      <c r="X21" s="103"/>
      <c r="Y21" s="103"/>
      <c r="Z21" s="103"/>
      <c r="AA21" s="103"/>
      <c r="AB21" s="103"/>
      <c r="AC21" s="103"/>
      <c r="AD21" s="103"/>
      <c r="AE21" s="103"/>
    </row>
    <row r="22" spans="1:31">
      <c r="A22" s="102">
        <v>1977</v>
      </c>
      <c r="B22" s="103">
        <v>10.199999999999999</v>
      </c>
      <c r="C22" s="103">
        <v>13.1</v>
      </c>
      <c r="D22" s="103">
        <v>32.5</v>
      </c>
      <c r="E22" s="103">
        <v>92.9</v>
      </c>
      <c r="F22" s="103">
        <v>132.30000000000001</v>
      </c>
      <c r="G22" s="103">
        <v>266.10000000000002</v>
      </c>
      <c r="H22" s="103">
        <v>131.5</v>
      </c>
      <c r="I22" s="103">
        <v>110.5</v>
      </c>
      <c r="J22" s="103">
        <v>82.2</v>
      </c>
      <c r="K22" s="103">
        <v>88.1</v>
      </c>
      <c r="L22" s="103">
        <v>25.1</v>
      </c>
      <c r="M22" s="103">
        <v>0.2</v>
      </c>
      <c r="N22" s="102">
        <f t="shared" si="1"/>
        <v>148.69999999999999</v>
      </c>
      <c r="O22" s="102">
        <f t="shared" si="2"/>
        <v>722.60000000000014</v>
      </c>
      <c r="P22" s="102">
        <f t="shared" si="3"/>
        <v>113.39999999999999</v>
      </c>
      <c r="Q22" s="102">
        <f t="shared" si="4"/>
        <v>984.70000000000016</v>
      </c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  <c r="AC22" s="103"/>
      <c r="AD22" s="103"/>
      <c r="AE22" s="103"/>
    </row>
    <row r="23" spans="1:31">
      <c r="A23" s="102">
        <v>1978</v>
      </c>
      <c r="B23" s="103">
        <v>6.7</v>
      </c>
      <c r="C23" s="103">
        <v>3.1</v>
      </c>
      <c r="D23" s="103">
        <v>10.6</v>
      </c>
      <c r="E23" s="103">
        <v>31.5</v>
      </c>
      <c r="F23" s="103">
        <v>194.6</v>
      </c>
      <c r="G23" s="103">
        <v>213.5</v>
      </c>
      <c r="H23" s="103">
        <v>95.9</v>
      </c>
      <c r="I23" s="103">
        <v>115.4</v>
      </c>
      <c r="J23" s="103">
        <v>28.1</v>
      </c>
      <c r="K23" s="103">
        <v>87.8</v>
      </c>
      <c r="L23" s="103">
        <v>38.1</v>
      </c>
      <c r="M23" s="103">
        <v>2.7</v>
      </c>
      <c r="N23" s="102">
        <f t="shared" si="1"/>
        <v>51.9</v>
      </c>
      <c r="O23" s="102">
        <f t="shared" si="2"/>
        <v>647.5</v>
      </c>
      <c r="P23" s="102">
        <f t="shared" si="3"/>
        <v>128.6</v>
      </c>
      <c r="Q23" s="102">
        <f t="shared" si="4"/>
        <v>828</v>
      </c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  <c r="AC23" s="103"/>
      <c r="AD23" s="103"/>
      <c r="AE23" s="103"/>
    </row>
    <row r="24" spans="1:31">
      <c r="A24" s="102">
        <v>1979</v>
      </c>
      <c r="B24" s="103">
        <v>4.5999999999999996</v>
      </c>
      <c r="C24" s="103">
        <v>2.8</v>
      </c>
      <c r="D24" s="103">
        <v>23.7</v>
      </c>
      <c r="E24" s="103">
        <v>19.7</v>
      </c>
      <c r="F24" s="103">
        <v>105.2</v>
      </c>
      <c r="G24" s="103">
        <v>190.2</v>
      </c>
      <c r="H24" s="103">
        <v>248.9</v>
      </c>
      <c r="I24" s="103">
        <v>173.7</v>
      </c>
      <c r="J24" s="103">
        <v>135.5</v>
      </c>
      <c r="K24" s="103">
        <v>50.4</v>
      </c>
      <c r="L24" s="103">
        <v>4.9000000000000004</v>
      </c>
      <c r="M24" s="103">
        <v>33.5</v>
      </c>
      <c r="N24" s="102">
        <f t="shared" si="1"/>
        <v>50.8</v>
      </c>
      <c r="O24" s="102">
        <f t="shared" si="2"/>
        <v>853.5</v>
      </c>
      <c r="P24" s="102">
        <f t="shared" si="3"/>
        <v>88.8</v>
      </c>
      <c r="Q24" s="102">
        <f t="shared" si="4"/>
        <v>993.09999999999991</v>
      </c>
      <c r="R24" s="103"/>
      <c r="S24" s="103"/>
      <c r="T24" s="103"/>
      <c r="U24" s="103"/>
      <c r="V24" s="103"/>
      <c r="W24" s="103"/>
      <c r="X24" s="103"/>
      <c r="Y24" s="103"/>
      <c r="Z24" s="103"/>
      <c r="AA24" s="103"/>
      <c r="AB24" s="103"/>
      <c r="AC24" s="103"/>
      <c r="AD24" s="103"/>
      <c r="AE24" s="103"/>
    </row>
    <row r="25" spans="1:31">
      <c r="A25" s="102">
        <v>1980</v>
      </c>
      <c r="B25" s="103">
        <v>11.3</v>
      </c>
      <c r="C25" s="103">
        <v>8.1999999999999993</v>
      </c>
      <c r="D25" s="103">
        <v>21.7</v>
      </c>
      <c r="E25" s="103">
        <v>76.400000000000006</v>
      </c>
      <c r="F25" s="103">
        <v>356.8</v>
      </c>
      <c r="G25" s="103">
        <v>273.10000000000002</v>
      </c>
      <c r="H25" s="103">
        <v>178.3</v>
      </c>
      <c r="I25" s="103">
        <v>139.4</v>
      </c>
      <c r="J25" s="103">
        <v>56.8</v>
      </c>
      <c r="K25" s="103">
        <v>110.5</v>
      </c>
      <c r="L25" s="103">
        <v>42.1</v>
      </c>
      <c r="M25" s="103">
        <v>27.2</v>
      </c>
      <c r="N25" s="102">
        <f t="shared" si="1"/>
        <v>117.60000000000001</v>
      </c>
      <c r="O25" s="102">
        <f t="shared" si="2"/>
        <v>1004.4</v>
      </c>
      <c r="P25" s="102">
        <f t="shared" si="3"/>
        <v>179.79999999999998</v>
      </c>
      <c r="Q25" s="102">
        <f t="shared" si="4"/>
        <v>1301.8</v>
      </c>
      <c r="R25" s="103"/>
      <c r="S25" s="103"/>
      <c r="T25" s="103"/>
      <c r="U25" s="103"/>
      <c r="V25" s="103"/>
      <c r="W25" s="103"/>
      <c r="X25" s="103"/>
      <c r="Y25" s="103"/>
      <c r="Z25" s="103"/>
      <c r="AA25" s="103"/>
      <c r="AB25" s="103"/>
      <c r="AC25" s="103"/>
      <c r="AD25" s="103"/>
      <c r="AE25" s="103"/>
    </row>
    <row r="26" spans="1:31">
      <c r="A26" s="102">
        <v>1981</v>
      </c>
      <c r="B26" s="103">
        <v>16.600000000000001</v>
      </c>
      <c r="C26" s="103">
        <v>4.5</v>
      </c>
      <c r="D26" s="103">
        <v>14.6</v>
      </c>
      <c r="E26" s="103">
        <v>120.6</v>
      </c>
      <c r="F26" s="103">
        <v>98.6</v>
      </c>
      <c r="G26" s="103">
        <v>68.7</v>
      </c>
      <c r="H26" s="103">
        <v>216.1</v>
      </c>
      <c r="I26" s="103">
        <v>37.799999999999997</v>
      </c>
      <c r="J26" s="103">
        <v>167.8</v>
      </c>
      <c r="K26" s="103">
        <v>51.2</v>
      </c>
      <c r="L26" s="103">
        <v>25.6</v>
      </c>
      <c r="M26" s="103">
        <v>7</v>
      </c>
      <c r="N26" s="102">
        <f t="shared" si="1"/>
        <v>156.30000000000001</v>
      </c>
      <c r="O26" s="102">
        <f t="shared" si="2"/>
        <v>589</v>
      </c>
      <c r="P26" s="102">
        <f t="shared" si="3"/>
        <v>83.800000000000011</v>
      </c>
      <c r="Q26" s="102">
        <f t="shared" si="4"/>
        <v>829.1</v>
      </c>
      <c r="R26" s="103"/>
      <c r="S26" s="103"/>
      <c r="T26" s="103"/>
      <c r="U26" s="103"/>
      <c r="V26" s="103"/>
      <c r="W26" s="103"/>
      <c r="X26" s="103"/>
      <c r="Y26" s="103"/>
      <c r="Z26" s="103"/>
      <c r="AA26" s="103"/>
      <c r="AB26" s="103"/>
      <c r="AC26" s="103"/>
      <c r="AD26" s="103"/>
      <c r="AE26" s="103"/>
    </row>
    <row r="27" spans="1:31">
      <c r="A27" s="102">
        <v>1982</v>
      </c>
      <c r="B27" s="103">
        <v>18.2</v>
      </c>
      <c r="C27" s="103">
        <v>29.1</v>
      </c>
      <c r="D27" s="103">
        <v>4</v>
      </c>
      <c r="E27" s="103">
        <v>130.4</v>
      </c>
      <c r="F27" s="103">
        <v>118.8</v>
      </c>
      <c r="G27" s="103">
        <v>169.4</v>
      </c>
      <c r="H27" s="103">
        <v>102.3</v>
      </c>
      <c r="I27" s="103">
        <v>215.1</v>
      </c>
      <c r="J27" s="103">
        <v>136.5</v>
      </c>
      <c r="K27" s="103">
        <v>44.2</v>
      </c>
      <c r="L27" s="103">
        <v>74</v>
      </c>
      <c r="M27" s="103">
        <v>9.6999999999999993</v>
      </c>
      <c r="N27" s="102">
        <f t="shared" si="1"/>
        <v>181.7</v>
      </c>
      <c r="O27" s="102">
        <f t="shared" si="2"/>
        <v>742.1</v>
      </c>
      <c r="P27" s="102">
        <f t="shared" si="3"/>
        <v>127.9</v>
      </c>
      <c r="Q27" s="102">
        <f t="shared" si="4"/>
        <v>1051.7</v>
      </c>
      <c r="R27" s="103"/>
      <c r="S27" s="103"/>
      <c r="T27" s="103"/>
      <c r="U27" s="103"/>
      <c r="V27" s="103"/>
      <c r="W27" s="103"/>
      <c r="X27" s="103"/>
      <c r="Y27" s="103"/>
      <c r="Z27" s="103"/>
      <c r="AA27" s="103"/>
      <c r="AB27" s="103"/>
      <c r="AC27" s="103"/>
      <c r="AD27" s="103"/>
      <c r="AE27" s="103"/>
    </row>
    <row r="28" spans="1:31">
      <c r="A28" s="102">
        <v>1983</v>
      </c>
      <c r="B28" s="103">
        <v>28.4</v>
      </c>
      <c r="C28" s="103">
        <v>12.9</v>
      </c>
      <c r="D28" s="103">
        <v>22.5</v>
      </c>
      <c r="E28" s="103">
        <v>80.3</v>
      </c>
      <c r="F28" s="103">
        <v>114.9</v>
      </c>
      <c r="G28" s="103">
        <v>111.4</v>
      </c>
      <c r="H28" s="103">
        <v>168</v>
      </c>
      <c r="I28" s="103">
        <v>108</v>
      </c>
      <c r="J28" s="103">
        <v>106.8</v>
      </c>
      <c r="K28" s="103">
        <v>58.3</v>
      </c>
      <c r="L28" s="103">
        <v>37.700000000000003</v>
      </c>
      <c r="M28" s="103">
        <v>15.3</v>
      </c>
      <c r="N28" s="102">
        <f t="shared" si="1"/>
        <v>144.1</v>
      </c>
      <c r="O28" s="102">
        <f t="shared" si="2"/>
        <v>609.1</v>
      </c>
      <c r="P28" s="102">
        <f t="shared" si="3"/>
        <v>111.3</v>
      </c>
      <c r="Q28" s="102">
        <f t="shared" si="4"/>
        <v>864.49999999999989</v>
      </c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</row>
    <row r="29" spans="1:31">
      <c r="A29" s="102">
        <v>1984</v>
      </c>
      <c r="B29" s="103">
        <v>4.2</v>
      </c>
      <c r="C29" s="103">
        <v>8.3000000000000007</v>
      </c>
      <c r="D29" s="103">
        <v>21.4</v>
      </c>
      <c r="E29" s="103">
        <v>134</v>
      </c>
      <c r="F29" s="103">
        <v>164.2</v>
      </c>
      <c r="G29" s="103">
        <v>77</v>
      </c>
      <c r="H29" s="103">
        <v>247.8</v>
      </c>
      <c r="I29" s="103">
        <v>125.9</v>
      </c>
      <c r="J29" s="103">
        <v>133.1</v>
      </c>
      <c r="K29" s="103">
        <v>47.1</v>
      </c>
      <c r="L29" s="103">
        <v>5.4</v>
      </c>
      <c r="M29" s="103">
        <v>11.9</v>
      </c>
      <c r="N29" s="102">
        <f t="shared" si="1"/>
        <v>167.9</v>
      </c>
      <c r="O29" s="102">
        <f t="shared" si="2"/>
        <v>748</v>
      </c>
      <c r="P29" s="102">
        <f t="shared" si="3"/>
        <v>64.400000000000006</v>
      </c>
      <c r="Q29" s="102">
        <f t="shared" si="4"/>
        <v>980.30000000000007</v>
      </c>
      <c r="R29" s="103"/>
      <c r="S29" s="103"/>
      <c r="T29" s="103"/>
      <c r="U29" s="103"/>
      <c r="V29" s="103"/>
      <c r="W29" s="103"/>
      <c r="X29" s="103"/>
      <c r="Y29" s="103"/>
      <c r="Z29" s="103"/>
      <c r="AA29" s="103"/>
      <c r="AB29" s="103"/>
      <c r="AC29" s="103"/>
      <c r="AD29" s="103"/>
      <c r="AE29" s="103"/>
    </row>
    <row r="30" spans="1:31">
      <c r="A30" s="102">
        <v>1985</v>
      </c>
      <c r="B30" s="103">
        <v>5.5</v>
      </c>
      <c r="C30" s="103">
        <v>10.1</v>
      </c>
      <c r="D30" s="103">
        <v>36.799999999999997</v>
      </c>
      <c r="E30" s="103">
        <v>108.6</v>
      </c>
      <c r="F30" s="103">
        <v>93.8</v>
      </c>
      <c r="G30" s="103">
        <v>181.1</v>
      </c>
      <c r="H30" s="103">
        <v>82.8</v>
      </c>
      <c r="I30" s="103">
        <v>237.1</v>
      </c>
      <c r="J30" s="103">
        <v>56.8</v>
      </c>
      <c r="K30" s="103">
        <v>34.799999999999997</v>
      </c>
      <c r="L30" s="103">
        <v>28.3</v>
      </c>
      <c r="M30" s="103">
        <v>12.6</v>
      </c>
      <c r="N30" s="102">
        <f t="shared" si="1"/>
        <v>161</v>
      </c>
      <c r="O30" s="102">
        <f t="shared" si="2"/>
        <v>651.59999999999991</v>
      </c>
      <c r="P30" s="102">
        <f t="shared" si="3"/>
        <v>75.699999999999989</v>
      </c>
      <c r="Q30" s="102">
        <f t="shared" si="4"/>
        <v>888.29999999999984</v>
      </c>
      <c r="R30" s="103"/>
      <c r="S30" s="103"/>
      <c r="T30" s="103"/>
      <c r="U30" s="103"/>
      <c r="V30" s="103"/>
      <c r="W30" s="103"/>
      <c r="X30" s="103"/>
      <c r="Y30" s="103"/>
      <c r="Z30" s="103"/>
      <c r="AA30" s="103"/>
      <c r="AB30" s="103"/>
      <c r="AC30" s="103"/>
      <c r="AD30" s="103"/>
      <c r="AE30" s="103"/>
    </row>
    <row r="31" spans="1:31">
      <c r="A31" s="102">
        <v>1986</v>
      </c>
      <c r="B31" s="103">
        <v>8.5</v>
      </c>
      <c r="C31" s="103">
        <v>10.4</v>
      </c>
      <c r="D31" s="103">
        <v>11.4</v>
      </c>
      <c r="E31" s="103">
        <v>40.799999999999997</v>
      </c>
      <c r="F31" s="103">
        <v>69</v>
      </c>
      <c r="G31" s="103">
        <v>153.5</v>
      </c>
      <c r="H31" s="103">
        <v>202.6</v>
      </c>
      <c r="I31" s="103">
        <v>115.1</v>
      </c>
      <c r="J31" s="103">
        <v>58.2</v>
      </c>
      <c r="K31" s="103">
        <v>63.6</v>
      </c>
      <c r="L31" s="103">
        <v>43.3</v>
      </c>
      <c r="M31" s="103">
        <v>0.6</v>
      </c>
      <c r="N31" s="102">
        <f t="shared" si="1"/>
        <v>71.099999999999994</v>
      </c>
      <c r="O31" s="102">
        <f t="shared" si="2"/>
        <v>598.40000000000009</v>
      </c>
      <c r="P31" s="102">
        <f t="shared" si="3"/>
        <v>107.5</v>
      </c>
      <c r="Q31" s="102">
        <f t="shared" si="4"/>
        <v>777.00000000000011</v>
      </c>
      <c r="R31" s="103"/>
      <c r="S31" s="103"/>
      <c r="T31" s="103"/>
      <c r="U31" s="103"/>
      <c r="V31" s="103"/>
      <c r="W31" s="103"/>
      <c r="X31" s="103"/>
      <c r="Y31" s="103"/>
      <c r="Z31" s="103"/>
      <c r="AA31" s="103"/>
      <c r="AB31" s="103"/>
      <c r="AC31" s="103"/>
      <c r="AD31" s="103"/>
      <c r="AE31" s="103"/>
    </row>
    <row r="32" spans="1:31">
      <c r="A32" s="102">
        <v>1987</v>
      </c>
      <c r="B32" s="103">
        <v>17.899999999999999</v>
      </c>
      <c r="C32" s="103">
        <v>12.5</v>
      </c>
      <c r="D32" s="103">
        <v>35.6</v>
      </c>
      <c r="E32" s="103">
        <v>45.2</v>
      </c>
      <c r="F32" s="103">
        <v>93.5</v>
      </c>
      <c r="G32" s="103">
        <v>112</v>
      </c>
      <c r="H32" s="103">
        <v>182</v>
      </c>
      <c r="I32" s="103">
        <v>131.4</v>
      </c>
      <c r="J32" s="103">
        <v>132.9</v>
      </c>
      <c r="K32" s="103">
        <v>64.5</v>
      </c>
      <c r="L32" s="103">
        <v>37</v>
      </c>
      <c r="M32" s="103">
        <v>3.6</v>
      </c>
      <c r="N32" s="102">
        <f t="shared" si="1"/>
        <v>111.2</v>
      </c>
      <c r="O32" s="102">
        <f t="shared" si="2"/>
        <v>651.79999999999995</v>
      </c>
      <c r="P32" s="102">
        <f t="shared" si="3"/>
        <v>105.1</v>
      </c>
      <c r="Q32" s="102">
        <f t="shared" si="4"/>
        <v>868.1</v>
      </c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</row>
    <row r="33" spans="1:31">
      <c r="A33" s="102">
        <v>1988</v>
      </c>
      <c r="B33" s="103">
        <v>7.1</v>
      </c>
      <c r="C33" s="103">
        <v>11.7</v>
      </c>
      <c r="D33" s="103">
        <v>5.4</v>
      </c>
      <c r="E33" s="103">
        <v>108.8</v>
      </c>
      <c r="F33" s="103">
        <v>92.9</v>
      </c>
      <c r="G33" s="103">
        <v>315.89999999999998</v>
      </c>
      <c r="H33" s="103">
        <v>160.80000000000001</v>
      </c>
      <c r="I33" s="103">
        <v>243.8</v>
      </c>
      <c r="J33" s="103">
        <v>99.9</v>
      </c>
      <c r="K33" s="103">
        <v>40.799999999999997</v>
      </c>
      <c r="L33" s="103">
        <v>1.1000000000000001</v>
      </c>
      <c r="M33" s="103">
        <v>3.4</v>
      </c>
      <c r="N33" s="102">
        <f t="shared" si="1"/>
        <v>133</v>
      </c>
      <c r="O33" s="102">
        <f t="shared" si="2"/>
        <v>913.29999999999984</v>
      </c>
      <c r="P33" s="102">
        <f t="shared" si="3"/>
        <v>45.3</v>
      </c>
      <c r="Q33" s="102">
        <f t="shared" si="4"/>
        <v>1091.5999999999999</v>
      </c>
      <c r="R33" s="103"/>
      <c r="S33" s="103"/>
      <c r="T33" s="103"/>
      <c r="U33" s="103"/>
      <c r="V33" s="103"/>
      <c r="W33" s="103"/>
      <c r="X33" s="103"/>
      <c r="Y33" s="103"/>
      <c r="Z33" s="103"/>
      <c r="AA33" s="103"/>
      <c r="AB33" s="103"/>
      <c r="AC33" s="103"/>
      <c r="AD33" s="103"/>
      <c r="AE33" s="103"/>
    </row>
    <row r="34" spans="1:31">
      <c r="A34" s="102">
        <v>1989</v>
      </c>
      <c r="B34" s="103">
        <v>7.6</v>
      </c>
      <c r="C34" s="103">
        <v>26.8</v>
      </c>
      <c r="D34" s="103">
        <v>28.6</v>
      </c>
      <c r="E34" s="103">
        <v>28.8</v>
      </c>
      <c r="F34" s="103">
        <v>61.7</v>
      </c>
      <c r="G34" s="103">
        <v>245.6</v>
      </c>
      <c r="H34" s="103">
        <v>147.9</v>
      </c>
      <c r="I34" s="103">
        <v>87.6</v>
      </c>
      <c r="J34" s="103">
        <v>96</v>
      </c>
      <c r="K34" s="103">
        <v>40.4</v>
      </c>
      <c r="L34" s="103">
        <v>16.2</v>
      </c>
      <c r="M34" s="103">
        <v>18.5</v>
      </c>
      <c r="N34" s="102">
        <f t="shared" si="1"/>
        <v>91.8</v>
      </c>
      <c r="O34" s="102">
        <f t="shared" si="2"/>
        <v>638.80000000000007</v>
      </c>
      <c r="P34" s="102">
        <f t="shared" si="3"/>
        <v>75.099999999999994</v>
      </c>
      <c r="Q34" s="102">
        <f t="shared" si="4"/>
        <v>805.7</v>
      </c>
      <c r="R34" s="103"/>
      <c r="S34" s="103"/>
      <c r="T34" s="103"/>
      <c r="U34" s="103"/>
      <c r="V34" s="103"/>
      <c r="W34" s="103"/>
      <c r="X34" s="103"/>
      <c r="Y34" s="103"/>
      <c r="Z34" s="103"/>
      <c r="AA34" s="103"/>
      <c r="AB34" s="103"/>
      <c r="AC34" s="103"/>
      <c r="AD34" s="103"/>
      <c r="AE34" s="103"/>
    </row>
    <row r="35" spans="1:31">
      <c r="A35" s="102">
        <v>1990</v>
      </c>
      <c r="B35" s="103">
        <v>11.1</v>
      </c>
      <c r="C35" s="103">
        <v>9.8000000000000007</v>
      </c>
      <c r="D35" s="103">
        <v>90.1</v>
      </c>
      <c r="E35" s="103">
        <v>29.5</v>
      </c>
      <c r="F35" s="103">
        <v>133.1</v>
      </c>
      <c r="G35" s="103">
        <v>90.4</v>
      </c>
      <c r="H35" s="103">
        <v>112.5</v>
      </c>
      <c r="I35" s="103">
        <v>8.8000000000000007</v>
      </c>
      <c r="J35" s="103">
        <v>104.2</v>
      </c>
      <c r="K35" s="103">
        <v>62.1</v>
      </c>
      <c r="L35" s="103">
        <v>29.7</v>
      </c>
      <c r="M35" s="103">
        <v>5.0999999999999996</v>
      </c>
      <c r="N35" s="102">
        <f t="shared" si="1"/>
        <v>140.5</v>
      </c>
      <c r="O35" s="102">
        <f t="shared" si="2"/>
        <v>449</v>
      </c>
      <c r="P35" s="102">
        <f t="shared" si="3"/>
        <v>96.899999999999991</v>
      </c>
      <c r="Q35" s="102">
        <f t="shared" si="4"/>
        <v>686.40000000000009</v>
      </c>
      <c r="R35" s="103"/>
      <c r="S35" s="103"/>
      <c r="T35" s="103"/>
      <c r="U35" s="103"/>
      <c r="V35" s="103"/>
      <c r="W35" s="103"/>
      <c r="X35" s="103"/>
      <c r="Y35" s="103"/>
      <c r="Z35" s="103"/>
      <c r="AA35" s="103"/>
      <c r="AB35" s="103"/>
      <c r="AC35" s="103"/>
      <c r="AD35" s="103"/>
      <c r="AE35" s="103"/>
    </row>
    <row r="36" spans="1:31">
      <c r="A36" s="102">
        <v>1991</v>
      </c>
      <c r="B36" s="103">
        <v>33.700000000000003</v>
      </c>
      <c r="C36" s="103">
        <v>5.3</v>
      </c>
      <c r="D36" s="103">
        <v>11</v>
      </c>
      <c r="E36" s="103">
        <v>47.5</v>
      </c>
      <c r="F36" s="103">
        <v>41.1</v>
      </c>
      <c r="G36" s="103">
        <v>166.8</v>
      </c>
      <c r="H36" s="103">
        <v>343.3</v>
      </c>
      <c r="I36" s="103">
        <v>135.5</v>
      </c>
      <c r="J36" s="103">
        <v>47.5</v>
      </c>
      <c r="K36" s="103">
        <v>54.1</v>
      </c>
      <c r="L36" s="103">
        <v>34.200000000000003</v>
      </c>
      <c r="M36" s="103">
        <v>12.1</v>
      </c>
      <c r="N36" s="102">
        <f t="shared" si="1"/>
        <v>97.5</v>
      </c>
      <c r="O36" s="102">
        <f t="shared" si="2"/>
        <v>734.2</v>
      </c>
      <c r="P36" s="102">
        <f t="shared" si="3"/>
        <v>100.4</v>
      </c>
      <c r="Q36" s="102">
        <f t="shared" si="4"/>
        <v>932.10000000000014</v>
      </c>
      <c r="R36" s="103"/>
      <c r="S36" s="103"/>
      <c r="T36" s="103"/>
      <c r="U36" s="103"/>
      <c r="V36" s="103"/>
      <c r="W36" s="103"/>
      <c r="X36" s="103"/>
      <c r="Y36" s="103"/>
      <c r="Z36" s="103"/>
      <c r="AA36" s="103"/>
      <c r="AB36" s="103"/>
      <c r="AC36" s="103"/>
      <c r="AD36" s="103"/>
      <c r="AE36" s="103"/>
    </row>
    <row r="37" spans="1:31">
      <c r="A37" s="102">
        <v>1992</v>
      </c>
      <c r="B37" s="103">
        <v>26.7</v>
      </c>
      <c r="C37" s="103">
        <v>31.7</v>
      </c>
      <c r="D37" s="103">
        <v>24.2</v>
      </c>
      <c r="E37" s="103">
        <v>101.8</v>
      </c>
      <c r="F37" s="103">
        <v>178.7</v>
      </c>
      <c r="G37" s="103">
        <v>242.7</v>
      </c>
      <c r="H37" s="103">
        <v>92.5</v>
      </c>
      <c r="I37" s="103">
        <v>4.5</v>
      </c>
      <c r="J37" s="103">
        <v>26.8</v>
      </c>
      <c r="K37" s="103">
        <v>126.1</v>
      </c>
      <c r="L37" s="103">
        <v>8.1</v>
      </c>
      <c r="M37" s="103">
        <v>15.4</v>
      </c>
      <c r="N37" s="102">
        <f t="shared" si="1"/>
        <v>184.39999999999998</v>
      </c>
      <c r="O37" s="102">
        <f t="shared" si="2"/>
        <v>545.19999999999993</v>
      </c>
      <c r="P37" s="102">
        <f t="shared" si="3"/>
        <v>149.6</v>
      </c>
      <c r="Q37" s="102">
        <f t="shared" si="4"/>
        <v>879.19999999999993</v>
      </c>
      <c r="R37" s="103"/>
      <c r="S37" s="103"/>
      <c r="T37" s="103"/>
      <c r="U37" s="103"/>
      <c r="V37" s="103"/>
      <c r="W37" s="103"/>
      <c r="X37" s="103"/>
      <c r="Y37" s="103"/>
      <c r="Z37" s="103"/>
      <c r="AA37" s="103"/>
      <c r="AB37" s="103"/>
      <c r="AC37" s="103"/>
      <c r="AD37" s="103"/>
      <c r="AE37" s="103"/>
    </row>
    <row r="38" spans="1:31">
      <c r="A38" s="102">
        <v>1993</v>
      </c>
      <c r="B38" s="103">
        <v>22.4</v>
      </c>
      <c r="C38" s="103">
        <v>35.6</v>
      </c>
      <c r="D38" s="103">
        <v>7.5</v>
      </c>
      <c r="E38" s="103">
        <v>47</v>
      </c>
      <c r="F38" s="103">
        <v>121.1</v>
      </c>
      <c r="G38" s="103">
        <v>147.5</v>
      </c>
      <c r="H38" s="103">
        <v>177.8</v>
      </c>
      <c r="I38" s="103">
        <v>188.2</v>
      </c>
      <c r="J38" s="103">
        <v>123.4</v>
      </c>
      <c r="K38" s="103">
        <v>30.1</v>
      </c>
      <c r="L38" s="103">
        <v>30.3</v>
      </c>
      <c r="M38" s="103">
        <v>4.3</v>
      </c>
      <c r="N38" s="102">
        <f t="shared" si="1"/>
        <v>112.5</v>
      </c>
      <c r="O38" s="102">
        <f t="shared" si="2"/>
        <v>758</v>
      </c>
      <c r="P38" s="102">
        <f t="shared" si="3"/>
        <v>64.7</v>
      </c>
      <c r="Q38" s="102">
        <f t="shared" si="4"/>
        <v>935.2</v>
      </c>
      <c r="R38" s="103"/>
      <c r="S38" s="103"/>
      <c r="T38" s="103"/>
      <c r="U38" s="103"/>
      <c r="V38" s="103"/>
      <c r="W38" s="103"/>
      <c r="X38" s="103"/>
      <c r="Y38" s="103"/>
      <c r="Z38" s="103"/>
      <c r="AA38" s="103"/>
      <c r="AB38" s="103"/>
      <c r="AC38" s="103"/>
      <c r="AD38" s="103"/>
      <c r="AE38" s="103"/>
    </row>
    <row r="39" spans="1:31">
      <c r="A39" s="102">
        <v>1994</v>
      </c>
      <c r="B39" s="103">
        <v>9.1999999999999993</v>
      </c>
      <c r="C39" s="103">
        <v>2.8</v>
      </c>
      <c r="D39" s="103">
        <v>72.400000000000006</v>
      </c>
      <c r="E39" s="103">
        <v>45.1</v>
      </c>
      <c r="F39" s="103">
        <v>155.69999999999999</v>
      </c>
      <c r="G39" s="103">
        <v>222.5</v>
      </c>
      <c r="H39" s="103">
        <v>91.8</v>
      </c>
      <c r="I39" s="103">
        <v>35.5</v>
      </c>
      <c r="J39" s="103">
        <v>131.5</v>
      </c>
      <c r="K39" s="103">
        <v>113</v>
      </c>
      <c r="L39" s="103">
        <v>61.2</v>
      </c>
      <c r="M39" s="103">
        <v>18.3</v>
      </c>
      <c r="N39" s="102">
        <f t="shared" si="1"/>
        <v>129.5</v>
      </c>
      <c r="O39" s="102">
        <f t="shared" si="2"/>
        <v>637</v>
      </c>
      <c r="P39" s="102">
        <f t="shared" si="3"/>
        <v>192.5</v>
      </c>
      <c r="Q39" s="102">
        <f t="shared" si="4"/>
        <v>959</v>
      </c>
      <c r="R39" s="103"/>
      <c r="S39" s="103"/>
      <c r="T39" s="103"/>
      <c r="U39" s="103"/>
      <c r="V39" s="103"/>
      <c r="W39" s="103"/>
      <c r="X39" s="103"/>
      <c r="Y39" s="103"/>
      <c r="Z39" s="103"/>
      <c r="AA39" s="103"/>
      <c r="AB39" s="103"/>
      <c r="AC39" s="103"/>
      <c r="AD39" s="103"/>
      <c r="AE39" s="103"/>
    </row>
    <row r="40" spans="1:31">
      <c r="A40" s="102">
        <v>1995</v>
      </c>
      <c r="B40" s="103">
        <v>17.8</v>
      </c>
      <c r="C40" s="103">
        <v>41.9</v>
      </c>
      <c r="D40" s="103">
        <v>18</v>
      </c>
      <c r="E40" s="103">
        <v>27</v>
      </c>
      <c r="F40" s="103">
        <v>172.9</v>
      </c>
      <c r="G40" s="103">
        <v>267.7</v>
      </c>
      <c r="H40" s="103">
        <v>68.8</v>
      </c>
      <c r="I40" s="103">
        <v>211.8</v>
      </c>
      <c r="J40" s="103">
        <v>58.3</v>
      </c>
      <c r="K40" s="103">
        <v>83.8</v>
      </c>
      <c r="L40" s="103">
        <v>31.7</v>
      </c>
      <c r="M40" s="103">
        <v>4.5</v>
      </c>
      <c r="N40" s="102">
        <f t="shared" si="1"/>
        <v>104.7</v>
      </c>
      <c r="O40" s="102">
        <f t="shared" si="2"/>
        <v>779.5</v>
      </c>
      <c r="P40" s="102">
        <f t="shared" si="3"/>
        <v>120</v>
      </c>
      <c r="Q40" s="102">
        <f t="shared" si="4"/>
        <v>1004.1999999999998</v>
      </c>
      <c r="R40" s="103"/>
      <c r="S40" s="103"/>
      <c r="T40" s="103"/>
      <c r="U40" s="103"/>
      <c r="V40" s="103"/>
      <c r="W40" s="103"/>
      <c r="X40" s="103"/>
      <c r="Y40" s="103"/>
      <c r="Z40" s="103"/>
      <c r="AA40" s="103"/>
      <c r="AB40" s="103"/>
      <c r="AC40" s="103"/>
      <c r="AD40" s="103"/>
      <c r="AE40" s="103"/>
    </row>
    <row r="41" spans="1:31">
      <c r="A41" s="102">
        <v>1996</v>
      </c>
      <c r="B41" s="103">
        <v>12</v>
      </c>
      <c r="C41" s="103">
        <v>2.1</v>
      </c>
      <c r="D41" s="103">
        <v>28.3</v>
      </c>
      <c r="E41" s="103">
        <v>49.6</v>
      </c>
      <c r="F41" s="103">
        <v>235.4</v>
      </c>
      <c r="G41" s="103">
        <v>201</v>
      </c>
      <c r="H41" s="103">
        <v>248.3</v>
      </c>
      <c r="I41" s="103">
        <v>55.9</v>
      </c>
      <c r="J41" s="103">
        <v>52.7</v>
      </c>
      <c r="K41" s="103">
        <v>20.2</v>
      </c>
      <c r="L41" s="103">
        <v>61.4</v>
      </c>
      <c r="M41" s="103">
        <v>10.4</v>
      </c>
      <c r="N41" s="102">
        <f t="shared" si="1"/>
        <v>92</v>
      </c>
      <c r="O41" s="102">
        <f t="shared" si="2"/>
        <v>793.30000000000007</v>
      </c>
      <c r="P41" s="102">
        <f t="shared" si="3"/>
        <v>92</v>
      </c>
      <c r="Q41" s="102">
        <f t="shared" si="4"/>
        <v>977.30000000000007</v>
      </c>
      <c r="R41" s="103"/>
      <c r="S41" s="103"/>
      <c r="T41" s="103"/>
      <c r="U41" s="103"/>
      <c r="V41" s="103"/>
      <c r="W41" s="103"/>
      <c r="X41" s="103"/>
      <c r="Y41" s="103"/>
      <c r="Z41" s="103"/>
      <c r="AA41" s="103"/>
      <c r="AB41" s="103"/>
      <c r="AC41" s="103"/>
      <c r="AD41" s="103"/>
      <c r="AE41" s="103"/>
    </row>
    <row r="42" spans="1:31">
      <c r="A42" s="102">
        <v>1997</v>
      </c>
      <c r="B42" s="102">
        <v>34.4</v>
      </c>
      <c r="C42" s="102">
        <v>21.3</v>
      </c>
      <c r="D42" s="102">
        <v>18.399999999999999</v>
      </c>
      <c r="E42" s="102">
        <v>138.30000000000001</v>
      </c>
      <c r="F42" s="102">
        <v>191.9</v>
      </c>
      <c r="G42" s="102">
        <v>91.2</v>
      </c>
      <c r="H42" s="102">
        <v>83.9</v>
      </c>
      <c r="I42" s="102">
        <v>14.1</v>
      </c>
      <c r="J42" s="102">
        <v>187.2</v>
      </c>
      <c r="K42" s="102">
        <v>61.8</v>
      </c>
      <c r="L42" s="102">
        <v>3.3</v>
      </c>
      <c r="M42" s="102">
        <v>10.6</v>
      </c>
      <c r="N42" s="102">
        <f t="shared" si="1"/>
        <v>212.4</v>
      </c>
      <c r="O42" s="102">
        <f t="shared" si="2"/>
        <v>568.29999999999995</v>
      </c>
      <c r="P42" s="102">
        <f t="shared" si="3"/>
        <v>75.699999999999989</v>
      </c>
      <c r="Q42" s="102">
        <f t="shared" si="4"/>
        <v>856.4</v>
      </c>
    </row>
    <row r="43" spans="1:31">
      <c r="A43" s="102">
        <v>1998</v>
      </c>
      <c r="B43" s="102">
        <v>13.4</v>
      </c>
      <c r="C43" s="102">
        <v>4.5</v>
      </c>
      <c r="D43" s="102">
        <v>7.2</v>
      </c>
      <c r="E43" s="102">
        <v>110.5</v>
      </c>
      <c r="F43" s="102">
        <v>101.5</v>
      </c>
      <c r="G43" s="102">
        <v>119.3</v>
      </c>
      <c r="H43" s="102">
        <v>191.1</v>
      </c>
      <c r="I43" s="102">
        <v>168.9</v>
      </c>
      <c r="J43" s="102">
        <v>39.700000000000003</v>
      </c>
      <c r="K43" s="102">
        <v>49.9</v>
      </c>
      <c r="L43" s="102">
        <v>22.5</v>
      </c>
      <c r="M43" s="102">
        <v>19.600000000000001</v>
      </c>
      <c r="N43" s="102">
        <f t="shared" si="1"/>
        <v>135.6</v>
      </c>
      <c r="O43" s="102">
        <f t="shared" si="2"/>
        <v>620.5</v>
      </c>
      <c r="P43" s="102">
        <f t="shared" si="3"/>
        <v>92</v>
      </c>
      <c r="Q43" s="102">
        <f t="shared" si="4"/>
        <v>848.1</v>
      </c>
    </row>
    <row r="44" spans="1:31">
      <c r="A44" s="102">
        <v>1999</v>
      </c>
      <c r="B44" s="102">
        <v>28.1</v>
      </c>
      <c r="C44" s="102">
        <v>6.9</v>
      </c>
      <c r="D44" s="102">
        <v>8.6999999999999993</v>
      </c>
      <c r="E44" s="102">
        <v>58.3</v>
      </c>
      <c r="F44" s="102">
        <v>135.69999999999999</v>
      </c>
      <c r="G44" s="102">
        <v>139.80000000000001</v>
      </c>
      <c r="H44" s="102">
        <v>157.9</v>
      </c>
      <c r="I44" s="102">
        <v>143.5</v>
      </c>
      <c r="J44" s="102">
        <v>62.1</v>
      </c>
      <c r="K44" s="102">
        <v>61.2</v>
      </c>
      <c r="L44" s="102">
        <v>37.299999999999997</v>
      </c>
      <c r="M44" s="102">
        <v>2.1</v>
      </c>
      <c r="N44" s="102">
        <f t="shared" si="1"/>
        <v>102</v>
      </c>
      <c r="O44" s="102">
        <f t="shared" si="2"/>
        <v>639</v>
      </c>
      <c r="P44" s="102">
        <f t="shared" si="3"/>
        <v>100.6</v>
      </c>
      <c r="Q44" s="102">
        <f t="shared" si="4"/>
        <v>841.6</v>
      </c>
    </row>
    <row r="45" spans="1:31">
      <c r="A45" s="102">
        <v>2000</v>
      </c>
      <c r="B45" s="102">
        <v>22.1</v>
      </c>
      <c r="C45" s="102">
        <v>13.9</v>
      </c>
      <c r="D45" s="102">
        <v>25.3</v>
      </c>
      <c r="E45" s="102">
        <v>102.8</v>
      </c>
      <c r="F45" s="102">
        <v>94.6</v>
      </c>
      <c r="G45" s="102">
        <v>156.69999999999999</v>
      </c>
      <c r="H45" s="102">
        <v>97.4</v>
      </c>
      <c r="I45" s="102">
        <v>186.9</v>
      </c>
      <c r="J45" s="102">
        <v>80.400000000000006</v>
      </c>
      <c r="K45" s="102">
        <v>91.1</v>
      </c>
      <c r="L45" s="102">
        <v>27.8</v>
      </c>
      <c r="M45" s="102">
        <v>13.4</v>
      </c>
      <c r="N45" s="102">
        <f t="shared" si="1"/>
        <v>164.1</v>
      </c>
      <c r="O45" s="102">
        <f t="shared" si="2"/>
        <v>616</v>
      </c>
      <c r="P45" s="102">
        <f t="shared" si="3"/>
        <v>132.29999999999998</v>
      </c>
      <c r="Q45" s="102">
        <f t="shared" si="4"/>
        <v>912.39999999999986</v>
      </c>
    </row>
    <row r="46" spans="1:31">
      <c r="A46" s="102">
        <v>2001</v>
      </c>
      <c r="B46" s="102">
        <v>6</v>
      </c>
      <c r="C46" s="102">
        <v>7.5</v>
      </c>
      <c r="D46" s="102">
        <v>18.899999999999999</v>
      </c>
      <c r="E46" s="102">
        <v>57.8</v>
      </c>
      <c r="F46" s="102">
        <v>98.4</v>
      </c>
      <c r="G46" s="102">
        <v>187.5</v>
      </c>
      <c r="H46" s="102">
        <v>239.7</v>
      </c>
      <c r="I46" s="102">
        <v>128.19999999999999</v>
      </c>
      <c r="J46" s="102">
        <v>48.1</v>
      </c>
      <c r="K46" s="102">
        <v>158</v>
      </c>
      <c r="L46" s="102">
        <v>14.2</v>
      </c>
      <c r="M46" s="102">
        <v>7.2</v>
      </c>
      <c r="N46" s="102">
        <f t="shared" si="1"/>
        <v>90.199999999999989</v>
      </c>
      <c r="O46" s="102">
        <f t="shared" si="2"/>
        <v>701.9</v>
      </c>
      <c r="P46" s="102">
        <f t="shared" si="3"/>
        <v>179.39999999999998</v>
      </c>
      <c r="Q46" s="102">
        <f t="shared" si="4"/>
        <v>971.50000000000011</v>
      </c>
    </row>
    <row r="47" spans="1:31">
      <c r="A47" s="102">
        <v>2002</v>
      </c>
      <c r="B47" s="102">
        <v>9.1999999999999993</v>
      </c>
      <c r="C47" s="102">
        <v>20.7</v>
      </c>
      <c r="D47" s="102">
        <v>13.9</v>
      </c>
      <c r="E47" s="102">
        <v>24.4</v>
      </c>
      <c r="F47" s="102">
        <v>184.6</v>
      </c>
      <c r="G47" s="102">
        <v>148.4</v>
      </c>
      <c r="H47" s="102">
        <v>183.5</v>
      </c>
      <c r="I47" s="102">
        <v>159.69999999999999</v>
      </c>
      <c r="J47" s="102">
        <v>32.799999999999997</v>
      </c>
      <c r="K47" s="102">
        <v>68.900000000000006</v>
      </c>
      <c r="L47" s="102">
        <v>12.7</v>
      </c>
      <c r="M47" s="102">
        <v>8.3000000000000007</v>
      </c>
      <c r="N47" s="102">
        <f t="shared" si="1"/>
        <v>68.199999999999989</v>
      </c>
      <c r="O47" s="102">
        <f t="shared" si="2"/>
        <v>709</v>
      </c>
      <c r="P47" s="102">
        <f t="shared" si="3"/>
        <v>89.9</v>
      </c>
      <c r="Q47" s="102">
        <f t="shared" si="4"/>
        <v>867.1</v>
      </c>
    </row>
    <row r="48" spans="1:31">
      <c r="A48" s="102">
        <v>2003</v>
      </c>
      <c r="B48" s="102">
        <v>11.5</v>
      </c>
      <c r="C48" s="102">
        <v>12.8</v>
      </c>
      <c r="D48" s="102">
        <v>18.600000000000001</v>
      </c>
      <c r="E48" s="102">
        <v>48.7</v>
      </c>
      <c r="F48" s="102">
        <v>90.3</v>
      </c>
      <c r="G48" s="102">
        <v>334.9</v>
      </c>
      <c r="H48" s="102">
        <v>149.69999999999999</v>
      </c>
      <c r="I48" s="102">
        <v>28.4</v>
      </c>
      <c r="J48" s="102">
        <v>38.5</v>
      </c>
      <c r="K48" s="102">
        <v>50.5</v>
      </c>
      <c r="L48" s="102">
        <v>16.7</v>
      </c>
      <c r="M48" s="102">
        <v>47.4</v>
      </c>
      <c r="N48" s="102">
        <f t="shared" si="1"/>
        <v>91.600000000000009</v>
      </c>
      <c r="O48" s="102">
        <f t="shared" si="2"/>
        <v>641.79999999999995</v>
      </c>
      <c r="P48" s="102">
        <f t="shared" si="3"/>
        <v>114.6</v>
      </c>
      <c r="Q48" s="102">
        <f t="shared" si="4"/>
        <v>848</v>
      </c>
    </row>
    <row r="49" spans="1:33">
      <c r="A49" s="102">
        <v>2004</v>
      </c>
      <c r="B49" s="102">
        <v>30.1</v>
      </c>
      <c r="C49" s="102">
        <v>38.700000000000003</v>
      </c>
      <c r="D49" s="102">
        <v>22</v>
      </c>
      <c r="E49" s="102">
        <v>81.7</v>
      </c>
      <c r="F49" s="102">
        <v>223.4</v>
      </c>
      <c r="G49" s="102">
        <v>158</v>
      </c>
      <c r="H49" s="102">
        <v>236.6</v>
      </c>
      <c r="I49" s="102">
        <v>168.2</v>
      </c>
      <c r="J49" s="102">
        <v>60.2</v>
      </c>
      <c r="K49" s="102">
        <v>18.8</v>
      </c>
      <c r="L49" s="102">
        <v>40.700000000000003</v>
      </c>
      <c r="M49" s="102">
        <v>7</v>
      </c>
      <c r="N49" s="102">
        <f t="shared" si="1"/>
        <v>172.5</v>
      </c>
      <c r="O49" s="102">
        <f t="shared" si="2"/>
        <v>846.40000000000009</v>
      </c>
      <c r="P49" s="102">
        <f t="shared" si="3"/>
        <v>66.5</v>
      </c>
      <c r="Q49" s="102">
        <f t="shared" si="4"/>
        <v>1085.4000000000001</v>
      </c>
    </row>
    <row r="50" spans="1:33">
      <c r="A50" s="102">
        <v>2005</v>
      </c>
      <c r="B50" s="102">
        <v>20.5</v>
      </c>
      <c r="C50" s="102">
        <v>4.3</v>
      </c>
      <c r="D50" s="102">
        <v>24.8</v>
      </c>
      <c r="E50" s="102">
        <v>34.5</v>
      </c>
      <c r="F50" s="102">
        <v>198.2</v>
      </c>
      <c r="G50" s="102">
        <v>123.2</v>
      </c>
      <c r="H50" s="102">
        <v>122.2</v>
      </c>
      <c r="I50" s="102">
        <v>105.8</v>
      </c>
      <c r="J50" s="102">
        <v>56.1</v>
      </c>
      <c r="K50" s="102">
        <v>63.5</v>
      </c>
      <c r="L50" s="102">
        <v>14.6</v>
      </c>
      <c r="M50" s="102">
        <v>13.5</v>
      </c>
      <c r="N50" s="102">
        <f t="shared" si="1"/>
        <v>84.1</v>
      </c>
      <c r="O50" s="102">
        <f t="shared" si="2"/>
        <v>605.5</v>
      </c>
      <c r="P50" s="102">
        <f t="shared" si="3"/>
        <v>91.6</v>
      </c>
      <c r="Q50" s="102">
        <f t="shared" si="4"/>
        <v>781.19999999999993</v>
      </c>
    </row>
    <row r="51" spans="1:33">
      <c r="A51" s="102">
        <v>2006</v>
      </c>
      <c r="B51" s="102">
        <v>3.5</v>
      </c>
      <c r="C51" s="102">
        <v>18.5</v>
      </c>
      <c r="D51" s="102">
        <v>25.9</v>
      </c>
      <c r="E51" s="102">
        <v>55</v>
      </c>
      <c r="F51" s="102">
        <v>143</v>
      </c>
      <c r="G51" s="102">
        <v>131.69999999999999</v>
      </c>
      <c r="H51" s="102">
        <v>90.2</v>
      </c>
      <c r="I51" s="102">
        <v>73.7</v>
      </c>
      <c r="J51" s="102">
        <v>76.2</v>
      </c>
      <c r="K51" s="102">
        <v>110.7</v>
      </c>
      <c r="L51" s="102">
        <v>36</v>
      </c>
      <c r="M51" s="102">
        <v>19.600000000000001</v>
      </c>
      <c r="N51" s="102">
        <f t="shared" si="1"/>
        <v>102.9</v>
      </c>
      <c r="O51" s="102">
        <f t="shared" si="2"/>
        <v>514.79999999999995</v>
      </c>
      <c r="P51" s="102">
        <f t="shared" si="3"/>
        <v>166.29999999999998</v>
      </c>
      <c r="Q51" s="102">
        <f t="shared" si="4"/>
        <v>784.00000000000011</v>
      </c>
    </row>
    <row r="52" spans="1:33">
      <c r="A52" s="102">
        <v>2007</v>
      </c>
      <c r="B52" s="102">
        <v>22.2</v>
      </c>
      <c r="C52" s="102">
        <v>7.8</v>
      </c>
      <c r="D52" s="102">
        <v>6.9</v>
      </c>
      <c r="E52" s="102">
        <v>87</v>
      </c>
      <c r="F52" s="102">
        <v>98.8</v>
      </c>
      <c r="G52" s="102">
        <v>170.4</v>
      </c>
      <c r="H52" s="102">
        <v>221.4</v>
      </c>
      <c r="I52" s="102">
        <v>159.19999999999999</v>
      </c>
      <c r="J52" s="102">
        <v>98.7</v>
      </c>
      <c r="K52" s="102">
        <v>56.4</v>
      </c>
      <c r="L52" s="102">
        <v>6.2</v>
      </c>
      <c r="M52" s="102">
        <v>22.9</v>
      </c>
      <c r="N52" s="102">
        <f t="shared" si="1"/>
        <v>123.9</v>
      </c>
      <c r="O52" s="102">
        <f t="shared" si="2"/>
        <v>748.5</v>
      </c>
      <c r="P52" s="102">
        <f t="shared" si="3"/>
        <v>85.5</v>
      </c>
      <c r="Q52" s="102">
        <f t="shared" si="4"/>
        <v>957.90000000000009</v>
      </c>
    </row>
    <row r="53" spans="1:33">
      <c r="A53" s="102">
        <v>2008</v>
      </c>
      <c r="B53" s="102">
        <v>9.4</v>
      </c>
      <c r="C53" s="102">
        <v>10.3</v>
      </c>
      <c r="D53" s="102">
        <v>27.5</v>
      </c>
      <c r="E53" s="102">
        <v>38.200000000000003</v>
      </c>
      <c r="F53" s="102">
        <v>122.8</v>
      </c>
      <c r="G53" s="102">
        <v>80</v>
      </c>
      <c r="H53" s="102">
        <v>235.9</v>
      </c>
      <c r="I53" s="102">
        <v>185</v>
      </c>
      <c r="J53" s="102">
        <v>76.400000000000006</v>
      </c>
      <c r="K53" s="102">
        <v>100.2</v>
      </c>
      <c r="L53" s="102">
        <v>92.1</v>
      </c>
      <c r="M53" s="102">
        <v>7.5</v>
      </c>
      <c r="N53" s="102">
        <f t="shared" si="1"/>
        <v>85.4</v>
      </c>
      <c r="O53" s="102">
        <f t="shared" si="2"/>
        <v>700.1</v>
      </c>
      <c r="P53" s="102">
        <f t="shared" si="3"/>
        <v>199.8</v>
      </c>
      <c r="Q53" s="102">
        <f t="shared" si="4"/>
        <v>985.30000000000007</v>
      </c>
    </row>
    <row r="54" spans="1:33">
      <c r="A54" s="102">
        <v>2009</v>
      </c>
      <c r="B54" s="102">
        <v>17.100000000000001</v>
      </c>
      <c r="C54" s="102">
        <v>12.2</v>
      </c>
      <c r="D54" s="102">
        <v>26.1</v>
      </c>
      <c r="E54" s="102">
        <v>136.1</v>
      </c>
      <c r="F54" s="102">
        <v>87.1</v>
      </c>
      <c r="G54" s="102">
        <v>89.4</v>
      </c>
      <c r="H54" s="102">
        <v>102.6</v>
      </c>
      <c r="I54" s="102">
        <v>74.7</v>
      </c>
      <c r="J54" s="102">
        <v>5.9</v>
      </c>
      <c r="K54" s="102">
        <v>54.1</v>
      </c>
      <c r="L54" s="102">
        <v>3</v>
      </c>
      <c r="M54" s="102">
        <v>12.7</v>
      </c>
      <c r="N54" s="102">
        <f t="shared" si="1"/>
        <v>191.5</v>
      </c>
      <c r="O54" s="102">
        <f t="shared" si="2"/>
        <v>359.7</v>
      </c>
      <c r="P54" s="102">
        <f t="shared" si="3"/>
        <v>69.8</v>
      </c>
      <c r="Q54" s="102">
        <f t="shared" si="4"/>
        <v>621.00000000000011</v>
      </c>
    </row>
    <row r="55" spans="1:33">
      <c r="A55" s="102">
        <v>2010</v>
      </c>
      <c r="B55" s="102">
        <v>1.8</v>
      </c>
      <c r="C55" s="102">
        <v>2</v>
      </c>
      <c r="D55" s="102">
        <v>11.4</v>
      </c>
      <c r="E55" s="102">
        <v>44.8</v>
      </c>
      <c r="F55" s="102">
        <v>93.3</v>
      </c>
      <c r="G55" s="102">
        <v>160.5</v>
      </c>
      <c r="H55" s="102">
        <v>166.6</v>
      </c>
      <c r="I55" s="102">
        <v>66.900000000000006</v>
      </c>
      <c r="J55" s="102">
        <v>113.5</v>
      </c>
      <c r="K55" s="102">
        <v>77.7</v>
      </c>
      <c r="L55" s="102">
        <v>23.2</v>
      </c>
      <c r="M55" s="102">
        <v>23.3</v>
      </c>
      <c r="N55" s="102">
        <f t="shared" si="1"/>
        <v>60</v>
      </c>
      <c r="O55" s="102">
        <f t="shared" si="2"/>
        <v>600.79999999999995</v>
      </c>
      <c r="P55" s="102">
        <f t="shared" si="3"/>
        <v>124.2</v>
      </c>
      <c r="Q55" s="102">
        <f t="shared" si="4"/>
        <v>785</v>
      </c>
    </row>
    <row r="56" spans="1:33">
      <c r="A56" s="102">
        <v>2011</v>
      </c>
      <c r="B56" s="102">
        <v>12.5</v>
      </c>
      <c r="C56" s="102">
        <v>2.4</v>
      </c>
      <c r="D56" s="102">
        <v>11.5</v>
      </c>
      <c r="E56" s="102">
        <v>32.200000000000003</v>
      </c>
      <c r="F56" s="102">
        <v>38</v>
      </c>
      <c r="G56" s="102">
        <v>112.5</v>
      </c>
      <c r="H56" s="102">
        <v>51.6</v>
      </c>
      <c r="I56" s="102">
        <v>68.3</v>
      </c>
      <c r="J56" s="102">
        <v>67.900000000000006</v>
      </c>
      <c r="K56" s="102">
        <v>80</v>
      </c>
      <c r="L56" s="102">
        <v>25</v>
      </c>
      <c r="M56" s="102">
        <v>11.9</v>
      </c>
      <c r="N56" s="102">
        <f t="shared" si="1"/>
        <v>58.6</v>
      </c>
      <c r="O56" s="102">
        <f t="shared" si="2"/>
        <v>338.29999999999995</v>
      </c>
      <c r="P56" s="102">
        <f t="shared" si="3"/>
        <v>116.9</v>
      </c>
      <c r="Q56" s="102">
        <f t="shared" si="4"/>
        <v>513.79999999999995</v>
      </c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</row>
    <row r="57" spans="1:33">
      <c r="A57" s="102">
        <v>2012</v>
      </c>
      <c r="B57" s="102">
        <v>10.7</v>
      </c>
      <c r="C57" s="102">
        <v>9.6999999999999993</v>
      </c>
      <c r="D57" s="102">
        <v>13.3</v>
      </c>
      <c r="E57" s="102">
        <v>49.7</v>
      </c>
      <c r="F57" s="102">
        <v>245.1</v>
      </c>
      <c r="G57" s="102">
        <v>180.5</v>
      </c>
      <c r="H57" s="102">
        <v>382.9</v>
      </c>
      <c r="I57" s="102">
        <v>51.6</v>
      </c>
      <c r="J57" s="102">
        <v>96.4</v>
      </c>
      <c r="K57" s="102">
        <v>42.2</v>
      </c>
      <c r="L57" s="102">
        <v>15.5</v>
      </c>
      <c r="M57" s="102">
        <v>5.3</v>
      </c>
      <c r="N57" s="102">
        <f t="shared" si="1"/>
        <v>83.4</v>
      </c>
      <c r="O57" s="102">
        <f t="shared" si="2"/>
        <v>956.5</v>
      </c>
      <c r="P57" s="102">
        <f t="shared" si="3"/>
        <v>63</v>
      </c>
      <c r="Q57" s="102">
        <f t="shared" si="4"/>
        <v>1102.9000000000001</v>
      </c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</row>
    <row r="58" spans="1:33">
      <c r="A58" s="102">
        <v>2013</v>
      </c>
      <c r="B58" s="102">
        <v>1.6</v>
      </c>
      <c r="C58" s="102">
        <v>9.4</v>
      </c>
      <c r="D58" s="102">
        <v>63.8</v>
      </c>
      <c r="E58" s="102">
        <v>42.1</v>
      </c>
      <c r="F58" s="102">
        <v>128.4</v>
      </c>
      <c r="G58" s="102">
        <v>109.4</v>
      </c>
      <c r="H58" s="102">
        <v>20.3</v>
      </c>
      <c r="I58" s="102">
        <v>135.80000000000001</v>
      </c>
      <c r="J58" s="102">
        <v>61.7</v>
      </c>
      <c r="K58" s="102">
        <v>55</v>
      </c>
      <c r="L58" s="102">
        <v>12.4</v>
      </c>
      <c r="M58" s="102">
        <v>14.3</v>
      </c>
      <c r="N58" s="102">
        <f t="shared" si="1"/>
        <v>116.9</v>
      </c>
      <c r="O58" s="102">
        <f t="shared" si="2"/>
        <v>455.6</v>
      </c>
      <c r="P58" s="102">
        <f t="shared" si="3"/>
        <v>81.7</v>
      </c>
      <c r="Q58" s="102">
        <f t="shared" si="4"/>
        <v>654.20000000000005</v>
      </c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</row>
    <row r="59" spans="1:33">
      <c r="A59" s="102">
        <v>2014</v>
      </c>
      <c r="B59" s="128">
        <v>7.8</v>
      </c>
      <c r="C59" s="128">
        <v>24.4</v>
      </c>
      <c r="D59" s="128">
        <v>91.5</v>
      </c>
      <c r="E59" s="128">
        <v>104.8</v>
      </c>
      <c r="F59" s="128">
        <v>119.5</v>
      </c>
      <c r="G59" s="128">
        <v>116.3</v>
      </c>
      <c r="H59" s="128">
        <v>251.6</v>
      </c>
      <c r="I59" s="128">
        <v>130.80000000000001</v>
      </c>
      <c r="J59" s="128">
        <v>91.5</v>
      </c>
      <c r="K59" s="128">
        <v>49.3</v>
      </c>
      <c r="L59" s="128">
        <v>34.9</v>
      </c>
      <c r="M59" s="128">
        <v>8.6999999999999993</v>
      </c>
      <c r="N59" s="102">
        <f t="shared" si="1"/>
        <v>228.5</v>
      </c>
      <c r="O59" s="102">
        <f t="shared" si="2"/>
        <v>709.7</v>
      </c>
      <c r="P59" s="102">
        <f t="shared" si="3"/>
        <v>92.899999999999991</v>
      </c>
      <c r="Q59" s="102">
        <f t="shared" si="4"/>
        <v>1031.0999999999999</v>
      </c>
    </row>
    <row r="60" spans="1:33">
      <c r="A60" s="102">
        <v>2015</v>
      </c>
      <c r="B60" s="128">
        <v>29</v>
      </c>
      <c r="C60" s="128">
        <v>8.5</v>
      </c>
      <c r="D60" s="128">
        <v>21.5</v>
      </c>
      <c r="E60" s="128">
        <v>111</v>
      </c>
      <c r="F60" s="128">
        <v>128.5</v>
      </c>
      <c r="G60" s="128">
        <v>121</v>
      </c>
      <c r="H60" s="128">
        <v>86.5</v>
      </c>
      <c r="I60" s="128">
        <v>125</v>
      </c>
      <c r="J60" s="128">
        <v>114</v>
      </c>
      <c r="K60" s="128">
        <v>76.5</v>
      </c>
      <c r="L60" s="128">
        <v>6.5</v>
      </c>
      <c r="M60" s="128">
        <v>18.5</v>
      </c>
      <c r="N60" s="102">
        <f t="shared" si="1"/>
        <v>170</v>
      </c>
      <c r="O60" s="102">
        <f t="shared" si="2"/>
        <v>575</v>
      </c>
      <c r="P60" s="102">
        <f t="shared" si="3"/>
        <v>101.5</v>
      </c>
      <c r="Q60" s="102">
        <f t="shared" si="4"/>
        <v>846.5</v>
      </c>
    </row>
    <row r="61" spans="1:33">
      <c r="A61" s="102">
        <v>2016</v>
      </c>
      <c r="B61" s="128">
        <v>20.5</v>
      </c>
      <c r="C61" s="128">
        <v>6.5</v>
      </c>
      <c r="D61" s="128">
        <v>53.5</v>
      </c>
      <c r="E61" s="128">
        <v>138.5</v>
      </c>
      <c r="F61" s="128">
        <v>46</v>
      </c>
      <c r="G61" s="128">
        <v>280</v>
      </c>
      <c r="H61" s="128">
        <v>37.5</v>
      </c>
      <c r="I61" s="128">
        <v>133.5</v>
      </c>
      <c r="J61" s="128">
        <v>11</v>
      </c>
      <c r="K61" s="128">
        <v>53.5</v>
      </c>
      <c r="L61" s="128">
        <v>39</v>
      </c>
      <c r="M61" s="128">
        <v>16</v>
      </c>
      <c r="N61" s="102">
        <f>SUM(B61:E61)</f>
        <v>219</v>
      </c>
      <c r="O61" s="102">
        <f>SUM(F61:J61)</f>
        <v>508</v>
      </c>
      <c r="P61" s="102">
        <f>SUM(K61:M61)</f>
        <v>108.5</v>
      </c>
      <c r="Q61" s="102">
        <f>SUM(B61:M61)</f>
        <v>835.5</v>
      </c>
      <c r="R61" s="108">
        <f t="shared" ref="R61:AG61" si="5">100*(B61-B4)/B4</f>
        <v>53.271028037383175</v>
      </c>
      <c r="S61" s="108">
        <f t="shared" si="5"/>
        <v>-49.931224209078394</v>
      </c>
      <c r="T61" s="108">
        <f t="shared" si="5"/>
        <v>132.62675673577144</v>
      </c>
      <c r="U61" s="108">
        <f t="shared" si="5"/>
        <v>86.621751684311789</v>
      </c>
      <c r="V61" s="108">
        <f t="shared" si="5"/>
        <v>-66.14001419595678</v>
      </c>
      <c r="W61" s="108">
        <f t="shared" si="5"/>
        <v>66.922159768352984</v>
      </c>
      <c r="X61" s="108">
        <f t="shared" si="5"/>
        <v>-75.988749013823622</v>
      </c>
      <c r="Y61" s="108">
        <f t="shared" si="5"/>
        <v>5.7321057321057527</v>
      </c>
      <c r="Z61" s="108">
        <f t="shared" si="5"/>
        <v>-88.010665836236583</v>
      </c>
      <c r="AA61" s="108">
        <f t="shared" si="5"/>
        <v>-19.982906895999122</v>
      </c>
      <c r="AB61" s="108">
        <f t="shared" si="5"/>
        <v>30.94310210444268</v>
      </c>
      <c r="AC61" s="108">
        <f t="shared" si="5"/>
        <v>19.117256048923142</v>
      </c>
      <c r="AD61" s="108">
        <f t="shared" si="5"/>
        <v>77.227994624199795</v>
      </c>
      <c r="AE61" s="108">
        <f t="shared" si="5"/>
        <v>-25.049860495996651</v>
      </c>
      <c r="AF61" s="108">
        <f t="shared" si="5"/>
        <v>-1.4324416397644548</v>
      </c>
      <c r="AG61" s="108">
        <f t="shared" si="5"/>
        <v>-8.3309006056022614</v>
      </c>
    </row>
  </sheetData>
  <mergeCells count="6">
    <mergeCell ref="A1:A3"/>
    <mergeCell ref="B2:M2"/>
    <mergeCell ref="B1:Q1"/>
    <mergeCell ref="R1:AG1"/>
    <mergeCell ref="N2:Q2"/>
    <mergeCell ref="R2:AG2"/>
  </mergeCells>
  <phoneticPr fontId="2" type="noConversion"/>
  <pageMargins left="0.75" right="0.75" top="1" bottom="1" header="0.5" footer="0.5"/>
  <headerFooter alignWithMargins="0"/>
</worksheet>
</file>

<file path=xl/worksheets/sheet75.xml><?xml version="1.0" encoding="utf-8"?>
<worksheet xmlns="http://schemas.openxmlformats.org/spreadsheetml/2006/main" xmlns:r="http://schemas.openxmlformats.org/officeDocument/2006/relationships">
  <sheetPr codeName="Sheet75"/>
  <dimension ref="A1:AG53"/>
  <sheetViews>
    <sheetView zoomScaleNormal="100" workbookViewId="0">
      <pane ySplit="5" topLeftCell="A6" activePane="bottomLeft" state="frozen"/>
      <selection pane="bottomLeft" activeCell="R53" sqref="R53"/>
    </sheetView>
  </sheetViews>
  <sheetFormatPr defaultRowHeight="12"/>
  <cols>
    <col min="1" max="77" width="7.125" style="102" customWidth="1"/>
    <col min="78" max="16384" width="9" style="102"/>
  </cols>
  <sheetData>
    <row r="1" spans="1:33" s="118" customFormat="1" ht="14.25" customHeight="1">
      <c r="A1" s="176" t="s">
        <v>53</v>
      </c>
      <c r="B1" s="176" t="s">
        <v>171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2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116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32</v>
      </c>
      <c r="O2" s="176"/>
      <c r="P2" s="176"/>
      <c r="Q2" s="176"/>
      <c r="R2" s="176" t="s">
        <v>38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 ht="24">
      <c r="A3" s="176"/>
      <c r="B3" s="125" t="s">
        <v>149</v>
      </c>
      <c r="C3" s="125" t="s">
        <v>150</v>
      </c>
      <c r="D3" s="125" t="s">
        <v>9</v>
      </c>
      <c r="E3" s="125" t="s">
        <v>10</v>
      </c>
      <c r="F3" s="125" t="s">
        <v>11</v>
      </c>
      <c r="G3" s="125" t="s">
        <v>12</v>
      </c>
      <c r="H3" s="125" t="s">
        <v>13</v>
      </c>
      <c r="I3" s="125" t="s">
        <v>14</v>
      </c>
      <c r="J3" s="125" t="s">
        <v>15</v>
      </c>
      <c r="K3" s="125" t="s">
        <v>16</v>
      </c>
      <c r="L3" s="125" t="s">
        <v>17</v>
      </c>
      <c r="M3" s="125" t="s">
        <v>18</v>
      </c>
      <c r="N3" s="125" t="s">
        <v>145</v>
      </c>
      <c r="O3" s="125" t="s">
        <v>146</v>
      </c>
      <c r="P3" s="125" t="s">
        <v>147</v>
      </c>
      <c r="Q3" s="125" t="s">
        <v>148</v>
      </c>
      <c r="R3" s="125" t="s">
        <v>149</v>
      </c>
      <c r="S3" s="125" t="s">
        <v>150</v>
      </c>
      <c r="T3" s="125" t="s">
        <v>151</v>
      </c>
      <c r="U3" s="125" t="s">
        <v>152</v>
      </c>
      <c r="V3" s="125" t="s">
        <v>153</v>
      </c>
      <c r="W3" s="125" t="s">
        <v>154</v>
      </c>
      <c r="X3" s="125" t="s">
        <v>25</v>
      </c>
      <c r="Y3" s="125" t="s">
        <v>26</v>
      </c>
      <c r="Z3" s="125" t="s">
        <v>27</v>
      </c>
      <c r="AA3" s="125" t="s">
        <v>155</v>
      </c>
      <c r="AB3" s="125" t="s">
        <v>156</v>
      </c>
      <c r="AC3" s="125" t="s">
        <v>157</v>
      </c>
      <c r="AD3" s="125" t="s">
        <v>132</v>
      </c>
      <c r="AE3" s="125" t="s">
        <v>42</v>
      </c>
      <c r="AF3" s="125" t="s">
        <v>91</v>
      </c>
      <c r="AG3" s="125" t="s">
        <v>66</v>
      </c>
    </row>
    <row r="4" spans="1:33" s="118" customFormat="1">
      <c r="A4" s="150" t="s">
        <v>261</v>
      </c>
      <c r="B4" s="150">
        <f t="shared" ref="B4:Q4" si="0">AVERAGE(B5:B52)</f>
        <v>10.9125</v>
      </c>
      <c r="C4" s="150">
        <f t="shared" si="0"/>
        <v>9.2249999999999996</v>
      </c>
      <c r="D4" s="150">
        <f t="shared" si="0"/>
        <v>18.652083333333334</v>
      </c>
      <c r="E4" s="150">
        <f t="shared" si="0"/>
        <v>48.389583333333313</v>
      </c>
      <c r="F4" s="150">
        <f t="shared" si="0"/>
        <v>118.47916666666667</v>
      </c>
      <c r="G4" s="150">
        <f t="shared" si="0"/>
        <v>206.47916666666671</v>
      </c>
      <c r="H4" s="150">
        <f t="shared" si="0"/>
        <v>186.72083333333322</v>
      </c>
      <c r="I4" s="150">
        <f t="shared" si="0"/>
        <v>162.61458333333329</v>
      </c>
      <c r="J4" s="150">
        <f t="shared" si="0"/>
        <v>121.58749999999996</v>
      </c>
      <c r="K4" s="150">
        <f t="shared" si="0"/>
        <v>74.389583333333334</v>
      </c>
      <c r="L4" s="150">
        <f t="shared" si="0"/>
        <v>22.3</v>
      </c>
      <c r="M4" s="150">
        <f t="shared" si="0"/>
        <v>6.8437499999999991</v>
      </c>
      <c r="N4" s="150">
        <f t="shared" si="0"/>
        <v>87.179166666666674</v>
      </c>
      <c r="O4" s="150">
        <f t="shared" si="0"/>
        <v>795.88125000000002</v>
      </c>
      <c r="P4" s="150">
        <f t="shared" si="0"/>
        <v>103.53333333333336</v>
      </c>
      <c r="Q4" s="150">
        <f t="shared" si="0"/>
        <v>986.59375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1968</v>
      </c>
      <c r="B5" s="102">
        <v>5.9</v>
      </c>
      <c r="C5" s="102">
        <v>20.2</v>
      </c>
      <c r="D5" s="102">
        <v>5.5</v>
      </c>
      <c r="E5" s="102">
        <v>89.7</v>
      </c>
      <c r="F5" s="102">
        <v>121.8</v>
      </c>
      <c r="G5" s="102">
        <v>162.30000000000001</v>
      </c>
      <c r="H5" s="102">
        <v>241.5</v>
      </c>
      <c r="I5" s="102">
        <v>194.2</v>
      </c>
      <c r="J5" s="102">
        <v>130.5</v>
      </c>
      <c r="K5" s="102">
        <v>83.2</v>
      </c>
      <c r="L5" s="102">
        <v>16.5</v>
      </c>
      <c r="M5" s="102">
        <v>0</v>
      </c>
      <c r="N5" s="102">
        <f>SUM(B5:E5)</f>
        <v>121.30000000000001</v>
      </c>
      <c r="O5" s="102">
        <f>SUM(F5:J5)</f>
        <v>850.3</v>
      </c>
      <c r="P5" s="102">
        <f>SUM(K5:M5)</f>
        <v>99.7</v>
      </c>
      <c r="Q5" s="102">
        <f>SUM(B5:M5)</f>
        <v>1071.3000000000002</v>
      </c>
    </row>
    <row r="6" spans="1:33">
      <c r="A6" s="102">
        <v>1969</v>
      </c>
      <c r="B6" s="102">
        <v>8.3000000000000007</v>
      </c>
      <c r="C6" s="102">
        <v>0.2</v>
      </c>
      <c r="D6" s="102">
        <v>19.5</v>
      </c>
      <c r="E6" s="102">
        <v>44.2</v>
      </c>
      <c r="F6" s="102">
        <v>33.4</v>
      </c>
      <c r="G6" s="102">
        <v>214</v>
      </c>
      <c r="H6" s="102">
        <v>253.7</v>
      </c>
      <c r="I6" s="102">
        <v>181.5</v>
      </c>
      <c r="J6" s="102">
        <v>100.8</v>
      </c>
      <c r="K6" s="102">
        <v>46.5</v>
      </c>
      <c r="L6" s="102">
        <v>19.899999999999999</v>
      </c>
      <c r="M6" s="102">
        <v>8</v>
      </c>
      <c r="N6" s="102">
        <f t="shared" ref="N6:N52" si="1">SUM(B6:E6)</f>
        <v>72.2</v>
      </c>
      <c r="O6" s="102">
        <f t="shared" ref="O6:O52" si="2">SUM(F6:J6)</f>
        <v>783.4</v>
      </c>
      <c r="P6" s="102">
        <f t="shared" ref="P6:P52" si="3">SUM(K6:M6)</f>
        <v>74.400000000000006</v>
      </c>
      <c r="Q6" s="102">
        <f t="shared" ref="Q6:Q52" si="4">SUM(B6:M6)</f>
        <v>929.99999999999989</v>
      </c>
    </row>
    <row r="7" spans="1:33">
      <c r="A7" s="102">
        <v>1970</v>
      </c>
      <c r="B7" s="102">
        <v>9.6999999999999993</v>
      </c>
      <c r="C7" s="102">
        <v>2.8</v>
      </c>
      <c r="D7" s="102">
        <v>28.8</v>
      </c>
      <c r="E7" s="102">
        <v>81.3</v>
      </c>
      <c r="F7" s="102">
        <v>93.6</v>
      </c>
      <c r="G7" s="102">
        <v>181.5</v>
      </c>
      <c r="H7" s="102">
        <v>267.8</v>
      </c>
      <c r="I7" s="102">
        <v>73.7</v>
      </c>
      <c r="J7" s="102">
        <v>228.9</v>
      </c>
      <c r="K7" s="102">
        <v>72.900000000000006</v>
      </c>
      <c r="L7" s="102">
        <v>51.2</v>
      </c>
      <c r="M7" s="102">
        <v>35.200000000000003</v>
      </c>
      <c r="N7" s="102">
        <f t="shared" si="1"/>
        <v>122.6</v>
      </c>
      <c r="O7" s="102">
        <f t="shared" si="2"/>
        <v>845.50000000000011</v>
      </c>
      <c r="P7" s="102">
        <f t="shared" si="3"/>
        <v>159.30000000000001</v>
      </c>
      <c r="Q7" s="102">
        <f t="shared" si="4"/>
        <v>1127.4000000000001</v>
      </c>
    </row>
    <row r="8" spans="1:33">
      <c r="A8" s="102">
        <v>1971</v>
      </c>
      <c r="B8" s="102">
        <v>8.8000000000000007</v>
      </c>
      <c r="C8" s="102">
        <v>7.3</v>
      </c>
      <c r="D8" s="102">
        <v>19.8</v>
      </c>
      <c r="E8" s="102">
        <v>43</v>
      </c>
      <c r="F8" s="102">
        <v>129.19999999999999</v>
      </c>
      <c r="G8" s="102">
        <v>219.2</v>
      </c>
      <c r="H8" s="102">
        <v>152.6</v>
      </c>
      <c r="I8" s="102">
        <v>176.4</v>
      </c>
      <c r="J8" s="102">
        <v>160.5</v>
      </c>
      <c r="K8" s="102">
        <v>77.599999999999994</v>
      </c>
      <c r="L8" s="102">
        <v>20</v>
      </c>
      <c r="M8" s="102">
        <v>5.4</v>
      </c>
      <c r="N8" s="102">
        <f t="shared" si="1"/>
        <v>78.900000000000006</v>
      </c>
      <c r="O8" s="102">
        <f t="shared" si="2"/>
        <v>837.9</v>
      </c>
      <c r="P8" s="102">
        <f t="shared" si="3"/>
        <v>103</v>
      </c>
      <c r="Q8" s="102">
        <f t="shared" si="4"/>
        <v>1019.8</v>
      </c>
    </row>
    <row r="9" spans="1:33">
      <c r="A9" s="102">
        <v>1972</v>
      </c>
      <c r="B9" s="102">
        <v>8.8000000000000007</v>
      </c>
      <c r="C9" s="102">
        <v>5.4</v>
      </c>
      <c r="D9" s="102">
        <v>18.899999999999999</v>
      </c>
      <c r="E9" s="102">
        <v>50</v>
      </c>
      <c r="F9" s="102">
        <v>250.9</v>
      </c>
      <c r="G9" s="102">
        <v>160.6</v>
      </c>
      <c r="H9" s="102">
        <v>123.4</v>
      </c>
      <c r="I9" s="102">
        <v>54.4</v>
      </c>
      <c r="J9" s="102">
        <v>287.5</v>
      </c>
      <c r="K9" s="102">
        <v>53.5</v>
      </c>
      <c r="L9" s="102">
        <v>53.7</v>
      </c>
      <c r="M9" s="102">
        <v>2.6</v>
      </c>
      <c r="N9" s="102">
        <f t="shared" si="1"/>
        <v>83.1</v>
      </c>
      <c r="O9" s="102">
        <f t="shared" si="2"/>
        <v>876.8</v>
      </c>
      <c r="P9" s="102">
        <f t="shared" si="3"/>
        <v>109.8</v>
      </c>
      <c r="Q9" s="102">
        <f t="shared" si="4"/>
        <v>1069.6999999999998</v>
      </c>
    </row>
    <row r="10" spans="1:33">
      <c r="A10" s="102">
        <v>1973</v>
      </c>
      <c r="B10" s="102">
        <v>5.0999999999999996</v>
      </c>
      <c r="C10" s="102">
        <v>0.5</v>
      </c>
      <c r="D10" s="102">
        <v>16.2</v>
      </c>
      <c r="E10" s="102">
        <v>40.9</v>
      </c>
      <c r="F10" s="102">
        <v>148.5</v>
      </c>
      <c r="G10" s="102">
        <v>185.9</v>
      </c>
      <c r="H10" s="102">
        <v>132.5</v>
      </c>
      <c r="I10" s="102">
        <v>155.19999999999999</v>
      </c>
      <c r="J10" s="102">
        <v>141.6</v>
      </c>
      <c r="K10" s="102">
        <v>31.9</v>
      </c>
      <c r="L10" s="102">
        <v>51.8</v>
      </c>
      <c r="M10" s="102">
        <v>7.1</v>
      </c>
      <c r="N10" s="102">
        <f t="shared" si="1"/>
        <v>62.699999999999996</v>
      </c>
      <c r="O10" s="102">
        <f t="shared" si="2"/>
        <v>763.69999999999993</v>
      </c>
      <c r="P10" s="102">
        <f t="shared" si="3"/>
        <v>90.799999999999983</v>
      </c>
      <c r="Q10" s="102">
        <f t="shared" si="4"/>
        <v>917.19999999999993</v>
      </c>
    </row>
    <row r="11" spans="1:33">
      <c r="A11" s="102">
        <v>1974</v>
      </c>
      <c r="B11" s="102">
        <v>0.7</v>
      </c>
      <c r="C11" s="102">
        <v>1.2</v>
      </c>
      <c r="D11" s="102">
        <v>19.899999999999999</v>
      </c>
      <c r="E11" s="102">
        <v>130.19999999999999</v>
      </c>
      <c r="F11" s="102">
        <v>101.4</v>
      </c>
      <c r="G11" s="102">
        <v>148.6</v>
      </c>
      <c r="H11" s="102">
        <v>153.1</v>
      </c>
      <c r="I11" s="102">
        <v>360.5</v>
      </c>
      <c r="J11" s="102">
        <v>91.4</v>
      </c>
      <c r="K11" s="102">
        <v>81.599999999999994</v>
      </c>
      <c r="L11" s="102">
        <v>14.8</v>
      </c>
      <c r="M11" s="102">
        <v>2.8</v>
      </c>
      <c r="N11" s="102">
        <f t="shared" si="1"/>
        <v>152</v>
      </c>
      <c r="O11" s="102">
        <f t="shared" si="2"/>
        <v>855</v>
      </c>
      <c r="P11" s="102">
        <f t="shared" si="3"/>
        <v>99.199999999999989</v>
      </c>
      <c r="Q11" s="102">
        <f t="shared" si="4"/>
        <v>1106.1999999999998</v>
      </c>
    </row>
    <row r="12" spans="1:33">
      <c r="A12" s="102">
        <v>1975</v>
      </c>
      <c r="B12" s="102">
        <v>20.9</v>
      </c>
      <c r="C12" s="102">
        <v>11.3</v>
      </c>
      <c r="D12" s="102">
        <v>13.2</v>
      </c>
      <c r="E12" s="102">
        <v>29.5</v>
      </c>
      <c r="F12" s="102">
        <v>101.6</v>
      </c>
      <c r="G12" s="102">
        <v>143</v>
      </c>
      <c r="H12" s="102">
        <v>155.19999999999999</v>
      </c>
      <c r="I12" s="102">
        <v>53.3</v>
      </c>
      <c r="J12" s="102">
        <v>154.1</v>
      </c>
      <c r="K12" s="102">
        <v>24.9</v>
      </c>
      <c r="L12" s="102">
        <v>56.5</v>
      </c>
      <c r="M12" s="102">
        <v>2.6</v>
      </c>
      <c r="N12" s="102">
        <f t="shared" si="1"/>
        <v>74.900000000000006</v>
      </c>
      <c r="O12" s="102">
        <f t="shared" si="2"/>
        <v>607.19999999999993</v>
      </c>
      <c r="P12" s="102">
        <f t="shared" si="3"/>
        <v>84</v>
      </c>
      <c r="Q12" s="102">
        <f t="shared" si="4"/>
        <v>766.1</v>
      </c>
    </row>
    <row r="13" spans="1:33">
      <c r="A13" s="102">
        <v>1976</v>
      </c>
      <c r="B13" s="102">
        <v>24.3</v>
      </c>
      <c r="C13" s="102">
        <v>2.1</v>
      </c>
      <c r="D13" s="102">
        <v>12.1</v>
      </c>
      <c r="E13" s="102">
        <v>36.4</v>
      </c>
      <c r="F13" s="102">
        <v>104.7</v>
      </c>
      <c r="G13" s="102">
        <v>249.3</v>
      </c>
      <c r="H13" s="102">
        <v>221.9</v>
      </c>
      <c r="I13" s="102">
        <v>85.5</v>
      </c>
      <c r="J13" s="102">
        <v>123.1</v>
      </c>
      <c r="K13" s="102">
        <v>162.6</v>
      </c>
      <c r="L13" s="102">
        <v>12.7</v>
      </c>
      <c r="M13" s="102">
        <v>4.2</v>
      </c>
      <c r="N13" s="102">
        <f t="shared" si="1"/>
        <v>74.900000000000006</v>
      </c>
      <c r="O13" s="102">
        <f t="shared" si="2"/>
        <v>784.5</v>
      </c>
      <c r="P13" s="102">
        <f t="shared" si="3"/>
        <v>179.49999999999997</v>
      </c>
      <c r="Q13" s="102">
        <f t="shared" si="4"/>
        <v>1038.9000000000001</v>
      </c>
    </row>
    <row r="14" spans="1:33">
      <c r="A14" s="102">
        <v>1977</v>
      </c>
      <c r="B14" s="102">
        <v>6</v>
      </c>
      <c r="C14" s="102">
        <v>19</v>
      </c>
      <c r="D14" s="102">
        <v>13.4</v>
      </c>
      <c r="E14" s="102">
        <v>62.3</v>
      </c>
      <c r="F14" s="102">
        <v>52.7</v>
      </c>
      <c r="G14" s="102">
        <v>228.2</v>
      </c>
      <c r="H14" s="102">
        <v>238.8</v>
      </c>
      <c r="I14" s="102">
        <v>107.4</v>
      </c>
      <c r="J14" s="102">
        <v>143.30000000000001</v>
      </c>
      <c r="K14" s="102">
        <v>139.4</v>
      </c>
      <c r="L14" s="102">
        <v>37.799999999999997</v>
      </c>
      <c r="M14" s="102">
        <v>1</v>
      </c>
      <c r="N14" s="102">
        <f t="shared" si="1"/>
        <v>100.69999999999999</v>
      </c>
      <c r="O14" s="102">
        <f t="shared" si="2"/>
        <v>770.40000000000009</v>
      </c>
      <c r="P14" s="102">
        <f t="shared" si="3"/>
        <v>178.2</v>
      </c>
      <c r="Q14" s="102">
        <f t="shared" si="4"/>
        <v>1049.3</v>
      </c>
    </row>
    <row r="15" spans="1:33">
      <c r="A15" s="102">
        <v>1978</v>
      </c>
      <c r="B15" s="102">
        <v>6.3</v>
      </c>
      <c r="C15" s="102">
        <v>3</v>
      </c>
      <c r="D15" s="102">
        <v>6.7</v>
      </c>
      <c r="E15" s="102">
        <v>60.1</v>
      </c>
      <c r="F15" s="102">
        <v>183.1</v>
      </c>
      <c r="G15" s="102">
        <v>246</v>
      </c>
      <c r="H15" s="102">
        <v>108.6</v>
      </c>
      <c r="I15" s="102">
        <v>239.1</v>
      </c>
      <c r="J15" s="102">
        <v>83.8</v>
      </c>
      <c r="K15" s="102">
        <v>71.599999999999994</v>
      </c>
      <c r="L15" s="102">
        <v>44.4</v>
      </c>
      <c r="M15" s="102">
        <v>0</v>
      </c>
      <c r="N15" s="102">
        <f t="shared" si="1"/>
        <v>76.099999999999994</v>
      </c>
      <c r="O15" s="102">
        <f t="shared" si="2"/>
        <v>860.6</v>
      </c>
      <c r="P15" s="102">
        <f t="shared" si="3"/>
        <v>116</v>
      </c>
      <c r="Q15" s="102">
        <f t="shared" si="4"/>
        <v>1052.7</v>
      </c>
    </row>
    <row r="16" spans="1:33">
      <c r="A16" s="102">
        <v>1979</v>
      </c>
      <c r="B16" s="102">
        <v>0.4</v>
      </c>
      <c r="C16" s="102">
        <v>2.4</v>
      </c>
      <c r="D16" s="102">
        <v>11</v>
      </c>
      <c r="E16" s="102">
        <v>56.8</v>
      </c>
      <c r="F16" s="102">
        <v>30.7</v>
      </c>
      <c r="G16" s="102">
        <v>271.3</v>
      </c>
      <c r="H16" s="102">
        <v>150.9</v>
      </c>
      <c r="I16" s="102">
        <v>302.10000000000002</v>
      </c>
      <c r="J16" s="102">
        <v>114.5</v>
      </c>
      <c r="K16" s="102">
        <v>49.7</v>
      </c>
      <c r="L16" s="102">
        <v>7.4</v>
      </c>
      <c r="M16" s="102">
        <v>28.3</v>
      </c>
      <c r="N16" s="102">
        <f t="shared" si="1"/>
        <v>70.599999999999994</v>
      </c>
      <c r="O16" s="102">
        <f t="shared" si="2"/>
        <v>869.5</v>
      </c>
      <c r="P16" s="102">
        <f t="shared" si="3"/>
        <v>85.4</v>
      </c>
      <c r="Q16" s="102">
        <f t="shared" si="4"/>
        <v>1025.5</v>
      </c>
    </row>
    <row r="17" spans="1:17">
      <c r="A17" s="102">
        <v>1980</v>
      </c>
      <c r="B17" s="102">
        <v>4.9000000000000004</v>
      </c>
      <c r="C17" s="102">
        <v>2.6</v>
      </c>
      <c r="D17" s="102">
        <v>4.4000000000000004</v>
      </c>
      <c r="E17" s="102">
        <v>25.5</v>
      </c>
      <c r="F17" s="102">
        <v>113.2</v>
      </c>
      <c r="G17" s="102">
        <v>219.6</v>
      </c>
      <c r="H17" s="102">
        <v>167.7</v>
      </c>
      <c r="I17" s="102">
        <v>169.2</v>
      </c>
      <c r="J17" s="102">
        <v>88.7</v>
      </c>
      <c r="K17" s="102">
        <v>87.3</v>
      </c>
      <c r="L17" s="102">
        <v>2.9</v>
      </c>
      <c r="M17" s="102">
        <v>9</v>
      </c>
      <c r="N17" s="102">
        <f t="shared" si="1"/>
        <v>37.4</v>
      </c>
      <c r="O17" s="102">
        <f t="shared" si="2"/>
        <v>758.40000000000009</v>
      </c>
      <c r="P17" s="102">
        <f t="shared" si="3"/>
        <v>99.2</v>
      </c>
      <c r="Q17" s="102">
        <f t="shared" si="4"/>
        <v>894.99999999999989</v>
      </c>
    </row>
    <row r="18" spans="1:17">
      <c r="A18" s="102">
        <v>1981</v>
      </c>
      <c r="B18" s="102">
        <v>16.600000000000001</v>
      </c>
      <c r="C18" s="102">
        <v>2.1</v>
      </c>
      <c r="D18" s="102">
        <v>26.6</v>
      </c>
      <c r="E18" s="102">
        <v>36.9</v>
      </c>
      <c r="F18" s="102">
        <v>115.6</v>
      </c>
      <c r="G18" s="102">
        <v>326</v>
      </c>
      <c r="H18" s="102">
        <v>120.6</v>
      </c>
      <c r="I18" s="102">
        <v>218.7</v>
      </c>
      <c r="J18" s="102">
        <v>133</v>
      </c>
      <c r="K18" s="102">
        <v>26.3</v>
      </c>
      <c r="L18" s="102">
        <v>9.1</v>
      </c>
      <c r="M18" s="102">
        <v>6.6</v>
      </c>
      <c r="N18" s="102">
        <f t="shared" si="1"/>
        <v>82.2</v>
      </c>
      <c r="O18" s="102">
        <f t="shared" si="2"/>
        <v>913.90000000000009</v>
      </c>
      <c r="P18" s="102">
        <f t="shared" si="3"/>
        <v>42</v>
      </c>
      <c r="Q18" s="102">
        <f t="shared" si="4"/>
        <v>1038.0999999999997</v>
      </c>
    </row>
    <row r="19" spans="1:17">
      <c r="A19" s="102">
        <v>1982</v>
      </c>
      <c r="B19" s="102">
        <v>5.6</v>
      </c>
      <c r="C19" s="102">
        <v>34.700000000000003</v>
      </c>
      <c r="D19" s="102">
        <v>12.4</v>
      </c>
      <c r="E19" s="102">
        <v>99.5</v>
      </c>
      <c r="F19" s="102">
        <v>225.4</v>
      </c>
      <c r="G19" s="102">
        <v>261.7</v>
      </c>
      <c r="H19" s="102">
        <v>88.4</v>
      </c>
      <c r="I19" s="102">
        <v>133.80000000000001</v>
      </c>
      <c r="J19" s="102">
        <v>146.4</v>
      </c>
      <c r="K19" s="102">
        <v>163.5</v>
      </c>
      <c r="L19" s="102">
        <v>20.8</v>
      </c>
      <c r="M19" s="102">
        <v>5</v>
      </c>
      <c r="N19" s="102">
        <f t="shared" si="1"/>
        <v>152.19999999999999</v>
      </c>
      <c r="O19" s="102">
        <f t="shared" si="2"/>
        <v>855.69999999999993</v>
      </c>
      <c r="P19" s="102">
        <f t="shared" si="3"/>
        <v>189.3</v>
      </c>
      <c r="Q19" s="102">
        <f t="shared" si="4"/>
        <v>1197.2</v>
      </c>
    </row>
    <row r="20" spans="1:17">
      <c r="A20" s="102">
        <v>1983</v>
      </c>
      <c r="B20" s="102">
        <v>51</v>
      </c>
      <c r="C20" s="102">
        <v>21.1</v>
      </c>
      <c r="D20" s="102">
        <v>18.2</v>
      </c>
      <c r="E20" s="102">
        <v>18.600000000000001</v>
      </c>
      <c r="F20" s="102">
        <v>226.1</v>
      </c>
      <c r="G20" s="102">
        <v>219.1</v>
      </c>
      <c r="H20" s="102">
        <v>172.8</v>
      </c>
      <c r="I20" s="102">
        <v>200.1</v>
      </c>
      <c r="J20" s="102">
        <v>171.8</v>
      </c>
      <c r="K20" s="102">
        <v>90.8</v>
      </c>
      <c r="L20" s="102">
        <v>42.9</v>
      </c>
      <c r="M20" s="102">
        <v>12.1</v>
      </c>
      <c r="N20" s="102">
        <f t="shared" si="1"/>
        <v>108.9</v>
      </c>
      <c r="O20" s="102">
        <f t="shared" si="2"/>
        <v>989.90000000000009</v>
      </c>
      <c r="P20" s="102">
        <f t="shared" si="3"/>
        <v>145.79999999999998</v>
      </c>
      <c r="Q20" s="102">
        <f t="shared" si="4"/>
        <v>1244.6000000000001</v>
      </c>
    </row>
    <row r="21" spans="1:17">
      <c r="A21" s="102">
        <v>1984</v>
      </c>
      <c r="B21" s="102">
        <v>6.3</v>
      </c>
      <c r="C21" s="102">
        <v>1.1000000000000001</v>
      </c>
      <c r="D21" s="102">
        <v>16.399999999999999</v>
      </c>
      <c r="E21" s="102">
        <v>73.900000000000006</v>
      </c>
      <c r="F21" s="102">
        <v>247.2</v>
      </c>
      <c r="G21" s="102">
        <v>80.599999999999994</v>
      </c>
      <c r="H21" s="102">
        <v>230.2</v>
      </c>
      <c r="I21" s="102">
        <v>221.4</v>
      </c>
      <c r="J21" s="102">
        <v>112.7</v>
      </c>
      <c r="K21" s="102">
        <v>34.799999999999997</v>
      </c>
      <c r="L21" s="102">
        <v>5.9</v>
      </c>
      <c r="M21" s="102">
        <v>5.6</v>
      </c>
      <c r="N21" s="102">
        <f t="shared" si="1"/>
        <v>97.7</v>
      </c>
      <c r="O21" s="102">
        <f t="shared" si="2"/>
        <v>892.1</v>
      </c>
      <c r="P21" s="102">
        <f t="shared" si="3"/>
        <v>46.3</v>
      </c>
      <c r="Q21" s="102">
        <f t="shared" si="4"/>
        <v>1036.1000000000001</v>
      </c>
    </row>
    <row r="22" spans="1:17">
      <c r="A22" s="102">
        <v>1985</v>
      </c>
      <c r="B22" s="102">
        <v>3.8</v>
      </c>
      <c r="C22" s="102">
        <v>8.1</v>
      </c>
      <c r="D22" s="102">
        <v>6.3</v>
      </c>
      <c r="E22" s="102">
        <v>53.4</v>
      </c>
      <c r="F22" s="102">
        <v>72.3</v>
      </c>
      <c r="G22" s="102">
        <v>541.29999999999995</v>
      </c>
      <c r="H22" s="102">
        <v>241.9</v>
      </c>
      <c r="I22" s="102">
        <v>139.6</v>
      </c>
      <c r="J22" s="102">
        <v>122.2</v>
      </c>
      <c r="K22" s="102">
        <v>39.1</v>
      </c>
      <c r="L22" s="102">
        <v>20.7</v>
      </c>
      <c r="M22" s="102">
        <v>2.7</v>
      </c>
      <c r="N22" s="102">
        <f t="shared" si="1"/>
        <v>71.599999999999994</v>
      </c>
      <c r="O22" s="102">
        <f t="shared" si="2"/>
        <v>1117.3</v>
      </c>
      <c r="P22" s="102">
        <f t="shared" si="3"/>
        <v>62.5</v>
      </c>
      <c r="Q22" s="102">
        <f t="shared" si="4"/>
        <v>1251.3999999999999</v>
      </c>
    </row>
    <row r="23" spans="1:17">
      <c r="A23" s="102">
        <v>1986</v>
      </c>
      <c r="B23" s="102">
        <v>1</v>
      </c>
      <c r="C23" s="102">
        <v>10.8</v>
      </c>
      <c r="D23" s="102">
        <v>14.8</v>
      </c>
      <c r="E23" s="102">
        <v>56.3</v>
      </c>
      <c r="F23" s="102">
        <v>165</v>
      </c>
      <c r="G23" s="102">
        <v>193.8</v>
      </c>
      <c r="H23" s="102">
        <v>335.9</v>
      </c>
      <c r="I23" s="102">
        <v>140</v>
      </c>
      <c r="J23" s="102">
        <v>94.2</v>
      </c>
      <c r="K23" s="102">
        <v>73.8</v>
      </c>
      <c r="L23" s="102">
        <v>21.1</v>
      </c>
      <c r="M23" s="102">
        <v>1.4</v>
      </c>
      <c r="N23" s="102">
        <f t="shared" si="1"/>
        <v>82.9</v>
      </c>
      <c r="O23" s="102">
        <f t="shared" si="2"/>
        <v>928.90000000000009</v>
      </c>
      <c r="P23" s="102">
        <f t="shared" si="3"/>
        <v>96.300000000000011</v>
      </c>
      <c r="Q23" s="102">
        <f t="shared" si="4"/>
        <v>1108.1000000000001</v>
      </c>
    </row>
    <row r="24" spans="1:17">
      <c r="A24" s="102">
        <v>1987</v>
      </c>
      <c r="B24" s="102">
        <v>13.3</v>
      </c>
      <c r="C24" s="102">
        <v>5.6</v>
      </c>
      <c r="D24" s="102">
        <v>9.1999999999999993</v>
      </c>
      <c r="E24" s="102">
        <v>17.2</v>
      </c>
      <c r="F24" s="102">
        <v>80.900000000000006</v>
      </c>
      <c r="G24" s="102">
        <v>245.3</v>
      </c>
      <c r="H24" s="102">
        <v>223</v>
      </c>
      <c r="I24" s="102">
        <v>306.8</v>
      </c>
      <c r="J24" s="102">
        <v>138.6</v>
      </c>
      <c r="K24" s="102">
        <v>22.4</v>
      </c>
      <c r="L24" s="102">
        <v>25.9</v>
      </c>
      <c r="M24" s="102">
        <v>4.7</v>
      </c>
      <c r="N24" s="102">
        <f t="shared" si="1"/>
        <v>45.3</v>
      </c>
      <c r="O24" s="102">
        <f t="shared" si="2"/>
        <v>994.6</v>
      </c>
      <c r="P24" s="102">
        <f t="shared" si="3"/>
        <v>53</v>
      </c>
      <c r="Q24" s="102">
        <f t="shared" si="4"/>
        <v>1092.9000000000001</v>
      </c>
    </row>
    <row r="25" spans="1:17">
      <c r="A25" s="102">
        <v>1988</v>
      </c>
      <c r="B25" s="102">
        <v>1.6</v>
      </c>
      <c r="C25" s="102">
        <v>9.6999999999999993</v>
      </c>
      <c r="D25" s="102">
        <v>2.2000000000000002</v>
      </c>
      <c r="E25" s="102">
        <v>31.3</v>
      </c>
      <c r="F25" s="102">
        <v>114.7</v>
      </c>
      <c r="G25" s="102">
        <v>154.4</v>
      </c>
      <c r="H25" s="102">
        <v>177.2</v>
      </c>
      <c r="I25" s="102">
        <v>107</v>
      </c>
      <c r="J25" s="102">
        <v>97.7</v>
      </c>
      <c r="K25" s="102">
        <v>39.6</v>
      </c>
      <c r="L25" s="102">
        <v>11.2</v>
      </c>
      <c r="M25" s="102">
        <v>1</v>
      </c>
      <c r="N25" s="102">
        <f t="shared" si="1"/>
        <v>44.8</v>
      </c>
      <c r="O25" s="102">
        <f t="shared" si="2"/>
        <v>651</v>
      </c>
      <c r="P25" s="102">
        <f t="shared" si="3"/>
        <v>51.8</v>
      </c>
      <c r="Q25" s="102">
        <f t="shared" si="4"/>
        <v>747.6</v>
      </c>
    </row>
    <row r="26" spans="1:17">
      <c r="A26" s="102">
        <v>1989</v>
      </c>
      <c r="B26" s="102">
        <v>7.8</v>
      </c>
      <c r="C26" s="102">
        <v>6.7</v>
      </c>
      <c r="D26" s="102">
        <v>17.3</v>
      </c>
      <c r="E26" s="102">
        <v>40.799999999999997</v>
      </c>
      <c r="F26" s="102">
        <v>54</v>
      </c>
      <c r="G26" s="102">
        <v>170.1</v>
      </c>
      <c r="H26" s="102">
        <v>57.9</v>
      </c>
      <c r="I26" s="102">
        <v>72.2</v>
      </c>
      <c r="J26" s="102">
        <v>118</v>
      </c>
      <c r="K26" s="102">
        <v>36.4</v>
      </c>
      <c r="L26" s="102">
        <v>11.9</v>
      </c>
      <c r="M26" s="102">
        <v>4.7</v>
      </c>
      <c r="N26" s="102">
        <f t="shared" si="1"/>
        <v>72.599999999999994</v>
      </c>
      <c r="O26" s="102">
        <f t="shared" si="2"/>
        <v>472.2</v>
      </c>
      <c r="P26" s="102">
        <f t="shared" si="3"/>
        <v>53</v>
      </c>
      <c r="Q26" s="102">
        <f t="shared" si="4"/>
        <v>597.79999999999995</v>
      </c>
    </row>
    <row r="27" spans="1:17">
      <c r="A27" s="102">
        <v>1990</v>
      </c>
      <c r="B27" s="102">
        <v>3.4</v>
      </c>
      <c r="C27" s="102">
        <v>4.3</v>
      </c>
      <c r="D27" s="102">
        <v>32.200000000000003</v>
      </c>
      <c r="E27" s="102">
        <v>78.5</v>
      </c>
      <c r="F27" s="102">
        <v>170.7</v>
      </c>
      <c r="G27" s="102">
        <v>127.6</v>
      </c>
      <c r="H27" s="102">
        <v>117.1</v>
      </c>
      <c r="I27" s="102">
        <v>72.099999999999994</v>
      </c>
      <c r="J27" s="102">
        <v>91</v>
      </c>
      <c r="K27" s="102">
        <v>117.4</v>
      </c>
      <c r="L27" s="102">
        <v>26.5</v>
      </c>
      <c r="M27" s="102">
        <v>1.4</v>
      </c>
      <c r="N27" s="102">
        <f t="shared" si="1"/>
        <v>118.4</v>
      </c>
      <c r="O27" s="102">
        <f t="shared" si="2"/>
        <v>578.5</v>
      </c>
      <c r="P27" s="102">
        <f t="shared" si="3"/>
        <v>145.30000000000001</v>
      </c>
      <c r="Q27" s="102">
        <f t="shared" si="4"/>
        <v>842.2</v>
      </c>
    </row>
    <row r="28" spans="1:17">
      <c r="A28" s="102">
        <v>1991</v>
      </c>
      <c r="B28" s="102">
        <v>26</v>
      </c>
      <c r="C28" s="102">
        <v>1.9</v>
      </c>
      <c r="D28" s="102">
        <v>5.8</v>
      </c>
      <c r="E28" s="102">
        <v>17.5</v>
      </c>
      <c r="F28" s="102">
        <v>103.9</v>
      </c>
      <c r="G28" s="102">
        <v>209.5</v>
      </c>
      <c r="H28" s="102">
        <v>517.20000000000005</v>
      </c>
      <c r="I28" s="102">
        <v>187.7</v>
      </c>
      <c r="J28" s="102">
        <v>118.7</v>
      </c>
      <c r="K28" s="102">
        <v>75.900000000000006</v>
      </c>
      <c r="L28" s="102">
        <v>23.1</v>
      </c>
      <c r="M28" s="102">
        <v>3.8</v>
      </c>
      <c r="N28" s="102">
        <f t="shared" si="1"/>
        <v>51.199999999999996</v>
      </c>
      <c r="O28" s="102">
        <f t="shared" si="2"/>
        <v>1137</v>
      </c>
      <c r="P28" s="102">
        <f t="shared" si="3"/>
        <v>102.8</v>
      </c>
      <c r="Q28" s="102">
        <f t="shared" si="4"/>
        <v>1291</v>
      </c>
    </row>
    <row r="29" spans="1:17">
      <c r="A29" s="102">
        <v>1992</v>
      </c>
      <c r="B29" s="102">
        <v>19.5</v>
      </c>
      <c r="C29" s="102">
        <v>24.3</v>
      </c>
      <c r="D29" s="102">
        <v>18.600000000000001</v>
      </c>
      <c r="E29" s="102">
        <v>97.4</v>
      </c>
      <c r="F29" s="102">
        <v>134.1</v>
      </c>
      <c r="G29" s="102">
        <v>284.39999999999998</v>
      </c>
      <c r="H29" s="102">
        <v>181.1</v>
      </c>
      <c r="I29" s="102">
        <v>74.2</v>
      </c>
      <c r="J29" s="102">
        <v>103.5</v>
      </c>
      <c r="K29" s="102">
        <v>99</v>
      </c>
      <c r="L29" s="102">
        <v>8.6999999999999993</v>
      </c>
      <c r="M29" s="102">
        <v>0</v>
      </c>
      <c r="N29" s="102">
        <f t="shared" si="1"/>
        <v>159.80000000000001</v>
      </c>
      <c r="O29" s="102">
        <f t="shared" si="2"/>
        <v>777.30000000000007</v>
      </c>
      <c r="P29" s="102">
        <f t="shared" si="3"/>
        <v>107.7</v>
      </c>
      <c r="Q29" s="102">
        <f t="shared" si="4"/>
        <v>1044.8</v>
      </c>
    </row>
    <row r="30" spans="1:17">
      <c r="A30" s="102">
        <v>1993</v>
      </c>
      <c r="B30" s="102">
        <v>20.9</v>
      </c>
      <c r="C30" s="102">
        <v>31.3</v>
      </c>
      <c r="D30" s="102">
        <v>6.3</v>
      </c>
      <c r="E30" s="102">
        <v>44</v>
      </c>
      <c r="F30" s="102">
        <v>88.4</v>
      </c>
      <c r="G30" s="102">
        <v>207.7</v>
      </c>
      <c r="H30" s="102">
        <v>160.4</v>
      </c>
      <c r="I30" s="102">
        <v>315.60000000000002</v>
      </c>
      <c r="J30" s="102">
        <v>150.9</v>
      </c>
      <c r="K30" s="102">
        <v>26.3</v>
      </c>
      <c r="L30" s="102">
        <v>17.7</v>
      </c>
      <c r="M30" s="102">
        <v>0.4</v>
      </c>
      <c r="N30" s="102">
        <f t="shared" si="1"/>
        <v>102.5</v>
      </c>
      <c r="O30" s="102">
        <f t="shared" si="2"/>
        <v>923</v>
      </c>
      <c r="P30" s="102">
        <f t="shared" si="3"/>
        <v>44.4</v>
      </c>
      <c r="Q30" s="102">
        <f t="shared" si="4"/>
        <v>1069.9000000000001</v>
      </c>
    </row>
    <row r="31" spans="1:17">
      <c r="A31" s="102">
        <v>1994</v>
      </c>
      <c r="B31" s="102">
        <v>2.4</v>
      </c>
      <c r="C31" s="102">
        <v>8.9</v>
      </c>
      <c r="D31" s="102">
        <v>80.2</v>
      </c>
      <c r="E31" s="102">
        <v>11.3</v>
      </c>
      <c r="F31" s="102">
        <v>105.4</v>
      </c>
      <c r="G31" s="102">
        <v>172.1</v>
      </c>
      <c r="H31" s="102">
        <v>77.099999999999994</v>
      </c>
      <c r="I31" s="102">
        <v>121.2</v>
      </c>
      <c r="J31" s="102">
        <v>196.8</v>
      </c>
      <c r="K31" s="102">
        <v>69.7</v>
      </c>
      <c r="L31" s="102">
        <v>53</v>
      </c>
      <c r="M31" s="102">
        <v>4.5999999999999996</v>
      </c>
      <c r="N31" s="102">
        <f t="shared" si="1"/>
        <v>102.8</v>
      </c>
      <c r="O31" s="102">
        <f t="shared" si="2"/>
        <v>672.6</v>
      </c>
      <c r="P31" s="102">
        <f t="shared" si="3"/>
        <v>127.3</v>
      </c>
      <c r="Q31" s="102">
        <f t="shared" si="4"/>
        <v>902.70000000000016</v>
      </c>
    </row>
    <row r="32" spans="1:17">
      <c r="A32" s="102">
        <v>1995</v>
      </c>
      <c r="B32" s="102">
        <v>18.7</v>
      </c>
      <c r="C32" s="102">
        <v>25.2</v>
      </c>
      <c r="D32" s="102">
        <v>9.4</v>
      </c>
      <c r="E32" s="102">
        <v>13.6</v>
      </c>
      <c r="F32" s="102">
        <v>69.8</v>
      </c>
      <c r="G32" s="102">
        <v>206.4</v>
      </c>
      <c r="H32" s="102">
        <v>216.1</v>
      </c>
      <c r="I32" s="102">
        <v>143</v>
      </c>
      <c r="J32" s="102">
        <v>222.8</v>
      </c>
      <c r="K32" s="102">
        <v>79.2</v>
      </c>
      <c r="L32" s="102">
        <v>53.2</v>
      </c>
      <c r="M32" s="102">
        <v>2.9</v>
      </c>
      <c r="N32" s="102">
        <f t="shared" si="1"/>
        <v>66.899999999999991</v>
      </c>
      <c r="O32" s="102">
        <f t="shared" si="2"/>
        <v>858.09999999999991</v>
      </c>
      <c r="P32" s="102">
        <f t="shared" si="3"/>
        <v>135.30000000000001</v>
      </c>
      <c r="Q32" s="102">
        <f t="shared" si="4"/>
        <v>1060.3000000000002</v>
      </c>
    </row>
    <row r="33" spans="1:31">
      <c r="A33" s="102">
        <v>1996</v>
      </c>
      <c r="B33" s="102">
        <v>1.5</v>
      </c>
      <c r="C33" s="102">
        <v>14</v>
      </c>
      <c r="D33" s="102">
        <v>24.1</v>
      </c>
      <c r="E33" s="102">
        <v>66.5</v>
      </c>
      <c r="F33" s="102">
        <v>189.2</v>
      </c>
      <c r="G33" s="102">
        <v>228</v>
      </c>
      <c r="H33" s="102">
        <v>195.4</v>
      </c>
      <c r="I33" s="102">
        <v>180.7</v>
      </c>
      <c r="J33" s="102">
        <v>102.3</v>
      </c>
      <c r="K33" s="102">
        <v>46.7</v>
      </c>
      <c r="L33" s="102">
        <v>49.7</v>
      </c>
      <c r="M33" s="102">
        <v>1.7</v>
      </c>
      <c r="N33" s="102">
        <f t="shared" si="1"/>
        <v>106.1</v>
      </c>
      <c r="O33" s="102">
        <f t="shared" si="2"/>
        <v>895.59999999999991</v>
      </c>
      <c r="P33" s="102">
        <f t="shared" si="3"/>
        <v>98.100000000000009</v>
      </c>
      <c r="Q33" s="102">
        <f t="shared" si="4"/>
        <v>1099.8</v>
      </c>
    </row>
    <row r="34" spans="1:31">
      <c r="A34" s="102">
        <v>1997</v>
      </c>
      <c r="B34" s="102">
        <v>16.2</v>
      </c>
      <c r="C34" s="102">
        <v>28.4</v>
      </c>
      <c r="D34" s="102">
        <v>29.7</v>
      </c>
      <c r="E34" s="102">
        <v>31.3</v>
      </c>
      <c r="F34" s="102">
        <v>84.5</v>
      </c>
      <c r="G34" s="102">
        <v>284.5</v>
      </c>
      <c r="H34" s="102">
        <v>269.89999999999998</v>
      </c>
      <c r="I34" s="102">
        <v>59</v>
      </c>
      <c r="J34" s="102">
        <v>284.3</v>
      </c>
      <c r="K34" s="102">
        <v>111.7</v>
      </c>
      <c r="L34" s="102">
        <v>1.1000000000000001</v>
      </c>
      <c r="M34" s="102">
        <v>2.2000000000000002</v>
      </c>
      <c r="N34" s="102">
        <f t="shared" si="1"/>
        <v>105.6</v>
      </c>
      <c r="O34" s="102">
        <f t="shared" si="2"/>
        <v>982.2</v>
      </c>
      <c r="P34" s="102">
        <f t="shared" si="3"/>
        <v>115</v>
      </c>
      <c r="Q34" s="102">
        <f t="shared" si="4"/>
        <v>1202.8</v>
      </c>
    </row>
    <row r="35" spans="1:31">
      <c r="A35" s="102">
        <v>1998</v>
      </c>
      <c r="B35" s="102">
        <v>10.5</v>
      </c>
      <c r="C35" s="102">
        <v>6.1</v>
      </c>
      <c r="D35" s="102">
        <v>16.3</v>
      </c>
      <c r="E35" s="102">
        <v>30.7</v>
      </c>
      <c r="F35" s="102">
        <v>151.19999999999999</v>
      </c>
      <c r="G35" s="102">
        <v>208.1</v>
      </c>
      <c r="H35" s="102">
        <v>342</v>
      </c>
      <c r="I35" s="102">
        <v>164.4</v>
      </c>
      <c r="J35" s="102">
        <v>68.7</v>
      </c>
      <c r="K35" s="102">
        <v>44.9</v>
      </c>
      <c r="L35" s="102">
        <v>32.799999999999997</v>
      </c>
      <c r="M35" s="102">
        <v>1.7</v>
      </c>
      <c r="N35" s="102">
        <f t="shared" si="1"/>
        <v>63.600000000000009</v>
      </c>
      <c r="O35" s="102">
        <f t="shared" si="2"/>
        <v>934.4</v>
      </c>
      <c r="P35" s="102">
        <f t="shared" si="3"/>
        <v>79.399999999999991</v>
      </c>
      <c r="Q35" s="102">
        <f t="shared" si="4"/>
        <v>1077.4000000000001</v>
      </c>
    </row>
    <row r="36" spans="1:31">
      <c r="A36" s="102">
        <v>1999</v>
      </c>
      <c r="B36" s="102">
        <v>22.9</v>
      </c>
      <c r="C36" s="102">
        <v>3</v>
      </c>
      <c r="D36" s="102">
        <v>7.6</v>
      </c>
      <c r="E36" s="102">
        <v>90.2</v>
      </c>
      <c r="F36" s="102">
        <v>117</v>
      </c>
      <c r="G36" s="102">
        <v>249.9</v>
      </c>
      <c r="H36" s="102">
        <v>176.7</v>
      </c>
      <c r="I36" s="102">
        <v>148.9</v>
      </c>
      <c r="J36" s="102">
        <v>64</v>
      </c>
      <c r="K36" s="102">
        <v>36.1</v>
      </c>
      <c r="L36" s="102">
        <v>23.7</v>
      </c>
      <c r="M36" s="102">
        <v>2.8</v>
      </c>
      <c r="N36" s="102">
        <f t="shared" si="1"/>
        <v>123.7</v>
      </c>
      <c r="O36" s="102">
        <f t="shared" si="2"/>
        <v>756.49999999999989</v>
      </c>
      <c r="P36" s="102">
        <f t="shared" si="3"/>
        <v>62.599999999999994</v>
      </c>
      <c r="Q36" s="102">
        <f t="shared" si="4"/>
        <v>942.8</v>
      </c>
    </row>
    <row r="37" spans="1:31">
      <c r="A37" s="102">
        <v>2000</v>
      </c>
      <c r="B37" s="102">
        <v>14.7</v>
      </c>
      <c r="C37" s="102">
        <v>13.3</v>
      </c>
      <c r="D37" s="102">
        <v>24.9</v>
      </c>
      <c r="E37" s="102">
        <v>81.599999999999994</v>
      </c>
      <c r="F37" s="102">
        <v>102.9</v>
      </c>
      <c r="G37" s="102">
        <v>236.2</v>
      </c>
      <c r="H37" s="102">
        <v>215.9</v>
      </c>
      <c r="I37" s="102">
        <v>158.69999999999999</v>
      </c>
      <c r="J37" s="102">
        <v>78.3</v>
      </c>
      <c r="K37" s="102">
        <v>76.8</v>
      </c>
      <c r="L37" s="102">
        <v>5.9</v>
      </c>
      <c r="M37" s="102">
        <v>5.3</v>
      </c>
      <c r="N37" s="102">
        <f t="shared" si="1"/>
        <v>134.5</v>
      </c>
      <c r="O37" s="102">
        <f t="shared" si="2"/>
        <v>792</v>
      </c>
      <c r="P37" s="102">
        <f t="shared" si="3"/>
        <v>88</v>
      </c>
      <c r="Q37" s="102">
        <f t="shared" si="4"/>
        <v>1014.4999999999999</v>
      </c>
    </row>
    <row r="38" spans="1:31">
      <c r="A38" s="102">
        <v>2001</v>
      </c>
      <c r="B38" s="102">
        <v>2.8</v>
      </c>
      <c r="C38" s="102">
        <v>4.9000000000000004</v>
      </c>
      <c r="D38" s="102">
        <v>15.5</v>
      </c>
      <c r="E38" s="102">
        <v>11.7</v>
      </c>
      <c r="F38" s="102">
        <v>134</v>
      </c>
      <c r="G38" s="102">
        <v>255.2</v>
      </c>
      <c r="H38" s="102">
        <v>193.7</v>
      </c>
      <c r="I38" s="102">
        <v>145.4</v>
      </c>
      <c r="J38" s="102">
        <v>62.7</v>
      </c>
      <c r="K38" s="102">
        <v>138.1</v>
      </c>
      <c r="L38" s="102">
        <v>14.9</v>
      </c>
      <c r="M38" s="102">
        <v>0.8</v>
      </c>
      <c r="N38" s="102">
        <f t="shared" si="1"/>
        <v>34.9</v>
      </c>
      <c r="O38" s="102">
        <f t="shared" si="2"/>
        <v>791</v>
      </c>
      <c r="P38" s="102">
        <f t="shared" si="3"/>
        <v>153.80000000000001</v>
      </c>
      <c r="Q38" s="102">
        <f t="shared" si="4"/>
        <v>979.69999999999993</v>
      </c>
    </row>
    <row r="39" spans="1:31">
      <c r="A39" s="102">
        <v>2002</v>
      </c>
      <c r="B39" s="102">
        <v>11.7</v>
      </c>
      <c r="C39" s="102">
        <v>17.399999999999999</v>
      </c>
      <c r="D39" s="102">
        <v>25</v>
      </c>
      <c r="E39" s="102">
        <v>2.6</v>
      </c>
      <c r="F39" s="102">
        <v>137.30000000000001</v>
      </c>
      <c r="G39" s="102">
        <v>136.1</v>
      </c>
      <c r="H39" s="102">
        <v>210.9</v>
      </c>
      <c r="I39" s="102">
        <v>212.8</v>
      </c>
      <c r="J39" s="102">
        <v>30.4</v>
      </c>
      <c r="K39" s="102">
        <v>66.3</v>
      </c>
      <c r="L39" s="102">
        <v>5.5</v>
      </c>
      <c r="M39" s="102">
        <v>5.2</v>
      </c>
      <c r="N39" s="102">
        <f t="shared" si="1"/>
        <v>56.699999999999996</v>
      </c>
      <c r="O39" s="102">
        <f t="shared" si="2"/>
        <v>727.49999999999989</v>
      </c>
      <c r="P39" s="102">
        <f t="shared" si="3"/>
        <v>77</v>
      </c>
      <c r="Q39" s="102">
        <f t="shared" si="4"/>
        <v>861.19999999999993</v>
      </c>
    </row>
    <row r="40" spans="1:31">
      <c r="A40" s="102">
        <v>2003</v>
      </c>
      <c r="B40" s="102">
        <v>10.9</v>
      </c>
      <c r="C40" s="102">
        <v>3.1</v>
      </c>
      <c r="D40" s="102">
        <v>21.6</v>
      </c>
      <c r="E40" s="102">
        <v>18.100000000000001</v>
      </c>
      <c r="F40" s="102">
        <v>104</v>
      </c>
      <c r="G40" s="102">
        <v>288.60000000000002</v>
      </c>
      <c r="H40" s="102">
        <v>242.9</v>
      </c>
      <c r="I40" s="102">
        <v>110.7</v>
      </c>
      <c r="J40" s="102">
        <v>110.4</v>
      </c>
      <c r="K40" s="102">
        <v>46.6</v>
      </c>
      <c r="L40" s="102">
        <v>4.9000000000000004</v>
      </c>
      <c r="M40" s="102">
        <v>36.1</v>
      </c>
      <c r="N40" s="102">
        <f t="shared" si="1"/>
        <v>53.7</v>
      </c>
      <c r="O40" s="102">
        <f t="shared" si="2"/>
        <v>856.6</v>
      </c>
      <c r="P40" s="102">
        <f t="shared" si="3"/>
        <v>87.6</v>
      </c>
      <c r="Q40" s="102">
        <f t="shared" si="4"/>
        <v>997.90000000000009</v>
      </c>
    </row>
    <row r="41" spans="1:31">
      <c r="A41" s="102">
        <v>2004</v>
      </c>
      <c r="B41" s="103">
        <v>16</v>
      </c>
      <c r="C41" s="103">
        <v>10</v>
      </c>
      <c r="D41" s="103">
        <v>19</v>
      </c>
      <c r="E41" s="103">
        <v>82</v>
      </c>
      <c r="F41" s="103">
        <v>133</v>
      </c>
      <c r="G41" s="103">
        <v>152</v>
      </c>
      <c r="H41" s="103">
        <v>203</v>
      </c>
      <c r="I41" s="103">
        <v>285</v>
      </c>
      <c r="J41" s="103">
        <v>115</v>
      </c>
      <c r="K41" s="103">
        <v>18</v>
      </c>
      <c r="L41" s="103">
        <v>18</v>
      </c>
      <c r="M41" s="103">
        <v>8</v>
      </c>
      <c r="N41" s="102">
        <f t="shared" si="1"/>
        <v>127</v>
      </c>
      <c r="O41" s="102">
        <f t="shared" si="2"/>
        <v>888</v>
      </c>
      <c r="P41" s="102">
        <f t="shared" si="3"/>
        <v>44</v>
      </c>
      <c r="Q41" s="102">
        <f t="shared" si="4"/>
        <v>1059</v>
      </c>
    </row>
    <row r="42" spans="1:31">
      <c r="A42" s="102">
        <v>2005</v>
      </c>
      <c r="B42" s="103">
        <v>15.8</v>
      </c>
      <c r="C42" s="103">
        <v>1.9</v>
      </c>
      <c r="D42" s="103">
        <v>22.1</v>
      </c>
      <c r="E42" s="103">
        <v>63.1</v>
      </c>
      <c r="F42" s="103">
        <v>115.3</v>
      </c>
      <c r="G42" s="103">
        <v>172.5</v>
      </c>
      <c r="H42" s="103">
        <v>198.8</v>
      </c>
      <c r="I42" s="103">
        <v>123.9</v>
      </c>
      <c r="J42" s="103">
        <v>130</v>
      </c>
      <c r="K42" s="102">
        <v>59.4</v>
      </c>
      <c r="L42" s="102">
        <v>8.8000000000000007</v>
      </c>
      <c r="M42" s="102">
        <v>16.3</v>
      </c>
      <c r="N42" s="102">
        <f t="shared" si="1"/>
        <v>102.9</v>
      </c>
      <c r="O42" s="102">
        <f t="shared" si="2"/>
        <v>740.5</v>
      </c>
      <c r="P42" s="102">
        <f t="shared" si="3"/>
        <v>84.5</v>
      </c>
      <c r="Q42" s="102">
        <f t="shared" si="4"/>
        <v>927.89999999999986</v>
      </c>
    </row>
    <row r="43" spans="1:31">
      <c r="A43" s="102">
        <v>2006</v>
      </c>
      <c r="B43" s="102">
        <v>2.1</v>
      </c>
      <c r="C43" s="102">
        <v>11.2</v>
      </c>
      <c r="D43" s="102">
        <v>7.5</v>
      </c>
      <c r="E43" s="102">
        <v>17.8</v>
      </c>
      <c r="F43" s="102">
        <v>71.5</v>
      </c>
      <c r="G43" s="102">
        <v>126.2</v>
      </c>
      <c r="H43" s="102">
        <v>66.400000000000006</v>
      </c>
      <c r="I43" s="102">
        <v>108.6</v>
      </c>
      <c r="J43" s="102">
        <v>95.6</v>
      </c>
      <c r="K43" s="102">
        <v>225.5</v>
      </c>
      <c r="L43" s="102">
        <v>8.4</v>
      </c>
      <c r="M43" s="102">
        <v>7.6</v>
      </c>
      <c r="N43" s="102">
        <f t="shared" si="1"/>
        <v>38.599999999999994</v>
      </c>
      <c r="O43" s="102">
        <f t="shared" si="2"/>
        <v>468.30000000000007</v>
      </c>
      <c r="P43" s="102">
        <f t="shared" si="3"/>
        <v>241.5</v>
      </c>
      <c r="Q43" s="102">
        <f t="shared" si="4"/>
        <v>748.40000000000009</v>
      </c>
    </row>
    <row r="44" spans="1:31">
      <c r="A44" s="102">
        <v>2007</v>
      </c>
      <c r="B44" s="102">
        <v>19.100000000000001</v>
      </c>
      <c r="C44" s="102">
        <v>6.1</v>
      </c>
      <c r="D44" s="102">
        <v>3.7</v>
      </c>
      <c r="E44" s="102">
        <v>46.5</v>
      </c>
      <c r="F44" s="102">
        <v>171.4</v>
      </c>
      <c r="G44" s="102">
        <v>235.6</v>
      </c>
      <c r="H44" s="102">
        <v>160.4</v>
      </c>
      <c r="I44" s="102">
        <v>201.6</v>
      </c>
      <c r="J44" s="102">
        <v>100.4</v>
      </c>
      <c r="K44" s="102">
        <v>39</v>
      </c>
      <c r="L44" s="102">
        <v>9.1999999999999993</v>
      </c>
      <c r="M44" s="102">
        <v>10.5</v>
      </c>
      <c r="N44" s="102">
        <f t="shared" si="1"/>
        <v>75.400000000000006</v>
      </c>
      <c r="O44" s="102">
        <f t="shared" si="2"/>
        <v>869.4</v>
      </c>
      <c r="P44" s="102">
        <f t="shared" si="3"/>
        <v>58.7</v>
      </c>
      <c r="Q44" s="102">
        <f t="shared" si="4"/>
        <v>1003.5</v>
      </c>
    </row>
    <row r="45" spans="1:31">
      <c r="A45" s="102">
        <v>2008</v>
      </c>
      <c r="B45" s="102">
        <v>4.9000000000000004</v>
      </c>
      <c r="C45" s="102">
        <v>19.100000000000001</v>
      </c>
      <c r="D45" s="102">
        <v>49.2</v>
      </c>
      <c r="E45" s="102">
        <v>31.8</v>
      </c>
      <c r="F45" s="102">
        <v>163.69999999999999</v>
      </c>
      <c r="G45" s="102">
        <v>209.1</v>
      </c>
      <c r="H45" s="102">
        <v>210.6</v>
      </c>
      <c r="I45" s="102">
        <v>201.5</v>
      </c>
      <c r="J45" s="102">
        <v>108.5</v>
      </c>
      <c r="K45" s="102">
        <v>171</v>
      </c>
      <c r="L45" s="102">
        <v>55.9</v>
      </c>
      <c r="M45" s="102">
        <v>7.5</v>
      </c>
      <c r="N45" s="102">
        <f t="shared" si="1"/>
        <v>105</v>
      </c>
      <c r="O45" s="102">
        <f t="shared" si="2"/>
        <v>893.4</v>
      </c>
      <c r="P45" s="102">
        <f t="shared" si="3"/>
        <v>234.4</v>
      </c>
      <c r="Q45" s="102">
        <f t="shared" si="4"/>
        <v>1232.8000000000002</v>
      </c>
    </row>
    <row r="46" spans="1:31">
      <c r="A46" s="102">
        <v>2009</v>
      </c>
      <c r="B46" s="102">
        <v>6.3</v>
      </c>
      <c r="C46" s="102">
        <v>3.1</v>
      </c>
      <c r="D46" s="102">
        <v>19.100000000000001</v>
      </c>
      <c r="E46" s="102">
        <v>68.099999999999994</v>
      </c>
      <c r="F46" s="102">
        <v>110</v>
      </c>
      <c r="G46" s="102">
        <v>218.5</v>
      </c>
      <c r="H46" s="102">
        <v>173.2</v>
      </c>
      <c r="I46" s="102">
        <v>172.8</v>
      </c>
      <c r="J46" s="102">
        <v>15.9</v>
      </c>
      <c r="K46" s="102">
        <v>55.6</v>
      </c>
      <c r="L46" s="102">
        <v>2</v>
      </c>
      <c r="M46" s="102">
        <v>7.4</v>
      </c>
      <c r="N46" s="102">
        <f t="shared" si="1"/>
        <v>96.6</v>
      </c>
      <c r="O46" s="102">
        <f t="shared" si="2"/>
        <v>690.4</v>
      </c>
      <c r="P46" s="102">
        <f t="shared" si="3"/>
        <v>65</v>
      </c>
      <c r="Q46" s="102">
        <f t="shared" si="4"/>
        <v>851.99999999999989</v>
      </c>
    </row>
    <row r="47" spans="1:31">
      <c r="A47" s="102">
        <v>2010</v>
      </c>
      <c r="B47" s="102">
        <v>0.5</v>
      </c>
      <c r="C47" s="102">
        <v>1.4</v>
      </c>
      <c r="D47" s="102">
        <v>0</v>
      </c>
      <c r="E47" s="102">
        <v>40</v>
      </c>
      <c r="F47" s="102">
        <v>75.2</v>
      </c>
      <c r="G47" s="102">
        <v>180.1</v>
      </c>
      <c r="H47" s="102">
        <v>130.9</v>
      </c>
      <c r="I47" s="102">
        <v>135.30000000000001</v>
      </c>
      <c r="J47" s="102">
        <v>44.4</v>
      </c>
      <c r="K47" s="102">
        <v>91.3</v>
      </c>
      <c r="L47" s="102">
        <v>17.3</v>
      </c>
      <c r="M47" s="102">
        <v>5.5</v>
      </c>
      <c r="N47" s="102">
        <f t="shared" si="1"/>
        <v>41.9</v>
      </c>
      <c r="O47" s="102">
        <f t="shared" si="2"/>
        <v>565.9</v>
      </c>
      <c r="P47" s="102">
        <f t="shared" si="3"/>
        <v>114.1</v>
      </c>
      <c r="Q47" s="102">
        <f t="shared" si="4"/>
        <v>721.9</v>
      </c>
    </row>
    <row r="48" spans="1:31">
      <c r="A48" s="102">
        <v>2011</v>
      </c>
      <c r="B48" s="102">
        <v>19.399999999999999</v>
      </c>
      <c r="C48" s="102">
        <v>1.3</v>
      </c>
      <c r="D48" s="102">
        <v>8.9</v>
      </c>
      <c r="E48" s="102">
        <v>40.6</v>
      </c>
      <c r="F48" s="102">
        <v>19.100000000000001</v>
      </c>
      <c r="G48" s="102">
        <v>261.60000000000002</v>
      </c>
      <c r="H48" s="102">
        <v>130.80000000000001</v>
      </c>
      <c r="I48" s="102">
        <v>177</v>
      </c>
      <c r="J48" s="102">
        <v>125.3</v>
      </c>
      <c r="K48" s="102">
        <v>58.2</v>
      </c>
      <c r="L48" s="102">
        <v>27.6</v>
      </c>
      <c r="M48" s="102">
        <v>4.3</v>
      </c>
      <c r="N48" s="102">
        <f t="shared" si="1"/>
        <v>70.2</v>
      </c>
      <c r="O48" s="102">
        <f t="shared" si="2"/>
        <v>713.8</v>
      </c>
      <c r="P48" s="102">
        <f t="shared" si="3"/>
        <v>90.100000000000009</v>
      </c>
      <c r="Q48" s="102">
        <f t="shared" si="4"/>
        <v>874.1</v>
      </c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</row>
    <row r="49" spans="1:33">
      <c r="A49" s="102">
        <v>2012</v>
      </c>
      <c r="B49" s="102">
        <v>6.4</v>
      </c>
      <c r="C49" s="102">
        <v>0.9</v>
      </c>
      <c r="D49" s="102">
        <v>6.9</v>
      </c>
      <c r="E49" s="102">
        <v>7.7</v>
      </c>
      <c r="F49" s="102">
        <v>46.3</v>
      </c>
      <c r="G49" s="102">
        <v>44.3</v>
      </c>
      <c r="H49" s="102">
        <v>50.3</v>
      </c>
      <c r="I49" s="102">
        <v>83.9</v>
      </c>
      <c r="J49" s="102">
        <v>33</v>
      </c>
      <c r="K49" s="102">
        <v>36.1</v>
      </c>
      <c r="L49" s="102">
        <v>2.8</v>
      </c>
      <c r="M49" s="102">
        <v>0.7</v>
      </c>
      <c r="N49" s="102">
        <f t="shared" si="1"/>
        <v>21.900000000000002</v>
      </c>
      <c r="O49" s="102">
        <f t="shared" si="2"/>
        <v>257.79999999999995</v>
      </c>
      <c r="P49" s="102">
        <f t="shared" si="3"/>
        <v>39.6</v>
      </c>
      <c r="Q49" s="102">
        <f t="shared" si="4"/>
        <v>319.30000000000007</v>
      </c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  <c r="AD49" s="104"/>
      <c r="AE49" s="104"/>
      <c r="AF49" s="104"/>
      <c r="AG49" s="104"/>
    </row>
    <row r="50" spans="1:33">
      <c r="A50" s="102">
        <v>2013</v>
      </c>
      <c r="B50" s="102">
        <v>2.7</v>
      </c>
      <c r="C50" s="102">
        <v>0.3</v>
      </c>
      <c r="D50" s="102">
        <v>22.6</v>
      </c>
      <c r="E50" s="102">
        <v>44.2</v>
      </c>
      <c r="F50" s="102">
        <v>138.30000000000001</v>
      </c>
      <c r="G50" s="102">
        <v>113.5</v>
      </c>
      <c r="H50" s="102">
        <v>86.6</v>
      </c>
      <c r="I50" s="102">
        <v>166.4</v>
      </c>
      <c r="J50" s="102">
        <v>90.4</v>
      </c>
      <c r="K50" s="102">
        <v>60.6</v>
      </c>
      <c r="L50" s="102">
        <v>11.4</v>
      </c>
      <c r="M50" s="102">
        <v>16.100000000000001</v>
      </c>
      <c r="N50" s="102">
        <f t="shared" si="1"/>
        <v>69.800000000000011</v>
      </c>
      <c r="O50" s="102">
        <f t="shared" si="2"/>
        <v>595.19999999999993</v>
      </c>
      <c r="P50" s="102">
        <f t="shared" si="3"/>
        <v>88.1</v>
      </c>
      <c r="Q50" s="102">
        <f t="shared" si="4"/>
        <v>753.1</v>
      </c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</row>
    <row r="51" spans="1:33">
      <c r="A51" s="102">
        <v>2014</v>
      </c>
      <c r="B51" s="128">
        <v>3.3</v>
      </c>
      <c r="C51" s="128">
        <v>17.8</v>
      </c>
      <c r="D51" s="128">
        <v>81</v>
      </c>
      <c r="E51" s="128">
        <v>48.5</v>
      </c>
      <c r="F51" s="128">
        <v>106.9</v>
      </c>
      <c r="G51" s="128">
        <v>124.5</v>
      </c>
      <c r="H51" s="128">
        <v>335.8</v>
      </c>
      <c r="I51" s="128">
        <v>181.3</v>
      </c>
      <c r="J51" s="128">
        <v>162.1</v>
      </c>
      <c r="K51" s="128">
        <v>77.7</v>
      </c>
      <c r="L51" s="128">
        <v>27.2</v>
      </c>
      <c r="M51" s="128">
        <v>6</v>
      </c>
      <c r="N51" s="102">
        <f t="shared" si="1"/>
        <v>150.6</v>
      </c>
      <c r="O51" s="102">
        <f t="shared" si="2"/>
        <v>910.6</v>
      </c>
      <c r="P51" s="102">
        <f t="shared" si="3"/>
        <v>110.9</v>
      </c>
      <c r="Q51" s="102">
        <f t="shared" si="4"/>
        <v>1172.0999999999999</v>
      </c>
    </row>
    <row r="52" spans="1:33">
      <c r="A52" s="102">
        <v>2015</v>
      </c>
      <c r="B52" s="128">
        <v>28.1</v>
      </c>
      <c r="C52" s="128">
        <v>5.7</v>
      </c>
      <c r="D52" s="128">
        <v>25.3</v>
      </c>
      <c r="E52" s="128">
        <v>59.6</v>
      </c>
      <c r="F52" s="128">
        <v>77.900000000000006</v>
      </c>
      <c r="G52" s="128">
        <v>157</v>
      </c>
      <c r="H52" s="128">
        <v>83.8</v>
      </c>
      <c r="I52" s="128">
        <v>181.7</v>
      </c>
      <c r="J52" s="128">
        <v>147.5</v>
      </c>
      <c r="K52" s="128">
        <v>134.19999999999999</v>
      </c>
      <c r="L52" s="128">
        <v>2</v>
      </c>
      <c r="M52" s="128">
        <v>19.7</v>
      </c>
      <c r="N52" s="102">
        <f t="shared" si="1"/>
        <v>118.70000000000002</v>
      </c>
      <c r="O52" s="102">
        <f t="shared" si="2"/>
        <v>647.9</v>
      </c>
      <c r="P52" s="102">
        <f t="shared" si="3"/>
        <v>155.89999999999998</v>
      </c>
      <c r="Q52" s="102">
        <f t="shared" si="4"/>
        <v>922.5</v>
      </c>
    </row>
    <row r="53" spans="1:33">
      <c r="A53" s="102">
        <v>2016</v>
      </c>
      <c r="B53" s="128">
        <v>5.9</v>
      </c>
      <c r="C53" s="128">
        <v>8.6</v>
      </c>
      <c r="D53" s="128">
        <v>36.799999999999997</v>
      </c>
      <c r="E53" s="128">
        <v>146.19999999999999</v>
      </c>
      <c r="F53" s="128">
        <v>145.9</v>
      </c>
      <c r="G53" s="128">
        <v>273.89999999999998</v>
      </c>
      <c r="H53" s="128">
        <v>91.1</v>
      </c>
      <c r="I53" s="128">
        <v>187.2</v>
      </c>
      <c r="J53" s="128">
        <v>82.1</v>
      </c>
      <c r="K53" s="128">
        <v>67.2</v>
      </c>
      <c r="L53" s="128">
        <v>44.7</v>
      </c>
      <c r="M53" s="128">
        <v>3.8</v>
      </c>
      <c r="N53" s="102">
        <f>SUM(B53:E53)</f>
        <v>197.5</v>
      </c>
      <c r="O53" s="102">
        <f>SUM(F53:J53)</f>
        <v>780.19999999999993</v>
      </c>
      <c r="P53" s="102">
        <f>SUM(K53:M53)</f>
        <v>115.7</v>
      </c>
      <c r="Q53" s="102">
        <f>SUM(B53:M53)</f>
        <v>1093.3999999999999</v>
      </c>
      <c r="R53" s="108">
        <f t="shared" ref="R53:AG53" si="5">100*(B53-B4)/B4</f>
        <v>-45.933562428407782</v>
      </c>
      <c r="S53" s="108">
        <f t="shared" si="5"/>
        <v>-6.7750677506775068</v>
      </c>
      <c r="T53" s="108">
        <f t="shared" si="5"/>
        <v>97.296995420529413</v>
      </c>
      <c r="U53" s="108">
        <f t="shared" si="5"/>
        <v>202.13114048305857</v>
      </c>
      <c r="V53" s="108">
        <f t="shared" si="5"/>
        <v>23.144012660453665</v>
      </c>
      <c r="W53" s="108">
        <f t="shared" si="5"/>
        <v>32.652608213096521</v>
      </c>
      <c r="X53" s="108">
        <f t="shared" si="5"/>
        <v>-51.210586213821855</v>
      </c>
      <c r="Y53" s="108">
        <f t="shared" si="5"/>
        <v>15.118826468515817</v>
      </c>
      <c r="Z53" s="108">
        <f t="shared" si="5"/>
        <v>-32.476611493780183</v>
      </c>
      <c r="AA53" s="108">
        <f t="shared" si="5"/>
        <v>-9.6647716134091333</v>
      </c>
      <c r="AB53" s="108">
        <f t="shared" si="5"/>
        <v>100.44843049327353</v>
      </c>
      <c r="AC53" s="108">
        <f t="shared" si="5"/>
        <v>-44.474885844748854</v>
      </c>
      <c r="AD53" s="108">
        <f t="shared" si="5"/>
        <v>126.54495053290634</v>
      </c>
      <c r="AE53" s="108">
        <f t="shared" si="5"/>
        <v>-1.9703002175261812</v>
      </c>
      <c r="AF53" s="108">
        <f t="shared" si="5"/>
        <v>11.751448808757218</v>
      </c>
      <c r="AG53" s="108">
        <f t="shared" si="5"/>
        <v>10.825757815716941</v>
      </c>
    </row>
  </sheetData>
  <mergeCells count="6">
    <mergeCell ref="A1:A3"/>
    <mergeCell ref="B2:M2"/>
    <mergeCell ref="B1:Q1"/>
    <mergeCell ref="R1:AG1"/>
    <mergeCell ref="N2:Q2"/>
    <mergeCell ref="R2:AG2"/>
  </mergeCells>
  <phoneticPr fontId="2" type="noConversion"/>
  <pageMargins left="0.75" right="0.75" top="1" bottom="1" header="0.5" footer="0.5"/>
  <headerFooter alignWithMargins="0"/>
</worksheet>
</file>

<file path=xl/worksheets/sheet76.xml><?xml version="1.0" encoding="utf-8"?>
<worksheet xmlns="http://schemas.openxmlformats.org/spreadsheetml/2006/main" xmlns:r="http://schemas.openxmlformats.org/officeDocument/2006/relationships">
  <sheetPr codeName="Sheet76"/>
  <dimension ref="A1:AG30"/>
  <sheetViews>
    <sheetView zoomScale="85" zoomScaleNormal="85" workbookViewId="0">
      <pane ySplit="5" topLeftCell="A6" activePane="bottomLeft" state="frozen"/>
      <selection pane="bottomLeft" activeCell="R30" sqref="R30"/>
    </sheetView>
  </sheetViews>
  <sheetFormatPr defaultRowHeight="12"/>
  <cols>
    <col min="1" max="77" width="7.125" style="102" customWidth="1"/>
    <col min="78" max="16384" width="9" style="102"/>
  </cols>
  <sheetData>
    <row r="1" spans="1:33" s="118" customFormat="1" ht="14.25" customHeight="1">
      <c r="A1" s="176" t="s">
        <v>53</v>
      </c>
      <c r="B1" s="176" t="s">
        <v>171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2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116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32</v>
      </c>
      <c r="O2" s="176"/>
      <c r="P2" s="176"/>
      <c r="Q2" s="176"/>
      <c r="R2" s="176" t="s">
        <v>38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 ht="24">
      <c r="A3" s="176"/>
      <c r="B3" s="125" t="s">
        <v>149</v>
      </c>
      <c r="C3" s="125" t="s">
        <v>150</v>
      </c>
      <c r="D3" s="125" t="s">
        <v>9</v>
      </c>
      <c r="E3" s="125" t="s">
        <v>10</v>
      </c>
      <c r="F3" s="125" t="s">
        <v>11</v>
      </c>
      <c r="G3" s="125" t="s">
        <v>12</v>
      </c>
      <c r="H3" s="125" t="s">
        <v>13</v>
      </c>
      <c r="I3" s="125" t="s">
        <v>14</v>
      </c>
      <c r="J3" s="125" t="s">
        <v>15</v>
      </c>
      <c r="K3" s="125" t="s">
        <v>16</v>
      </c>
      <c r="L3" s="125" t="s">
        <v>17</v>
      </c>
      <c r="M3" s="125" t="s">
        <v>18</v>
      </c>
      <c r="N3" s="125" t="s">
        <v>145</v>
      </c>
      <c r="O3" s="125" t="s">
        <v>146</v>
      </c>
      <c r="P3" s="125" t="s">
        <v>147</v>
      </c>
      <c r="Q3" s="125" t="s">
        <v>148</v>
      </c>
      <c r="R3" s="125" t="s">
        <v>149</v>
      </c>
      <c r="S3" s="125" t="s">
        <v>150</v>
      </c>
      <c r="T3" s="125" t="s">
        <v>151</v>
      </c>
      <c r="U3" s="125" t="s">
        <v>152</v>
      </c>
      <c r="V3" s="125" t="s">
        <v>153</v>
      </c>
      <c r="W3" s="125" t="s">
        <v>154</v>
      </c>
      <c r="X3" s="125" t="s">
        <v>25</v>
      </c>
      <c r="Y3" s="125" t="s">
        <v>26</v>
      </c>
      <c r="Z3" s="125" t="s">
        <v>27</v>
      </c>
      <c r="AA3" s="125" t="s">
        <v>155</v>
      </c>
      <c r="AB3" s="125" t="s">
        <v>156</v>
      </c>
      <c r="AC3" s="125" t="s">
        <v>157</v>
      </c>
      <c r="AD3" s="125" t="s">
        <v>132</v>
      </c>
      <c r="AE3" s="125" t="s">
        <v>42</v>
      </c>
      <c r="AF3" s="125" t="s">
        <v>91</v>
      </c>
      <c r="AG3" s="125" t="s">
        <v>66</v>
      </c>
    </row>
    <row r="4" spans="1:33" s="118" customFormat="1">
      <c r="A4" s="150" t="s">
        <v>261</v>
      </c>
      <c r="B4" s="150">
        <f t="shared" ref="B4:Q4" si="0">AVERAGE(B5:B29)</f>
        <v>17.064</v>
      </c>
      <c r="C4" s="150">
        <f t="shared" si="0"/>
        <v>13.836000000000004</v>
      </c>
      <c r="D4" s="150">
        <f t="shared" si="0"/>
        <v>31.795999999999999</v>
      </c>
      <c r="E4" s="150">
        <f t="shared" si="0"/>
        <v>60.727999999999994</v>
      </c>
      <c r="F4" s="150">
        <f t="shared" si="0"/>
        <v>158.97999999999996</v>
      </c>
      <c r="G4" s="150">
        <f t="shared" si="0"/>
        <v>292.26399999999995</v>
      </c>
      <c r="H4" s="150">
        <f t="shared" si="0"/>
        <v>249.84799999999998</v>
      </c>
      <c r="I4" s="150">
        <f t="shared" si="0"/>
        <v>178.90400000000005</v>
      </c>
      <c r="J4" s="150">
        <f t="shared" si="0"/>
        <v>118.18799999999997</v>
      </c>
      <c r="K4" s="150">
        <f t="shared" si="0"/>
        <v>96.77600000000001</v>
      </c>
      <c r="L4" s="150">
        <f t="shared" si="0"/>
        <v>30.616</v>
      </c>
      <c r="M4" s="150">
        <f t="shared" si="0"/>
        <v>14.472000000000001</v>
      </c>
      <c r="N4" s="150">
        <f t="shared" si="0"/>
        <v>123.42399999999999</v>
      </c>
      <c r="O4" s="150">
        <f t="shared" si="0"/>
        <v>998.1840000000002</v>
      </c>
      <c r="P4" s="150">
        <f t="shared" si="0"/>
        <v>141.86400000000006</v>
      </c>
      <c r="Q4" s="150">
        <f t="shared" si="0"/>
        <v>1263.472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1991</v>
      </c>
      <c r="B5" s="102">
        <v>36.1</v>
      </c>
      <c r="C5" s="102">
        <v>7.9</v>
      </c>
      <c r="D5" s="102">
        <v>17.899999999999999</v>
      </c>
      <c r="E5" s="102">
        <v>31.1</v>
      </c>
      <c r="F5" s="102">
        <v>127.4</v>
      </c>
      <c r="G5" s="102">
        <v>370.2</v>
      </c>
      <c r="H5" s="102">
        <v>517.20000000000005</v>
      </c>
      <c r="I5" s="102">
        <v>287.89999999999998</v>
      </c>
      <c r="J5" s="102">
        <v>130</v>
      </c>
      <c r="K5" s="102">
        <v>72.3</v>
      </c>
      <c r="L5" s="102">
        <v>52.4</v>
      </c>
      <c r="M5" s="102">
        <v>12.9</v>
      </c>
      <c r="N5" s="102">
        <f>SUM(B5:E5)</f>
        <v>93</v>
      </c>
      <c r="O5" s="102">
        <f>SUM(F5:J5)</f>
        <v>1432.7</v>
      </c>
      <c r="P5" s="102">
        <f>SUM(K5:M5)</f>
        <v>137.6</v>
      </c>
      <c r="Q5" s="102">
        <f>SUM(B5:M5)</f>
        <v>1663.3000000000004</v>
      </c>
    </row>
    <row r="6" spans="1:33">
      <c r="A6" s="102">
        <v>1992</v>
      </c>
      <c r="B6" s="102">
        <v>9.1999999999999993</v>
      </c>
      <c r="C6" s="102">
        <v>36.5</v>
      </c>
      <c r="D6" s="102">
        <v>22.7</v>
      </c>
      <c r="E6" s="102">
        <v>95.2</v>
      </c>
      <c r="F6" s="102">
        <v>184.6</v>
      </c>
      <c r="G6" s="102">
        <v>306.7</v>
      </c>
      <c r="H6" s="102">
        <v>290.5</v>
      </c>
      <c r="I6" s="102">
        <v>64.2</v>
      </c>
      <c r="J6" s="102">
        <v>83.7</v>
      </c>
      <c r="K6" s="102">
        <v>133.4</v>
      </c>
      <c r="L6" s="102">
        <v>7.2</v>
      </c>
      <c r="M6" s="102">
        <v>6</v>
      </c>
      <c r="N6" s="102">
        <f t="shared" ref="N6:N29" si="1">SUM(B6:E6)</f>
        <v>163.60000000000002</v>
      </c>
      <c r="O6" s="102">
        <f t="shared" ref="O6:O29" si="2">SUM(F6:J6)</f>
        <v>929.7</v>
      </c>
      <c r="P6" s="102">
        <f t="shared" ref="P6:P29" si="3">SUM(K6:M6)</f>
        <v>146.6</v>
      </c>
      <c r="Q6" s="102">
        <f t="shared" ref="Q6:Q29" si="4">SUM(B6:M6)</f>
        <v>1239.9000000000003</v>
      </c>
    </row>
    <row r="7" spans="1:33">
      <c r="A7" s="102">
        <v>1993</v>
      </c>
      <c r="B7" s="102">
        <v>16.899999999999999</v>
      </c>
      <c r="C7" s="102">
        <v>23.7</v>
      </c>
      <c r="D7" s="102">
        <v>3.5</v>
      </c>
      <c r="E7" s="102">
        <v>32.700000000000003</v>
      </c>
      <c r="F7" s="102">
        <v>96.9</v>
      </c>
      <c r="G7" s="102">
        <v>173.5</v>
      </c>
      <c r="H7" s="102">
        <v>202.2</v>
      </c>
      <c r="I7" s="102">
        <v>219.3</v>
      </c>
      <c r="J7" s="102">
        <v>181.6</v>
      </c>
      <c r="K7" s="102">
        <v>31.6</v>
      </c>
      <c r="L7" s="102">
        <v>44.9</v>
      </c>
      <c r="M7" s="102">
        <v>3.3</v>
      </c>
      <c r="N7" s="102">
        <f t="shared" si="1"/>
        <v>76.8</v>
      </c>
      <c r="O7" s="102">
        <f t="shared" si="2"/>
        <v>873.5</v>
      </c>
      <c r="P7" s="102">
        <f t="shared" si="3"/>
        <v>79.8</v>
      </c>
      <c r="Q7" s="102">
        <f t="shared" si="4"/>
        <v>1030.1000000000001</v>
      </c>
    </row>
    <row r="8" spans="1:33">
      <c r="A8" s="102">
        <v>1994</v>
      </c>
      <c r="B8" s="102">
        <v>8.6</v>
      </c>
      <c r="C8" s="102">
        <v>3.8</v>
      </c>
      <c r="D8" s="102">
        <v>76.099999999999994</v>
      </c>
      <c r="E8" s="102">
        <v>26.7</v>
      </c>
      <c r="F8" s="102">
        <v>160.30000000000001</v>
      </c>
      <c r="G8" s="102">
        <v>344.9</v>
      </c>
      <c r="H8" s="102">
        <v>175.1</v>
      </c>
      <c r="I8" s="102">
        <v>162.80000000000001</v>
      </c>
      <c r="J8" s="102">
        <v>190.4</v>
      </c>
      <c r="K8" s="102">
        <v>81.900000000000006</v>
      </c>
      <c r="L8" s="102">
        <v>91.4</v>
      </c>
      <c r="M8" s="102">
        <v>25.1</v>
      </c>
      <c r="N8" s="102">
        <f t="shared" si="1"/>
        <v>115.2</v>
      </c>
      <c r="O8" s="102">
        <f t="shared" si="2"/>
        <v>1033.5</v>
      </c>
      <c r="P8" s="102">
        <f t="shared" si="3"/>
        <v>198.4</v>
      </c>
      <c r="Q8" s="102">
        <f t="shared" si="4"/>
        <v>1347.1000000000001</v>
      </c>
    </row>
    <row r="9" spans="1:33">
      <c r="A9" s="102">
        <v>1995</v>
      </c>
      <c r="B9" s="102">
        <v>21.7</v>
      </c>
      <c r="C9" s="102">
        <v>28.4</v>
      </c>
      <c r="D9" s="102">
        <v>17.7</v>
      </c>
      <c r="E9" s="102">
        <v>19.100000000000001</v>
      </c>
      <c r="F9" s="102">
        <v>182.2</v>
      </c>
      <c r="G9" s="102">
        <v>339.4</v>
      </c>
      <c r="H9" s="102">
        <v>330.6</v>
      </c>
      <c r="I9" s="102">
        <v>273</v>
      </c>
      <c r="J9" s="102">
        <v>199.6</v>
      </c>
      <c r="K9" s="102">
        <v>156.30000000000001</v>
      </c>
      <c r="L9" s="102">
        <v>41.6</v>
      </c>
      <c r="M9" s="102">
        <v>2.2999999999999998</v>
      </c>
      <c r="N9" s="102">
        <f t="shared" si="1"/>
        <v>86.9</v>
      </c>
      <c r="O9" s="102">
        <f t="shared" si="2"/>
        <v>1324.7999999999997</v>
      </c>
      <c r="P9" s="102">
        <f t="shared" si="3"/>
        <v>200.20000000000002</v>
      </c>
      <c r="Q9" s="102">
        <f t="shared" si="4"/>
        <v>1611.8999999999996</v>
      </c>
    </row>
    <row r="10" spans="1:33">
      <c r="A10" s="102">
        <v>1996</v>
      </c>
      <c r="B10" s="102">
        <v>4</v>
      </c>
      <c r="C10" s="102">
        <v>0.9</v>
      </c>
      <c r="D10" s="102">
        <v>32.200000000000003</v>
      </c>
      <c r="E10" s="102">
        <v>56.7</v>
      </c>
      <c r="F10" s="102">
        <v>233.3</v>
      </c>
      <c r="G10" s="102">
        <v>319.7</v>
      </c>
      <c r="H10" s="102">
        <v>320</v>
      </c>
      <c r="I10" s="102">
        <v>112.6</v>
      </c>
      <c r="J10" s="102">
        <v>85.5</v>
      </c>
      <c r="K10" s="102">
        <v>65.3</v>
      </c>
      <c r="L10" s="102">
        <v>86.6</v>
      </c>
      <c r="M10" s="102">
        <v>8</v>
      </c>
      <c r="N10" s="102">
        <f t="shared" si="1"/>
        <v>93.800000000000011</v>
      </c>
      <c r="O10" s="102">
        <f t="shared" si="2"/>
        <v>1071.0999999999999</v>
      </c>
      <c r="P10" s="102">
        <f t="shared" si="3"/>
        <v>159.89999999999998</v>
      </c>
      <c r="Q10" s="102">
        <f t="shared" si="4"/>
        <v>1324.7999999999997</v>
      </c>
    </row>
    <row r="11" spans="1:33">
      <c r="A11" s="102">
        <v>1997</v>
      </c>
      <c r="B11" s="102">
        <v>39</v>
      </c>
      <c r="C11" s="102">
        <v>20.5</v>
      </c>
      <c r="D11" s="102">
        <v>54.7</v>
      </c>
      <c r="E11" s="102">
        <v>133.6</v>
      </c>
      <c r="F11" s="102">
        <v>95.3</v>
      </c>
      <c r="G11" s="102">
        <v>315.60000000000002</v>
      </c>
      <c r="H11" s="102">
        <v>309.5</v>
      </c>
      <c r="I11" s="102">
        <v>101.8</v>
      </c>
      <c r="J11" s="102">
        <v>214.5</v>
      </c>
      <c r="K11" s="102">
        <v>107.6</v>
      </c>
      <c r="L11" s="102">
        <v>13.3</v>
      </c>
      <c r="M11" s="102">
        <v>1.8</v>
      </c>
      <c r="N11" s="102">
        <f t="shared" si="1"/>
        <v>247.8</v>
      </c>
      <c r="O11" s="102">
        <f t="shared" si="2"/>
        <v>1036.7</v>
      </c>
      <c r="P11" s="102">
        <f t="shared" si="3"/>
        <v>122.69999999999999</v>
      </c>
      <c r="Q11" s="102">
        <f t="shared" si="4"/>
        <v>1407.1999999999998</v>
      </c>
    </row>
    <row r="12" spans="1:33">
      <c r="A12" s="102">
        <v>1998</v>
      </c>
      <c r="B12" s="102">
        <v>17.899999999999999</v>
      </c>
      <c r="C12" s="102">
        <v>0</v>
      </c>
      <c r="D12" s="102">
        <v>0</v>
      </c>
      <c r="E12" s="102">
        <v>99.2</v>
      </c>
      <c r="F12" s="102">
        <v>182.5</v>
      </c>
      <c r="G12" s="102">
        <v>422.1</v>
      </c>
      <c r="H12" s="102">
        <v>181.6</v>
      </c>
      <c r="I12" s="102">
        <v>324.8</v>
      </c>
      <c r="J12" s="102">
        <v>27.6</v>
      </c>
      <c r="K12" s="102">
        <v>128.30000000000001</v>
      </c>
      <c r="L12" s="102">
        <v>16.899999999999999</v>
      </c>
      <c r="M12" s="102">
        <v>9.9</v>
      </c>
      <c r="N12" s="102">
        <f t="shared" si="1"/>
        <v>117.1</v>
      </c>
      <c r="O12" s="102">
        <f t="shared" si="2"/>
        <v>1138.5999999999999</v>
      </c>
      <c r="P12" s="102">
        <f t="shared" si="3"/>
        <v>155.10000000000002</v>
      </c>
      <c r="Q12" s="102">
        <f t="shared" si="4"/>
        <v>1410.8000000000002</v>
      </c>
    </row>
    <row r="13" spans="1:33">
      <c r="A13" s="102">
        <v>1999</v>
      </c>
      <c r="B13" s="102">
        <v>18.2</v>
      </c>
      <c r="C13" s="102">
        <v>3.7</v>
      </c>
      <c r="D13" s="102">
        <v>21.1</v>
      </c>
      <c r="E13" s="102">
        <v>1</v>
      </c>
      <c r="F13" s="102">
        <v>99.9</v>
      </c>
      <c r="G13" s="102">
        <v>385.8</v>
      </c>
      <c r="H13" s="102">
        <v>382.9</v>
      </c>
      <c r="I13" s="102">
        <v>136.80000000000001</v>
      </c>
      <c r="J13" s="102">
        <v>39.5</v>
      </c>
      <c r="K13" s="102">
        <v>89.9</v>
      </c>
      <c r="L13" s="102">
        <v>33.4</v>
      </c>
      <c r="M13" s="102">
        <v>1.6</v>
      </c>
      <c r="N13" s="102">
        <f t="shared" si="1"/>
        <v>44</v>
      </c>
      <c r="O13" s="102">
        <f t="shared" si="2"/>
        <v>1044.9000000000001</v>
      </c>
      <c r="P13" s="102">
        <f t="shared" si="3"/>
        <v>124.9</v>
      </c>
      <c r="Q13" s="102">
        <f t="shared" si="4"/>
        <v>1213.8000000000002</v>
      </c>
    </row>
    <row r="14" spans="1:33">
      <c r="A14" s="102">
        <v>2000</v>
      </c>
      <c r="B14" s="102">
        <v>19.600000000000001</v>
      </c>
      <c r="C14" s="102">
        <v>12.7</v>
      </c>
      <c r="D14" s="102">
        <v>25.8</v>
      </c>
      <c r="E14" s="102">
        <v>68.3</v>
      </c>
      <c r="F14" s="102">
        <v>78.5</v>
      </c>
      <c r="G14" s="102">
        <v>397</v>
      </c>
      <c r="H14" s="102">
        <v>226.5</v>
      </c>
      <c r="I14" s="102">
        <v>195.9</v>
      </c>
      <c r="J14" s="102">
        <v>76.5</v>
      </c>
      <c r="K14" s="102">
        <v>90.7</v>
      </c>
      <c r="L14" s="102">
        <v>22.6</v>
      </c>
      <c r="M14" s="102">
        <v>13.4</v>
      </c>
      <c r="N14" s="102">
        <f t="shared" si="1"/>
        <v>126.39999999999999</v>
      </c>
      <c r="O14" s="102">
        <f t="shared" si="2"/>
        <v>974.4</v>
      </c>
      <c r="P14" s="102">
        <f t="shared" si="3"/>
        <v>126.70000000000002</v>
      </c>
      <c r="Q14" s="102">
        <f t="shared" si="4"/>
        <v>1227.5</v>
      </c>
    </row>
    <row r="15" spans="1:33">
      <c r="A15" s="102">
        <v>2001</v>
      </c>
      <c r="B15" s="102">
        <v>4</v>
      </c>
      <c r="C15" s="102">
        <v>8.5</v>
      </c>
      <c r="D15" s="102">
        <v>25.3</v>
      </c>
      <c r="E15" s="102">
        <v>14.9</v>
      </c>
      <c r="F15" s="102">
        <v>195.3</v>
      </c>
      <c r="G15" s="102">
        <v>409.8</v>
      </c>
      <c r="H15" s="102">
        <v>265.3</v>
      </c>
      <c r="I15" s="102">
        <v>201.9</v>
      </c>
      <c r="J15" s="102">
        <v>89.3</v>
      </c>
      <c r="K15" s="102">
        <v>138.30000000000001</v>
      </c>
      <c r="L15" s="102">
        <v>12.8</v>
      </c>
      <c r="M15" s="102">
        <v>4</v>
      </c>
      <c r="N15" s="102">
        <f t="shared" si="1"/>
        <v>52.699999999999996</v>
      </c>
      <c r="O15" s="102">
        <f t="shared" si="2"/>
        <v>1161.6000000000001</v>
      </c>
      <c r="P15" s="102">
        <f t="shared" si="3"/>
        <v>155.10000000000002</v>
      </c>
      <c r="Q15" s="102">
        <f t="shared" si="4"/>
        <v>1369.3999999999999</v>
      </c>
    </row>
    <row r="16" spans="1:33">
      <c r="A16" s="102">
        <v>2002</v>
      </c>
      <c r="B16" s="102">
        <v>7.1</v>
      </c>
      <c r="C16" s="102">
        <v>49.4</v>
      </c>
      <c r="D16" s="102">
        <v>83.7</v>
      </c>
      <c r="E16" s="102">
        <v>16.8</v>
      </c>
      <c r="F16" s="102">
        <v>273</v>
      </c>
      <c r="G16" s="102">
        <v>207</v>
      </c>
      <c r="H16" s="102">
        <v>184.3</v>
      </c>
      <c r="I16" s="102">
        <v>229.5</v>
      </c>
      <c r="J16" s="102">
        <v>21.3</v>
      </c>
      <c r="K16" s="102">
        <v>66.099999999999994</v>
      </c>
      <c r="L16" s="102">
        <v>10.4</v>
      </c>
      <c r="M16" s="102">
        <v>12.5</v>
      </c>
      <c r="N16" s="102">
        <f t="shared" si="1"/>
        <v>157</v>
      </c>
      <c r="O16" s="102">
        <f t="shared" si="2"/>
        <v>915.09999999999991</v>
      </c>
      <c r="P16" s="102">
        <f t="shared" si="3"/>
        <v>89</v>
      </c>
      <c r="Q16" s="102">
        <f t="shared" si="4"/>
        <v>1161.0999999999999</v>
      </c>
    </row>
    <row r="17" spans="1:33">
      <c r="A17" s="102">
        <v>2003</v>
      </c>
      <c r="B17" s="102">
        <v>10</v>
      </c>
      <c r="C17" s="102">
        <v>0</v>
      </c>
      <c r="D17" s="102">
        <v>21.6</v>
      </c>
      <c r="E17" s="102">
        <v>149.5</v>
      </c>
      <c r="F17" s="102">
        <v>110.4</v>
      </c>
      <c r="G17" s="102">
        <v>200.4</v>
      </c>
      <c r="H17" s="102">
        <v>255</v>
      </c>
      <c r="I17" s="102">
        <v>139.4</v>
      </c>
      <c r="J17" s="102">
        <v>90.3</v>
      </c>
      <c r="K17" s="102">
        <v>44.7</v>
      </c>
      <c r="L17" s="102">
        <v>14.2</v>
      </c>
      <c r="M17" s="102">
        <v>45.3</v>
      </c>
      <c r="N17" s="102">
        <f t="shared" si="1"/>
        <v>181.1</v>
      </c>
      <c r="O17" s="102">
        <f t="shared" si="2"/>
        <v>795.49999999999989</v>
      </c>
      <c r="P17" s="102">
        <f t="shared" si="3"/>
        <v>104.2</v>
      </c>
      <c r="Q17" s="102">
        <f t="shared" si="4"/>
        <v>1080.8</v>
      </c>
    </row>
    <row r="18" spans="1:33">
      <c r="A18" s="102">
        <v>2004</v>
      </c>
      <c r="B18" s="103">
        <v>47.3</v>
      </c>
      <c r="C18" s="103">
        <v>32.200000000000003</v>
      </c>
      <c r="D18" s="103">
        <v>8.4</v>
      </c>
      <c r="E18" s="103">
        <v>70.2</v>
      </c>
      <c r="F18" s="103">
        <v>316.10000000000002</v>
      </c>
      <c r="G18" s="103">
        <v>96.3</v>
      </c>
      <c r="H18" s="103">
        <v>209.2</v>
      </c>
      <c r="I18" s="103">
        <v>100.9</v>
      </c>
      <c r="J18" s="103">
        <v>122.5</v>
      </c>
      <c r="K18" s="103">
        <v>25.4</v>
      </c>
      <c r="L18" s="103">
        <v>45.6</v>
      </c>
      <c r="M18" s="103">
        <v>6.4</v>
      </c>
      <c r="N18" s="102">
        <f t="shared" si="1"/>
        <v>158.10000000000002</v>
      </c>
      <c r="O18" s="102">
        <f t="shared" si="2"/>
        <v>845</v>
      </c>
      <c r="P18" s="102">
        <f t="shared" si="3"/>
        <v>77.400000000000006</v>
      </c>
      <c r="Q18" s="102">
        <f t="shared" si="4"/>
        <v>1080.5</v>
      </c>
    </row>
    <row r="19" spans="1:33">
      <c r="A19" s="102">
        <v>2005</v>
      </c>
      <c r="B19" s="103">
        <v>20.8</v>
      </c>
      <c r="C19" s="103">
        <v>2</v>
      </c>
      <c r="D19" s="103">
        <v>14.1</v>
      </c>
      <c r="E19" s="103">
        <v>41.7</v>
      </c>
      <c r="F19" s="103">
        <v>180.7</v>
      </c>
      <c r="G19" s="103">
        <v>226</v>
      </c>
      <c r="H19" s="103">
        <v>254.7</v>
      </c>
      <c r="I19" s="103">
        <v>158.4</v>
      </c>
      <c r="J19" s="103">
        <v>75.900000000000006</v>
      </c>
      <c r="K19" s="102">
        <v>102.1</v>
      </c>
      <c r="L19" s="102">
        <v>11.2</v>
      </c>
      <c r="M19" s="102">
        <v>23.1</v>
      </c>
      <c r="N19" s="102">
        <f t="shared" si="1"/>
        <v>78.599999999999994</v>
      </c>
      <c r="O19" s="102">
        <f t="shared" si="2"/>
        <v>895.69999999999993</v>
      </c>
      <c r="P19" s="102">
        <f t="shared" si="3"/>
        <v>136.4</v>
      </c>
      <c r="Q19" s="102">
        <f t="shared" si="4"/>
        <v>1110.6999999999998</v>
      </c>
    </row>
    <row r="20" spans="1:33">
      <c r="A20" s="102">
        <v>2006</v>
      </c>
      <c r="B20" s="102">
        <v>2</v>
      </c>
      <c r="C20" s="102">
        <v>32.1</v>
      </c>
      <c r="D20" s="102">
        <v>14.1</v>
      </c>
      <c r="E20" s="102">
        <v>30.1</v>
      </c>
      <c r="F20" s="102">
        <v>88.7</v>
      </c>
      <c r="G20" s="102">
        <v>288.89999999999998</v>
      </c>
      <c r="H20" s="102">
        <v>58.3</v>
      </c>
      <c r="I20" s="102">
        <v>191.9</v>
      </c>
      <c r="J20" s="102">
        <v>55.8</v>
      </c>
      <c r="K20" s="102">
        <v>229.7</v>
      </c>
      <c r="L20" s="102">
        <v>11.6</v>
      </c>
      <c r="M20" s="102">
        <v>16.2</v>
      </c>
      <c r="N20" s="102">
        <f t="shared" si="1"/>
        <v>78.300000000000011</v>
      </c>
      <c r="O20" s="102">
        <f t="shared" si="2"/>
        <v>683.59999999999991</v>
      </c>
      <c r="P20" s="102">
        <f t="shared" si="3"/>
        <v>257.5</v>
      </c>
      <c r="Q20" s="102">
        <f t="shared" si="4"/>
        <v>1019.4</v>
      </c>
    </row>
    <row r="21" spans="1:33">
      <c r="A21" s="102">
        <v>2007</v>
      </c>
      <c r="B21" s="102">
        <v>31.6</v>
      </c>
      <c r="C21" s="102">
        <v>3.6</v>
      </c>
      <c r="D21" s="102">
        <v>6.7</v>
      </c>
      <c r="E21" s="102">
        <v>77.7</v>
      </c>
      <c r="F21" s="102">
        <v>96.1</v>
      </c>
      <c r="G21" s="102">
        <v>433.3</v>
      </c>
      <c r="H21" s="102">
        <v>407.4</v>
      </c>
      <c r="I21" s="102">
        <v>187.2</v>
      </c>
      <c r="J21" s="102">
        <v>112.6</v>
      </c>
      <c r="K21" s="102">
        <v>59.2</v>
      </c>
      <c r="L21" s="102">
        <v>4.4000000000000004</v>
      </c>
      <c r="M21" s="102">
        <v>17.7</v>
      </c>
      <c r="N21" s="102">
        <f t="shared" si="1"/>
        <v>119.60000000000001</v>
      </c>
      <c r="O21" s="102">
        <f t="shared" si="2"/>
        <v>1236.5999999999999</v>
      </c>
      <c r="P21" s="102">
        <f t="shared" si="3"/>
        <v>81.3</v>
      </c>
      <c r="Q21" s="102">
        <f t="shared" si="4"/>
        <v>1437.5000000000002</v>
      </c>
    </row>
    <row r="22" spans="1:33">
      <c r="A22" s="102">
        <v>2008</v>
      </c>
      <c r="B22" s="102">
        <v>7.5</v>
      </c>
      <c r="C22" s="102">
        <v>8</v>
      </c>
      <c r="D22" s="102">
        <v>33.5</v>
      </c>
      <c r="E22" s="102">
        <v>112.5</v>
      </c>
      <c r="F22" s="102">
        <v>264</v>
      </c>
      <c r="G22" s="102">
        <v>263.39999999999998</v>
      </c>
      <c r="H22" s="102">
        <v>205.9</v>
      </c>
      <c r="I22" s="102">
        <v>210.4</v>
      </c>
      <c r="J22" s="102">
        <v>163.69999999999999</v>
      </c>
      <c r="K22" s="102">
        <v>158</v>
      </c>
      <c r="L22" s="102">
        <v>81.8</v>
      </c>
      <c r="M22" s="102">
        <v>17.2</v>
      </c>
      <c r="N22" s="102">
        <f t="shared" si="1"/>
        <v>161.5</v>
      </c>
      <c r="O22" s="102">
        <f t="shared" si="2"/>
        <v>1107.3999999999999</v>
      </c>
      <c r="P22" s="102">
        <f t="shared" si="3"/>
        <v>257</v>
      </c>
      <c r="Q22" s="102">
        <f t="shared" si="4"/>
        <v>1525.9</v>
      </c>
    </row>
    <row r="23" spans="1:33">
      <c r="A23" s="102">
        <v>2009</v>
      </c>
      <c r="B23" s="102">
        <v>9.5</v>
      </c>
      <c r="C23" s="102">
        <v>14.1</v>
      </c>
      <c r="D23" s="102">
        <v>45.1</v>
      </c>
      <c r="E23" s="102">
        <v>118.8</v>
      </c>
      <c r="F23" s="102">
        <v>162.19999999999999</v>
      </c>
      <c r="G23" s="102">
        <v>245.5</v>
      </c>
      <c r="H23" s="102">
        <v>159.4</v>
      </c>
      <c r="I23" s="102">
        <v>149.19999999999999</v>
      </c>
      <c r="J23" s="102">
        <v>8.1</v>
      </c>
      <c r="K23" s="102">
        <v>49.3</v>
      </c>
      <c r="L23" s="102">
        <v>3.1</v>
      </c>
      <c r="M23" s="102">
        <v>13.1</v>
      </c>
      <c r="N23" s="102">
        <f t="shared" si="1"/>
        <v>187.5</v>
      </c>
      <c r="O23" s="102">
        <f t="shared" si="2"/>
        <v>724.4</v>
      </c>
      <c r="P23" s="102">
        <f t="shared" si="3"/>
        <v>65.5</v>
      </c>
      <c r="Q23" s="102">
        <f t="shared" si="4"/>
        <v>977.4</v>
      </c>
    </row>
    <row r="24" spans="1:33">
      <c r="A24" s="102">
        <v>2010</v>
      </c>
      <c r="B24" s="102">
        <v>1.9</v>
      </c>
      <c r="C24" s="102">
        <v>0.8</v>
      </c>
      <c r="D24" s="102">
        <v>5.7</v>
      </c>
      <c r="E24" s="102">
        <v>76.5</v>
      </c>
      <c r="F24" s="102">
        <v>84.7</v>
      </c>
      <c r="G24" s="102">
        <v>209.3</v>
      </c>
      <c r="H24" s="102">
        <v>317.8</v>
      </c>
      <c r="I24" s="102">
        <v>152.5</v>
      </c>
      <c r="J24" s="102">
        <v>214.1</v>
      </c>
      <c r="K24" s="102">
        <v>112.2</v>
      </c>
      <c r="L24" s="102">
        <v>36.299999999999997</v>
      </c>
      <c r="M24" s="102">
        <v>28.7</v>
      </c>
      <c r="N24" s="102">
        <f t="shared" si="1"/>
        <v>84.9</v>
      </c>
      <c r="O24" s="102">
        <f t="shared" si="2"/>
        <v>978.4</v>
      </c>
      <c r="P24" s="102">
        <f t="shared" si="3"/>
        <v>177.2</v>
      </c>
      <c r="Q24" s="102">
        <f t="shared" si="4"/>
        <v>1240.5</v>
      </c>
    </row>
    <row r="25" spans="1:33">
      <c r="A25" s="102">
        <v>2011</v>
      </c>
      <c r="B25" s="102">
        <v>22.1</v>
      </c>
      <c r="C25" s="102">
        <v>4.0999999999999996</v>
      </c>
      <c r="D25" s="102">
        <v>8.9</v>
      </c>
      <c r="E25" s="102">
        <v>105.5</v>
      </c>
      <c r="F25" s="102">
        <v>56.6</v>
      </c>
      <c r="G25" s="102">
        <v>403.3</v>
      </c>
      <c r="H25" s="102">
        <v>53.2</v>
      </c>
      <c r="I25" s="102">
        <v>154.30000000000001</v>
      </c>
      <c r="J25" s="102">
        <v>142.80000000000001</v>
      </c>
      <c r="K25" s="102">
        <v>45.1</v>
      </c>
      <c r="L25" s="102">
        <v>24.2</v>
      </c>
      <c r="M25" s="102">
        <v>16.100000000000001</v>
      </c>
      <c r="N25" s="102">
        <f t="shared" si="1"/>
        <v>140.6</v>
      </c>
      <c r="O25" s="102">
        <f t="shared" si="2"/>
        <v>810.2</v>
      </c>
      <c r="P25" s="102">
        <f t="shared" si="3"/>
        <v>85.4</v>
      </c>
      <c r="Q25" s="102">
        <f t="shared" si="4"/>
        <v>1036.2</v>
      </c>
      <c r="R25" s="104"/>
      <c r="S25" s="104"/>
      <c r="T25" s="104"/>
      <c r="U25" s="104"/>
      <c r="V25" s="104"/>
      <c r="W25" s="104"/>
      <c r="X25" s="104"/>
      <c r="Y25" s="104"/>
      <c r="Z25" s="104"/>
      <c r="AA25" s="104"/>
      <c r="AB25" s="104"/>
      <c r="AC25" s="104"/>
      <c r="AD25" s="104"/>
      <c r="AE25" s="104"/>
    </row>
    <row r="26" spans="1:33">
      <c r="A26" s="102">
        <v>2012</v>
      </c>
      <c r="B26" s="102">
        <v>15.8</v>
      </c>
      <c r="C26" s="102">
        <v>10</v>
      </c>
      <c r="D26" s="102">
        <v>35.799999999999997</v>
      </c>
      <c r="E26" s="102">
        <v>21.5</v>
      </c>
      <c r="F26" s="102">
        <v>162</v>
      </c>
      <c r="G26" s="102">
        <v>206.7</v>
      </c>
      <c r="H26" s="102">
        <v>354.3</v>
      </c>
      <c r="I26" s="102">
        <v>224.4</v>
      </c>
      <c r="J26" s="102">
        <v>131.19999999999999</v>
      </c>
      <c r="K26" s="102">
        <v>71.599999999999994</v>
      </c>
      <c r="L26" s="102">
        <v>12</v>
      </c>
      <c r="M26" s="102">
        <v>7.5</v>
      </c>
      <c r="N26" s="102">
        <f t="shared" si="1"/>
        <v>83.1</v>
      </c>
      <c r="O26" s="102">
        <f t="shared" si="2"/>
        <v>1078.5999999999999</v>
      </c>
      <c r="P26" s="102">
        <f t="shared" si="3"/>
        <v>91.1</v>
      </c>
      <c r="Q26" s="102">
        <f t="shared" si="4"/>
        <v>1252.8</v>
      </c>
      <c r="R26" s="104"/>
      <c r="S26" s="104"/>
      <c r="T26" s="104"/>
      <c r="U26" s="104"/>
      <c r="V26" s="104"/>
      <c r="W26" s="104"/>
      <c r="X26" s="104"/>
      <c r="Y26" s="104"/>
      <c r="Z26" s="104"/>
      <c r="AA26" s="104"/>
      <c r="AB26" s="104"/>
      <c r="AC26" s="104"/>
      <c r="AD26" s="104"/>
      <c r="AE26" s="104"/>
      <c r="AF26" s="104"/>
      <c r="AG26" s="104"/>
    </row>
    <row r="27" spans="1:33">
      <c r="A27" s="102">
        <v>2013</v>
      </c>
      <c r="B27" s="102">
        <v>10.4</v>
      </c>
      <c r="C27" s="102">
        <v>3.8</v>
      </c>
      <c r="D27" s="102">
        <v>38.6</v>
      </c>
      <c r="E27" s="102">
        <v>23.8</v>
      </c>
      <c r="F27" s="102">
        <v>271.2</v>
      </c>
      <c r="G27" s="102">
        <v>154.69999999999999</v>
      </c>
      <c r="H27" s="102">
        <v>64.5</v>
      </c>
      <c r="I27" s="102">
        <v>102.3</v>
      </c>
      <c r="J27" s="102">
        <v>73</v>
      </c>
      <c r="K27" s="102">
        <v>63.1</v>
      </c>
      <c r="L27" s="102">
        <v>24.1</v>
      </c>
      <c r="M27" s="102">
        <v>28.8</v>
      </c>
      <c r="N27" s="102">
        <f t="shared" si="1"/>
        <v>76.599999999999994</v>
      </c>
      <c r="O27" s="102">
        <f t="shared" si="2"/>
        <v>665.69999999999993</v>
      </c>
      <c r="P27" s="102">
        <f t="shared" si="3"/>
        <v>116</v>
      </c>
      <c r="Q27" s="102">
        <f t="shared" si="4"/>
        <v>858.3</v>
      </c>
      <c r="R27" s="104"/>
      <c r="S27" s="104"/>
      <c r="T27" s="104"/>
      <c r="U27" s="104"/>
      <c r="V27" s="104"/>
      <c r="W27" s="104"/>
      <c r="X27" s="104"/>
      <c r="Y27" s="104"/>
      <c r="Z27" s="104"/>
      <c r="AA27" s="104"/>
      <c r="AB27" s="104"/>
      <c r="AC27" s="104"/>
      <c r="AD27" s="104"/>
      <c r="AE27" s="104"/>
      <c r="AF27" s="104"/>
      <c r="AG27" s="104"/>
    </row>
    <row r="28" spans="1:33">
      <c r="A28" s="102">
        <v>2014</v>
      </c>
      <c r="B28" s="128">
        <v>10.6</v>
      </c>
      <c r="C28" s="128">
        <v>27.9</v>
      </c>
      <c r="D28" s="128">
        <v>79</v>
      </c>
      <c r="E28" s="128">
        <v>47.6</v>
      </c>
      <c r="F28" s="128">
        <v>114.2</v>
      </c>
      <c r="G28" s="128">
        <v>185.9</v>
      </c>
      <c r="H28" s="128">
        <v>374.5</v>
      </c>
      <c r="I28" s="128">
        <v>185.1</v>
      </c>
      <c r="J28" s="128">
        <v>310</v>
      </c>
      <c r="K28" s="128">
        <v>115.3</v>
      </c>
      <c r="L28" s="128">
        <v>50.9</v>
      </c>
      <c r="M28" s="128">
        <v>11.1</v>
      </c>
      <c r="N28" s="102">
        <f t="shared" si="1"/>
        <v>165.1</v>
      </c>
      <c r="O28" s="102">
        <f t="shared" si="2"/>
        <v>1169.7</v>
      </c>
      <c r="P28" s="102">
        <f t="shared" si="3"/>
        <v>177.29999999999998</v>
      </c>
      <c r="Q28" s="102">
        <f t="shared" si="4"/>
        <v>1512.1</v>
      </c>
    </row>
    <row r="29" spans="1:33">
      <c r="A29" s="102">
        <v>2015</v>
      </c>
      <c r="B29" s="128">
        <v>34.799999999999997</v>
      </c>
      <c r="C29" s="128">
        <v>11.3</v>
      </c>
      <c r="D29" s="128">
        <v>102.7</v>
      </c>
      <c r="E29" s="128">
        <v>47.5</v>
      </c>
      <c r="F29" s="128">
        <v>158.4</v>
      </c>
      <c r="G29" s="128">
        <v>401.2</v>
      </c>
      <c r="H29" s="128">
        <v>146.30000000000001</v>
      </c>
      <c r="I29" s="128">
        <v>206.1</v>
      </c>
      <c r="J29" s="128">
        <v>115.2</v>
      </c>
      <c r="K29" s="128">
        <v>182</v>
      </c>
      <c r="L29" s="128">
        <v>12.5</v>
      </c>
      <c r="M29" s="128">
        <v>29.8</v>
      </c>
      <c r="N29" s="102">
        <f t="shared" si="1"/>
        <v>196.3</v>
      </c>
      <c r="O29" s="102">
        <f t="shared" si="2"/>
        <v>1027.2</v>
      </c>
      <c r="P29" s="102">
        <f t="shared" si="3"/>
        <v>224.3</v>
      </c>
      <c r="Q29" s="102">
        <f t="shared" si="4"/>
        <v>1447.8</v>
      </c>
    </row>
    <row r="30" spans="1:33">
      <c r="A30" s="102">
        <v>2016</v>
      </c>
      <c r="B30" s="128">
        <v>16.600000000000001</v>
      </c>
      <c r="C30" s="128">
        <v>14.2</v>
      </c>
      <c r="D30" s="128">
        <v>23.3</v>
      </c>
      <c r="E30" s="128">
        <v>107.9</v>
      </c>
      <c r="F30" s="128">
        <v>101.3</v>
      </c>
      <c r="G30" s="128">
        <v>382.1</v>
      </c>
      <c r="H30" s="128">
        <v>84.4</v>
      </c>
      <c r="I30" s="128">
        <v>144.30000000000001</v>
      </c>
      <c r="J30" s="128">
        <v>91.4</v>
      </c>
      <c r="K30" s="128">
        <v>89</v>
      </c>
      <c r="L30" s="128">
        <v>49.4</v>
      </c>
      <c r="M30" s="128">
        <v>9.6</v>
      </c>
      <c r="N30" s="102">
        <f>SUM(B30:E30)</f>
        <v>162</v>
      </c>
      <c r="O30" s="102">
        <f>SUM(F30:J30)</f>
        <v>803.50000000000011</v>
      </c>
      <c r="P30" s="102">
        <f>SUM(K30:M30)</f>
        <v>148</v>
      </c>
      <c r="Q30" s="102">
        <f>SUM(B30:M30)</f>
        <v>1113.5</v>
      </c>
      <c r="R30" s="108">
        <f t="shared" ref="R30:AG30" si="5">100*(B30-B4)/B4</f>
        <v>-2.7191748710735975</v>
      </c>
      <c r="S30" s="108">
        <f t="shared" si="5"/>
        <v>2.6308181555362484</v>
      </c>
      <c r="T30" s="108">
        <f t="shared" si="5"/>
        <v>-26.720342181406465</v>
      </c>
      <c r="U30" s="108">
        <f t="shared" si="5"/>
        <v>77.677512844157576</v>
      </c>
      <c r="V30" s="108">
        <f t="shared" si="5"/>
        <v>-36.28129324443325</v>
      </c>
      <c r="W30" s="108">
        <f t="shared" si="5"/>
        <v>30.737962937618075</v>
      </c>
      <c r="X30" s="108">
        <f t="shared" si="5"/>
        <v>-66.219461432550986</v>
      </c>
      <c r="Y30" s="108">
        <f t="shared" si="5"/>
        <v>-19.342217054956865</v>
      </c>
      <c r="Z30" s="108">
        <f t="shared" si="5"/>
        <v>-22.665583646393859</v>
      </c>
      <c r="AA30" s="108">
        <f t="shared" si="5"/>
        <v>-8.035050012399779</v>
      </c>
      <c r="AB30" s="108">
        <f t="shared" si="5"/>
        <v>61.353540632349095</v>
      </c>
      <c r="AC30" s="108">
        <f t="shared" si="5"/>
        <v>-33.665008291873974</v>
      </c>
      <c r="AD30" s="108">
        <f t="shared" si="5"/>
        <v>31.254861291158939</v>
      </c>
      <c r="AE30" s="108">
        <f t="shared" si="5"/>
        <v>-19.503818935186302</v>
      </c>
      <c r="AF30" s="108">
        <f t="shared" si="5"/>
        <v>4.325269271978752</v>
      </c>
      <c r="AG30" s="108">
        <f t="shared" si="5"/>
        <v>-11.869831701850138</v>
      </c>
    </row>
  </sheetData>
  <mergeCells count="6">
    <mergeCell ref="A1:A3"/>
    <mergeCell ref="B2:M2"/>
    <mergeCell ref="B1:Q1"/>
    <mergeCell ref="R1:AG1"/>
    <mergeCell ref="N2:Q2"/>
    <mergeCell ref="R2:AG2"/>
  </mergeCells>
  <phoneticPr fontId="2" type="noConversion"/>
  <pageMargins left="0.75" right="0.75" top="1" bottom="1" header="0.5" footer="0.5"/>
  <headerFooter alignWithMargins="0"/>
</worksheet>
</file>

<file path=xl/worksheets/sheet77.xml><?xml version="1.0" encoding="utf-8"?>
<worksheet xmlns="http://schemas.openxmlformats.org/spreadsheetml/2006/main" xmlns:r="http://schemas.openxmlformats.org/officeDocument/2006/relationships">
  <sheetPr codeName="Sheet77"/>
  <dimension ref="A1:AG58"/>
  <sheetViews>
    <sheetView zoomScale="85" zoomScaleNormal="85" workbookViewId="0">
      <pane ySplit="5" topLeftCell="A6" activePane="bottomLeft" state="frozen"/>
      <selection pane="bottomLeft" activeCell="R58" sqref="R58"/>
    </sheetView>
  </sheetViews>
  <sheetFormatPr defaultRowHeight="12"/>
  <cols>
    <col min="1" max="71" width="7.125" style="102" customWidth="1"/>
    <col min="72" max="16384" width="9" style="102"/>
  </cols>
  <sheetData>
    <row r="1" spans="1:33" s="118" customFormat="1" ht="14.25" customHeight="1">
      <c r="A1" s="176" t="s">
        <v>198</v>
      </c>
      <c r="B1" s="176" t="s">
        <v>206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207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199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200</v>
      </c>
      <c r="O2" s="176"/>
      <c r="P2" s="176"/>
      <c r="Q2" s="176"/>
      <c r="R2" s="176" t="s">
        <v>201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 ht="24">
      <c r="A3" s="176"/>
      <c r="B3" s="125" t="s">
        <v>208</v>
      </c>
      <c r="C3" s="125" t="s">
        <v>209</v>
      </c>
      <c r="D3" s="125" t="s">
        <v>9</v>
      </c>
      <c r="E3" s="125" t="s">
        <v>10</v>
      </c>
      <c r="F3" s="125" t="s">
        <v>11</v>
      </c>
      <c r="G3" s="125" t="s">
        <v>12</v>
      </c>
      <c r="H3" s="125" t="s">
        <v>13</v>
      </c>
      <c r="I3" s="125" t="s">
        <v>14</v>
      </c>
      <c r="J3" s="125" t="s">
        <v>15</v>
      </c>
      <c r="K3" s="125" t="s">
        <v>16</v>
      </c>
      <c r="L3" s="125" t="s">
        <v>17</v>
      </c>
      <c r="M3" s="125" t="s">
        <v>18</v>
      </c>
      <c r="N3" s="125" t="s">
        <v>210</v>
      </c>
      <c r="O3" s="125" t="s">
        <v>211</v>
      </c>
      <c r="P3" s="125" t="s">
        <v>212</v>
      </c>
      <c r="Q3" s="125" t="s">
        <v>213</v>
      </c>
      <c r="R3" s="125" t="s">
        <v>208</v>
      </c>
      <c r="S3" s="125" t="s">
        <v>209</v>
      </c>
      <c r="T3" s="125" t="s">
        <v>214</v>
      </c>
      <c r="U3" s="125" t="s">
        <v>215</v>
      </c>
      <c r="V3" s="125" t="s">
        <v>216</v>
      </c>
      <c r="W3" s="125" t="s">
        <v>217</v>
      </c>
      <c r="X3" s="125" t="s">
        <v>25</v>
      </c>
      <c r="Y3" s="125" t="s">
        <v>26</v>
      </c>
      <c r="Z3" s="125" t="s">
        <v>27</v>
      </c>
      <c r="AA3" s="125" t="s">
        <v>218</v>
      </c>
      <c r="AB3" s="125" t="s">
        <v>219</v>
      </c>
      <c r="AC3" s="125" t="s">
        <v>220</v>
      </c>
      <c r="AD3" s="125" t="s">
        <v>202</v>
      </c>
      <c r="AE3" s="125" t="s">
        <v>203</v>
      </c>
      <c r="AF3" s="125" t="s">
        <v>204</v>
      </c>
      <c r="AG3" s="125" t="s">
        <v>205</v>
      </c>
    </row>
    <row r="4" spans="1:33" s="118" customFormat="1">
      <c r="A4" s="150" t="s">
        <v>261</v>
      </c>
      <c r="B4" s="150">
        <f t="shared" ref="B4:Q4" si="0">AVERAGE(B5:B57)</f>
        <v>13.098113207547167</v>
      </c>
      <c r="C4" s="150">
        <f t="shared" si="0"/>
        <v>11.056603773584905</v>
      </c>
      <c r="D4" s="150">
        <f t="shared" si="0"/>
        <v>18.245283018867926</v>
      </c>
      <c r="E4" s="150">
        <f t="shared" si="0"/>
        <v>45.909433962264153</v>
      </c>
      <c r="F4" s="150">
        <f t="shared" si="0"/>
        <v>136.61320754716982</v>
      </c>
      <c r="G4" s="150">
        <f t="shared" si="0"/>
        <v>243.80754716981139</v>
      </c>
      <c r="H4" s="150">
        <f t="shared" si="0"/>
        <v>209.05471698113215</v>
      </c>
      <c r="I4" s="150">
        <f t="shared" si="0"/>
        <v>157.43962264150943</v>
      </c>
      <c r="J4" s="150">
        <f t="shared" si="0"/>
        <v>140.96981132075473</v>
      </c>
      <c r="K4" s="150">
        <f t="shared" si="0"/>
        <v>83.818867924528305</v>
      </c>
      <c r="L4" s="150">
        <f t="shared" si="0"/>
        <v>27.558490566037733</v>
      </c>
      <c r="M4" s="150">
        <f t="shared" si="0"/>
        <v>9.3584905660377355</v>
      </c>
      <c r="N4" s="150">
        <f t="shared" si="0"/>
        <v>88.309433962264137</v>
      </c>
      <c r="O4" s="150">
        <f t="shared" si="0"/>
        <v>887.8849056603774</v>
      </c>
      <c r="P4" s="150">
        <f t="shared" si="0"/>
        <v>120.73584905660383</v>
      </c>
      <c r="Q4" s="150">
        <f t="shared" si="0"/>
        <v>1096.9301886792457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1963</v>
      </c>
      <c r="B5" s="102">
        <v>5.6</v>
      </c>
      <c r="C5" s="102">
        <v>2.2999999999999998</v>
      </c>
      <c r="D5" s="102">
        <v>37.799999999999997</v>
      </c>
      <c r="E5" s="102">
        <v>0.2</v>
      </c>
      <c r="F5" s="102">
        <v>216</v>
      </c>
      <c r="G5" s="102">
        <v>189.3</v>
      </c>
      <c r="H5" s="102">
        <v>195.1</v>
      </c>
      <c r="I5" s="102">
        <v>79.3</v>
      </c>
      <c r="J5" s="102">
        <v>145.30000000000001</v>
      </c>
      <c r="K5" s="102">
        <v>71.8</v>
      </c>
      <c r="L5" s="102">
        <v>27.9</v>
      </c>
      <c r="M5" s="102">
        <v>7.6</v>
      </c>
      <c r="N5" s="102">
        <f>SUM(B5:E5)</f>
        <v>45.9</v>
      </c>
      <c r="O5" s="102">
        <f>SUM(F5:J5)</f>
        <v>825</v>
      </c>
      <c r="P5" s="102">
        <f>SUM(K5:M5)</f>
        <v>107.29999999999998</v>
      </c>
      <c r="Q5" s="102">
        <f>SUM(B5:M5)</f>
        <v>978.19999999999982</v>
      </c>
    </row>
    <row r="6" spans="1:33">
      <c r="A6" s="102">
        <v>1964</v>
      </c>
      <c r="B6" s="102">
        <v>2</v>
      </c>
      <c r="C6" s="102">
        <v>18.100000000000001</v>
      </c>
      <c r="D6" s="102">
        <v>7.6</v>
      </c>
      <c r="E6" s="102">
        <v>42.6</v>
      </c>
      <c r="F6" s="102">
        <v>120.4</v>
      </c>
      <c r="G6" s="102">
        <v>306.39999999999998</v>
      </c>
      <c r="H6" s="102">
        <v>101.4</v>
      </c>
      <c r="I6" s="102">
        <v>189.5</v>
      </c>
      <c r="J6" s="102">
        <v>147.6</v>
      </c>
      <c r="K6" s="102">
        <v>181.1</v>
      </c>
      <c r="L6" s="102">
        <v>18.100000000000001</v>
      </c>
      <c r="M6" s="102">
        <v>18.3</v>
      </c>
      <c r="N6" s="102">
        <f t="shared" ref="N6:N57" si="1">SUM(B6:E6)</f>
        <v>70.300000000000011</v>
      </c>
      <c r="O6" s="102">
        <f t="shared" ref="O6:O57" si="2">SUM(F6:J6)</f>
        <v>865.3</v>
      </c>
      <c r="P6" s="102">
        <f t="shared" ref="P6:P57" si="3">SUM(K6:M6)</f>
        <v>217.5</v>
      </c>
      <c r="Q6" s="102">
        <f t="shared" ref="Q6:Q57" si="4">SUM(B6:M6)</f>
        <v>1153.0999999999999</v>
      </c>
    </row>
    <row r="7" spans="1:33">
      <c r="A7" s="102">
        <v>1965</v>
      </c>
      <c r="B7" s="102">
        <v>15.2</v>
      </c>
      <c r="C7" s="102">
        <v>12.7</v>
      </c>
      <c r="D7" s="102">
        <v>15.4</v>
      </c>
      <c r="E7" s="102">
        <v>88.5</v>
      </c>
      <c r="F7" s="102">
        <v>192</v>
      </c>
      <c r="G7" s="102">
        <v>182.5</v>
      </c>
      <c r="H7" s="102">
        <v>251.5</v>
      </c>
      <c r="I7" s="102">
        <v>254.5</v>
      </c>
      <c r="J7" s="102">
        <v>91.2</v>
      </c>
      <c r="K7" s="102">
        <v>246.2</v>
      </c>
      <c r="L7" s="102">
        <v>13.5</v>
      </c>
      <c r="M7" s="102">
        <v>9.9</v>
      </c>
      <c r="N7" s="102">
        <f t="shared" si="1"/>
        <v>131.80000000000001</v>
      </c>
      <c r="O7" s="102">
        <f t="shared" si="2"/>
        <v>971.7</v>
      </c>
      <c r="P7" s="102">
        <f t="shared" si="3"/>
        <v>269.59999999999997</v>
      </c>
      <c r="Q7" s="102">
        <f t="shared" si="4"/>
        <v>1373.1000000000001</v>
      </c>
    </row>
    <row r="8" spans="1:33">
      <c r="A8" s="102">
        <v>1966</v>
      </c>
      <c r="B8" s="102">
        <v>3</v>
      </c>
      <c r="C8" s="102">
        <v>3.7</v>
      </c>
      <c r="D8" s="102">
        <v>0</v>
      </c>
      <c r="E8" s="102">
        <v>31.6</v>
      </c>
      <c r="F8" s="102">
        <v>255.6</v>
      </c>
      <c r="G8" s="102">
        <v>181.5</v>
      </c>
      <c r="H8" s="102">
        <v>156.80000000000001</v>
      </c>
      <c r="I8" s="102">
        <v>117.1</v>
      </c>
      <c r="J8" s="102">
        <v>125.8</v>
      </c>
      <c r="K8" s="102">
        <v>63.1</v>
      </c>
      <c r="L8" s="102">
        <v>5</v>
      </c>
      <c r="M8" s="102">
        <v>0.7</v>
      </c>
      <c r="N8" s="102">
        <f t="shared" si="1"/>
        <v>38.300000000000004</v>
      </c>
      <c r="O8" s="102">
        <f t="shared" si="2"/>
        <v>836.80000000000007</v>
      </c>
      <c r="P8" s="102">
        <f t="shared" si="3"/>
        <v>68.8</v>
      </c>
      <c r="Q8" s="102">
        <f t="shared" si="4"/>
        <v>943.90000000000009</v>
      </c>
    </row>
    <row r="9" spans="1:33">
      <c r="A9" s="102">
        <v>1967</v>
      </c>
      <c r="B9" s="102">
        <v>10.1</v>
      </c>
      <c r="C9" s="102">
        <v>38.6</v>
      </c>
      <c r="D9" s="102">
        <v>16.600000000000001</v>
      </c>
      <c r="E9" s="102">
        <v>124.2</v>
      </c>
      <c r="F9" s="102">
        <v>145.9</v>
      </c>
      <c r="G9" s="102">
        <v>349.7</v>
      </c>
      <c r="H9" s="102">
        <v>292.5</v>
      </c>
      <c r="I9" s="102">
        <v>132.4</v>
      </c>
      <c r="J9" s="102">
        <v>200.2</v>
      </c>
      <c r="K9" s="102">
        <v>68.900000000000006</v>
      </c>
      <c r="L9" s="102">
        <v>47.4</v>
      </c>
      <c r="M9" s="102">
        <v>22.1</v>
      </c>
      <c r="N9" s="102">
        <f t="shared" si="1"/>
        <v>189.5</v>
      </c>
      <c r="O9" s="102">
        <f t="shared" si="2"/>
        <v>1120.7</v>
      </c>
      <c r="P9" s="102">
        <f t="shared" si="3"/>
        <v>138.4</v>
      </c>
      <c r="Q9" s="102">
        <f t="shared" si="4"/>
        <v>1448.6000000000001</v>
      </c>
    </row>
    <row r="10" spans="1:33">
      <c r="A10" s="102">
        <v>1968</v>
      </c>
      <c r="B10" s="102">
        <v>4.0999999999999996</v>
      </c>
      <c r="C10" s="102">
        <v>16.2</v>
      </c>
      <c r="D10" s="102">
        <v>3.7</v>
      </c>
      <c r="E10" s="102">
        <v>102.1</v>
      </c>
      <c r="F10" s="102">
        <v>123.1</v>
      </c>
      <c r="G10" s="102">
        <v>245.6</v>
      </c>
      <c r="H10" s="102">
        <v>337.8</v>
      </c>
      <c r="I10" s="102">
        <v>183.1</v>
      </c>
      <c r="J10" s="102">
        <v>123.6</v>
      </c>
      <c r="K10" s="102">
        <v>112.1</v>
      </c>
      <c r="L10" s="102">
        <v>113.4</v>
      </c>
      <c r="M10" s="102">
        <v>0.4</v>
      </c>
      <c r="N10" s="102">
        <f t="shared" si="1"/>
        <v>126.1</v>
      </c>
      <c r="O10" s="102">
        <f t="shared" si="2"/>
        <v>1013.2</v>
      </c>
      <c r="P10" s="102">
        <f t="shared" si="3"/>
        <v>225.9</v>
      </c>
      <c r="Q10" s="102">
        <f t="shared" si="4"/>
        <v>1365.2</v>
      </c>
    </row>
    <row r="11" spans="1:33">
      <c r="A11" s="102">
        <v>1969</v>
      </c>
      <c r="B11" s="102">
        <v>3.5</v>
      </c>
      <c r="C11" s="102">
        <v>0</v>
      </c>
      <c r="D11" s="102">
        <v>14.5</v>
      </c>
      <c r="E11" s="102">
        <v>59</v>
      </c>
      <c r="F11" s="102">
        <v>84.1</v>
      </c>
      <c r="G11" s="102">
        <v>473.5</v>
      </c>
      <c r="H11" s="102">
        <v>231.7</v>
      </c>
      <c r="I11" s="102">
        <v>148.5</v>
      </c>
      <c r="J11" s="102">
        <v>103.8</v>
      </c>
      <c r="K11" s="102">
        <v>16.600000000000001</v>
      </c>
      <c r="L11" s="102">
        <v>46.1</v>
      </c>
      <c r="M11" s="102">
        <v>7.1</v>
      </c>
      <c r="N11" s="102">
        <f t="shared" si="1"/>
        <v>77</v>
      </c>
      <c r="O11" s="102">
        <f t="shared" si="2"/>
        <v>1041.5999999999999</v>
      </c>
      <c r="P11" s="102">
        <f t="shared" si="3"/>
        <v>69.8</v>
      </c>
      <c r="Q11" s="102">
        <f t="shared" si="4"/>
        <v>1188.3999999999996</v>
      </c>
    </row>
    <row r="12" spans="1:33">
      <c r="A12" s="102">
        <v>1970</v>
      </c>
      <c r="B12" s="102">
        <v>11.9</v>
      </c>
      <c r="C12" s="102">
        <v>1.6</v>
      </c>
      <c r="D12" s="102">
        <v>31.8</v>
      </c>
      <c r="E12" s="102">
        <v>51.5</v>
      </c>
      <c r="F12" s="102">
        <v>88.8</v>
      </c>
      <c r="G12" s="102">
        <v>128</v>
      </c>
      <c r="H12" s="102">
        <v>258.3</v>
      </c>
      <c r="I12" s="102">
        <v>100.1</v>
      </c>
      <c r="J12" s="102">
        <v>282.10000000000002</v>
      </c>
      <c r="K12" s="102">
        <v>79.599999999999994</v>
      </c>
      <c r="L12" s="102">
        <v>45.4</v>
      </c>
      <c r="M12" s="102">
        <v>31.9</v>
      </c>
      <c r="N12" s="102">
        <f t="shared" si="1"/>
        <v>96.8</v>
      </c>
      <c r="O12" s="102">
        <f t="shared" si="2"/>
        <v>857.30000000000007</v>
      </c>
      <c r="P12" s="102">
        <f t="shared" si="3"/>
        <v>156.9</v>
      </c>
      <c r="Q12" s="102">
        <f t="shared" si="4"/>
        <v>1111.0000000000002</v>
      </c>
    </row>
    <row r="13" spans="1:33">
      <c r="A13" s="102">
        <v>1971</v>
      </c>
      <c r="B13" s="102">
        <v>8.6</v>
      </c>
      <c r="C13" s="102">
        <v>7.1</v>
      </c>
      <c r="D13" s="102">
        <v>6.2</v>
      </c>
      <c r="E13" s="102">
        <v>81.099999999999994</v>
      </c>
      <c r="F13" s="102">
        <v>117</v>
      </c>
      <c r="G13" s="102">
        <v>306.89999999999998</v>
      </c>
      <c r="H13" s="102">
        <v>55.5</v>
      </c>
      <c r="I13" s="102">
        <v>178.1</v>
      </c>
      <c r="J13" s="102">
        <v>175.4</v>
      </c>
      <c r="K13" s="102">
        <v>90.8</v>
      </c>
      <c r="L13" s="102">
        <v>9.8000000000000007</v>
      </c>
      <c r="M13" s="102">
        <v>3.8</v>
      </c>
      <c r="N13" s="102">
        <f t="shared" si="1"/>
        <v>103</v>
      </c>
      <c r="O13" s="102">
        <f t="shared" si="2"/>
        <v>832.9</v>
      </c>
      <c r="P13" s="102">
        <f t="shared" si="3"/>
        <v>104.39999999999999</v>
      </c>
      <c r="Q13" s="102">
        <f t="shared" si="4"/>
        <v>1040.3</v>
      </c>
    </row>
    <row r="14" spans="1:33">
      <c r="A14" s="102">
        <v>1972</v>
      </c>
      <c r="B14" s="102">
        <v>11.3</v>
      </c>
      <c r="C14" s="102">
        <v>9.8000000000000007</v>
      </c>
      <c r="D14" s="102">
        <v>24.2</v>
      </c>
      <c r="E14" s="102">
        <v>18.7</v>
      </c>
      <c r="F14" s="102">
        <v>242.9</v>
      </c>
      <c r="G14" s="102">
        <v>128.4</v>
      </c>
      <c r="H14" s="102">
        <v>74.2</v>
      </c>
      <c r="I14" s="102">
        <v>53.8</v>
      </c>
      <c r="J14" s="102">
        <v>173.4</v>
      </c>
      <c r="K14" s="102">
        <v>48.7</v>
      </c>
      <c r="L14" s="102">
        <v>56.9</v>
      </c>
      <c r="M14" s="102">
        <v>2.7</v>
      </c>
      <c r="N14" s="102">
        <f t="shared" si="1"/>
        <v>64</v>
      </c>
      <c r="O14" s="102">
        <f t="shared" si="2"/>
        <v>672.7</v>
      </c>
      <c r="P14" s="102">
        <f t="shared" si="3"/>
        <v>108.3</v>
      </c>
      <c r="Q14" s="102">
        <f t="shared" si="4"/>
        <v>845</v>
      </c>
    </row>
    <row r="15" spans="1:33">
      <c r="A15" s="102">
        <v>1973</v>
      </c>
      <c r="B15" s="102">
        <v>7.6</v>
      </c>
      <c r="C15" s="102">
        <v>3.9</v>
      </c>
      <c r="D15" s="102">
        <v>28.9</v>
      </c>
      <c r="E15" s="102">
        <v>43</v>
      </c>
      <c r="F15" s="102">
        <v>117.8</v>
      </c>
      <c r="G15" s="102">
        <v>313.8</v>
      </c>
      <c r="H15" s="102">
        <v>97.5</v>
      </c>
      <c r="I15" s="102">
        <v>129.1</v>
      </c>
      <c r="J15" s="102">
        <v>188.9</v>
      </c>
      <c r="K15" s="102">
        <v>35</v>
      </c>
      <c r="L15" s="102">
        <v>40.700000000000003</v>
      </c>
      <c r="M15" s="102">
        <v>2.2999999999999998</v>
      </c>
      <c r="N15" s="102">
        <f t="shared" si="1"/>
        <v>83.4</v>
      </c>
      <c r="O15" s="102">
        <f t="shared" si="2"/>
        <v>847.1</v>
      </c>
      <c r="P15" s="102">
        <f t="shared" si="3"/>
        <v>78</v>
      </c>
      <c r="Q15" s="102">
        <f t="shared" si="4"/>
        <v>1008.5</v>
      </c>
    </row>
    <row r="16" spans="1:33">
      <c r="A16" s="102">
        <v>1974</v>
      </c>
      <c r="B16" s="102">
        <v>0.1</v>
      </c>
      <c r="C16" s="102">
        <v>0.4</v>
      </c>
      <c r="D16" s="102">
        <v>22.8</v>
      </c>
      <c r="E16" s="102">
        <v>71.599999999999994</v>
      </c>
      <c r="F16" s="102">
        <v>182</v>
      </c>
      <c r="G16" s="102">
        <v>128.6</v>
      </c>
      <c r="H16" s="102">
        <v>114.3</v>
      </c>
      <c r="I16" s="102">
        <v>256.10000000000002</v>
      </c>
      <c r="J16" s="102">
        <v>256.7</v>
      </c>
      <c r="K16" s="102">
        <v>97.2</v>
      </c>
      <c r="L16" s="102">
        <v>12.6</v>
      </c>
      <c r="M16" s="102">
        <v>1.4</v>
      </c>
      <c r="N16" s="102">
        <f t="shared" si="1"/>
        <v>94.899999999999991</v>
      </c>
      <c r="O16" s="102">
        <f t="shared" si="2"/>
        <v>937.7</v>
      </c>
      <c r="P16" s="102">
        <f t="shared" si="3"/>
        <v>111.2</v>
      </c>
      <c r="Q16" s="102">
        <f t="shared" si="4"/>
        <v>1143.8</v>
      </c>
    </row>
    <row r="17" spans="1:17">
      <c r="A17" s="102">
        <v>1975</v>
      </c>
      <c r="B17" s="102">
        <v>19.5</v>
      </c>
      <c r="C17" s="102">
        <v>11.6</v>
      </c>
      <c r="D17" s="102">
        <v>25.5</v>
      </c>
      <c r="E17" s="102">
        <v>30.8</v>
      </c>
      <c r="F17" s="102">
        <v>114.2</v>
      </c>
      <c r="G17" s="102">
        <v>201.4</v>
      </c>
      <c r="H17" s="102">
        <v>91</v>
      </c>
      <c r="I17" s="102">
        <v>141.5</v>
      </c>
      <c r="J17" s="102">
        <v>122.2</v>
      </c>
      <c r="K17" s="102">
        <v>26.9</v>
      </c>
      <c r="L17" s="102">
        <v>58.6</v>
      </c>
      <c r="M17" s="102">
        <v>2.9</v>
      </c>
      <c r="N17" s="102">
        <f t="shared" si="1"/>
        <v>87.4</v>
      </c>
      <c r="O17" s="102">
        <f t="shared" si="2"/>
        <v>670.30000000000007</v>
      </c>
      <c r="P17" s="102">
        <f t="shared" si="3"/>
        <v>88.4</v>
      </c>
      <c r="Q17" s="102">
        <f t="shared" si="4"/>
        <v>846.1</v>
      </c>
    </row>
    <row r="18" spans="1:17">
      <c r="A18" s="102">
        <v>1976</v>
      </c>
      <c r="B18" s="102">
        <v>22</v>
      </c>
      <c r="C18" s="102">
        <v>2.9</v>
      </c>
      <c r="D18" s="102">
        <v>14.5</v>
      </c>
      <c r="E18" s="102">
        <v>21.5</v>
      </c>
      <c r="F18" s="102">
        <v>160.69999999999999</v>
      </c>
      <c r="G18" s="102">
        <v>194.6</v>
      </c>
      <c r="H18" s="102">
        <v>280.3</v>
      </c>
      <c r="I18" s="102">
        <v>118.2</v>
      </c>
      <c r="J18" s="102">
        <v>180.3</v>
      </c>
      <c r="K18" s="102">
        <v>222.1</v>
      </c>
      <c r="L18" s="102">
        <v>17.2</v>
      </c>
      <c r="M18" s="102">
        <v>4.2</v>
      </c>
      <c r="N18" s="102">
        <f t="shared" si="1"/>
        <v>60.9</v>
      </c>
      <c r="O18" s="102">
        <f t="shared" si="2"/>
        <v>934.09999999999991</v>
      </c>
      <c r="P18" s="102">
        <f t="shared" si="3"/>
        <v>243.49999999999997</v>
      </c>
      <c r="Q18" s="102">
        <f t="shared" si="4"/>
        <v>1238.5</v>
      </c>
    </row>
    <row r="19" spans="1:17">
      <c r="A19" s="102">
        <v>1977</v>
      </c>
      <c r="B19" s="102">
        <v>14.6</v>
      </c>
      <c r="C19" s="102">
        <v>20.6</v>
      </c>
      <c r="D19" s="102">
        <v>7.8</v>
      </c>
      <c r="E19" s="102">
        <v>62.7</v>
      </c>
      <c r="F19" s="102">
        <v>119.1</v>
      </c>
      <c r="G19" s="102">
        <v>282.7</v>
      </c>
      <c r="H19" s="102">
        <v>260.2</v>
      </c>
      <c r="I19" s="102">
        <v>105.8</v>
      </c>
      <c r="J19" s="102">
        <v>119.3</v>
      </c>
      <c r="K19" s="102">
        <v>100.6</v>
      </c>
      <c r="L19" s="102">
        <v>35.799999999999997</v>
      </c>
      <c r="M19" s="102">
        <v>0.9</v>
      </c>
      <c r="N19" s="102">
        <f t="shared" si="1"/>
        <v>105.7</v>
      </c>
      <c r="O19" s="102">
        <f t="shared" si="2"/>
        <v>887.09999999999991</v>
      </c>
      <c r="P19" s="102">
        <f t="shared" si="3"/>
        <v>137.29999999999998</v>
      </c>
      <c r="Q19" s="102">
        <f t="shared" si="4"/>
        <v>1130.0999999999999</v>
      </c>
    </row>
    <row r="20" spans="1:17">
      <c r="A20" s="102">
        <v>1978</v>
      </c>
      <c r="B20" s="102">
        <v>11.8</v>
      </c>
      <c r="C20" s="102">
        <v>11.1</v>
      </c>
      <c r="D20" s="102">
        <v>0.6</v>
      </c>
      <c r="E20" s="102">
        <v>20.6</v>
      </c>
      <c r="F20" s="102">
        <v>308.60000000000002</v>
      </c>
      <c r="G20" s="102">
        <v>175.1</v>
      </c>
      <c r="H20" s="102">
        <v>113.7</v>
      </c>
      <c r="I20" s="102">
        <v>125.6</v>
      </c>
      <c r="J20" s="102">
        <v>111.3</v>
      </c>
      <c r="K20" s="102">
        <v>67.099999999999994</v>
      </c>
      <c r="L20" s="102">
        <v>87.4</v>
      </c>
      <c r="M20" s="102">
        <v>0</v>
      </c>
      <c r="N20" s="102">
        <f t="shared" si="1"/>
        <v>44.1</v>
      </c>
      <c r="O20" s="102">
        <f t="shared" si="2"/>
        <v>834.30000000000007</v>
      </c>
      <c r="P20" s="102">
        <f t="shared" si="3"/>
        <v>154.5</v>
      </c>
      <c r="Q20" s="102">
        <f t="shared" si="4"/>
        <v>1032.9000000000001</v>
      </c>
    </row>
    <row r="21" spans="1:17">
      <c r="A21" s="102">
        <v>1979</v>
      </c>
      <c r="B21" s="102">
        <v>0.1</v>
      </c>
      <c r="C21" s="102">
        <v>1.3</v>
      </c>
      <c r="D21" s="102">
        <v>19.100000000000001</v>
      </c>
      <c r="E21" s="102">
        <v>90.9</v>
      </c>
      <c r="F21" s="102">
        <v>27.4</v>
      </c>
      <c r="G21" s="102">
        <v>497.2</v>
      </c>
      <c r="H21" s="102">
        <v>402.3</v>
      </c>
      <c r="I21" s="102">
        <v>199.4</v>
      </c>
      <c r="J21" s="102">
        <v>139.9</v>
      </c>
      <c r="K21" s="102">
        <v>68.5</v>
      </c>
      <c r="L21" s="102">
        <v>1.3</v>
      </c>
      <c r="M21" s="102">
        <v>25</v>
      </c>
      <c r="N21" s="102">
        <f t="shared" si="1"/>
        <v>111.4</v>
      </c>
      <c r="O21" s="102">
        <f t="shared" si="2"/>
        <v>1266.2000000000003</v>
      </c>
      <c r="P21" s="102">
        <f t="shared" si="3"/>
        <v>94.8</v>
      </c>
      <c r="Q21" s="102">
        <f t="shared" si="4"/>
        <v>1472.4</v>
      </c>
    </row>
    <row r="22" spans="1:17">
      <c r="A22" s="102">
        <v>1980</v>
      </c>
      <c r="B22" s="102">
        <v>3.7</v>
      </c>
      <c r="C22" s="102">
        <v>6</v>
      </c>
      <c r="D22" s="102">
        <v>1.3</v>
      </c>
      <c r="E22" s="102">
        <v>35</v>
      </c>
      <c r="F22" s="102">
        <v>140.1</v>
      </c>
      <c r="G22" s="102">
        <v>262</v>
      </c>
      <c r="H22" s="102">
        <v>210</v>
      </c>
      <c r="I22" s="102">
        <v>209</v>
      </c>
      <c r="J22" s="102">
        <v>175.2</v>
      </c>
      <c r="K22" s="102">
        <v>158.69999999999999</v>
      </c>
      <c r="L22" s="102">
        <v>30</v>
      </c>
      <c r="M22" s="102">
        <v>15.3</v>
      </c>
      <c r="N22" s="102">
        <f t="shared" si="1"/>
        <v>46</v>
      </c>
      <c r="O22" s="102">
        <f t="shared" si="2"/>
        <v>996.3</v>
      </c>
      <c r="P22" s="102">
        <f t="shared" si="3"/>
        <v>204</v>
      </c>
      <c r="Q22" s="102">
        <f t="shared" si="4"/>
        <v>1246.3</v>
      </c>
    </row>
    <row r="23" spans="1:17">
      <c r="A23" s="102">
        <v>1981</v>
      </c>
      <c r="B23" s="102">
        <v>6.4</v>
      </c>
      <c r="C23" s="102">
        <v>7.5</v>
      </c>
      <c r="D23" s="102">
        <v>8</v>
      </c>
      <c r="E23" s="102">
        <v>45.1</v>
      </c>
      <c r="F23" s="102">
        <v>131.80000000000001</v>
      </c>
      <c r="G23" s="102">
        <v>260.8</v>
      </c>
      <c r="H23" s="102">
        <v>145.5</v>
      </c>
      <c r="I23" s="102">
        <v>136</v>
      </c>
      <c r="J23" s="102">
        <v>62.2</v>
      </c>
      <c r="K23" s="102">
        <v>23.9</v>
      </c>
      <c r="L23" s="102">
        <v>32</v>
      </c>
      <c r="M23" s="102">
        <v>4.9000000000000004</v>
      </c>
      <c r="N23" s="102">
        <f t="shared" si="1"/>
        <v>67</v>
      </c>
      <c r="O23" s="102">
        <f t="shared" si="2"/>
        <v>736.30000000000007</v>
      </c>
      <c r="P23" s="102">
        <f t="shared" si="3"/>
        <v>60.8</v>
      </c>
      <c r="Q23" s="102">
        <f t="shared" si="4"/>
        <v>864.1</v>
      </c>
    </row>
    <row r="24" spans="1:17">
      <c r="A24" s="102">
        <v>1982</v>
      </c>
      <c r="B24" s="102">
        <v>10.5</v>
      </c>
      <c r="C24" s="102">
        <v>54.2</v>
      </c>
      <c r="D24" s="102">
        <v>9.3000000000000007</v>
      </c>
      <c r="E24" s="102">
        <v>70.099999999999994</v>
      </c>
      <c r="F24" s="102">
        <v>111.2</v>
      </c>
      <c r="G24" s="102">
        <v>268</v>
      </c>
      <c r="H24" s="102">
        <v>155.4</v>
      </c>
      <c r="I24" s="102">
        <v>144.80000000000001</v>
      </c>
      <c r="J24" s="102">
        <v>214.8</v>
      </c>
      <c r="K24" s="102">
        <v>70.099999999999994</v>
      </c>
      <c r="L24" s="102">
        <v>25.2</v>
      </c>
      <c r="M24" s="102">
        <v>5.2</v>
      </c>
      <c r="N24" s="102">
        <f t="shared" si="1"/>
        <v>144.1</v>
      </c>
      <c r="O24" s="102">
        <f t="shared" si="2"/>
        <v>894.2</v>
      </c>
      <c r="P24" s="102">
        <f t="shared" si="3"/>
        <v>100.5</v>
      </c>
      <c r="Q24" s="102">
        <f t="shared" si="4"/>
        <v>1138.8</v>
      </c>
    </row>
    <row r="25" spans="1:17">
      <c r="A25" s="102">
        <v>1983</v>
      </c>
      <c r="B25" s="102">
        <v>48.6</v>
      </c>
      <c r="C25" s="102">
        <v>32.1</v>
      </c>
      <c r="D25" s="102">
        <v>19.3</v>
      </c>
      <c r="E25" s="102">
        <v>24.5</v>
      </c>
      <c r="F25" s="102">
        <v>237</v>
      </c>
      <c r="G25" s="102">
        <v>210.3</v>
      </c>
      <c r="H25" s="102">
        <v>204.3</v>
      </c>
      <c r="I25" s="102">
        <v>135</v>
      </c>
      <c r="J25" s="102">
        <v>192.8</v>
      </c>
      <c r="K25" s="102">
        <v>95.1</v>
      </c>
      <c r="L25" s="102">
        <v>58.4</v>
      </c>
      <c r="M25" s="102">
        <v>13.7</v>
      </c>
      <c r="N25" s="102">
        <f t="shared" si="1"/>
        <v>124.5</v>
      </c>
      <c r="O25" s="102">
        <f t="shared" si="2"/>
        <v>979.40000000000009</v>
      </c>
      <c r="P25" s="102">
        <f t="shared" si="3"/>
        <v>167.2</v>
      </c>
      <c r="Q25" s="102">
        <f t="shared" si="4"/>
        <v>1271.0999999999999</v>
      </c>
    </row>
    <row r="26" spans="1:17">
      <c r="A26" s="102">
        <v>1984</v>
      </c>
      <c r="B26" s="102">
        <v>2.7</v>
      </c>
      <c r="C26" s="102">
        <v>1.2</v>
      </c>
      <c r="D26" s="102">
        <v>2.9</v>
      </c>
      <c r="E26" s="102">
        <v>48.4</v>
      </c>
      <c r="F26" s="102">
        <v>187.9</v>
      </c>
      <c r="G26" s="102">
        <v>146.30000000000001</v>
      </c>
      <c r="H26" s="102">
        <v>198.6</v>
      </c>
      <c r="I26" s="102">
        <v>78.3</v>
      </c>
      <c r="J26" s="102">
        <v>61.3</v>
      </c>
      <c r="K26" s="102">
        <v>49.4</v>
      </c>
      <c r="L26" s="102">
        <v>5.6</v>
      </c>
      <c r="M26" s="102">
        <v>14.3</v>
      </c>
      <c r="N26" s="102">
        <f t="shared" si="1"/>
        <v>55.2</v>
      </c>
      <c r="O26" s="102">
        <f t="shared" si="2"/>
        <v>672.4</v>
      </c>
      <c r="P26" s="102">
        <f t="shared" si="3"/>
        <v>69.3</v>
      </c>
      <c r="Q26" s="102">
        <f t="shared" si="4"/>
        <v>796.89999999999986</v>
      </c>
    </row>
    <row r="27" spans="1:17">
      <c r="A27" s="102">
        <v>1985</v>
      </c>
      <c r="B27" s="102">
        <v>7.7</v>
      </c>
      <c r="C27" s="102">
        <v>1.9</v>
      </c>
      <c r="D27" s="102">
        <v>10</v>
      </c>
      <c r="E27" s="102">
        <v>43.5</v>
      </c>
      <c r="F27" s="102">
        <v>113.3</v>
      </c>
      <c r="G27" s="102">
        <v>319.7</v>
      </c>
      <c r="H27" s="102">
        <v>358.6</v>
      </c>
      <c r="I27" s="102">
        <v>202.6</v>
      </c>
      <c r="J27" s="102">
        <v>100.6</v>
      </c>
      <c r="K27" s="102">
        <v>47.5</v>
      </c>
      <c r="L27" s="102">
        <v>10.9</v>
      </c>
      <c r="M27" s="102">
        <v>7.9</v>
      </c>
      <c r="N27" s="102">
        <f t="shared" si="1"/>
        <v>63.1</v>
      </c>
      <c r="O27" s="102">
        <f t="shared" si="2"/>
        <v>1094.8</v>
      </c>
      <c r="P27" s="102">
        <f t="shared" si="3"/>
        <v>66.3</v>
      </c>
      <c r="Q27" s="102">
        <f t="shared" si="4"/>
        <v>1224.2</v>
      </c>
    </row>
    <row r="28" spans="1:17">
      <c r="A28" s="102">
        <v>1986</v>
      </c>
      <c r="B28" s="102">
        <v>2.2000000000000002</v>
      </c>
      <c r="C28" s="102">
        <v>14.9</v>
      </c>
      <c r="D28" s="102">
        <v>12.4</v>
      </c>
      <c r="E28" s="102">
        <v>51.9</v>
      </c>
      <c r="F28" s="102">
        <v>114.2</v>
      </c>
      <c r="G28" s="102">
        <v>334.2</v>
      </c>
      <c r="H28" s="102">
        <v>293.8</v>
      </c>
      <c r="I28" s="102">
        <v>147</v>
      </c>
      <c r="J28" s="102">
        <v>88.5</v>
      </c>
      <c r="K28" s="102">
        <v>104.2</v>
      </c>
      <c r="L28" s="102">
        <v>18.3</v>
      </c>
      <c r="M28" s="102">
        <v>2</v>
      </c>
      <c r="N28" s="102">
        <f t="shared" si="1"/>
        <v>81.400000000000006</v>
      </c>
      <c r="O28" s="102">
        <f t="shared" si="2"/>
        <v>977.7</v>
      </c>
      <c r="P28" s="102">
        <f t="shared" si="3"/>
        <v>124.5</v>
      </c>
      <c r="Q28" s="102">
        <f t="shared" si="4"/>
        <v>1183.5999999999999</v>
      </c>
    </row>
    <row r="29" spans="1:17">
      <c r="A29" s="102">
        <v>1987</v>
      </c>
      <c r="B29" s="102">
        <v>11.4</v>
      </c>
      <c r="C29" s="102">
        <v>3.6</v>
      </c>
      <c r="D29" s="102">
        <v>6.4</v>
      </c>
      <c r="E29" s="102">
        <v>5.6</v>
      </c>
      <c r="F29" s="102">
        <v>116.9</v>
      </c>
      <c r="G29" s="102">
        <v>427.2</v>
      </c>
      <c r="H29" s="102">
        <v>252.3</v>
      </c>
      <c r="I29" s="102">
        <v>206.3</v>
      </c>
      <c r="J29" s="102">
        <v>120.7</v>
      </c>
      <c r="K29" s="102">
        <v>54.3</v>
      </c>
      <c r="L29" s="102">
        <v>37.4</v>
      </c>
      <c r="M29" s="102">
        <v>15.1</v>
      </c>
      <c r="N29" s="102">
        <f t="shared" si="1"/>
        <v>27</v>
      </c>
      <c r="O29" s="102">
        <f t="shared" si="2"/>
        <v>1123.4000000000001</v>
      </c>
      <c r="P29" s="102">
        <f t="shared" si="3"/>
        <v>106.79999999999998</v>
      </c>
      <c r="Q29" s="102">
        <f t="shared" si="4"/>
        <v>1257.2</v>
      </c>
    </row>
    <row r="30" spans="1:17">
      <c r="A30" s="102">
        <v>1988</v>
      </c>
      <c r="B30" s="102">
        <v>9.4</v>
      </c>
      <c r="C30" s="102">
        <v>9.6</v>
      </c>
      <c r="D30" s="102">
        <v>0.9</v>
      </c>
      <c r="E30" s="102">
        <v>24.2</v>
      </c>
      <c r="F30" s="102">
        <v>136.5</v>
      </c>
      <c r="G30" s="102">
        <v>130.1</v>
      </c>
      <c r="H30" s="102">
        <v>309.7</v>
      </c>
      <c r="I30" s="102">
        <v>362.2</v>
      </c>
      <c r="J30" s="102">
        <v>157.30000000000001</v>
      </c>
      <c r="K30" s="102">
        <v>41.1</v>
      </c>
      <c r="L30" s="102">
        <v>8.6999999999999993</v>
      </c>
      <c r="M30" s="102">
        <v>2</v>
      </c>
      <c r="N30" s="102">
        <f t="shared" si="1"/>
        <v>44.099999999999994</v>
      </c>
      <c r="O30" s="102">
        <f t="shared" si="2"/>
        <v>1095.8</v>
      </c>
      <c r="P30" s="102">
        <f t="shared" si="3"/>
        <v>51.8</v>
      </c>
      <c r="Q30" s="102">
        <f t="shared" si="4"/>
        <v>1191.6999999999998</v>
      </c>
    </row>
    <row r="31" spans="1:17">
      <c r="A31" s="102">
        <v>1989</v>
      </c>
      <c r="B31" s="102">
        <v>5.5</v>
      </c>
      <c r="C31" s="102">
        <v>2.2000000000000002</v>
      </c>
      <c r="D31" s="102">
        <v>26</v>
      </c>
      <c r="E31" s="102">
        <v>19.5</v>
      </c>
      <c r="F31" s="102">
        <v>83.6</v>
      </c>
      <c r="G31" s="102">
        <v>136.19999999999999</v>
      </c>
      <c r="H31" s="102">
        <v>143.30000000000001</v>
      </c>
      <c r="I31" s="102">
        <v>55.9</v>
      </c>
      <c r="J31" s="102">
        <v>158</v>
      </c>
      <c r="K31" s="102">
        <v>61.4</v>
      </c>
      <c r="L31" s="102">
        <v>17.5</v>
      </c>
      <c r="M31" s="102">
        <v>20.9</v>
      </c>
      <c r="N31" s="102">
        <f t="shared" si="1"/>
        <v>53.2</v>
      </c>
      <c r="O31" s="102">
        <f t="shared" si="2"/>
        <v>577</v>
      </c>
      <c r="P31" s="102">
        <f t="shared" si="3"/>
        <v>99.800000000000011</v>
      </c>
      <c r="Q31" s="102">
        <f t="shared" si="4"/>
        <v>730</v>
      </c>
    </row>
    <row r="32" spans="1:17">
      <c r="A32" s="102">
        <v>1990</v>
      </c>
      <c r="B32" s="102">
        <v>3</v>
      </c>
      <c r="C32" s="102">
        <v>10.4</v>
      </c>
      <c r="D32" s="102">
        <v>61.3</v>
      </c>
      <c r="E32" s="102">
        <v>21.9</v>
      </c>
      <c r="F32" s="102">
        <v>204.6</v>
      </c>
      <c r="G32" s="102">
        <v>184.6</v>
      </c>
      <c r="H32" s="102">
        <v>131.4</v>
      </c>
      <c r="I32" s="102">
        <v>75.900000000000006</v>
      </c>
      <c r="J32" s="102">
        <v>99</v>
      </c>
      <c r="K32" s="102">
        <v>101</v>
      </c>
      <c r="L32" s="102">
        <v>27.1</v>
      </c>
      <c r="M32" s="102">
        <v>1.7</v>
      </c>
      <c r="N32" s="102">
        <f t="shared" si="1"/>
        <v>96.6</v>
      </c>
      <c r="O32" s="102">
        <f t="shared" si="2"/>
        <v>695.5</v>
      </c>
      <c r="P32" s="102">
        <f t="shared" si="3"/>
        <v>129.79999999999998</v>
      </c>
      <c r="Q32" s="102">
        <f t="shared" si="4"/>
        <v>921.9</v>
      </c>
    </row>
    <row r="33" spans="1:17">
      <c r="A33" s="102">
        <v>1991</v>
      </c>
      <c r="B33" s="102">
        <v>35.799999999999997</v>
      </c>
      <c r="C33" s="102">
        <v>7.1</v>
      </c>
      <c r="D33" s="102">
        <v>5.2</v>
      </c>
      <c r="E33" s="102">
        <v>49.7</v>
      </c>
      <c r="F33" s="102">
        <v>30.5</v>
      </c>
      <c r="G33" s="102">
        <v>300.39999999999998</v>
      </c>
      <c r="H33" s="102">
        <v>443.6</v>
      </c>
      <c r="I33" s="102">
        <v>218.1</v>
      </c>
      <c r="J33" s="102">
        <v>210.4</v>
      </c>
      <c r="K33" s="102">
        <v>69.8</v>
      </c>
      <c r="L33" s="102">
        <v>33.700000000000003</v>
      </c>
      <c r="M33" s="102">
        <v>13.1</v>
      </c>
      <c r="N33" s="102">
        <f t="shared" si="1"/>
        <v>97.800000000000011</v>
      </c>
      <c r="O33" s="102">
        <f t="shared" si="2"/>
        <v>1203</v>
      </c>
      <c r="P33" s="102">
        <f t="shared" si="3"/>
        <v>116.6</v>
      </c>
      <c r="Q33" s="102">
        <f t="shared" si="4"/>
        <v>1417.3999999999999</v>
      </c>
    </row>
    <row r="34" spans="1:17">
      <c r="A34" s="102">
        <v>1992</v>
      </c>
      <c r="B34" s="102">
        <v>21.8</v>
      </c>
      <c r="C34" s="102">
        <v>32.5</v>
      </c>
      <c r="D34" s="102">
        <v>16.2</v>
      </c>
      <c r="E34" s="102">
        <v>56.2</v>
      </c>
      <c r="F34" s="102">
        <v>98.1</v>
      </c>
      <c r="G34" s="102">
        <v>88.1</v>
      </c>
      <c r="H34" s="102">
        <v>185</v>
      </c>
      <c r="I34" s="102">
        <v>195.2</v>
      </c>
      <c r="J34" s="102">
        <v>80.2</v>
      </c>
      <c r="K34" s="102">
        <v>92.7</v>
      </c>
      <c r="L34" s="102">
        <v>9.9</v>
      </c>
      <c r="M34" s="102">
        <v>3.6</v>
      </c>
      <c r="N34" s="102">
        <f t="shared" si="1"/>
        <v>126.7</v>
      </c>
      <c r="O34" s="102">
        <f t="shared" si="2"/>
        <v>646.6</v>
      </c>
      <c r="P34" s="102">
        <f t="shared" si="3"/>
        <v>106.2</v>
      </c>
      <c r="Q34" s="102">
        <f t="shared" si="4"/>
        <v>879.5</v>
      </c>
    </row>
    <row r="35" spans="1:17">
      <c r="A35" s="102">
        <v>1993</v>
      </c>
      <c r="B35" s="102">
        <v>31.1</v>
      </c>
      <c r="C35" s="102">
        <v>29.6</v>
      </c>
      <c r="D35" s="102">
        <v>4.9000000000000004</v>
      </c>
      <c r="E35" s="102">
        <v>46.5</v>
      </c>
      <c r="F35" s="102">
        <v>80</v>
      </c>
      <c r="G35" s="102">
        <v>158</v>
      </c>
      <c r="H35" s="102">
        <v>135.69999999999999</v>
      </c>
      <c r="I35" s="102">
        <v>357.5</v>
      </c>
      <c r="J35" s="102">
        <v>287.8</v>
      </c>
      <c r="K35" s="102">
        <v>44.6</v>
      </c>
      <c r="L35" s="102">
        <v>19</v>
      </c>
      <c r="M35" s="102">
        <v>4.7</v>
      </c>
      <c r="N35" s="102">
        <f t="shared" si="1"/>
        <v>112.10000000000001</v>
      </c>
      <c r="O35" s="102">
        <f t="shared" si="2"/>
        <v>1019</v>
      </c>
      <c r="P35" s="102">
        <f t="shared" si="3"/>
        <v>68.3</v>
      </c>
      <c r="Q35" s="102">
        <f t="shared" si="4"/>
        <v>1199.3999999999999</v>
      </c>
    </row>
    <row r="36" spans="1:17">
      <c r="A36" s="102">
        <v>1994</v>
      </c>
      <c r="B36" s="102">
        <v>2</v>
      </c>
      <c r="C36" s="102">
        <v>8.3000000000000007</v>
      </c>
      <c r="D36" s="102">
        <v>69.599999999999994</v>
      </c>
      <c r="E36" s="102">
        <v>1.4</v>
      </c>
      <c r="F36" s="102">
        <v>250.9</v>
      </c>
      <c r="G36" s="102">
        <v>304.8</v>
      </c>
      <c r="H36" s="102">
        <v>90</v>
      </c>
      <c r="I36" s="102">
        <v>164.1</v>
      </c>
      <c r="J36" s="102">
        <v>155.1</v>
      </c>
      <c r="K36" s="102">
        <v>95.6</v>
      </c>
      <c r="L36" s="102">
        <v>55.4</v>
      </c>
      <c r="M36" s="102">
        <v>12.4</v>
      </c>
      <c r="N36" s="102">
        <f t="shared" si="1"/>
        <v>81.3</v>
      </c>
      <c r="O36" s="102">
        <f t="shared" si="2"/>
        <v>964.90000000000009</v>
      </c>
      <c r="P36" s="102">
        <f t="shared" si="3"/>
        <v>163.4</v>
      </c>
      <c r="Q36" s="102">
        <f t="shared" si="4"/>
        <v>1209.6000000000001</v>
      </c>
    </row>
    <row r="37" spans="1:17">
      <c r="A37" s="102">
        <v>1995</v>
      </c>
      <c r="B37" s="102">
        <v>38.4</v>
      </c>
      <c r="C37" s="102">
        <v>23.1</v>
      </c>
      <c r="D37" s="102">
        <v>9</v>
      </c>
      <c r="E37" s="102">
        <v>28.2</v>
      </c>
      <c r="F37" s="102">
        <v>105.2</v>
      </c>
      <c r="G37" s="102">
        <v>152.6</v>
      </c>
      <c r="H37" s="102">
        <v>213.1</v>
      </c>
      <c r="I37" s="102">
        <v>160.4</v>
      </c>
      <c r="J37" s="102">
        <v>268.89999999999998</v>
      </c>
      <c r="K37" s="102">
        <v>109.8</v>
      </c>
      <c r="L37" s="102">
        <v>34.299999999999997</v>
      </c>
      <c r="M37" s="102">
        <v>3.3</v>
      </c>
      <c r="N37" s="102">
        <f t="shared" si="1"/>
        <v>98.7</v>
      </c>
      <c r="O37" s="102">
        <f t="shared" si="2"/>
        <v>900.19999999999993</v>
      </c>
      <c r="P37" s="102">
        <f t="shared" si="3"/>
        <v>147.4</v>
      </c>
      <c r="Q37" s="102">
        <f t="shared" si="4"/>
        <v>1146.3</v>
      </c>
    </row>
    <row r="38" spans="1:17">
      <c r="A38" s="102">
        <v>1996</v>
      </c>
      <c r="B38" s="102">
        <v>2.9</v>
      </c>
      <c r="C38" s="102">
        <v>12.3</v>
      </c>
      <c r="D38" s="102">
        <v>32.200000000000003</v>
      </c>
      <c r="E38" s="102">
        <v>35.200000000000003</v>
      </c>
      <c r="F38" s="102">
        <v>63.9</v>
      </c>
      <c r="G38" s="102">
        <v>275.39999999999998</v>
      </c>
      <c r="H38" s="102">
        <v>218.1</v>
      </c>
      <c r="I38" s="102">
        <v>80.2</v>
      </c>
      <c r="J38" s="102">
        <v>166.5</v>
      </c>
      <c r="K38" s="102">
        <v>29</v>
      </c>
      <c r="L38" s="102">
        <v>53.6</v>
      </c>
      <c r="M38" s="102">
        <v>5.0999999999999996</v>
      </c>
      <c r="N38" s="102">
        <f t="shared" si="1"/>
        <v>82.600000000000009</v>
      </c>
      <c r="O38" s="102">
        <f t="shared" si="2"/>
        <v>804.1</v>
      </c>
      <c r="P38" s="102">
        <f t="shared" si="3"/>
        <v>87.699999999999989</v>
      </c>
      <c r="Q38" s="102">
        <f t="shared" si="4"/>
        <v>974.40000000000009</v>
      </c>
    </row>
    <row r="39" spans="1:17">
      <c r="A39" s="102">
        <v>1997</v>
      </c>
      <c r="B39" s="102">
        <v>31.7</v>
      </c>
      <c r="C39" s="102">
        <v>21.8</v>
      </c>
      <c r="D39" s="102">
        <v>35.9</v>
      </c>
      <c r="E39" s="102">
        <v>92</v>
      </c>
      <c r="F39" s="102">
        <v>83.3</v>
      </c>
      <c r="G39" s="102">
        <v>271.60000000000002</v>
      </c>
      <c r="H39" s="102">
        <v>367.5</v>
      </c>
      <c r="I39" s="102">
        <v>120.6</v>
      </c>
      <c r="J39" s="102">
        <v>207.4</v>
      </c>
      <c r="K39" s="102">
        <v>165.5</v>
      </c>
      <c r="L39" s="102">
        <v>0.2</v>
      </c>
      <c r="M39" s="102">
        <v>0.6</v>
      </c>
      <c r="N39" s="102">
        <f t="shared" si="1"/>
        <v>181.4</v>
      </c>
      <c r="O39" s="102">
        <f t="shared" si="2"/>
        <v>1050.4000000000001</v>
      </c>
      <c r="P39" s="102">
        <f t="shared" si="3"/>
        <v>166.29999999999998</v>
      </c>
      <c r="Q39" s="102">
        <f t="shared" si="4"/>
        <v>1398.1</v>
      </c>
    </row>
    <row r="40" spans="1:17">
      <c r="A40" s="102">
        <v>1998</v>
      </c>
      <c r="B40" s="102">
        <v>22.7</v>
      </c>
      <c r="C40" s="102">
        <v>4</v>
      </c>
      <c r="D40" s="102">
        <v>31.3</v>
      </c>
      <c r="E40" s="102">
        <v>78.599999999999994</v>
      </c>
      <c r="F40" s="102">
        <v>188.4</v>
      </c>
      <c r="G40" s="102">
        <v>194.9</v>
      </c>
      <c r="H40" s="102">
        <v>376.6</v>
      </c>
      <c r="I40" s="102">
        <v>144.4</v>
      </c>
      <c r="J40" s="102">
        <v>77.7</v>
      </c>
      <c r="K40" s="102">
        <v>121.4</v>
      </c>
      <c r="L40" s="102">
        <v>33.9</v>
      </c>
      <c r="M40" s="102">
        <v>2.5</v>
      </c>
      <c r="N40" s="102">
        <f t="shared" si="1"/>
        <v>136.6</v>
      </c>
      <c r="O40" s="102">
        <f t="shared" si="2"/>
        <v>982.00000000000011</v>
      </c>
      <c r="P40" s="102">
        <f t="shared" si="3"/>
        <v>157.80000000000001</v>
      </c>
      <c r="Q40" s="102">
        <f t="shared" si="4"/>
        <v>1276.4000000000003</v>
      </c>
    </row>
    <row r="41" spans="1:17">
      <c r="A41" s="102">
        <v>1999</v>
      </c>
      <c r="B41" s="102">
        <v>21.7</v>
      </c>
      <c r="C41" s="102">
        <v>0.5</v>
      </c>
      <c r="D41" s="102">
        <v>11.4</v>
      </c>
      <c r="E41" s="102">
        <v>57.8</v>
      </c>
      <c r="F41" s="102">
        <v>145.30000000000001</v>
      </c>
      <c r="G41" s="102">
        <v>128.5</v>
      </c>
      <c r="H41" s="102">
        <v>307.5</v>
      </c>
      <c r="I41" s="102">
        <v>209.2</v>
      </c>
      <c r="J41" s="102">
        <v>67.3</v>
      </c>
      <c r="K41" s="102">
        <v>52.1</v>
      </c>
      <c r="L41" s="102">
        <v>33.200000000000003</v>
      </c>
      <c r="M41" s="102">
        <v>7.3</v>
      </c>
      <c r="N41" s="102">
        <f t="shared" si="1"/>
        <v>91.4</v>
      </c>
      <c r="O41" s="102">
        <f t="shared" si="2"/>
        <v>857.8</v>
      </c>
      <c r="P41" s="102">
        <f t="shared" si="3"/>
        <v>92.600000000000009</v>
      </c>
      <c r="Q41" s="102">
        <f t="shared" si="4"/>
        <v>1041.8</v>
      </c>
    </row>
    <row r="42" spans="1:17">
      <c r="A42" s="102">
        <v>2000</v>
      </c>
      <c r="B42" s="102">
        <v>18.8</v>
      </c>
      <c r="C42" s="102">
        <v>18.399999999999999</v>
      </c>
      <c r="D42" s="102">
        <v>31.2</v>
      </c>
      <c r="E42" s="102">
        <v>87.2</v>
      </c>
      <c r="F42" s="102">
        <v>75.5</v>
      </c>
      <c r="G42" s="102">
        <v>447.2</v>
      </c>
      <c r="H42" s="102">
        <v>263.7</v>
      </c>
      <c r="I42" s="102">
        <v>275.89999999999998</v>
      </c>
      <c r="J42" s="102">
        <v>61.9</v>
      </c>
      <c r="K42" s="102">
        <v>141.30000000000001</v>
      </c>
      <c r="L42" s="102">
        <v>3.2</v>
      </c>
      <c r="M42" s="102">
        <v>14.7</v>
      </c>
      <c r="N42" s="102">
        <f t="shared" si="1"/>
        <v>155.60000000000002</v>
      </c>
      <c r="O42" s="102">
        <f t="shared" si="2"/>
        <v>1124.2000000000003</v>
      </c>
      <c r="P42" s="102">
        <f t="shared" si="3"/>
        <v>159.19999999999999</v>
      </c>
      <c r="Q42" s="102">
        <f t="shared" si="4"/>
        <v>1439.0000000000002</v>
      </c>
    </row>
    <row r="43" spans="1:17">
      <c r="A43" s="102">
        <v>2001</v>
      </c>
      <c r="B43" s="102">
        <v>4.3</v>
      </c>
      <c r="C43" s="102">
        <v>8.3000000000000007</v>
      </c>
      <c r="D43" s="102">
        <v>19.100000000000001</v>
      </c>
      <c r="E43" s="102">
        <v>1.8</v>
      </c>
      <c r="F43" s="102">
        <v>150.1</v>
      </c>
      <c r="G43" s="102">
        <v>319.2</v>
      </c>
      <c r="H43" s="102">
        <v>235.6</v>
      </c>
      <c r="I43" s="102">
        <v>142.6</v>
      </c>
      <c r="J43" s="102">
        <v>132.19999999999999</v>
      </c>
      <c r="K43" s="102">
        <v>142.4</v>
      </c>
      <c r="L43" s="102">
        <v>14.6</v>
      </c>
      <c r="M43" s="102">
        <v>0.4</v>
      </c>
      <c r="N43" s="102">
        <f t="shared" si="1"/>
        <v>33.5</v>
      </c>
      <c r="O43" s="102">
        <f t="shared" si="2"/>
        <v>979.7</v>
      </c>
      <c r="P43" s="102">
        <f t="shared" si="3"/>
        <v>157.4</v>
      </c>
      <c r="Q43" s="102">
        <f t="shared" si="4"/>
        <v>1170.6000000000001</v>
      </c>
    </row>
    <row r="44" spans="1:17">
      <c r="A44" s="102">
        <v>2002</v>
      </c>
      <c r="B44" s="102">
        <v>19.2</v>
      </c>
      <c r="C44" s="102">
        <v>11.5</v>
      </c>
      <c r="D44" s="102">
        <v>17.100000000000001</v>
      </c>
      <c r="E44" s="102">
        <v>14.1</v>
      </c>
      <c r="F44" s="102">
        <v>150.1</v>
      </c>
      <c r="G44" s="102">
        <v>295</v>
      </c>
      <c r="H44" s="102">
        <v>170.3</v>
      </c>
      <c r="I44" s="102">
        <v>189.1</v>
      </c>
      <c r="J44" s="102">
        <v>55.8</v>
      </c>
      <c r="K44" s="102">
        <v>52.5</v>
      </c>
      <c r="L44" s="102">
        <v>5.7</v>
      </c>
      <c r="M44" s="102">
        <v>9.4</v>
      </c>
      <c r="N44" s="102">
        <f t="shared" si="1"/>
        <v>61.9</v>
      </c>
      <c r="O44" s="102">
        <f t="shared" si="2"/>
        <v>860.30000000000007</v>
      </c>
      <c r="P44" s="102">
        <f t="shared" si="3"/>
        <v>67.600000000000009</v>
      </c>
      <c r="Q44" s="102">
        <f t="shared" si="4"/>
        <v>989.8</v>
      </c>
    </row>
    <row r="45" spans="1:17">
      <c r="A45" s="102">
        <v>2003</v>
      </c>
      <c r="B45" s="102">
        <v>7.2</v>
      </c>
      <c r="C45" s="102">
        <v>1.3</v>
      </c>
      <c r="D45" s="102">
        <v>25.1</v>
      </c>
      <c r="E45" s="102">
        <v>66.3</v>
      </c>
      <c r="F45" s="102">
        <v>145.69999999999999</v>
      </c>
      <c r="G45" s="102">
        <v>202.8</v>
      </c>
      <c r="H45" s="102">
        <v>172.3</v>
      </c>
      <c r="I45" s="102">
        <v>71.5</v>
      </c>
      <c r="J45" s="102">
        <v>215.3</v>
      </c>
      <c r="K45" s="102">
        <v>23.6</v>
      </c>
      <c r="L45" s="102">
        <v>5.9</v>
      </c>
      <c r="M45" s="102">
        <v>39.299999999999997</v>
      </c>
      <c r="N45" s="102">
        <f t="shared" si="1"/>
        <v>99.9</v>
      </c>
      <c r="O45" s="102">
        <f t="shared" si="2"/>
        <v>807.59999999999991</v>
      </c>
      <c r="P45" s="102">
        <f t="shared" si="3"/>
        <v>68.8</v>
      </c>
      <c r="Q45" s="102">
        <f t="shared" si="4"/>
        <v>976.3</v>
      </c>
    </row>
    <row r="46" spans="1:17">
      <c r="A46" s="102">
        <v>2004</v>
      </c>
      <c r="B46" s="103">
        <v>19</v>
      </c>
      <c r="C46" s="103">
        <v>17</v>
      </c>
      <c r="D46" s="103">
        <v>9</v>
      </c>
      <c r="E46" s="103">
        <v>36</v>
      </c>
      <c r="F46" s="103">
        <v>180</v>
      </c>
      <c r="G46" s="103">
        <v>214</v>
      </c>
      <c r="H46" s="103">
        <v>309</v>
      </c>
      <c r="I46" s="103">
        <v>232</v>
      </c>
      <c r="J46" s="103">
        <v>81</v>
      </c>
      <c r="K46" s="103">
        <v>15</v>
      </c>
      <c r="L46" s="103">
        <v>28</v>
      </c>
      <c r="M46" s="103">
        <v>15</v>
      </c>
      <c r="N46" s="102">
        <f t="shared" si="1"/>
        <v>81</v>
      </c>
      <c r="O46" s="102">
        <f t="shared" si="2"/>
        <v>1016</v>
      </c>
      <c r="P46" s="102">
        <f t="shared" si="3"/>
        <v>58</v>
      </c>
      <c r="Q46" s="102">
        <f t="shared" si="4"/>
        <v>1155</v>
      </c>
    </row>
    <row r="47" spans="1:17">
      <c r="A47" s="102">
        <v>2005</v>
      </c>
      <c r="B47" s="103">
        <v>26.3</v>
      </c>
      <c r="C47" s="103">
        <v>3</v>
      </c>
      <c r="D47" s="103">
        <v>14.9</v>
      </c>
      <c r="E47" s="103">
        <v>61.5</v>
      </c>
      <c r="F47" s="103">
        <v>166.6</v>
      </c>
      <c r="G47" s="103">
        <v>238.1</v>
      </c>
      <c r="H47" s="103">
        <v>197.5</v>
      </c>
      <c r="I47" s="103">
        <v>147.5</v>
      </c>
      <c r="J47" s="103">
        <v>190.9</v>
      </c>
      <c r="K47" s="102">
        <v>69.900000000000006</v>
      </c>
      <c r="L47" s="102">
        <v>7</v>
      </c>
      <c r="M47" s="102">
        <v>17.899999999999999</v>
      </c>
      <c r="N47" s="102">
        <f t="shared" si="1"/>
        <v>105.7</v>
      </c>
      <c r="O47" s="102">
        <f t="shared" si="2"/>
        <v>940.6</v>
      </c>
      <c r="P47" s="102">
        <f t="shared" si="3"/>
        <v>94.800000000000011</v>
      </c>
      <c r="Q47" s="102">
        <f t="shared" si="4"/>
        <v>1141.1000000000001</v>
      </c>
    </row>
    <row r="48" spans="1:17">
      <c r="A48" s="102">
        <v>2006</v>
      </c>
      <c r="B48" s="102">
        <v>0.9</v>
      </c>
      <c r="C48" s="102">
        <v>25</v>
      </c>
      <c r="D48" s="102">
        <v>6.7</v>
      </c>
      <c r="E48" s="102">
        <v>14.5</v>
      </c>
      <c r="F48" s="102">
        <v>153.6</v>
      </c>
      <c r="G48" s="102">
        <v>242.5</v>
      </c>
      <c r="H48" s="102">
        <v>137.6</v>
      </c>
      <c r="I48" s="102">
        <v>80.2</v>
      </c>
      <c r="J48" s="102">
        <v>79.400000000000006</v>
      </c>
      <c r="K48" s="102">
        <v>159.9</v>
      </c>
      <c r="L48" s="102">
        <v>2.7</v>
      </c>
      <c r="M48" s="102">
        <v>5.4</v>
      </c>
      <c r="N48" s="102">
        <f t="shared" si="1"/>
        <v>47.1</v>
      </c>
      <c r="O48" s="102">
        <f t="shared" si="2"/>
        <v>693.30000000000007</v>
      </c>
      <c r="P48" s="102">
        <f t="shared" si="3"/>
        <v>168</v>
      </c>
      <c r="Q48" s="102">
        <f t="shared" si="4"/>
        <v>908.4</v>
      </c>
    </row>
    <row r="49" spans="1:33">
      <c r="A49" s="102">
        <v>2007</v>
      </c>
      <c r="B49" s="102">
        <v>21.3</v>
      </c>
      <c r="C49" s="102">
        <v>5.7</v>
      </c>
      <c r="D49" s="102">
        <v>3.6</v>
      </c>
      <c r="E49" s="102">
        <v>79.8</v>
      </c>
      <c r="F49" s="102">
        <v>131.19999999999999</v>
      </c>
      <c r="G49" s="102">
        <v>285.39999999999998</v>
      </c>
      <c r="H49" s="102">
        <v>299.10000000000002</v>
      </c>
      <c r="I49" s="102">
        <v>163.1</v>
      </c>
      <c r="J49" s="102">
        <v>79.2</v>
      </c>
      <c r="K49" s="102">
        <v>38.200000000000003</v>
      </c>
      <c r="L49" s="102">
        <v>12</v>
      </c>
      <c r="M49" s="102">
        <v>2.9</v>
      </c>
      <c r="N49" s="102">
        <f t="shared" si="1"/>
        <v>110.4</v>
      </c>
      <c r="O49" s="102">
        <f t="shared" si="2"/>
        <v>958.00000000000011</v>
      </c>
      <c r="P49" s="102">
        <f t="shared" si="3"/>
        <v>53.1</v>
      </c>
      <c r="Q49" s="102">
        <f t="shared" si="4"/>
        <v>1121.5000000000002</v>
      </c>
    </row>
    <row r="50" spans="1:33">
      <c r="A50" s="102">
        <v>2008</v>
      </c>
      <c r="B50" s="103">
        <v>18.5</v>
      </c>
      <c r="C50" s="103">
        <v>18.100000000000001</v>
      </c>
      <c r="D50" s="103">
        <v>33.700000000000003</v>
      </c>
      <c r="E50" s="103">
        <v>31.2</v>
      </c>
      <c r="F50" s="103">
        <v>146.69999999999999</v>
      </c>
      <c r="G50" s="103">
        <v>260.2</v>
      </c>
      <c r="H50" s="103">
        <v>164.2</v>
      </c>
      <c r="I50" s="103">
        <v>106.4</v>
      </c>
      <c r="J50" s="103">
        <v>69.5</v>
      </c>
      <c r="K50" s="103">
        <v>113.4</v>
      </c>
      <c r="L50" s="102">
        <v>66.8</v>
      </c>
      <c r="M50" s="102">
        <v>19</v>
      </c>
      <c r="N50" s="102">
        <f t="shared" si="1"/>
        <v>101.50000000000001</v>
      </c>
      <c r="O50" s="102">
        <f t="shared" si="2"/>
        <v>746.99999999999989</v>
      </c>
      <c r="P50" s="102">
        <f t="shared" si="3"/>
        <v>199.2</v>
      </c>
      <c r="Q50" s="102">
        <f t="shared" si="4"/>
        <v>1047.6999999999998</v>
      </c>
    </row>
    <row r="51" spans="1:33">
      <c r="A51" s="102">
        <v>2009</v>
      </c>
      <c r="B51" s="102">
        <v>4.9000000000000004</v>
      </c>
      <c r="C51" s="102">
        <v>1.8</v>
      </c>
      <c r="D51" s="102">
        <v>37.200000000000003</v>
      </c>
      <c r="E51" s="102">
        <v>105.8</v>
      </c>
      <c r="F51" s="102">
        <v>183</v>
      </c>
      <c r="G51" s="102">
        <v>489.1</v>
      </c>
      <c r="H51" s="102">
        <v>247.5</v>
      </c>
      <c r="I51" s="102">
        <v>101.1</v>
      </c>
      <c r="J51" s="102">
        <v>47.5</v>
      </c>
      <c r="K51" s="102">
        <v>29.9</v>
      </c>
      <c r="L51" s="102">
        <v>2.1</v>
      </c>
      <c r="M51" s="102">
        <v>3.8</v>
      </c>
      <c r="N51" s="102">
        <f t="shared" si="1"/>
        <v>149.69999999999999</v>
      </c>
      <c r="O51" s="102">
        <f t="shared" si="2"/>
        <v>1068.2</v>
      </c>
      <c r="P51" s="102">
        <f t="shared" si="3"/>
        <v>35.799999999999997</v>
      </c>
      <c r="Q51" s="102">
        <f t="shared" si="4"/>
        <v>1253.6999999999998</v>
      </c>
    </row>
    <row r="52" spans="1:33">
      <c r="A52" s="102">
        <v>2010</v>
      </c>
      <c r="B52" s="102">
        <v>3.2</v>
      </c>
      <c r="C52" s="102">
        <v>0.6</v>
      </c>
      <c r="D52" s="102">
        <v>0</v>
      </c>
      <c r="E52" s="102">
        <v>44.9</v>
      </c>
      <c r="F52" s="102">
        <v>104.3</v>
      </c>
      <c r="G52" s="102">
        <v>167.1</v>
      </c>
      <c r="H52" s="102">
        <v>228.4</v>
      </c>
      <c r="I52" s="102">
        <v>216.3</v>
      </c>
      <c r="J52" s="102">
        <v>120.8</v>
      </c>
      <c r="K52" s="102">
        <v>109.6</v>
      </c>
      <c r="L52" s="102">
        <v>36</v>
      </c>
      <c r="M52" s="102">
        <v>13.4</v>
      </c>
      <c r="N52" s="102">
        <f t="shared" si="1"/>
        <v>48.699999999999996</v>
      </c>
      <c r="O52" s="102">
        <f t="shared" si="2"/>
        <v>836.89999999999986</v>
      </c>
      <c r="P52" s="102">
        <f t="shared" si="3"/>
        <v>159</v>
      </c>
      <c r="Q52" s="102">
        <f t="shared" si="4"/>
        <v>1044.5999999999999</v>
      </c>
    </row>
    <row r="53" spans="1:33">
      <c r="A53" s="102">
        <v>2011</v>
      </c>
      <c r="B53" s="102">
        <v>28.8</v>
      </c>
      <c r="C53" s="102">
        <v>0.3</v>
      </c>
      <c r="D53" s="102">
        <v>6.5</v>
      </c>
      <c r="E53" s="102">
        <v>8.4</v>
      </c>
      <c r="F53" s="102">
        <v>23.1</v>
      </c>
      <c r="G53" s="102">
        <v>222.6</v>
      </c>
      <c r="H53" s="102">
        <v>55.2</v>
      </c>
      <c r="I53" s="102">
        <v>173.6</v>
      </c>
      <c r="J53" s="102">
        <v>146.19999999999999</v>
      </c>
      <c r="K53" s="102">
        <v>70.3</v>
      </c>
      <c r="L53" s="102">
        <v>39.1</v>
      </c>
      <c r="M53" s="102">
        <v>7.5</v>
      </c>
      <c r="N53" s="102">
        <f t="shared" si="1"/>
        <v>44</v>
      </c>
      <c r="O53" s="102">
        <f t="shared" si="2"/>
        <v>620.70000000000005</v>
      </c>
      <c r="P53" s="102">
        <f t="shared" si="3"/>
        <v>116.9</v>
      </c>
      <c r="Q53" s="102">
        <f t="shared" si="4"/>
        <v>781.6</v>
      </c>
      <c r="R53" s="104"/>
      <c r="S53" s="104"/>
      <c r="T53" s="104"/>
      <c r="U53" s="104"/>
      <c r="V53" s="104"/>
      <c r="W53" s="104"/>
      <c r="X53" s="104"/>
      <c r="Y53" s="104"/>
      <c r="Z53" s="104"/>
      <c r="AA53" s="104"/>
      <c r="AB53" s="104"/>
      <c r="AC53" s="104"/>
      <c r="AD53" s="104"/>
      <c r="AE53" s="104"/>
    </row>
    <row r="54" spans="1:33">
      <c r="A54" s="102">
        <v>2012</v>
      </c>
      <c r="B54" s="102">
        <v>7.8</v>
      </c>
      <c r="C54" s="102">
        <v>2.2999999999999998</v>
      </c>
      <c r="D54" s="102">
        <v>22.5</v>
      </c>
      <c r="E54" s="102">
        <v>6.4</v>
      </c>
      <c r="F54" s="102">
        <v>65.400000000000006</v>
      </c>
      <c r="G54" s="102">
        <v>26.2</v>
      </c>
      <c r="H54" s="102">
        <v>83.9</v>
      </c>
      <c r="I54" s="102">
        <v>44.4</v>
      </c>
      <c r="J54" s="102">
        <v>32.6</v>
      </c>
      <c r="K54" s="102">
        <v>17</v>
      </c>
      <c r="L54" s="102">
        <v>5.3</v>
      </c>
      <c r="M54" s="102">
        <v>0.5</v>
      </c>
      <c r="N54" s="102">
        <f t="shared" si="1"/>
        <v>39</v>
      </c>
      <c r="O54" s="102">
        <f t="shared" si="2"/>
        <v>252.5</v>
      </c>
      <c r="P54" s="102">
        <f t="shared" si="3"/>
        <v>22.8</v>
      </c>
      <c r="Q54" s="102">
        <f t="shared" si="4"/>
        <v>314.3</v>
      </c>
      <c r="R54" s="104"/>
      <c r="S54" s="104"/>
      <c r="T54" s="104"/>
      <c r="U54" s="104"/>
      <c r="V54" s="104"/>
      <c r="W54" s="104"/>
      <c r="X54" s="104"/>
      <c r="Y54" s="104"/>
      <c r="Z54" s="104"/>
      <c r="AA54" s="104"/>
      <c r="AB54" s="104"/>
      <c r="AC54" s="104"/>
      <c r="AD54" s="104"/>
      <c r="AE54" s="104"/>
      <c r="AF54" s="104"/>
      <c r="AG54" s="104"/>
    </row>
    <row r="55" spans="1:33">
      <c r="A55" s="102">
        <v>2013</v>
      </c>
      <c r="B55" s="102">
        <v>3.5</v>
      </c>
      <c r="C55" s="102">
        <v>0</v>
      </c>
      <c r="D55" s="102">
        <v>40.799999999999997</v>
      </c>
      <c r="E55" s="102">
        <v>41.2</v>
      </c>
      <c r="F55" s="102">
        <v>128.4</v>
      </c>
      <c r="G55" s="102">
        <v>147.4</v>
      </c>
      <c r="H55" s="102">
        <v>133.4</v>
      </c>
      <c r="I55" s="102">
        <v>125.2</v>
      </c>
      <c r="J55" s="102">
        <v>118.3</v>
      </c>
      <c r="K55" s="102">
        <v>54.2</v>
      </c>
      <c r="L55" s="102">
        <v>7.9</v>
      </c>
      <c r="M55" s="102">
        <v>16.5</v>
      </c>
      <c r="N55" s="102">
        <f t="shared" si="1"/>
        <v>85.5</v>
      </c>
      <c r="O55" s="102">
        <f t="shared" si="2"/>
        <v>652.70000000000005</v>
      </c>
      <c r="P55" s="102">
        <f t="shared" si="3"/>
        <v>78.599999999999994</v>
      </c>
      <c r="Q55" s="102">
        <f t="shared" si="4"/>
        <v>816.80000000000007</v>
      </c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  <c r="AC55" s="104"/>
      <c r="AD55" s="104"/>
      <c r="AE55" s="104"/>
      <c r="AF55" s="104"/>
      <c r="AG55" s="104"/>
    </row>
    <row r="56" spans="1:33">
      <c r="A56" s="102">
        <v>2014</v>
      </c>
      <c r="B56" s="128">
        <v>3.8</v>
      </c>
      <c r="C56" s="128">
        <v>22.4</v>
      </c>
      <c r="D56" s="128">
        <v>32.700000000000003</v>
      </c>
      <c r="E56" s="128">
        <v>31.7</v>
      </c>
      <c r="F56" s="128">
        <v>105.7</v>
      </c>
      <c r="G56" s="128">
        <v>274.8</v>
      </c>
      <c r="H56" s="128">
        <v>208.7</v>
      </c>
      <c r="I56" s="128">
        <v>165.6</v>
      </c>
      <c r="J56" s="128">
        <v>186.6</v>
      </c>
      <c r="K56" s="128">
        <v>88.6</v>
      </c>
      <c r="L56" s="128">
        <v>38.799999999999997</v>
      </c>
      <c r="M56" s="128">
        <v>6.9</v>
      </c>
      <c r="N56" s="102">
        <f t="shared" si="1"/>
        <v>90.600000000000009</v>
      </c>
      <c r="O56" s="102">
        <f t="shared" si="2"/>
        <v>941.40000000000009</v>
      </c>
      <c r="P56" s="102">
        <f t="shared" si="3"/>
        <v>134.29999999999998</v>
      </c>
      <c r="Q56" s="102">
        <f t="shared" si="4"/>
        <v>1166.3</v>
      </c>
    </row>
    <row r="57" spans="1:33">
      <c r="A57" s="102">
        <v>2015</v>
      </c>
      <c r="B57" s="128">
        <v>36.5</v>
      </c>
      <c r="C57" s="128">
        <v>5.6</v>
      </c>
      <c r="D57" s="128">
        <v>16.399999999999999</v>
      </c>
      <c r="E57" s="128">
        <v>26.5</v>
      </c>
      <c r="F57" s="128">
        <v>92.8</v>
      </c>
      <c r="G57" s="128">
        <v>251.3</v>
      </c>
      <c r="H57" s="128">
        <v>119.4</v>
      </c>
      <c r="I57" s="128">
        <v>195</v>
      </c>
      <c r="J57" s="128">
        <v>215.5</v>
      </c>
      <c r="K57" s="128">
        <v>133.1</v>
      </c>
      <c r="L57" s="128">
        <v>4.0999999999999996</v>
      </c>
      <c r="M57" s="128">
        <v>26.6</v>
      </c>
      <c r="N57" s="102">
        <f t="shared" si="1"/>
        <v>85</v>
      </c>
      <c r="O57" s="102">
        <f t="shared" si="2"/>
        <v>874</v>
      </c>
      <c r="P57" s="102">
        <f t="shared" si="3"/>
        <v>163.79999999999998</v>
      </c>
      <c r="Q57" s="102">
        <f t="shared" si="4"/>
        <v>1122.7999999999997</v>
      </c>
    </row>
    <row r="58" spans="1:33">
      <c r="A58" s="102">
        <v>2016</v>
      </c>
      <c r="B58" s="128">
        <v>6.2</v>
      </c>
      <c r="C58" s="128">
        <v>4.2</v>
      </c>
      <c r="D58" s="128">
        <v>20.8</v>
      </c>
      <c r="E58" s="128">
        <v>89.2</v>
      </c>
      <c r="F58" s="128">
        <v>151.9</v>
      </c>
      <c r="G58" s="128">
        <v>288.5</v>
      </c>
      <c r="H58" s="128">
        <v>180.9</v>
      </c>
      <c r="I58" s="128">
        <v>190.5</v>
      </c>
      <c r="J58" s="128">
        <v>96.4</v>
      </c>
      <c r="K58" s="128">
        <v>52</v>
      </c>
      <c r="L58" s="128">
        <v>35.5</v>
      </c>
      <c r="M58" s="128">
        <v>3.8</v>
      </c>
      <c r="N58" s="102">
        <f>SUM(B58:E58)</f>
        <v>120.4</v>
      </c>
      <c r="O58" s="102">
        <f>SUM(F58:J58)</f>
        <v>908.19999999999993</v>
      </c>
      <c r="P58" s="102">
        <f>SUM(K58:M58)</f>
        <v>91.3</v>
      </c>
      <c r="Q58" s="102">
        <f>SUM(B58:M58)</f>
        <v>1119.8999999999999</v>
      </c>
      <c r="R58" s="108">
        <f t="shared" ref="R58:AG58" si="5">100*(B58-B4)/B4</f>
        <v>-52.664938058196476</v>
      </c>
      <c r="S58" s="108">
        <f t="shared" si="5"/>
        <v>-62.013651877133107</v>
      </c>
      <c r="T58" s="108">
        <f t="shared" si="5"/>
        <v>14.002068252326776</v>
      </c>
      <c r="U58" s="108">
        <f t="shared" si="5"/>
        <v>94.295577839881645</v>
      </c>
      <c r="V58" s="108">
        <f t="shared" si="5"/>
        <v>11.189834956149433</v>
      </c>
      <c r="W58" s="108">
        <f t="shared" si="5"/>
        <v>18.331037471559657</v>
      </c>
      <c r="X58" s="108">
        <f t="shared" si="5"/>
        <v>-13.467630574283188</v>
      </c>
      <c r="Y58" s="108">
        <f t="shared" si="5"/>
        <v>20.998765624438242</v>
      </c>
      <c r="Z58" s="108">
        <f t="shared" si="5"/>
        <v>-31.616564499290632</v>
      </c>
      <c r="AA58" s="108">
        <f t="shared" si="5"/>
        <v>-37.96146227264542</v>
      </c>
      <c r="AB58" s="108">
        <f t="shared" si="5"/>
        <v>28.81692455155417</v>
      </c>
      <c r="AC58" s="108">
        <f t="shared" si="5"/>
        <v>-59.395161290322577</v>
      </c>
      <c r="AD58" s="108">
        <f t="shared" si="5"/>
        <v>36.33877446372108</v>
      </c>
      <c r="AE58" s="108">
        <f t="shared" si="5"/>
        <v>2.2880324026358894</v>
      </c>
      <c r="AF58" s="108">
        <f t="shared" si="5"/>
        <v>-24.380371933114585</v>
      </c>
      <c r="AG58" s="108">
        <f t="shared" si="5"/>
        <v>2.094008493686446</v>
      </c>
    </row>
  </sheetData>
  <mergeCells count="6">
    <mergeCell ref="A1:A3"/>
    <mergeCell ref="B2:M2"/>
    <mergeCell ref="B1:Q1"/>
    <mergeCell ref="R1:AG1"/>
    <mergeCell ref="N2:Q2"/>
    <mergeCell ref="R2:AG2"/>
  </mergeCells>
  <phoneticPr fontId="2" type="noConversion"/>
  <pageMargins left="0.75" right="0.75" top="1" bottom="1" header="0.5" footer="0.5"/>
  <headerFooter alignWithMargins="0"/>
</worksheet>
</file>

<file path=xl/worksheets/sheet78.xml><?xml version="1.0" encoding="utf-8"?>
<worksheet xmlns="http://schemas.openxmlformats.org/spreadsheetml/2006/main" xmlns:r="http://schemas.openxmlformats.org/officeDocument/2006/relationships">
  <sheetPr codeName="Sheet78"/>
  <dimension ref="A1:AG53"/>
  <sheetViews>
    <sheetView zoomScale="85" zoomScaleNormal="85" workbookViewId="0">
      <pane ySplit="5" topLeftCell="A6" activePane="bottomLeft" state="frozen"/>
      <selection pane="bottomLeft" activeCell="R53" sqref="R53"/>
    </sheetView>
  </sheetViews>
  <sheetFormatPr defaultRowHeight="12"/>
  <cols>
    <col min="1" max="59" width="7.125" style="102" customWidth="1"/>
    <col min="60" max="16384" width="9" style="102"/>
  </cols>
  <sheetData>
    <row r="1" spans="1:33" s="118" customFormat="1" ht="14.25" customHeight="1">
      <c r="A1" s="176" t="s">
        <v>198</v>
      </c>
      <c r="B1" s="176" t="s">
        <v>206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207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199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200</v>
      </c>
      <c r="O2" s="176"/>
      <c r="P2" s="176"/>
      <c r="Q2" s="176"/>
      <c r="R2" s="176" t="s">
        <v>201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 ht="24">
      <c r="A3" s="176"/>
      <c r="B3" s="125" t="s">
        <v>208</v>
      </c>
      <c r="C3" s="125" t="s">
        <v>209</v>
      </c>
      <c r="D3" s="125" t="s">
        <v>9</v>
      </c>
      <c r="E3" s="125" t="s">
        <v>10</v>
      </c>
      <c r="F3" s="125" t="s">
        <v>11</v>
      </c>
      <c r="G3" s="125" t="s">
        <v>12</v>
      </c>
      <c r="H3" s="125" t="s">
        <v>13</v>
      </c>
      <c r="I3" s="125" t="s">
        <v>14</v>
      </c>
      <c r="J3" s="125" t="s">
        <v>15</v>
      </c>
      <c r="K3" s="125" t="s">
        <v>16</v>
      </c>
      <c r="L3" s="125" t="s">
        <v>17</v>
      </c>
      <c r="M3" s="125" t="s">
        <v>18</v>
      </c>
      <c r="N3" s="125" t="s">
        <v>210</v>
      </c>
      <c r="O3" s="125" t="s">
        <v>211</v>
      </c>
      <c r="P3" s="125" t="s">
        <v>212</v>
      </c>
      <c r="Q3" s="125" t="s">
        <v>213</v>
      </c>
      <c r="R3" s="125" t="s">
        <v>208</v>
      </c>
      <c r="S3" s="125" t="s">
        <v>209</v>
      </c>
      <c r="T3" s="125" t="s">
        <v>214</v>
      </c>
      <c r="U3" s="125" t="s">
        <v>215</v>
      </c>
      <c r="V3" s="125" t="s">
        <v>216</v>
      </c>
      <c r="W3" s="125" t="s">
        <v>217</v>
      </c>
      <c r="X3" s="125" t="s">
        <v>25</v>
      </c>
      <c r="Y3" s="125" t="s">
        <v>26</v>
      </c>
      <c r="Z3" s="125" t="s">
        <v>27</v>
      </c>
      <c r="AA3" s="125" t="s">
        <v>218</v>
      </c>
      <c r="AB3" s="125" t="s">
        <v>219</v>
      </c>
      <c r="AC3" s="125" t="s">
        <v>220</v>
      </c>
      <c r="AD3" s="125" t="s">
        <v>202</v>
      </c>
      <c r="AE3" s="125" t="s">
        <v>203</v>
      </c>
      <c r="AF3" s="125" t="s">
        <v>204</v>
      </c>
      <c r="AG3" s="125" t="s">
        <v>205</v>
      </c>
    </row>
    <row r="4" spans="1:33" s="118" customFormat="1">
      <c r="A4" s="150" t="s">
        <v>261</v>
      </c>
      <c r="B4" s="150">
        <f t="shared" ref="B4:Q4" si="0">AVERAGE(B5:B52)</f>
        <v>19.577083333333338</v>
      </c>
      <c r="C4" s="150">
        <f t="shared" si="0"/>
        <v>16.777083333333337</v>
      </c>
      <c r="D4" s="150">
        <f t="shared" si="0"/>
        <v>24.879166666666666</v>
      </c>
      <c r="E4" s="150">
        <f t="shared" si="0"/>
        <v>44.735416666666659</v>
      </c>
      <c r="F4" s="150">
        <f t="shared" si="0"/>
        <v>142.72916666666666</v>
      </c>
      <c r="G4" s="150">
        <f t="shared" si="0"/>
        <v>265.17083333333335</v>
      </c>
      <c r="H4" s="150">
        <f t="shared" si="0"/>
        <v>257.74791666666675</v>
      </c>
      <c r="I4" s="150">
        <f t="shared" si="0"/>
        <v>209.28958333333335</v>
      </c>
      <c r="J4" s="150">
        <f t="shared" si="0"/>
        <v>161.49375000000001</v>
      </c>
      <c r="K4" s="150">
        <f t="shared" si="0"/>
        <v>97.218750000000057</v>
      </c>
      <c r="L4" s="150">
        <f t="shared" si="0"/>
        <v>33.49583333333333</v>
      </c>
      <c r="M4" s="150">
        <f t="shared" si="0"/>
        <v>14.179166666666665</v>
      </c>
      <c r="N4" s="150">
        <f t="shared" si="0"/>
        <v>105.96874999999999</v>
      </c>
      <c r="O4" s="150">
        <f t="shared" si="0"/>
        <v>1036.4312499999999</v>
      </c>
      <c r="P4" s="150">
        <f t="shared" si="0"/>
        <v>144.89374999999998</v>
      </c>
      <c r="Q4" s="150">
        <f t="shared" si="0"/>
        <v>1287.2937500000003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1968</v>
      </c>
      <c r="B5" s="102">
        <v>10.4</v>
      </c>
      <c r="C5" s="102">
        <v>29.1</v>
      </c>
      <c r="D5" s="102">
        <v>6.3</v>
      </c>
      <c r="E5" s="102">
        <v>79.5</v>
      </c>
      <c r="F5" s="102">
        <v>123.1</v>
      </c>
      <c r="G5" s="102">
        <v>331</v>
      </c>
      <c r="H5" s="102">
        <v>249.5</v>
      </c>
      <c r="I5" s="102">
        <v>302.7</v>
      </c>
      <c r="J5" s="102">
        <v>213.6</v>
      </c>
      <c r="K5" s="102">
        <v>121.6</v>
      </c>
      <c r="L5" s="102">
        <v>19.100000000000001</v>
      </c>
      <c r="M5" s="102">
        <v>0.2</v>
      </c>
      <c r="N5" s="102">
        <f>SUM(B5:E5)</f>
        <v>125.3</v>
      </c>
      <c r="O5" s="102">
        <f>SUM(F5:J5)</f>
        <v>1219.8999999999999</v>
      </c>
      <c r="P5" s="102">
        <f>SUM(K5:M5)</f>
        <v>140.89999999999998</v>
      </c>
      <c r="Q5" s="102">
        <f>SUM(B5:M5)</f>
        <v>1486.0999999999997</v>
      </c>
    </row>
    <row r="6" spans="1:33">
      <c r="A6" s="102">
        <v>1969</v>
      </c>
      <c r="B6" s="102">
        <v>7.2</v>
      </c>
      <c r="C6" s="102">
        <v>0.7</v>
      </c>
      <c r="D6" s="102">
        <v>9.4</v>
      </c>
      <c r="E6" s="102">
        <v>73.400000000000006</v>
      </c>
      <c r="F6" s="102">
        <v>143</v>
      </c>
      <c r="G6" s="102">
        <v>404.2</v>
      </c>
      <c r="H6" s="102">
        <v>277</v>
      </c>
      <c r="I6" s="102">
        <v>208</v>
      </c>
      <c r="J6" s="102">
        <v>116.9</v>
      </c>
      <c r="K6" s="102">
        <v>18.100000000000001</v>
      </c>
      <c r="L6" s="102">
        <v>43.3</v>
      </c>
      <c r="M6" s="102">
        <v>15.9</v>
      </c>
      <c r="N6" s="102">
        <f t="shared" ref="N6:N52" si="1">SUM(B6:E6)</f>
        <v>90.7</v>
      </c>
      <c r="O6" s="102">
        <f t="shared" ref="O6:O52" si="2">SUM(F6:J6)</f>
        <v>1149.1000000000001</v>
      </c>
      <c r="P6" s="102">
        <f t="shared" ref="P6:P52" si="3">SUM(K6:M6)</f>
        <v>77.3</v>
      </c>
      <c r="Q6" s="102">
        <f t="shared" ref="Q6:Q52" si="4">SUM(B6:M6)</f>
        <v>1317.1000000000001</v>
      </c>
    </row>
    <row r="7" spans="1:33">
      <c r="A7" s="102">
        <v>1970</v>
      </c>
      <c r="B7" s="102">
        <v>12.9</v>
      </c>
      <c r="C7" s="102">
        <v>3.1</v>
      </c>
      <c r="D7" s="102">
        <v>26.3</v>
      </c>
      <c r="E7" s="102">
        <v>57.9</v>
      </c>
      <c r="F7" s="102">
        <v>112.5</v>
      </c>
      <c r="G7" s="102">
        <v>189.5</v>
      </c>
      <c r="H7" s="102">
        <v>383.7</v>
      </c>
      <c r="I7" s="102">
        <v>134.4</v>
      </c>
      <c r="J7" s="102">
        <v>212</v>
      </c>
      <c r="K7" s="102">
        <v>194.7</v>
      </c>
      <c r="L7" s="102">
        <v>40.299999999999997</v>
      </c>
      <c r="M7" s="102">
        <v>38.799999999999997</v>
      </c>
      <c r="N7" s="102">
        <f t="shared" si="1"/>
        <v>100.19999999999999</v>
      </c>
      <c r="O7" s="102">
        <f t="shared" si="2"/>
        <v>1032.0999999999999</v>
      </c>
      <c r="P7" s="102">
        <f t="shared" si="3"/>
        <v>273.8</v>
      </c>
      <c r="Q7" s="102">
        <f t="shared" si="4"/>
        <v>1406.1</v>
      </c>
    </row>
    <row r="8" spans="1:33">
      <c r="A8" s="102">
        <v>1971</v>
      </c>
      <c r="B8" s="102">
        <v>15.9</v>
      </c>
      <c r="C8" s="102">
        <v>9.4</v>
      </c>
      <c r="D8" s="102">
        <v>7</v>
      </c>
      <c r="E8" s="102">
        <v>41.7</v>
      </c>
      <c r="F8" s="102">
        <v>145</v>
      </c>
      <c r="G8" s="102">
        <v>306</v>
      </c>
      <c r="H8" s="102">
        <v>165.6</v>
      </c>
      <c r="I8" s="102">
        <v>171.3</v>
      </c>
      <c r="J8" s="102">
        <v>236.2</v>
      </c>
      <c r="K8" s="102">
        <v>85</v>
      </c>
      <c r="L8" s="102">
        <v>38.200000000000003</v>
      </c>
      <c r="M8" s="102">
        <v>21.5</v>
      </c>
      <c r="N8" s="102">
        <f t="shared" si="1"/>
        <v>74</v>
      </c>
      <c r="O8" s="102">
        <f t="shared" si="2"/>
        <v>1024.1000000000001</v>
      </c>
      <c r="P8" s="102">
        <f t="shared" si="3"/>
        <v>144.69999999999999</v>
      </c>
      <c r="Q8" s="102">
        <f t="shared" si="4"/>
        <v>1242.8000000000002</v>
      </c>
    </row>
    <row r="9" spans="1:33">
      <c r="A9" s="102">
        <v>1972</v>
      </c>
      <c r="B9" s="102">
        <v>19.2</v>
      </c>
      <c r="C9" s="102">
        <v>17.5</v>
      </c>
      <c r="D9" s="102">
        <v>22.4</v>
      </c>
      <c r="E9" s="102">
        <v>38.9</v>
      </c>
      <c r="F9" s="102">
        <v>238.8</v>
      </c>
      <c r="G9" s="102">
        <v>181.3</v>
      </c>
      <c r="H9" s="102">
        <v>87.7</v>
      </c>
      <c r="I9" s="102">
        <v>95.6</v>
      </c>
      <c r="J9" s="102">
        <v>218.5</v>
      </c>
      <c r="K9" s="102">
        <v>36.9</v>
      </c>
      <c r="L9" s="102">
        <v>75.8</v>
      </c>
      <c r="M9" s="102">
        <v>8.8000000000000007</v>
      </c>
      <c r="N9" s="102">
        <f t="shared" si="1"/>
        <v>98</v>
      </c>
      <c r="O9" s="102">
        <f t="shared" si="2"/>
        <v>821.9</v>
      </c>
      <c r="P9" s="102">
        <f t="shared" si="3"/>
        <v>121.49999999999999</v>
      </c>
      <c r="Q9" s="102">
        <f t="shared" si="4"/>
        <v>1041.4000000000001</v>
      </c>
    </row>
    <row r="10" spans="1:33">
      <c r="A10" s="102">
        <v>1973</v>
      </c>
      <c r="B10" s="102">
        <v>16.399999999999999</v>
      </c>
      <c r="C10" s="102">
        <v>8</v>
      </c>
      <c r="D10" s="102">
        <v>41.2</v>
      </c>
      <c r="E10" s="102">
        <v>33.299999999999997</v>
      </c>
      <c r="F10" s="102">
        <v>140.4</v>
      </c>
      <c r="G10" s="102">
        <v>171.1</v>
      </c>
      <c r="H10" s="102">
        <v>242.6</v>
      </c>
      <c r="I10" s="102">
        <v>213.4</v>
      </c>
      <c r="J10" s="102">
        <v>172.4</v>
      </c>
      <c r="K10" s="102">
        <v>50.8</v>
      </c>
      <c r="L10" s="102">
        <v>64.400000000000006</v>
      </c>
      <c r="M10" s="102">
        <v>5</v>
      </c>
      <c r="N10" s="102">
        <f t="shared" si="1"/>
        <v>98.899999999999991</v>
      </c>
      <c r="O10" s="102">
        <f t="shared" si="2"/>
        <v>939.9</v>
      </c>
      <c r="P10" s="102">
        <f t="shared" si="3"/>
        <v>120.2</v>
      </c>
      <c r="Q10" s="102">
        <f t="shared" si="4"/>
        <v>1159</v>
      </c>
    </row>
    <row r="11" spans="1:33">
      <c r="A11" s="102">
        <v>1974</v>
      </c>
      <c r="B11" s="102">
        <v>1.9</v>
      </c>
      <c r="C11" s="102">
        <v>5.2</v>
      </c>
      <c r="D11" s="102">
        <v>27.3</v>
      </c>
      <c r="E11" s="102">
        <v>54.1</v>
      </c>
      <c r="F11" s="102">
        <v>203.4</v>
      </c>
      <c r="G11" s="102">
        <v>229.6</v>
      </c>
      <c r="H11" s="102">
        <v>182.2</v>
      </c>
      <c r="I11" s="102">
        <v>277</v>
      </c>
      <c r="J11" s="102">
        <v>130.1</v>
      </c>
      <c r="K11" s="102">
        <v>143.30000000000001</v>
      </c>
      <c r="L11" s="102">
        <v>20</v>
      </c>
      <c r="M11" s="102">
        <v>0.9</v>
      </c>
      <c r="N11" s="102">
        <f t="shared" si="1"/>
        <v>88.5</v>
      </c>
      <c r="O11" s="102">
        <f t="shared" si="2"/>
        <v>1022.3000000000001</v>
      </c>
      <c r="P11" s="102">
        <f t="shared" si="3"/>
        <v>164.20000000000002</v>
      </c>
      <c r="Q11" s="102">
        <f t="shared" si="4"/>
        <v>1275</v>
      </c>
    </row>
    <row r="12" spans="1:33">
      <c r="A12" s="102">
        <v>1975</v>
      </c>
      <c r="B12" s="102">
        <v>21.8</v>
      </c>
      <c r="C12" s="102">
        <v>14.9</v>
      </c>
      <c r="D12" s="102">
        <v>33.200000000000003</v>
      </c>
      <c r="E12" s="102">
        <v>28.1</v>
      </c>
      <c r="F12" s="102">
        <v>156.1</v>
      </c>
      <c r="G12" s="102">
        <v>160.1</v>
      </c>
      <c r="H12" s="102">
        <v>196.2</v>
      </c>
      <c r="I12" s="102">
        <v>221.7</v>
      </c>
      <c r="J12" s="102">
        <v>141.5</v>
      </c>
      <c r="K12" s="102">
        <v>57.2</v>
      </c>
      <c r="L12" s="102">
        <v>78.2</v>
      </c>
      <c r="M12" s="102">
        <v>1.6</v>
      </c>
      <c r="N12" s="102">
        <f t="shared" si="1"/>
        <v>98</v>
      </c>
      <c r="O12" s="102">
        <f t="shared" si="2"/>
        <v>875.59999999999991</v>
      </c>
      <c r="P12" s="102">
        <f t="shared" si="3"/>
        <v>137</v>
      </c>
      <c r="Q12" s="102">
        <f t="shared" si="4"/>
        <v>1110.5999999999999</v>
      </c>
    </row>
    <row r="13" spans="1:33">
      <c r="A13" s="102">
        <v>1976</v>
      </c>
      <c r="B13" s="102">
        <v>30.9</v>
      </c>
      <c r="C13" s="102">
        <v>8.1999999999999993</v>
      </c>
      <c r="D13" s="102">
        <v>17.3</v>
      </c>
      <c r="E13" s="102">
        <v>22.8</v>
      </c>
      <c r="F13" s="102">
        <v>164.2</v>
      </c>
      <c r="G13" s="102">
        <v>158.19999999999999</v>
      </c>
      <c r="H13" s="102">
        <v>400</v>
      </c>
      <c r="I13" s="102">
        <v>223.9</v>
      </c>
      <c r="J13" s="102">
        <v>207.4</v>
      </c>
      <c r="K13" s="102">
        <v>248.5</v>
      </c>
      <c r="L13" s="102">
        <v>24.9</v>
      </c>
      <c r="M13" s="102">
        <v>5.4</v>
      </c>
      <c r="N13" s="102">
        <f t="shared" si="1"/>
        <v>79.199999999999989</v>
      </c>
      <c r="O13" s="102">
        <f t="shared" si="2"/>
        <v>1153.7</v>
      </c>
      <c r="P13" s="102">
        <f t="shared" si="3"/>
        <v>278.79999999999995</v>
      </c>
      <c r="Q13" s="102">
        <f t="shared" si="4"/>
        <v>1511.7000000000003</v>
      </c>
    </row>
    <row r="14" spans="1:33">
      <c r="A14" s="102">
        <v>1977</v>
      </c>
      <c r="B14" s="102">
        <v>19.8</v>
      </c>
      <c r="C14" s="102">
        <v>35.9</v>
      </c>
      <c r="D14" s="102">
        <v>17.2</v>
      </c>
      <c r="E14" s="102">
        <v>60.4</v>
      </c>
      <c r="F14" s="102">
        <v>187.1</v>
      </c>
      <c r="G14" s="102">
        <v>412.5</v>
      </c>
      <c r="H14" s="102">
        <v>286</v>
      </c>
      <c r="I14" s="102">
        <v>88.7</v>
      </c>
      <c r="J14" s="102">
        <v>128.4</v>
      </c>
      <c r="K14" s="102">
        <v>149.30000000000001</v>
      </c>
      <c r="L14" s="102">
        <v>59.1</v>
      </c>
      <c r="M14" s="102">
        <v>3.9</v>
      </c>
      <c r="N14" s="102">
        <f t="shared" si="1"/>
        <v>133.30000000000001</v>
      </c>
      <c r="O14" s="102">
        <f t="shared" si="2"/>
        <v>1102.7</v>
      </c>
      <c r="P14" s="102">
        <f t="shared" si="3"/>
        <v>212.3</v>
      </c>
      <c r="Q14" s="102">
        <f t="shared" si="4"/>
        <v>1448.3</v>
      </c>
    </row>
    <row r="15" spans="1:33">
      <c r="A15" s="102">
        <v>1978</v>
      </c>
      <c r="B15" s="102">
        <v>21.5</v>
      </c>
      <c r="C15" s="102">
        <v>29.6</v>
      </c>
      <c r="D15" s="102">
        <v>1.5</v>
      </c>
      <c r="E15" s="102">
        <v>43.3</v>
      </c>
      <c r="F15" s="102">
        <v>370.7</v>
      </c>
      <c r="G15" s="102">
        <v>257.8</v>
      </c>
      <c r="H15" s="102">
        <v>273</v>
      </c>
      <c r="I15" s="102">
        <v>87.2</v>
      </c>
      <c r="J15" s="102">
        <v>126.6</v>
      </c>
      <c r="K15" s="102">
        <v>63.5</v>
      </c>
      <c r="L15" s="102">
        <v>36</v>
      </c>
      <c r="M15" s="102">
        <v>2.8</v>
      </c>
      <c r="N15" s="102">
        <f t="shared" si="1"/>
        <v>95.9</v>
      </c>
      <c r="O15" s="102">
        <f t="shared" si="2"/>
        <v>1115.3</v>
      </c>
      <c r="P15" s="102">
        <f t="shared" si="3"/>
        <v>102.3</v>
      </c>
      <c r="Q15" s="102">
        <f t="shared" si="4"/>
        <v>1313.5</v>
      </c>
    </row>
    <row r="16" spans="1:33">
      <c r="A16" s="102">
        <v>1979</v>
      </c>
      <c r="B16" s="102">
        <v>2.5</v>
      </c>
      <c r="C16" s="102">
        <v>5</v>
      </c>
      <c r="D16" s="102">
        <v>12.7</v>
      </c>
      <c r="E16" s="102">
        <v>83.4</v>
      </c>
      <c r="F16" s="102">
        <v>38.1</v>
      </c>
      <c r="G16" s="102">
        <v>535.70000000000005</v>
      </c>
      <c r="H16" s="102">
        <v>380.2</v>
      </c>
      <c r="I16" s="102">
        <v>219.8</v>
      </c>
      <c r="J16" s="102">
        <v>73.2</v>
      </c>
      <c r="K16" s="102">
        <v>35</v>
      </c>
      <c r="L16" s="102">
        <v>6.6</v>
      </c>
      <c r="M16" s="102">
        <v>25.8</v>
      </c>
      <c r="N16" s="102">
        <f t="shared" si="1"/>
        <v>103.60000000000001</v>
      </c>
      <c r="O16" s="102">
        <f t="shared" si="2"/>
        <v>1247</v>
      </c>
      <c r="P16" s="102">
        <f t="shared" si="3"/>
        <v>67.400000000000006</v>
      </c>
      <c r="Q16" s="102">
        <f t="shared" si="4"/>
        <v>1418</v>
      </c>
    </row>
    <row r="17" spans="1:17">
      <c r="A17" s="102">
        <v>1980</v>
      </c>
      <c r="B17" s="102">
        <v>6.4</v>
      </c>
      <c r="C17" s="102">
        <v>10.9</v>
      </c>
      <c r="D17" s="102">
        <v>3.9</v>
      </c>
      <c r="E17" s="102">
        <v>16.8</v>
      </c>
      <c r="F17" s="102">
        <v>127</v>
      </c>
      <c r="G17" s="102">
        <v>181.5</v>
      </c>
      <c r="H17" s="102">
        <v>311.39999999999998</v>
      </c>
      <c r="I17" s="102">
        <v>300.7</v>
      </c>
      <c r="J17" s="102">
        <v>175.1</v>
      </c>
      <c r="K17" s="102">
        <v>131.6</v>
      </c>
      <c r="L17" s="102">
        <v>21.1</v>
      </c>
      <c r="M17" s="102">
        <v>34.4</v>
      </c>
      <c r="N17" s="102">
        <f t="shared" si="1"/>
        <v>38</v>
      </c>
      <c r="O17" s="102">
        <f t="shared" si="2"/>
        <v>1095.6999999999998</v>
      </c>
      <c r="P17" s="102">
        <f t="shared" si="3"/>
        <v>187.1</v>
      </c>
      <c r="Q17" s="102">
        <f t="shared" si="4"/>
        <v>1320.7999999999997</v>
      </c>
    </row>
    <row r="18" spans="1:17">
      <c r="A18" s="102">
        <v>1981</v>
      </c>
      <c r="B18" s="102">
        <v>8.5</v>
      </c>
      <c r="C18" s="102">
        <v>7.8</v>
      </c>
      <c r="D18" s="102">
        <v>19.600000000000001</v>
      </c>
      <c r="E18" s="102">
        <v>27</v>
      </c>
      <c r="F18" s="102">
        <v>196.5</v>
      </c>
      <c r="G18" s="102">
        <v>338.4</v>
      </c>
      <c r="H18" s="102">
        <v>164.4</v>
      </c>
      <c r="I18" s="102">
        <v>151.69999999999999</v>
      </c>
      <c r="J18" s="102">
        <v>131</v>
      </c>
      <c r="K18" s="102">
        <v>49.2</v>
      </c>
      <c r="L18" s="102">
        <v>57.2</v>
      </c>
      <c r="M18" s="102">
        <v>13.9</v>
      </c>
      <c r="N18" s="102">
        <f t="shared" si="1"/>
        <v>62.900000000000006</v>
      </c>
      <c r="O18" s="102">
        <f t="shared" si="2"/>
        <v>982</v>
      </c>
      <c r="P18" s="102">
        <f t="shared" si="3"/>
        <v>120.30000000000001</v>
      </c>
      <c r="Q18" s="102">
        <f t="shared" si="4"/>
        <v>1165.2</v>
      </c>
    </row>
    <row r="19" spans="1:17">
      <c r="A19" s="102">
        <v>1982</v>
      </c>
      <c r="B19" s="102">
        <v>11</v>
      </c>
      <c r="C19" s="102">
        <v>80.900000000000006</v>
      </c>
      <c r="D19" s="102">
        <v>14</v>
      </c>
      <c r="E19" s="102">
        <v>57.6</v>
      </c>
      <c r="F19" s="102">
        <v>253.9</v>
      </c>
      <c r="G19" s="102">
        <v>303.7</v>
      </c>
      <c r="H19" s="102">
        <v>181.2</v>
      </c>
      <c r="I19" s="102">
        <v>263.5</v>
      </c>
      <c r="J19" s="102">
        <v>213.2</v>
      </c>
      <c r="K19" s="102">
        <v>62.2</v>
      </c>
      <c r="L19" s="102">
        <v>58.1</v>
      </c>
      <c r="M19" s="102">
        <v>12.6</v>
      </c>
      <c r="N19" s="102">
        <f t="shared" si="1"/>
        <v>163.5</v>
      </c>
      <c r="O19" s="102">
        <f t="shared" si="2"/>
        <v>1215.5</v>
      </c>
      <c r="P19" s="102">
        <f t="shared" si="3"/>
        <v>132.9</v>
      </c>
      <c r="Q19" s="102">
        <f t="shared" si="4"/>
        <v>1511.8999999999999</v>
      </c>
    </row>
    <row r="20" spans="1:17">
      <c r="A20" s="102">
        <v>1983</v>
      </c>
      <c r="B20" s="102">
        <v>56.2</v>
      </c>
      <c r="C20" s="102">
        <v>27.4</v>
      </c>
      <c r="D20" s="102">
        <v>36.6</v>
      </c>
      <c r="E20" s="102">
        <v>18.8</v>
      </c>
      <c r="F20" s="102">
        <v>151.9</v>
      </c>
      <c r="G20" s="102">
        <v>472.7</v>
      </c>
      <c r="H20" s="102">
        <v>221.9</v>
      </c>
      <c r="I20" s="102">
        <v>281.5</v>
      </c>
      <c r="J20" s="102">
        <v>187.7</v>
      </c>
      <c r="K20" s="102">
        <v>101</v>
      </c>
      <c r="L20" s="102">
        <v>61</v>
      </c>
      <c r="M20" s="102">
        <v>25.6</v>
      </c>
      <c r="N20" s="102">
        <f t="shared" si="1"/>
        <v>139</v>
      </c>
      <c r="O20" s="102">
        <f t="shared" si="2"/>
        <v>1315.7</v>
      </c>
      <c r="P20" s="102">
        <f t="shared" si="3"/>
        <v>187.6</v>
      </c>
      <c r="Q20" s="102">
        <f t="shared" si="4"/>
        <v>1642.3</v>
      </c>
    </row>
    <row r="21" spans="1:17">
      <c r="A21" s="102">
        <v>1984</v>
      </c>
      <c r="B21" s="102">
        <v>3.6</v>
      </c>
      <c r="C21" s="102">
        <v>5.8</v>
      </c>
      <c r="D21" s="102">
        <v>7.2</v>
      </c>
      <c r="E21" s="102">
        <v>42.7</v>
      </c>
      <c r="F21" s="102">
        <v>173.8</v>
      </c>
      <c r="G21" s="102">
        <v>279.8</v>
      </c>
      <c r="H21" s="102">
        <v>213.2</v>
      </c>
      <c r="I21" s="102">
        <v>155.9</v>
      </c>
      <c r="J21" s="102">
        <v>74.5</v>
      </c>
      <c r="K21" s="102">
        <v>84.3</v>
      </c>
      <c r="L21" s="102">
        <v>6.9</v>
      </c>
      <c r="M21" s="102">
        <v>15.1</v>
      </c>
      <c r="N21" s="102">
        <f t="shared" si="1"/>
        <v>59.300000000000004</v>
      </c>
      <c r="O21" s="102">
        <f t="shared" si="2"/>
        <v>897.19999999999993</v>
      </c>
      <c r="P21" s="102">
        <f t="shared" si="3"/>
        <v>106.3</v>
      </c>
      <c r="Q21" s="102">
        <f t="shared" si="4"/>
        <v>1062.8000000000002</v>
      </c>
    </row>
    <row r="22" spans="1:17">
      <c r="A22" s="102">
        <v>1985</v>
      </c>
      <c r="B22" s="102">
        <v>8.9</v>
      </c>
      <c r="C22" s="102">
        <v>5.8</v>
      </c>
      <c r="D22" s="102">
        <v>23.5</v>
      </c>
      <c r="E22" s="102">
        <v>79.400000000000006</v>
      </c>
      <c r="F22" s="102">
        <v>92.7</v>
      </c>
      <c r="G22" s="102">
        <v>455.1</v>
      </c>
      <c r="H22" s="102">
        <v>379.3</v>
      </c>
      <c r="I22" s="102">
        <v>184.6</v>
      </c>
      <c r="J22" s="102">
        <v>172.4</v>
      </c>
      <c r="K22" s="102">
        <v>46</v>
      </c>
      <c r="L22" s="102">
        <v>7</v>
      </c>
      <c r="M22" s="102">
        <v>8</v>
      </c>
      <c r="N22" s="102">
        <f t="shared" si="1"/>
        <v>117.60000000000001</v>
      </c>
      <c r="O22" s="102">
        <f t="shared" si="2"/>
        <v>1284.1000000000001</v>
      </c>
      <c r="P22" s="102">
        <f t="shared" si="3"/>
        <v>61</v>
      </c>
      <c r="Q22" s="102">
        <f t="shared" si="4"/>
        <v>1462.7</v>
      </c>
    </row>
    <row r="23" spans="1:17">
      <c r="A23" s="102">
        <v>1986</v>
      </c>
      <c r="B23" s="102">
        <v>3.5</v>
      </c>
      <c r="C23" s="102">
        <v>19.100000000000001</v>
      </c>
      <c r="D23" s="102">
        <v>5.6</v>
      </c>
      <c r="E23" s="102">
        <v>49</v>
      </c>
      <c r="F23" s="102">
        <v>65.900000000000006</v>
      </c>
      <c r="G23" s="102">
        <v>243</v>
      </c>
      <c r="H23" s="102">
        <v>449.4</v>
      </c>
      <c r="I23" s="102">
        <v>234.2</v>
      </c>
      <c r="J23" s="102">
        <v>135.30000000000001</v>
      </c>
      <c r="K23" s="102">
        <v>151.19999999999999</v>
      </c>
      <c r="L23" s="102">
        <v>34.299999999999997</v>
      </c>
      <c r="M23" s="102">
        <v>0.9</v>
      </c>
      <c r="N23" s="102">
        <f t="shared" si="1"/>
        <v>77.2</v>
      </c>
      <c r="O23" s="102">
        <f t="shared" si="2"/>
        <v>1127.8</v>
      </c>
      <c r="P23" s="102">
        <f t="shared" si="3"/>
        <v>186.4</v>
      </c>
      <c r="Q23" s="102">
        <f t="shared" si="4"/>
        <v>1391.4</v>
      </c>
    </row>
    <row r="24" spans="1:17">
      <c r="A24" s="102">
        <v>1987</v>
      </c>
      <c r="B24" s="102">
        <v>19.5</v>
      </c>
      <c r="C24" s="102">
        <v>5.5</v>
      </c>
      <c r="D24" s="102">
        <v>3.9</v>
      </c>
      <c r="E24" s="102">
        <v>11.9</v>
      </c>
      <c r="F24" s="102">
        <v>124.1</v>
      </c>
      <c r="G24" s="102">
        <v>301.60000000000002</v>
      </c>
      <c r="H24" s="102">
        <v>366.9</v>
      </c>
      <c r="I24" s="102">
        <v>146.1</v>
      </c>
      <c r="J24" s="102">
        <v>181.6</v>
      </c>
      <c r="K24" s="102">
        <v>32.799999999999997</v>
      </c>
      <c r="L24" s="102">
        <v>39.6</v>
      </c>
      <c r="M24" s="102">
        <v>17.399999999999999</v>
      </c>
      <c r="N24" s="102">
        <f t="shared" si="1"/>
        <v>40.799999999999997</v>
      </c>
      <c r="O24" s="102">
        <f t="shared" si="2"/>
        <v>1120.3</v>
      </c>
      <c r="P24" s="102">
        <f t="shared" si="3"/>
        <v>89.800000000000011</v>
      </c>
      <c r="Q24" s="102">
        <f t="shared" si="4"/>
        <v>1250.8999999999999</v>
      </c>
    </row>
    <row r="25" spans="1:17">
      <c r="A25" s="102">
        <v>1988</v>
      </c>
      <c r="B25" s="102">
        <v>12.5</v>
      </c>
      <c r="C25" s="102">
        <v>8.6</v>
      </c>
      <c r="D25" s="102">
        <v>5.8</v>
      </c>
      <c r="E25" s="102">
        <v>43.3</v>
      </c>
      <c r="F25" s="102">
        <v>83.4</v>
      </c>
      <c r="G25" s="102">
        <v>108.2</v>
      </c>
      <c r="H25" s="102">
        <v>157.80000000000001</v>
      </c>
      <c r="I25" s="102">
        <v>471.7</v>
      </c>
      <c r="J25" s="102">
        <v>165.3</v>
      </c>
      <c r="K25" s="102">
        <v>75.400000000000006</v>
      </c>
      <c r="L25" s="102">
        <v>15.5</v>
      </c>
      <c r="M25" s="102">
        <v>6.6</v>
      </c>
      <c r="N25" s="102">
        <f t="shared" si="1"/>
        <v>70.2</v>
      </c>
      <c r="O25" s="102">
        <f t="shared" si="2"/>
        <v>986.40000000000009</v>
      </c>
      <c r="P25" s="102">
        <f t="shared" si="3"/>
        <v>97.5</v>
      </c>
      <c r="Q25" s="102">
        <f t="shared" si="4"/>
        <v>1154.0999999999999</v>
      </c>
    </row>
    <row r="26" spans="1:17">
      <c r="A26" s="102">
        <v>1989</v>
      </c>
      <c r="B26" s="102">
        <v>22.8</v>
      </c>
      <c r="C26" s="102">
        <v>10.5</v>
      </c>
      <c r="D26" s="102">
        <v>46.8</v>
      </c>
      <c r="E26" s="102">
        <v>24.1</v>
      </c>
      <c r="F26" s="102">
        <v>142.19999999999999</v>
      </c>
      <c r="G26" s="102">
        <v>118.3</v>
      </c>
      <c r="H26" s="102">
        <v>78.099999999999994</v>
      </c>
      <c r="I26" s="102">
        <v>107.3</v>
      </c>
      <c r="J26" s="102">
        <v>213.2</v>
      </c>
      <c r="K26" s="102">
        <v>76.3</v>
      </c>
      <c r="L26" s="102">
        <v>10.8</v>
      </c>
      <c r="M26" s="102">
        <v>14.1</v>
      </c>
      <c r="N26" s="102">
        <f t="shared" si="1"/>
        <v>104.19999999999999</v>
      </c>
      <c r="O26" s="102">
        <f t="shared" si="2"/>
        <v>659.1</v>
      </c>
      <c r="P26" s="102">
        <f t="shared" si="3"/>
        <v>101.19999999999999</v>
      </c>
      <c r="Q26" s="102">
        <f t="shared" si="4"/>
        <v>864.49999999999989</v>
      </c>
    </row>
    <row r="27" spans="1:17">
      <c r="A27" s="102">
        <v>1990</v>
      </c>
      <c r="B27" s="102">
        <v>9.4</v>
      </c>
      <c r="C27" s="102">
        <v>11.8</v>
      </c>
      <c r="D27" s="102">
        <v>63.2</v>
      </c>
      <c r="E27" s="102">
        <v>48</v>
      </c>
      <c r="F27" s="102">
        <v>163.80000000000001</v>
      </c>
      <c r="G27" s="102">
        <v>171.8</v>
      </c>
      <c r="H27" s="102">
        <v>108</v>
      </c>
      <c r="I27" s="102">
        <v>133.80000000000001</v>
      </c>
      <c r="J27" s="102">
        <v>108.8</v>
      </c>
      <c r="K27" s="102">
        <v>114.6</v>
      </c>
      <c r="L27" s="102">
        <v>55.3</v>
      </c>
      <c r="M27" s="102">
        <v>4.5</v>
      </c>
      <c r="N27" s="102">
        <f t="shared" si="1"/>
        <v>132.4</v>
      </c>
      <c r="O27" s="102">
        <f t="shared" si="2"/>
        <v>686.2</v>
      </c>
      <c r="P27" s="102">
        <f t="shared" si="3"/>
        <v>174.39999999999998</v>
      </c>
      <c r="Q27" s="102">
        <f t="shared" si="4"/>
        <v>992.99999999999989</v>
      </c>
    </row>
    <row r="28" spans="1:17">
      <c r="A28" s="102">
        <v>1991</v>
      </c>
      <c r="B28" s="102">
        <v>51.1</v>
      </c>
      <c r="C28" s="102">
        <v>16.3</v>
      </c>
      <c r="D28" s="102">
        <v>21.6</v>
      </c>
      <c r="E28" s="102">
        <v>39.799999999999997</v>
      </c>
      <c r="F28" s="102">
        <v>52.8</v>
      </c>
      <c r="G28" s="102">
        <v>277.89999999999998</v>
      </c>
      <c r="H28" s="102">
        <v>397.3</v>
      </c>
      <c r="I28" s="102">
        <v>201.9</v>
      </c>
      <c r="J28" s="102">
        <v>161.4</v>
      </c>
      <c r="K28" s="102">
        <v>67.599999999999994</v>
      </c>
      <c r="L28" s="102">
        <v>48.2</v>
      </c>
      <c r="M28" s="102">
        <v>5.6</v>
      </c>
      <c r="N28" s="102">
        <f t="shared" si="1"/>
        <v>128.80000000000001</v>
      </c>
      <c r="O28" s="102">
        <f t="shared" si="2"/>
        <v>1091.3</v>
      </c>
      <c r="P28" s="102">
        <f t="shared" si="3"/>
        <v>121.39999999999999</v>
      </c>
      <c r="Q28" s="102">
        <f t="shared" si="4"/>
        <v>1341.5</v>
      </c>
    </row>
    <row r="29" spans="1:17">
      <c r="A29" s="102">
        <v>1992</v>
      </c>
      <c r="B29" s="102">
        <v>26.1</v>
      </c>
      <c r="C29" s="102">
        <v>41.5</v>
      </c>
      <c r="D29" s="102">
        <v>23.2</v>
      </c>
      <c r="E29" s="102">
        <v>18.3</v>
      </c>
      <c r="F29" s="102">
        <v>99.1</v>
      </c>
      <c r="G29" s="102">
        <v>127.2</v>
      </c>
      <c r="H29" s="102">
        <v>370.2</v>
      </c>
      <c r="I29" s="102">
        <v>88.8</v>
      </c>
      <c r="J29" s="102">
        <v>106.1</v>
      </c>
      <c r="K29" s="102">
        <v>113.9</v>
      </c>
      <c r="L29" s="102">
        <v>37.6</v>
      </c>
      <c r="M29" s="102">
        <v>0.8</v>
      </c>
      <c r="N29" s="102">
        <f t="shared" si="1"/>
        <v>109.1</v>
      </c>
      <c r="O29" s="102">
        <f t="shared" si="2"/>
        <v>791.4</v>
      </c>
      <c r="P29" s="102">
        <f t="shared" si="3"/>
        <v>152.30000000000001</v>
      </c>
      <c r="Q29" s="102">
        <f t="shared" si="4"/>
        <v>1052.7999999999997</v>
      </c>
    </row>
    <row r="30" spans="1:17">
      <c r="A30" s="102">
        <v>1993</v>
      </c>
      <c r="B30" s="102">
        <v>35.9</v>
      </c>
      <c r="C30" s="102">
        <v>49.5</v>
      </c>
      <c r="D30" s="102">
        <v>4.8</v>
      </c>
      <c r="E30" s="102">
        <v>77.5</v>
      </c>
      <c r="F30" s="102">
        <v>99.1</v>
      </c>
      <c r="G30" s="102">
        <v>137.5</v>
      </c>
      <c r="H30" s="102">
        <v>200.3</v>
      </c>
      <c r="I30" s="102">
        <v>453.8</v>
      </c>
      <c r="J30" s="102">
        <v>299.39999999999998</v>
      </c>
      <c r="K30" s="102">
        <v>82.5</v>
      </c>
      <c r="L30" s="102">
        <v>15</v>
      </c>
      <c r="M30" s="102">
        <v>9.6999999999999993</v>
      </c>
      <c r="N30" s="102">
        <f t="shared" si="1"/>
        <v>167.7</v>
      </c>
      <c r="O30" s="102">
        <f t="shared" si="2"/>
        <v>1190.0999999999999</v>
      </c>
      <c r="P30" s="102">
        <f t="shared" si="3"/>
        <v>107.2</v>
      </c>
      <c r="Q30" s="102">
        <f t="shared" si="4"/>
        <v>1464.9999999999998</v>
      </c>
    </row>
    <row r="31" spans="1:17">
      <c r="A31" s="102">
        <v>1994</v>
      </c>
      <c r="B31" s="102">
        <v>7.4</v>
      </c>
      <c r="C31" s="102">
        <v>8.3000000000000007</v>
      </c>
      <c r="D31" s="102">
        <v>86.1</v>
      </c>
      <c r="E31" s="102">
        <v>1.3</v>
      </c>
      <c r="F31" s="102">
        <v>177</v>
      </c>
      <c r="G31" s="102">
        <v>413</v>
      </c>
      <c r="H31" s="102">
        <v>96.6</v>
      </c>
      <c r="I31" s="102">
        <v>187.5</v>
      </c>
      <c r="J31" s="102">
        <v>236.9</v>
      </c>
      <c r="K31" s="102">
        <v>121.8</v>
      </c>
      <c r="L31" s="102">
        <v>53.7</v>
      </c>
      <c r="M31" s="102">
        <v>22.4</v>
      </c>
      <c r="N31" s="102">
        <f t="shared" si="1"/>
        <v>103.1</v>
      </c>
      <c r="O31" s="102">
        <f t="shared" si="2"/>
        <v>1111</v>
      </c>
      <c r="P31" s="102">
        <f t="shared" si="3"/>
        <v>197.9</v>
      </c>
      <c r="Q31" s="102">
        <f t="shared" si="4"/>
        <v>1412.0000000000002</v>
      </c>
    </row>
    <row r="32" spans="1:17">
      <c r="A32" s="102">
        <v>1995</v>
      </c>
      <c r="B32" s="102">
        <v>38.799999999999997</v>
      </c>
      <c r="C32" s="102">
        <v>21</v>
      </c>
      <c r="D32" s="102">
        <v>12.3</v>
      </c>
      <c r="E32" s="102">
        <v>27</v>
      </c>
      <c r="F32" s="102">
        <v>132.30000000000001</v>
      </c>
      <c r="G32" s="102">
        <v>202.2</v>
      </c>
      <c r="H32" s="102">
        <v>284.3</v>
      </c>
      <c r="I32" s="102">
        <v>183.3</v>
      </c>
      <c r="J32" s="102">
        <v>359.3</v>
      </c>
      <c r="K32" s="102">
        <v>144.4</v>
      </c>
      <c r="L32" s="102">
        <v>57</v>
      </c>
      <c r="M32" s="102">
        <v>3.6</v>
      </c>
      <c r="N32" s="102">
        <f t="shared" si="1"/>
        <v>99.1</v>
      </c>
      <c r="O32" s="102">
        <f t="shared" si="2"/>
        <v>1161.3999999999999</v>
      </c>
      <c r="P32" s="102">
        <f t="shared" si="3"/>
        <v>205</v>
      </c>
      <c r="Q32" s="102">
        <f t="shared" si="4"/>
        <v>1465.5</v>
      </c>
    </row>
    <row r="33" spans="1:31">
      <c r="A33" s="102">
        <v>1996</v>
      </c>
      <c r="B33" s="102">
        <v>1.1000000000000001</v>
      </c>
      <c r="C33" s="102">
        <v>22.1</v>
      </c>
      <c r="D33" s="102">
        <v>38.4</v>
      </c>
      <c r="E33" s="102">
        <v>67.5</v>
      </c>
      <c r="F33" s="102">
        <v>54.7</v>
      </c>
      <c r="G33" s="102">
        <v>256</v>
      </c>
      <c r="H33" s="102">
        <v>307.60000000000002</v>
      </c>
      <c r="I33" s="102">
        <v>170.5</v>
      </c>
      <c r="J33" s="102">
        <v>101</v>
      </c>
      <c r="K33" s="102">
        <v>48.4</v>
      </c>
      <c r="L33" s="102">
        <v>84.3</v>
      </c>
      <c r="M33" s="102">
        <v>6.1</v>
      </c>
      <c r="N33" s="102">
        <f t="shared" si="1"/>
        <v>129.1</v>
      </c>
      <c r="O33" s="102">
        <f t="shared" si="2"/>
        <v>889.8</v>
      </c>
      <c r="P33" s="102">
        <f t="shared" si="3"/>
        <v>138.79999999999998</v>
      </c>
      <c r="Q33" s="102">
        <f t="shared" si="4"/>
        <v>1157.7</v>
      </c>
    </row>
    <row r="34" spans="1:31">
      <c r="A34" s="102">
        <v>1997</v>
      </c>
      <c r="B34" s="102">
        <v>39.6</v>
      </c>
      <c r="C34" s="102">
        <v>31.2</v>
      </c>
      <c r="D34" s="102">
        <v>56.3</v>
      </c>
      <c r="E34" s="102">
        <v>50.8</v>
      </c>
      <c r="F34" s="102">
        <v>105.9</v>
      </c>
      <c r="G34" s="102">
        <v>396.7</v>
      </c>
      <c r="H34" s="102">
        <v>476</v>
      </c>
      <c r="I34" s="102">
        <v>134</v>
      </c>
      <c r="J34" s="102">
        <v>184.2</v>
      </c>
      <c r="K34" s="102">
        <v>191.4</v>
      </c>
      <c r="L34" s="102">
        <v>2.8</v>
      </c>
      <c r="M34" s="102">
        <v>0.7</v>
      </c>
      <c r="N34" s="102">
        <f t="shared" si="1"/>
        <v>177.89999999999998</v>
      </c>
      <c r="O34" s="102">
        <f t="shared" si="2"/>
        <v>1296.8</v>
      </c>
      <c r="P34" s="102">
        <f t="shared" si="3"/>
        <v>194.9</v>
      </c>
      <c r="Q34" s="102">
        <f t="shared" si="4"/>
        <v>1669.6000000000001</v>
      </c>
    </row>
    <row r="35" spans="1:31">
      <c r="A35" s="102">
        <v>1998</v>
      </c>
      <c r="B35" s="102">
        <v>25.6</v>
      </c>
      <c r="C35" s="102">
        <v>22</v>
      </c>
      <c r="D35" s="102">
        <v>6.3</v>
      </c>
      <c r="E35" s="102">
        <v>26.3</v>
      </c>
      <c r="F35" s="102">
        <v>136.4</v>
      </c>
      <c r="G35" s="102">
        <v>191.2</v>
      </c>
      <c r="H35" s="102">
        <v>320.60000000000002</v>
      </c>
      <c r="I35" s="102">
        <v>258.39999999999998</v>
      </c>
      <c r="J35" s="102">
        <v>152.5</v>
      </c>
      <c r="K35" s="102">
        <v>124.3</v>
      </c>
      <c r="L35" s="102">
        <v>49</v>
      </c>
      <c r="M35" s="102">
        <v>6.5</v>
      </c>
      <c r="N35" s="102">
        <f t="shared" si="1"/>
        <v>80.2</v>
      </c>
      <c r="O35" s="102">
        <f t="shared" si="2"/>
        <v>1059.0999999999999</v>
      </c>
      <c r="P35" s="102">
        <f t="shared" si="3"/>
        <v>179.8</v>
      </c>
      <c r="Q35" s="102">
        <f t="shared" si="4"/>
        <v>1319.1000000000001</v>
      </c>
    </row>
    <row r="36" spans="1:31">
      <c r="A36" s="102">
        <v>1999</v>
      </c>
      <c r="B36" s="102">
        <v>30.2</v>
      </c>
      <c r="C36" s="102">
        <v>3.6</v>
      </c>
      <c r="D36" s="102">
        <v>12</v>
      </c>
      <c r="E36" s="102">
        <v>35.4</v>
      </c>
      <c r="F36" s="102">
        <v>231.1</v>
      </c>
      <c r="G36" s="102">
        <v>176.2</v>
      </c>
      <c r="H36" s="102">
        <v>375.3</v>
      </c>
      <c r="I36" s="102">
        <v>298.7</v>
      </c>
      <c r="J36" s="102">
        <v>138.5</v>
      </c>
      <c r="K36" s="102">
        <v>78.8</v>
      </c>
      <c r="L36" s="102">
        <v>39.1</v>
      </c>
      <c r="M36" s="102">
        <v>15.9</v>
      </c>
      <c r="N36" s="102">
        <f t="shared" si="1"/>
        <v>81.199999999999989</v>
      </c>
      <c r="O36" s="102">
        <f t="shared" si="2"/>
        <v>1219.8</v>
      </c>
      <c r="P36" s="102">
        <f t="shared" si="3"/>
        <v>133.80000000000001</v>
      </c>
      <c r="Q36" s="102">
        <f t="shared" si="4"/>
        <v>1434.8</v>
      </c>
    </row>
    <row r="37" spans="1:31">
      <c r="A37" s="102">
        <v>2000</v>
      </c>
      <c r="B37" s="102">
        <v>24.5</v>
      </c>
      <c r="C37" s="102">
        <v>22.8</v>
      </c>
      <c r="D37" s="102">
        <v>41.3</v>
      </c>
      <c r="E37" s="102">
        <v>89.1</v>
      </c>
      <c r="F37" s="102">
        <v>76.2</v>
      </c>
      <c r="G37" s="102">
        <v>394.8</v>
      </c>
      <c r="H37" s="102">
        <v>307.39999999999998</v>
      </c>
      <c r="I37" s="102">
        <v>432.6</v>
      </c>
      <c r="J37" s="102">
        <v>40.5</v>
      </c>
      <c r="K37" s="102">
        <v>229.6</v>
      </c>
      <c r="L37" s="102">
        <v>8.6999999999999993</v>
      </c>
      <c r="M37" s="102">
        <v>7.2</v>
      </c>
      <c r="N37" s="102">
        <f t="shared" si="1"/>
        <v>177.7</v>
      </c>
      <c r="O37" s="102">
        <f t="shared" si="2"/>
        <v>1251.5</v>
      </c>
      <c r="P37" s="102">
        <f t="shared" si="3"/>
        <v>245.49999999999997</v>
      </c>
      <c r="Q37" s="102">
        <f t="shared" si="4"/>
        <v>1674.7</v>
      </c>
    </row>
    <row r="38" spans="1:31">
      <c r="A38" s="102">
        <v>2001</v>
      </c>
      <c r="B38" s="102">
        <v>5.6</v>
      </c>
      <c r="C38" s="102">
        <v>19.100000000000001</v>
      </c>
      <c r="D38" s="102">
        <v>7.6</v>
      </c>
      <c r="E38" s="102">
        <v>6.3</v>
      </c>
      <c r="F38" s="102">
        <v>199.6</v>
      </c>
      <c r="G38" s="102">
        <v>341.1</v>
      </c>
      <c r="H38" s="102">
        <v>313.5</v>
      </c>
      <c r="I38" s="102">
        <v>234.3</v>
      </c>
      <c r="J38" s="102">
        <v>103.9</v>
      </c>
      <c r="K38" s="102">
        <v>176</v>
      </c>
      <c r="L38" s="102">
        <v>12.6</v>
      </c>
      <c r="M38" s="102">
        <v>1.8</v>
      </c>
      <c r="N38" s="102">
        <f t="shared" si="1"/>
        <v>38.6</v>
      </c>
      <c r="O38" s="102">
        <f t="shared" si="2"/>
        <v>1192.4000000000001</v>
      </c>
      <c r="P38" s="102">
        <f t="shared" si="3"/>
        <v>190.4</v>
      </c>
      <c r="Q38" s="102">
        <f t="shared" si="4"/>
        <v>1421.3999999999999</v>
      </c>
    </row>
    <row r="39" spans="1:31">
      <c r="A39" s="102">
        <v>2002</v>
      </c>
      <c r="B39" s="102">
        <v>31.3</v>
      </c>
      <c r="C39" s="102">
        <v>14.7</v>
      </c>
      <c r="D39" s="102">
        <v>24</v>
      </c>
      <c r="E39" s="102">
        <v>15.9</v>
      </c>
      <c r="F39" s="102">
        <v>181.4</v>
      </c>
      <c r="G39" s="102">
        <v>233.4</v>
      </c>
      <c r="H39" s="102">
        <v>138.9</v>
      </c>
      <c r="I39" s="102">
        <v>224.1</v>
      </c>
      <c r="J39" s="102">
        <v>52.1</v>
      </c>
      <c r="K39" s="102">
        <v>84.4</v>
      </c>
      <c r="L39" s="102">
        <v>15.8</v>
      </c>
      <c r="M39" s="102">
        <v>17</v>
      </c>
      <c r="N39" s="102">
        <f t="shared" si="1"/>
        <v>85.9</v>
      </c>
      <c r="O39" s="102">
        <f t="shared" si="2"/>
        <v>829.90000000000009</v>
      </c>
      <c r="P39" s="102">
        <f t="shared" si="3"/>
        <v>117.2</v>
      </c>
      <c r="Q39" s="102">
        <f t="shared" si="4"/>
        <v>1033</v>
      </c>
    </row>
    <row r="40" spans="1:31">
      <c r="A40" s="102">
        <v>2003</v>
      </c>
      <c r="B40" s="102">
        <v>13.5</v>
      </c>
      <c r="C40" s="102">
        <v>5.2</v>
      </c>
      <c r="D40" s="102">
        <v>57.2</v>
      </c>
      <c r="E40" s="102">
        <v>45.3</v>
      </c>
      <c r="F40" s="102">
        <v>172.3</v>
      </c>
      <c r="G40" s="102">
        <v>258.5</v>
      </c>
      <c r="H40" s="102">
        <v>227.1</v>
      </c>
      <c r="I40" s="102">
        <v>109.3</v>
      </c>
      <c r="J40" s="102">
        <v>159.4</v>
      </c>
      <c r="K40" s="102">
        <v>37</v>
      </c>
      <c r="L40" s="102">
        <v>7</v>
      </c>
      <c r="M40" s="102">
        <v>50.5</v>
      </c>
      <c r="N40" s="102">
        <f t="shared" si="1"/>
        <v>121.2</v>
      </c>
      <c r="O40" s="102">
        <f t="shared" si="2"/>
        <v>926.59999999999991</v>
      </c>
      <c r="P40" s="102">
        <f t="shared" si="3"/>
        <v>94.5</v>
      </c>
      <c r="Q40" s="102">
        <f t="shared" si="4"/>
        <v>1142.3</v>
      </c>
    </row>
    <row r="41" spans="1:31">
      <c r="A41" s="102">
        <v>2004</v>
      </c>
      <c r="B41" s="102">
        <v>33</v>
      </c>
      <c r="C41" s="102">
        <v>37</v>
      </c>
      <c r="D41" s="102">
        <v>8</v>
      </c>
      <c r="E41" s="102">
        <v>59</v>
      </c>
      <c r="F41" s="102">
        <v>90</v>
      </c>
      <c r="G41" s="102">
        <v>135</v>
      </c>
      <c r="H41" s="102">
        <v>334</v>
      </c>
      <c r="I41" s="102">
        <v>180</v>
      </c>
      <c r="J41" s="102">
        <v>154</v>
      </c>
      <c r="K41" s="103">
        <v>34</v>
      </c>
      <c r="L41" s="103">
        <v>26</v>
      </c>
      <c r="M41" s="103">
        <v>14</v>
      </c>
      <c r="N41" s="102">
        <f t="shared" si="1"/>
        <v>137</v>
      </c>
      <c r="O41" s="102">
        <f t="shared" si="2"/>
        <v>893</v>
      </c>
      <c r="P41" s="102">
        <f t="shared" si="3"/>
        <v>74</v>
      </c>
      <c r="Q41" s="102">
        <f t="shared" si="4"/>
        <v>1104</v>
      </c>
    </row>
    <row r="42" spans="1:31">
      <c r="A42" s="102">
        <v>2005</v>
      </c>
      <c r="B42" s="103">
        <v>43.7</v>
      </c>
      <c r="C42" s="103">
        <v>7.4</v>
      </c>
      <c r="D42" s="103">
        <v>33.700000000000003</v>
      </c>
      <c r="E42" s="103">
        <v>54.4</v>
      </c>
      <c r="F42" s="103">
        <v>99.2</v>
      </c>
      <c r="G42" s="103">
        <v>278</v>
      </c>
      <c r="H42" s="103">
        <v>308</v>
      </c>
      <c r="I42" s="103">
        <v>259</v>
      </c>
      <c r="J42" s="103">
        <v>137.1</v>
      </c>
      <c r="K42" s="102">
        <v>152.80000000000001</v>
      </c>
      <c r="L42" s="102">
        <v>4.2</v>
      </c>
      <c r="M42" s="102">
        <v>32.200000000000003</v>
      </c>
      <c r="N42" s="102">
        <f t="shared" si="1"/>
        <v>139.20000000000002</v>
      </c>
      <c r="O42" s="102">
        <f t="shared" si="2"/>
        <v>1081.3</v>
      </c>
      <c r="P42" s="102">
        <f t="shared" si="3"/>
        <v>189.2</v>
      </c>
      <c r="Q42" s="102">
        <f t="shared" si="4"/>
        <v>1409.7</v>
      </c>
    </row>
    <row r="43" spans="1:31">
      <c r="A43" s="102">
        <v>2006</v>
      </c>
      <c r="B43" s="102">
        <v>2.9</v>
      </c>
      <c r="C43" s="102">
        <v>28.5</v>
      </c>
      <c r="D43" s="102">
        <v>8.5</v>
      </c>
      <c r="E43" s="102">
        <v>18.399999999999999</v>
      </c>
      <c r="F43" s="102">
        <v>153.80000000000001</v>
      </c>
      <c r="G43" s="102">
        <v>346.2</v>
      </c>
      <c r="H43" s="102">
        <v>126.7</v>
      </c>
      <c r="I43" s="102">
        <v>75.599999999999994</v>
      </c>
      <c r="J43" s="102">
        <v>102.7</v>
      </c>
      <c r="K43" s="102">
        <v>152.9</v>
      </c>
      <c r="L43" s="102">
        <v>11</v>
      </c>
      <c r="M43" s="102">
        <v>9.1999999999999993</v>
      </c>
      <c r="N43" s="102">
        <f t="shared" si="1"/>
        <v>58.3</v>
      </c>
      <c r="O43" s="102">
        <f t="shared" si="2"/>
        <v>805.00000000000011</v>
      </c>
      <c r="P43" s="102">
        <f t="shared" si="3"/>
        <v>173.1</v>
      </c>
      <c r="Q43" s="102">
        <f t="shared" si="4"/>
        <v>1036.4000000000001</v>
      </c>
    </row>
    <row r="44" spans="1:31">
      <c r="A44" s="102">
        <v>2007</v>
      </c>
      <c r="B44" s="102">
        <v>40.4</v>
      </c>
      <c r="C44" s="102">
        <v>15.3</v>
      </c>
      <c r="D44" s="102">
        <v>9.1999999999999993</v>
      </c>
      <c r="E44" s="102">
        <v>84.4</v>
      </c>
      <c r="F44" s="102">
        <v>218.6</v>
      </c>
      <c r="G44" s="102">
        <v>287.60000000000002</v>
      </c>
      <c r="H44" s="102">
        <v>232.6</v>
      </c>
      <c r="I44" s="102">
        <v>212.2</v>
      </c>
      <c r="J44" s="102">
        <v>123.1</v>
      </c>
      <c r="K44" s="102">
        <v>41.8</v>
      </c>
      <c r="L44" s="102">
        <v>13.5</v>
      </c>
      <c r="M44" s="102">
        <v>3.6</v>
      </c>
      <c r="N44" s="102">
        <f t="shared" si="1"/>
        <v>149.30000000000001</v>
      </c>
      <c r="O44" s="102">
        <f t="shared" si="2"/>
        <v>1074.0999999999999</v>
      </c>
      <c r="P44" s="102">
        <f t="shared" si="3"/>
        <v>58.9</v>
      </c>
      <c r="Q44" s="102">
        <f t="shared" si="4"/>
        <v>1282.2999999999997</v>
      </c>
    </row>
    <row r="45" spans="1:31">
      <c r="A45" s="102">
        <v>2008</v>
      </c>
      <c r="B45" s="102">
        <v>17.100000000000001</v>
      </c>
      <c r="C45" s="102">
        <v>22.1</v>
      </c>
      <c r="D45" s="102">
        <v>52.5</v>
      </c>
      <c r="E45" s="102">
        <v>29.1</v>
      </c>
      <c r="F45" s="102">
        <v>259.2</v>
      </c>
      <c r="G45" s="102">
        <v>174.7</v>
      </c>
      <c r="H45" s="102">
        <v>163.19999999999999</v>
      </c>
      <c r="I45" s="102">
        <v>346.7</v>
      </c>
      <c r="J45" s="102">
        <v>85.7</v>
      </c>
      <c r="K45" s="102">
        <v>75.3</v>
      </c>
      <c r="L45" s="102">
        <v>76.5</v>
      </c>
      <c r="M45" s="102">
        <v>33.799999999999997</v>
      </c>
      <c r="N45" s="102">
        <f t="shared" si="1"/>
        <v>120.80000000000001</v>
      </c>
      <c r="O45" s="102">
        <f t="shared" si="2"/>
        <v>1029.5</v>
      </c>
      <c r="P45" s="102">
        <f t="shared" si="3"/>
        <v>185.60000000000002</v>
      </c>
      <c r="Q45" s="102">
        <f t="shared" si="4"/>
        <v>1335.9</v>
      </c>
    </row>
    <row r="46" spans="1:31">
      <c r="A46" s="102">
        <v>2009</v>
      </c>
      <c r="B46" s="102">
        <v>12.2</v>
      </c>
      <c r="C46" s="102">
        <v>3.7</v>
      </c>
      <c r="D46" s="102">
        <v>47.2</v>
      </c>
      <c r="E46" s="102">
        <v>61.9</v>
      </c>
      <c r="F46" s="102">
        <v>127.5</v>
      </c>
      <c r="G46" s="102">
        <v>415.5</v>
      </c>
      <c r="H46" s="102">
        <v>190.7</v>
      </c>
      <c r="I46" s="102">
        <v>244.6</v>
      </c>
      <c r="J46" s="102">
        <v>63</v>
      </c>
      <c r="K46" s="102">
        <v>51.8</v>
      </c>
      <c r="L46" s="102">
        <v>9.4</v>
      </c>
      <c r="M46" s="102">
        <v>6.9</v>
      </c>
      <c r="N46" s="102">
        <f t="shared" si="1"/>
        <v>125</v>
      </c>
      <c r="O46" s="102">
        <f t="shared" si="2"/>
        <v>1041.3000000000002</v>
      </c>
      <c r="P46" s="102">
        <f t="shared" si="3"/>
        <v>68.099999999999994</v>
      </c>
      <c r="Q46" s="102">
        <f t="shared" si="4"/>
        <v>1234.4000000000001</v>
      </c>
    </row>
    <row r="47" spans="1:31">
      <c r="A47" s="102">
        <v>2010</v>
      </c>
      <c r="B47" s="102">
        <v>3.6</v>
      </c>
      <c r="C47" s="102">
        <v>5.8</v>
      </c>
      <c r="D47" s="102">
        <v>3.5</v>
      </c>
      <c r="E47" s="102">
        <v>91.8</v>
      </c>
      <c r="F47" s="102">
        <v>124.1</v>
      </c>
      <c r="G47" s="102">
        <v>214.8</v>
      </c>
      <c r="H47" s="102">
        <v>348.4</v>
      </c>
      <c r="I47" s="102">
        <v>189.8</v>
      </c>
      <c r="J47" s="102">
        <v>194.6</v>
      </c>
      <c r="K47" s="102">
        <v>136</v>
      </c>
      <c r="L47" s="102">
        <v>40.200000000000003</v>
      </c>
      <c r="M47" s="102">
        <v>20.3</v>
      </c>
      <c r="N47" s="102">
        <f t="shared" si="1"/>
        <v>104.7</v>
      </c>
      <c r="O47" s="102">
        <f t="shared" si="2"/>
        <v>1071.6999999999998</v>
      </c>
      <c r="P47" s="102">
        <f t="shared" si="3"/>
        <v>196.5</v>
      </c>
      <c r="Q47" s="102">
        <f t="shared" si="4"/>
        <v>1372.8999999999999</v>
      </c>
    </row>
    <row r="48" spans="1:31">
      <c r="A48" s="102">
        <v>2011</v>
      </c>
      <c r="B48" s="102">
        <v>37.6</v>
      </c>
      <c r="C48" s="102">
        <v>5.5</v>
      </c>
      <c r="D48" s="102">
        <v>17.2</v>
      </c>
      <c r="E48" s="102">
        <v>6.5</v>
      </c>
      <c r="F48" s="102">
        <v>30.7</v>
      </c>
      <c r="G48" s="102">
        <v>192</v>
      </c>
      <c r="H48" s="102">
        <v>45.9</v>
      </c>
      <c r="I48" s="102">
        <v>94.7</v>
      </c>
      <c r="J48" s="102">
        <v>299.39999999999998</v>
      </c>
      <c r="K48" s="102">
        <v>58.8</v>
      </c>
      <c r="L48" s="102">
        <v>32.299999999999997</v>
      </c>
      <c r="M48" s="102">
        <v>14.8</v>
      </c>
      <c r="N48" s="102">
        <f t="shared" si="1"/>
        <v>66.8</v>
      </c>
      <c r="O48" s="102">
        <f t="shared" si="2"/>
        <v>662.69999999999993</v>
      </c>
      <c r="P48" s="102">
        <f t="shared" si="3"/>
        <v>105.89999999999999</v>
      </c>
      <c r="Q48" s="102">
        <f t="shared" si="4"/>
        <v>835.39999999999986</v>
      </c>
      <c r="R48" s="104"/>
      <c r="S48" s="104"/>
      <c r="T48" s="104"/>
      <c r="U48" s="104"/>
      <c r="V48" s="104"/>
      <c r="W48" s="104"/>
      <c r="X48" s="104"/>
      <c r="Y48" s="104"/>
      <c r="Z48" s="104"/>
      <c r="AA48" s="104"/>
      <c r="AB48" s="104"/>
      <c r="AC48" s="104"/>
      <c r="AD48" s="104"/>
      <c r="AE48" s="104"/>
    </row>
    <row r="49" spans="1:33">
      <c r="A49" s="102">
        <v>2012</v>
      </c>
      <c r="B49" s="102">
        <v>9.9</v>
      </c>
      <c r="C49" s="102">
        <v>4.9000000000000004</v>
      </c>
      <c r="D49" s="102">
        <v>43</v>
      </c>
      <c r="E49" s="102">
        <v>22.1</v>
      </c>
      <c r="F49" s="102">
        <v>143.9</v>
      </c>
      <c r="G49" s="102">
        <v>304.10000000000002</v>
      </c>
      <c r="H49" s="102">
        <v>342.2</v>
      </c>
      <c r="I49" s="102">
        <v>133.1</v>
      </c>
      <c r="J49" s="102">
        <v>170.8</v>
      </c>
      <c r="K49" s="102">
        <v>60.6</v>
      </c>
      <c r="L49" s="102">
        <v>8.3000000000000007</v>
      </c>
      <c r="M49" s="102">
        <v>2.5</v>
      </c>
      <c r="N49" s="102">
        <f t="shared" si="1"/>
        <v>79.900000000000006</v>
      </c>
      <c r="O49" s="102">
        <f t="shared" si="2"/>
        <v>1094.1000000000001</v>
      </c>
      <c r="P49" s="102">
        <f t="shared" si="3"/>
        <v>71.400000000000006</v>
      </c>
      <c r="Q49" s="102">
        <f t="shared" si="4"/>
        <v>1245.4000000000001</v>
      </c>
      <c r="R49" s="104"/>
      <c r="S49" s="104"/>
      <c r="T49" s="104"/>
      <c r="U49" s="104"/>
      <c r="V49" s="104"/>
      <c r="W49" s="104"/>
      <c r="X49" s="104"/>
      <c r="Y49" s="104"/>
      <c r="Z49" s="104"/>
      <c r="AA49" s="104"/>
      <c r="AB49" s="104"/>
      <c r="AC49" s="104"/>
      <c r="AD49" s="104"/>
      <c r="AE49" s="104"/>
      <c r="AF49" s="104"/>
      <c r="AG49" s="104"/>
    </row>
    <row r="50" spans="1:33">
      <c r="A50" s="102">
        <v>2013</v>
      </c>
      <c r="B50" s="102">
        <v>8</v>
      </c>
      <c r="C50" s="102">
        <v>0.7</v>
      </c>
      <c r="D50" s="102">
        <v>54.6</v>
      </c>
      <c r="E50" s="102">
        <v>51</v>
      </c>
      <c r="F50" s="102">
        <v>129.4</v>
      </c>
      <c r="G50" s="102">
        <v>144.30000000000001</v>
      </c>
      <c r="H50" s="102">
        <v>182.9</v>
      </c>
      <c r="I50" s="102">
        <v>132.9</v>
      </c>
      <c r="J50" s="102">
        <v>101.4</v>
      </c>
      <c r="K50" s="102">
        <v>93.6</v>
      </c>
      <c r="L50" s="102">
        <v>26.7</v>
      </c>
      <c r="M50" s="102">
        <v>41.4</v>
      </c>
      <c r="N50" s="102">
        <f t="shared" si="1"/>
        <v>114.3</v>
      </c>
      <c r="O50" s="102">
        <f t="shared" si="2"/>
        <v>690.9</v>
      </c>
      <c r="P50" s="102">
        <f t="shared" si="3"/>
        <v>161.69999999999999</v>
      </c>
      <c r="Q50" s="102">
        <f t="shared" si="4"/>
        <v>966.9</v>
      </c>
      <c r="R50" s="104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</row>
    <row r="51" spans="1:33">
      <c r="A51" s="102">
        <v>2014</v>
      </c>
      <c r="B51" s="128">
        <v>7.4</v>
      </c>
      <c r="C51" s="128">
        <v>30</v>
      </c>
      <c r="D51" s="128">
        <v>41.5</v>
      </c>
      <c r="E51" s="128">
        <v>84.7</v>
      </c>
      <c r="F51" s="128">
        <v>86.5</v>
      </c>
      <c r="G51" s="128">
        <v>359.3</v>
      </c>
      <c r="H51" s="128">
        <v>308.2</v>
      </c>
      <c r="I51" s="128">
        <v>239.4</v>
      </c>
      <c r="J51" s="128">
        <v>259.7</v>
      </c>
      <c r="K51" s="128">
        <v>58.3</v>
      </c>
      <c r="L51" s="128">
        <v>39.9</v>
      </c>
      <c r="M51" s="128">
        <v>15.5</v>
      </c>
      <c r="N51" s="102">
        <f t="shared" si="1"/>
        <v>163.60000000000002</v>
      </c>
      <c r="O51" s="102">
        <f t="shared" si="2"/>
        <v>1253.0999999999999</v>
      </c>
      <c r="P51" s="102">
        <f t="shared" si="3"/>
        <v>113.69999999999999</v>
      </c>
      <c r="Q51" s="102">
        <f t="shared" si="4"/>
        <v>1530.4000000000003</v>
      </c>
    </row>
    <row r="52" spans="1:33">
      <c r="A52" s="102">
        <v>2015</v>
      </c>
      <c r="B52" s="128">
        <v>50.5</v>
      </c>
      <c r="C52" s="128">
        <v>6.4</v>
      </c>
      <c r="D52" s="128">
        <v>32.299999999999997</v>
      </c>
      <c r="E52" s="128">
        <v>48.1</v>
      </c>
      <c r="F52" s="128">
        <v>72.599999999999994</v>
      </c>
      <c r="G52" s="128">
        <v>159.9</v>
      </c>
      <c r="H52" s="128">
        <v>218.7</v>
      </c>
      <c r="I52" s="128">
        <v>286</v>
      </c>
      <c r="J52" s="128">
        <v>230.1</v>
      </c>
      <c r="K52" s="128">
        <v>122</v>
      </c>
      <c r="L52" s="128">
        <v>16.3</v>
      </c>
      <c r="M52" s="128">
        <v>54.9</v>
      </c>
      <c r="N52" s="102">
        <f t="shared" si="1"/>
        <v>137.29999999999998</v>
      </c>
      <c r="O52" s="102">
        <f t="shared" si="2"/>
        <v>967.30000000000007</v>
      </c>
      <c r="P52" s="102">
        <f t="shared" si="3"/>
        <v>193.20000000000002</v>
      </c>
      <c r="Q52" s="102">
        <f t="shared" si="4"/>
        <v>1297.8</v>
      </c>
    </row>
    <row r="53" spans="1:33">
      <c r="A53" s="102">
        <v>2016</v>
      </c>
      <c r="B53" s="128">
        <v>26.4</v>
      </c>
      <c r="C53" s="128">
        <v>16.5</v>
      </c>
      <c r="D53" s="128">
        <v>36.4</v>
      </c>
      <c r="E53" s="128">
        <v>123.8</v>
      </c>
      <c r="F53" s="128">
        <v>131.9</v>
      </c>
      <c r="G53" s="128">
        <v>182.2</v>
      </c>
      <c r="H53" s="128">
        <v>150.30000000000001</v>
      </c>
      <c r="I53" s="128">
        <v>322.89999999999998</v>
      </c>
      <c r="J53" s="128">
        <v>116.4</v>
      </c>
      <c r="K53" s="128">
        <v>100.7</v>
      </c>
      <c r="L53" s="128">
        <v>44.4</v>
      </c>
      <c r="M53" s="128">
        <v>17.7</v>
      </c>
      <c r="N53" s="102">
        <f>SUM(B53:E53)</f>
        <v>203.1</v>
      </c>
      <c r="O53" s="102">
        <f>SUM(F53:J53)</f>
        <v>903.69999999999993</v>
      </c>
      <c r="P53" s="102">
        <f>SUM(K53:M53)</f>
        <v>162.79999999999998</v>
      </c>
      <c r="Q53" s="102">
        <f>SUM(B53:M53)</f>
        <v>1269.6000000000001</v>
      </c>
      <c r="R53" s="108">
        <f t="shared" ref="R53:AG53" si="5">100*(B53-B4)/B4</f>
        <v>34.851548366499905</v>
      </c>
      <c r="S53" s="108">
        <f t="shared" si="5"/>
        <v>-1.6515584254315385</v>
      </c>
      <c r="T53" s="108">
        <f t="shared" si="5"/>
        <v>46.307151230949586</v>
      </c>
      <c r="U53" s="108">
        <f t="shared" si="5"/>
        <v>176.7382294043683</v>
      </c>
      <c r="V53" s="108">
        <f t="shared" si="5"/>
        <v>-7.5872135454678045</v>
      </c>
      <c r="W53" s="108">
        <f t="shared" si="5"/>
        <v>-31.289577473641213</v>
      </c>
      <c r="X53" s="108">
        <f t="shared" si="5"/>
        <v>-41.68721053354782</v>
      </c>
      <c r="Y53" s="108">
        <f t="shared" si="5"/>
        <v>54.283837187310219</v>
      </c>
      <c r="Z53" s="108">
        <f t="shared" si="5"/>
        <v>-27.922907233252062</v>
      </c>
      <c r="AA53" s="108">
        <f t="shared" si="5"/>
        <v>3.5808421729346902</v>
      </c>
      <c r="AB53" s="108">
        <f t="shared" si="5"/>
        <v>32.553800223908461</v>
      </c>
      <c r="AC53" s="108">
        <f t="shared" si="5"/>
        <v>24.831031442844555</v>
      </c>
      <c r="AD53" s="108">
        <f t="shared" si="5"/>
        <v>91.660277204364505</v>
      </c>
      <c r="AE53" s="108">
        <f t="shared" si="5"/>
        <v>-12.806565799709334</v>
      </c>
      <c r="AF53" s="108">
        <f t="shared" si="5"/>
        <v>12.358193503860589</v>
      </c>
      <c r="AG53" s="108">
        <f t="shared" si="5"/>
        <v>-1.3744920302767052</v>
      </c>
    </row>
  </sheetData>
  <mergeCells count="6">
    <mergeCell ref="A1:A3"/>
    <mergeCell ref="B2:M2"/>
    <mergeCell ref="B1:Q1"/>
    <mergeCell ref="R1:AG1"/>
    <mergeCell ref="N2:Q2"/>
    <mergeCell ref="R2:AG2"/>
  </mergeCells>
  <phoneticPr fontId="2" type="noConversion"/>
  <pageMargins left="0.75" right="0.75" top="1" bottom="1" header="0.5" footer="0.5"/>
  <headerFooter alignWithMargins="0"/>
</worksheet>
</file>

<file path=xl/worksheets/sheet79.xml><?xml version="1.0" encoding="utf-8"?>
<worksheet xmlns="http://schemas.openxmlformats.org/spreadsheetml/2006/main" xmlns:r="http://schemas.openxmlformats.org/officeDocument/2006/relationships">
  <sheetPr codeName="Sheet79"/>
  <dimension ref="A1:AG38"/>
  <sheetViews>
    <sheetView zoomScale="85" zoomScaleNormal="85" workbookViewId="0">
      <pane ySplit="5" topLeftCell="A6" activePane="bottomLeft" state="frozen"/>
      <selection pane="bottomLeft" activeCell="R38" sqref="R38"/>
    </sheetView>
  </sheetViews>
  <sheetFormatPr defaultRowHeight="12"/>
  <cols>
    <col min="1" max="67" width="7.125" style="102" customWidth="1"/>
    <col min="68" max="16384" width="9" style="102"/>
  </cols>
  <sheetData>
    <row r="1" spans="1:33" s="118" customFormat="1" ht="14.25" customHeight="1">
      <c r="A1" s="176" t="s">
        <v>53</v>
      </c>
      <c r="B1" s="176" t="s">
        <v>171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2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116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32</v>
      </c>
      <c r="O2" s="176"/>
      <c r="P2" s="176"/>
      <c r="Q2" s="176"/>
      <c r="R2" s="176" t="s">
        <v>38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 ht="24">
      <c r="A3" s="176"/>
      <c r="B3" s="125" t="s">
        <v>149</v>
      </c>
      <c r="C3" s="125" t="s">
        <v>150</v>
      </c>
      <c r="D3" s="125" t="s">
        <v>9</v>
      </c>
      <c r="E3" s="125" t="s">
        <v>10</v>
      </c>
      <c r="F3" s="125" t="s">
        <v>11</v>
      </c>
      <c r="G3" s="125" t="s">
        <v>12</v>
      </c>
      <c r="H3" s="125" t="s">
        <v>13</v>
      </c>
      <c r="I3" s="125" t="s">
        <v>14</v>
      </c>
      <c r="J3" s="125" t="s">
        <v>15</v>
      </c>
      <c r="K3" s="125" t="s">
        <v>16</v>
      </c>
      <c r="L3" s="125" t="s">
        <v>17</v>
      </c>
      <c r="M3" s="125" t="s">
        <v>18</v>
      </c>
      <c r="N3" s="125" t="s">
        <v>145</v>
      </c>
      <c r="O3" s="125" t="s">
        <v>146</v>
      </c>
      <c r="P3" s="125" t="s">
        <v>147</v>
      </c>
      <c r="Q3" s="125" t="s">
        <v>148</v>
      </c>
      <c r="R3" s="125" t="s">
        <v>149</v>
      </c>
      <c r="S3" s="125" t="s">
        <v>150</v>
      </c>
      <c r="T3" s="125" t="s">
        <v>151</v>
      </c>
      <c r="U3" s="125" t="s">
        <v>152</v>
      </c>
      <c r="V3" s="125" t="s">
        <v>153</v>
      </c>
      <c r="W3" s="125" t="s">
        <v>154</v>
      </c>
      <c r="X3" s="125" t="s">
        <v>25</v>
      </c>
      <c r="Y3" s="125" t="s">
        <v>26</v>
      </c>
      <c r="Z3" s="125" t="s">
        <v>27</v>
      </c>
      <c r="AA3" s="125" t="s">
        <v>155</v>
      </c>
      <c r="AB3" s="125" t="s">
        <v>156</v>
      </c>
      <c r="AC3" s="125" t="s">
        <v>157</v>
      </c>
      <c r="AD3" s="125" t="s">
        <v>132</v>
      </c>
      <c r="AE3" s="125" t="s">
        <v>42</v>
      </c>
      <c r="AF3" s="125" t="s">
        <v>91</v>
      </c>
      <c r="AG3" s="125" t="s">
        <v>66</v>
      </c>
    </row>
    <row r="4" spans="1:33" s="118" customFormat="1">
      <c r="A4" s="150" t="s">
        <v>261</v>
      </c>
      <c r="B4" s="150">
        <f t="shared" ref="B4:Q4" si="0">AVERAGE(B5:B37)</f>
        <v>24.148484848484845</v>
      </c>
      <c r="C4" s="150">
        <f t="shared" si="0"/>
        <v>18.736363636363645</v>
      </c>
      <c r="D4" s="150">
        <f t="shared" si="0"/>
        <v>31.878787878787879</v>
      </c>
      <c r="E4" s="150">
        <f t="shared" si="0"/>
        <v>46.375757575757575</v>
      </c>
      <c r="F4" s="150">
        <f t="shared" si="0"/>
        <v>149.39393939393941</v>
      </c>
      <c r="G4" s="150">
        <f t="shared" si="0"/>
        <v>293.87575757575763</v>
      </c>
      <c r="H4" s="150">
        <f t="shared" si="0"/>
        <v>258.9575757575758</v>
      </c>
      <c r="I4" s="150">
        <f t="shared" si="0"/>
        <v>200.97575757575754</v>
      </c>
      <c r="J4" s="150">
        <f t="shared" si="0"/>
        <v>143.54242424242423</v>
      </c>
      <c r="K4" s="150">
        <f t="shared" si="0"/>
        <v>85.575757575757578</v>
      </c>
      <c r="L4" s="150">
        <f t="shared" si="0"/>
        <v>28.112121212121217</v>
      </c>
      <c r="M4" s="150">
        <f t="shared" si="0"/>
        <v>17.23030303030303</v>
      </c>
      <c r="N4" s="150">
        <f t="shared" si="0"/>
        <v>121.13939393939393</v>
      </c>
      <c r="O4" s="150">
        <f t="shared" si="0"/>
        <v>1046.7454545454545</v>
      </c>
      <c r="P4" s="150">
        <f t="shared" si="0"/>
        <v>130.91818181818184</v>
      </c>
      <c r="Q4" s="150">
        <f t="shared" si="0"/>
        <v>1298.8030303030298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1983</v>
      </c>
      <c r="B5" s="103">
        <v>53.8</v>
      </c>
      <c r="C5" s="103">
        <v>39.1</v>
      </c>
      <c r="D5" s="103">
        <v>51</v>
      </c>
      <c r="E5" s="103">
        <v>19.8</v>
      </c>
      <c r="F5" s="103">
        <v>203.3</v>
      </c>
      <c r="G5" s="103">
        <v>349.3</v>
      </c>
      <c r="H5" s="103">
        <v>244.8</v>
      </c>
      <c r="I5" s="103">
        <v>253.4</v>
      </c>
      <c r="J5" s="103">
        <v>176.2</v>
      </c>
      <c r="K5" s="103">
        <v>102.4</v>
      </c>
      <c r="L5" s="103">
        <v>53.7</v>
      </c>
      <c r="M5" s="103">
        <v>28.5</v>
      </c>
      <c r="N5" s="102">
        <f>SUM(B5:E5)</f>
        <v>163.70000000000002</v>
      </c>
      <c r="O5" s="102">
        <f>SUM(F5:J5)</f>
        <v>1227.0000000000002</v>
      </c>
      <c r="P5" s="102">
        <f>SUM(K5:M5)</f>
        <v>184.60000000000002</v>
      </c>
      <c r="Q5" s="102">
        <f>SUM(B5:M5)</f>
        <v>1575.3000000000002</v>
      </c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</row>
    <row r="6" spans="1:33">
      <c r="A6" s="102">
        <v>1984</v>
      </c>
      <c r="B6" s="103">
        <v>9.1999999999999993</v>
      </c>
      <c r="C6" s="103">
        <v>9.4</v>
      </c>
      <c r="D6" s="103">
        <v>10.7</v>
      </c>
      <c r="E6" s="103">
        <v>33.5</v>
      </c>
      <c r="F6" s="103">
        <v>235.4</v>
      </c>
      <c r="G6" s="103">
        <v>381.4</v>
      </c>
      <c r="H6" s="103">
        <v>161.30000000000001</v>
      </c>
      <c r="I6" s="103">
        <v>192.4</v>
      </c>
      <c r="J6" s="103">
        <v>81.400000000000006</v>
      </c>
      <c r="K6" s="103">
        <v>72.7</v>
      </c>
      <c r="L6" s="103">
        <v>10.5</v>
      </c>
      <c r="M6" s="103">
        <v>13.9</v>
      </c>
      <c r="N6" s="102">
        <f t="shared" ref="N6:N37" si="1">SUM(B6:E6)</f>
        <v>62.8</v>
      </c>
      <c r="O6" s="102">
        <f t="shared" ref="O6:O37" si="2">SUM(F6:J6)</f>
        <v>1051.8999999999999</v>
      </c>
      <c r="P6" s="102">
        <f t="shared" ref="P6:P37" si="3">SUM(K6:M6)</f>
        <v>97.100000000000009</v>
      </c>
      <c r="Q6" s="102">
        <f t="shared" ref="Q6:Q37" si="4">SUM(B6:M6)</f>
        <v>1211.8000000000002</v>
      </c>
      <c r="R6" s="103"/>
      <c r="S6" s="103"/>
      <c r="T6" s="103"/>
      <c r="U6" s="103"/>
      <c r="V6" s="103"/>
      <c r="W6" s="103"/>
      <c r="X6" s="103"/>
      <c r="Y6" s="103"/>
      <c r="Z6" s="103"/>
      <c r="AA6" s="103"/>
      <c r="AB6" s="103"/>
      <c r="AC6" s="103"/>
      <c r="AD6" s="103"/>
      <c r="AE6" s="103"/>
    </row>
    <row r="7" spans="1:33">
      <c r="A7" s="102">
        <v>1985</v>
      </c>
      <c r="B7" s="102">
        <v>17</v>
      </c>
      <c r="C7" s="102">
        <v>9.8000000000000007</v>
      </c>
      <c r="D7" s="102">
        <v>28.5</v>
      </c>
      <c r="E7" s="102">
        <v>88</v>
      </c>
      <c r="F7" s="102">
        <v>139.6</v>
      </c>
      <c r="G7" s="102">
        <v>455.7</v>
      </c>
      <c r="H7" s="102">
        <v>264.10000000000002</v>
      </c>
      <c r="I7" s="102">
        <v>278.60000000000002</v>
      </c>
      <c r="J7" s="102">
        <v>167.9</v>
      </c>
      <c r="K7" s="102">
        <v>76.099999999999994</v>
      </c>
      <c r="L7" s="102">
        <v>11.7</v>
      </c>
      <c r="M7" s="102">
        <v>15.2</v>
      </c>
      <c r="N7" s="102">
        <f t="shared" si="1"/>
        <v>143.30000000000001</v>
      </c>
      <c r="O7" s="102">
        <f t="shared" si="2"/>
        <v>1305.9000000000001</v>
      </c>
      <c r="P7" s="102">
        <f t="shared" si="3"/>
        <v>103</v>
      </c>
      <c r="Q7" s="102">
        <f t="shared" si="4"/>
        <v>1552.2</v>
      </c>
    </row>
    <row r="8" spans="1:33">
      <c r="A8" s="102">
        <v>1986</v>
      </c>
      <c r="B8" s="102">
        <v>4.7</v>
      </c>
      <c r="C8" s="102">
        <v>16.5</v>
      </c>
      <c r="D8" s="102">
        <v>3.5</v>
      </c>
      <c r="E8" s="102">
        <v>68.599999999999994</v>
      </c>
      <c r="F8" s="102">
        <v>127.3</v>
      </c>
      <c r="G8" s="102">
        <v>226</v>
      </c>
      <c r="H8" s="102">
        <v>384</v>
      </c>
      <c r="I8" s="102">
        <v>268</v>
      </c>
      <c r="J8" s="102">
        <v>172.7</v>
      </c>
      <c r="K8" s="102">
        <v>127.2</v>
      </c>
      <c r="L8" s="102">
        <v>50.5</v>
      </c>
      <c r="M8" s="102">
        <v>4.2</v>
      </c>
      <c r="N8" s="102">
        <f t="shared" si="1"/>
        <v>93.3</v>
      </c>
      <c r="O8" s="102">
        <f t="shared" si="2"/>
        <v>1178</v>
      </c>
      <c r="P8" s="102">
        <f t="shared" si="3"/>
        <v>181.89999999999998</v>
      </c>
      <c r="Q8" s="102">
        <f t="shared" si="4"/>
        <v>1453.2</v>
      </c>
    </row>
    <row r="9" spans="1:33">
      <c r="A9" s="102">
        <v>1987</v>
      </c>
      <c r="B9" s="102">
        <v>33</v>
      </c>
      <c r="C9" s="102">
        <v>8.4</v>
      </c>
      <c r="D9" s="102">
        <v>2</v>
      </c>
      <c r="E9" s="102">
        <v>13.3</v>
      </c>
      <c r="F9" s="102">
        <v>158.19999999999999</v>
      </c>
      <c r="G9" s="102">
        <v>306.5</v>
      </c>
      <c r="H9" s="102">
        <v>260.60000000000002</v>
      </c>
      <c r="I9" s="102">
        <v>158.9</v>
      </c>
      <c r="J9" s="102">
        <v>161.30000000000001</v>
      </c>
      <c r="K9" s="102">
        <v>37.9</v>
      </c>
      <c r="L9" s="102">
        <v>47.1</v>
      </c>
      <c r="M9" s="102">
        <v>19.899999999999999</v>
      </c>
      <c r="N9" s="102">
        <f t="shared" si="1"/>
        <v>56.7</v>
      </c>
      <c r="O9" s="102">
        <f t="shared" si="2"/>
        <v>1045.5</v>
      </c>
      <c r="P9" s="102">
        <f t="shared" si="3"/>
        <v>104.9</v>
      </c>
      <c r="Q9" s="102">
        <f t="shared" si="4"/>
        <v>1207.1000000000001</v>
      </c>
    </row>
    <row r="10" spans="1:33">
      <c r="A10" s="102">
        <v>1988</v>
      </c>
      <c r="B10" s="102">
        <v>7.9</v>
      </c>
      <c r="C10" s="102">
        <v>6.7</v>
      </c>
      <c r="D10" s="102">
        <v>6.8</v>
      </c>
      <c r="E10" s="102">
        <v>66.3</v>
      </c>
      <c r="F10" s="102">
        <v>115.8</v>
      </c>
      <c r="G10" s="102">
        <v>162.9</v>
      </c>
      <c r="H10" s="102">
        <v>227.7</v>
      </c>
      <c r="I10" s="102">
        <v>338.1</v>
      </c>
      <c r="J10" s="102">
        <v>153.80000000000001</v>
      </c>
      <c r="K10" s="102">
        <v>64.900000000000006</v>
      </c>
      <c r="L10" s="102">
        <v>10.9</v>
      </c>
      <c r="M10" s="102">
        <v>6.6</v>
      </c>
      <c r="N10" s="102">
        <f t="shared" si="1"/>
        <v>87.7</v>
      </c>
      <c r="O10" s="102">
        <f t="shared" si="2"/>
        <v>998.3</v>
      </c>
      <c r="P10" s="102">
        <f t="shared" si="3"/>
        <v>82.4</v>
      </c>
      <c r="Q10" s="102">
        <f t="shared" si="4"/>
        <v>1168.4000000000001</v>
      </c>
    </row>
    <row r="11" spans="1:33">
      <c r="A11" s="102">
        <v>1989</v>
      </c>
      <c r="B11" s="102">
        <v>23.7</v>
      </c>
      <c r="C11" s="102">
        <v>8</v>
      </c>
      <c r="D11" s="102">
        <v>40.299999999999997</v>
      </c>
      <c r="E11" s="102">
        <v>29.7</v>
      </c>
      <c r="F11" s="102">
        <v>148.69999999999999</v>
      </c>
      <c r="G11" s="102">
        <v>189.6</v>
      </c>
      <c r="H11" s="102">
        <v>120.3</v>
      </c>
      <c r="I11" s="102">
        <v>101.9</v>
      </c>
      <c r="J11" s="102">
        <v>191.2</v>
      </c>
      <c r="K11" s="102">
        <v>92</v>
      </c>
      <c r="L11" s="102">
        <v>6.3</v>
      </c>
      <c r="M11" s="102">
        <v>13.7</v>
      </c>
      <c r="N11" s="102">
        <f t="shared" si="1"/>
        <v>101.7</v>
      </c>
      <c r="O11" s="102">
        <f t="shared" si="2"/>
        <v>751.7</v>
      </c>
      <c r="P11" s="102">
        <f t="shared" si="3"/>
        <v>112</v>
      </c>
      <c r="Q11" s="102">
        <f t="shared" si="4"/>
        <v>965.39999999999986</v>
      </c>
    </row>
    <row r="12" spans="1:33">
      <c r="A12" s="102">
        <v>1990</v>
      </c>
      <c r="B12" s="102">
        <v>15.3</v>
      </c>
      <c r="C12" s="102">
        <v>25.7</v>
      </c>
      <c r="D12" s="102">
        <v>88.1</v>
      </c>
      <c r="E12" s="102">
        <v>47.2</v>
      </c>
      <c r="F12" s="102">
        <v>154.80000000000001</v>
      </c>
      <c r="G12" s="102">
        <v>336.2</v>
      </c>
      <c r="H12" s="102">
        <v>170.7</v>
      </c>
      <c r="I12" s="102">
        <v>85.3</v>
      </c>
      <c r="J12" s="102">
        <v>123.1</v>
      </c>
      <c r="K12" s="102">
        <v>90.8</v>
      </c>
      <c r="L12" s="102">
        <v>40.799999999999997</v>
      </c>
      <c r="M12" s="102">
        <v>8.8000000000000007</v>
      </c>
      <c r="N12" s="102">
        <f t="shared" si="1"/>
        <v>176.3</v>
      </c>
      <c r="O12" s="102">
        <f t="shared" si="2"/>
        <v>870.1</v>
      </c>
      <c r="P12" s="102">
        <f t="shared" si="3"/>
        <v>140.4</v>
      </c>
      <c r="Q12" s="102">
        <f t="shared" si="4"/>
        <v>1186.7999999999997</v>
      </c>
    </row>
    <row r="13" spans="1:33">
      <c r="A13" s="102">
        <v>1991</v>
      </c>
      <c r="B13" s="102">
        <v>58.4</v>
      </c>
      <c r="C13" s="102">
        <v>8.6999999999999993</v>
      </c>
      <c r="D13" s="102">
        <v>18.600000000000001</v>
      </c>
      <c r="E13" s="102">
        <v>40.9</v>
      </c>
      <c r="F13" s="102">
        <v>59.6</v>
      </c>
      <c r="G13" s="102">
        <v>345.5</v>
      </c>
      <c r="H13" s="102">
        <v>409.5</v>
      </c>
      <c r="I13" s="102">
        <v>149</v>
      </c>
      <c r="J13" s="102">
        <v>101.7</v>
      </c>
      <c r="K13" s="102">
        <v>69.3</v>
      </c>
      <c r="L13" s="102">
        <v>57.6</v>
      </c>
      <c r="M13" s="102">
        <v>19.2</v>
      </c>
      <c r="N13" s="102">
        <f t="shared" si="1"/>
        <v>126.6</v>
      </c>
      <c r="O13" s="102">
        <f t="shared" si="2"/>
        <v>1065.3</v>
      </c>
      <c r="P13" s="102">
        <f t="shared" si="3"/>
        <v>146.1</v>
      </c>
      <c r="Q13" s="102">
        <f t="shared" si="4"/>
        <v>1338</v>
      </c>
    </row>
    <row r="14" spans="1:33">
      <c r="A14" s="102">
        <v>1992</v>
      </c>
      <c r="B14" s="102">
        <v>48</v>
      </c>
      <c r="C14" s="102">
        <v>54.5</v>
      </c>
      <c r="D14" s="102">
        <v>21</v>
      </c>
      <c r="E14" s="102">
        <v>16.899999999999999</v>
      </c>
      <c r="F14" s="102">
        <v>81.5</v>
      </c>
      <c r="G14" s="102">
        <v>253.8</v>
      </c>
      <c r="H14" s="102">
        <v>237.7</v>
      </c>
      <c r="I14" s="102">
        <v>138</v>
      </c>
      <c r="J14" s="102">
        <v>161.69999999999999</v>
      </c>
      <c r="K14" s="102">
        <v>103.6</v>
      </c>
      <c r="L14" s="102">
        <v>33.1</v>
      </c>
      <c r="M14" s="102">
        <v>1.8</v>
      </c>
      <c r="N14" s="102">
        <f t="shared" si="1"/>
        <v>140.4</v>
      </c>
      <c r="O14" s="102">
        <f t="shared" si="2"/>
        <v>872.7</v>
      </c>
      <c r="P14" s="102">
        <f t="shared" si="3"/>
        <v>138.5</v>
      </c>
      <c r="Q14" s="102">
        <f t="shared" si="4"/>
        <v>1151.5999999999999</v>
      </c>
    </row>
    <row r="15" spans="1:33">
      <c r="A15" s="102">
        <v>1993</v>
      </c>
      <c r="B15" s="102">
        <v>44.4</v>
      </c>
      <c r="C15" s="102">
        <v>44.9</v>
      </c>
      <c r="D15" s="102">
        <v>4.4000000000000004</v>
      </c>
      <c r="E15" s="102">
        <v>52</v>
      </c>
      <c r="F15" s="102">
        <v>139</v>
      </c>
      <c r="G15" s="102">
        <v>244.1</v>
      </c>
      <c r="H15" s="102">
        <v>328.4</v>
      </c>
      <c r="I15" s="102">
        <v>295.60000000000002</v>
      </c>
      <c r="J15" s="102">
        <v>240</v>
      </c>
      <c r="K15" s="102">
        <v>61.2</v>
      </c>
      <c r="L15" s="102">
        <v>11</v>
      </c>
      <c r="M15" s="102">
        <v>17.8</v>
      </c>
      <c r="N15" s="102">
        <f t="shared" si="1"/>
        <v>145.69999999999999</v>
      </c>
      <c r="O15" s="102">
        <f t="shared" si="2"/>
        <v>1247.0999999999999</v>
      </c>
      <c r="P15" s="102">
        <f t="shared" si="3"/>
        <v>90</v>
      </c>
      <c r="Q15" s="102">
        <f t="shared" si="4"/>
        <v>1482.8</v>
      </c>
    </row>
    <row r="16" spans="1:33">
      <c r="A16" s="102">
        <v>1994</v>
      </c>
      <c r="B16" s="102">
        <v>7.2</v>
      </c>
      <c r="C16" s="102">
        <v>13.6</v>
      </c>
      <c r="D16" s="102">
        <v>83</v>
      </c>
      <c r="E16" s="102">
        <v>7</v>
      </c>
      <c r="F16" s="102">
        <v>179.7</v>
      </c>
      <c r="G16" s="102">
        <v>319.89999999999998</v>
      </c>
      <c r="H16" s="102">
        <v>222.3</v>
      </c>
      <c r="I16" s="102">
        <v>232.6</v>
      </c>
      <c r="J16" s="102">
        <v>162</v>
      </c>
      <c r="K16" s="102">
        <v>102.4</v>
      </c>
      <c r="L16" s="102">
        <v>37.6</v>
      </c>
      <c r="M16" s="102">
        <v>17.7</v>
      </c>
      <c r="N16" s="102">
        <f t="shared" si="1"/>
        <v>110.8</v>
      </c>
      <c r="O16" s="102">
        <f t="shared" si="2"/>
        <v>1116.5</v>
      </c>
      <c r="P16" s="102">
        <f t="shared" si="3"/>
        <v>157.69999999999999</v>
      </c>
      <c r="Q16" s="102">
        <f t="shared" si="4"/>
        <v>1385</v>
      </c>
    </row>
    <row r="17" spans="1:17">
      <c r="A17" s="102">
        <v>1995</v>
      </c>
      <c r="B17" s="102">
        <v>28.3</v>
      </c>
      <c r="C17" s="102">
        <v>30.1</v>
      </c>
      <c r="D17" s="102">
        <v>5.8</v>
      </c>
      <c r="E17" s="102">
        <v>18.100000000000001</v>
      </c>
      <c r="F17" s="102">
        <v>170.2</v>
      </c>
      <c r="G17" s="102">
        <v>175.5</v>
      </c>
      <c r="H17" s="102">
        <v>422.5</v>
      </c>
      <c r="I17" s="102">
        <v>157.4</v>
      </c>
      <c r="J17" s="102">
        <v>257.5</v>
      </c>
      <c r="K17" s="102">
        <v>115.4</v>
      </c>
      <c r="L17" s="102">
        <v>62.5</v>
      </c>
      <c r="M17" s="102">
        <v>10.9</v>
      </c>
      <c r="N17" s="102">
        <f t="shared" si="1"/>
        <v>82.300000000000011</v>
      </c>
      <c r="O17" s="102">
        <f t="shared" si="2"/>
        <v>1183.0999999999999</v>
      </c>
      <c r="P17" s="102">
        <f t="shared" si="3"/>
        <v>188.8</v>
      </c>
      <c r="Q17" s="102">
        <f t="shared" si="4"/>
        <v>1454.2000000000003</v>
      </c>
    </row>
    <row r="18" spans="1:17">
      <c r="A18" s="102">
        <v>1996</v>
      </c>
      <c r="B18" s="102">
        <v>9.1</v>
      </c>
      <c r="C18" s="102">
        <v>10.1</v>
      </c>
      <c r="D18" s="102">
        <v>55.9</v>
      </c>
      <c r="E18" s="102">
        <v>51.2</v>
      </c>
      <c r="F18" s="102">
        <v>75.8</v>
      </c>
      <c r="G18" s="102">
        <v>277.39999999999998</v>
      </c>
      <c r="H18" s="102">
        <v>196.5</v>
      </c>
      <c r="I18" s="102">
        <v>136.4</v>
      </c>
      <c r="J18" s="102">
        <v>68.900000000000006</v>
      </c>
      <c r="K18" s="102">
        <v>43.4</v>
      </c>
      <c r="L18" s="102">
        <v>61.2</v>
      </c>
      <c r="M18" s="102">
        <v>8.9</v>
      </c>
      <c r="N18" s="102">
        <f t="shared" si="1"/>
        <v>126.3</v>
      </c>
      <c r="O18" s="102">
        <f t="shared" si="2"/>
        <v>755</v>
      </c>
      <c r="P18" s="102">
        <f t="shared" si="3"/>
        <v>113.5</v>
      </c>
      <c r="Q18" s="102">
        <f t="shared" si="4"/>
        <v>994.8</v>
      </c>
    </row>
    <row r="19" spans="1:17">
      <c r="A19" s="102">
        <v>1997</v>
      </c>
      <c r="B19" s="102">
        <v>21.2</v>
      </c>
      <c r="C19" s="102">
        <v>52.1</v>
      </c>
      <c r="D19" s="102">
        <v>46.1</v>
      </c>
      <c r="E19" s="102">
        <v>84.5</v>
      </c>
      <c r="F19" s="102">
        <v>219.3</v>
      </c>
      <c r="G19" s="102">
        <v>299.60000000000002</v>
      </c>
      <c r="H19" s="102">
        <v>526.4</v>
      </c>
      <c r="I19" s="102">
        <v>132</v>
      </c>
      <c r="J19" s="102">
        <v>95.5</v>
      </c>
      <c r="K19" s="102">
        <v>139.80000000000001</v>
      </c>
      <c r="L19" s="102">
        <v>0.6</v>
      </c>
      <c r="M19" s="102">
        <v>4.7</v>
      </c>
      <c r="N19" s="102">
        <f t="shared" si="1"/>
        <v>203.9</v>
      </c>
      <c r="O19" s="102">
        <f t="shared" si="2"/>
        <v>1272.8000000000002</v>
      </c>
      <c r="P19" s="102">
        <f t="shared" si="3"/>
        <v>145.1</v>
      </c>
      <c r="Q19" s="102">
        <f t="shared" si="4"/>
        <v>1621.8</v>
      </c>
    </row>
    <row r="20" spans="1:17">
      <c r="A20" s="102">
        <v>1998</v>
      </c>
      <c r="B20" s="102">
        <v>27.2</v>
      </c>
      <c r="C20" s="102">
        <v>18.5</v>
      </c>
      <c r="D20" s="102">
        <v>6.5</v>
      </c>
      <c r="E20" s="102">
        <v>33.4</v>
      </c>
      <c r="F20" s="102">
        <v>123.5</v>
      </c>
      <c r="G20" s="102">
        <v>207.8</v>
      </c>
      <c r="H20" s="102">
        <v>373.9</v>
      </c>
      <c r="I20" s="102">
        <v>262.89999999999998</v>
      </c>
      <c r="J20" s="102">
        <v>92.6</v>
      </c>
      <c r="K20" s="102">
        <v>77.099999999999994</v>
      </c>
      <c r="L20" s="102">
        <v>27.9</v>
      </c>
      <c r="M20" s="102">
        <v>12</v>
      </c>
      <c r="N20" s="102">
        <f t="shared" si="1"/>
        <v>85.6</v>
      </c>
      <c r="O20" s="102">
        <f t="shared" si="2"/>
        <v>1060.7</v>
      </c>
      <c r="P20" s="102">
        <f t="shared" si="3"/>
        <v>117</v>
      </c>
      <c r="Q20" s="102">
        <f t="shared" si="4"/>
        <v>1263.2999999999997</v>
      </c>
    </row>
    <row r="21" spans="1:17">
      <c r="A21" s="102">
        <v>1999</v>
      </c>
      <c r="B21" s="102">
        <v>29.2</v>
      </c>
      <c r="C21" s="102">
        <v>1.6</v>
      </c>
      <c r="D21" s="102">
        <v>16.600000000000001</v>
      </c>
      <c r="E21" s="102">
        <v>55.6</v>
      </c>
      <c r="F21" s="102">
        <v>135.4</v>
      </c>
      <c r="G21" s="102">
        <v>151</v>
      </c>
      <c r="H21" s="102">
        <v>256.2</v>
      </c>
      <c r="I21" s="102">
        <v>336.2</v>
      </c>
      <c r="J21" s="102">
        <v>111.2</v>
      </c>
      <c r="K21" s="102">
        <v>102.1</v>
      </c>
      <c r="L21" s="102">
        <v>41.1</v>
      </c>
      <c r="M21" s="102">
        <v>11.6</v>
      </c>
      <c r="N21" s="102">
        <f t="shared" si="1"/>
        <v>103</v>
      </c>
      <c r="O21" s="102">
        <f t="shared" si="2"/>
        <v>990</v>
      </c>
      <c r="P21" s="102">
        <f t="shared" si="3"/>
        <v>154.79999999999998</v>
      </c>
      <c r="Q21" s="102">
        <f t="shared" si="4"/>
        <v>1247.7999999999997</v>
      </c>
    </row>
    <row r="22" spans="1:17">
      <c r="A22" s="102">
        <v>2000</v>
      </c>
      <c r="B22" s="102">
        <v>22.9</v>
      </c>
      <c r="C22" s="102">
        <v>15.1</v>
      </c>
      <c r="D22" s="102">
        <v>51.9</v>
      </c>
      <c r="E22" s="102">
        <v>76.5</v>
      </c>
      <c r="F22" s="102">
        <v>77.599999999999994</v>
      </c>
      <c r="G22" s="102">
        <v>369.8</v>
      </c>
      <c r="H22" s="102">
        <v>289.5</v>
      </c>
      <c r="I22" s="102">
        <v>262.60000000000002</v>
      </c>
      <c r="J22" s="102">
        <v>42.3</v>
      </c>
      <c r="K22" s="102">
        <v>128.19999999999999</v>
      </c>
      <c r="L22" s="102">
        <v>22.8</v>
      </c>
      <c r="M22" s="102">
        <v>15.1</v>
      </c>
      <c r="N22" s="102">
        <f t="shared" si="1"/>
        <v>166.4</v>
      </c>
      <c r="O22" s="102">
        <f t="shared" si="2"/>
        <v>1041.8</v>
      </c>
      <c r="P22" s="102">
        <f t="shared" si="3"/>
        <v>166.1</v>
      </c>
      <c r="Q22" s="102">
        <f t="shared" si="4"/>
        <v>1374.3</v>
      </c>
    </row>
    <row r="23" spans="1:17">
      <c r="A23" s="102">
        <v>2001</v>
      </c>
      <c r="B23" s="102">
        <v>6.6</v>
      </c>
      <c r="C23" s="102">
        <v>18.2</v>
      </c>
      <c r="D23" s="102">
        <v>11.7</v>
      </c>
      <c r="E23" s="102">
        <v>16.7</v>
      </c>
      <c r="F23" s="102">
        <v>166.1</v>
      </c>
      <c r="G23" s="102">
        <v>333.8</v>
      </c>
      <c r="H23" s="102">
        <v>232.1</v>
      </c>
      <c r="I23" s="102">
        <v>188.1</v>
      </c>
      <c r="J23" s="102">
        <v>100.1</v>
      </c>
      <c r="K23" s="102">
        <v>167.9</v>
      </c>
      <c r="L23" s="102">
        <v>12.3</v>
      </c>
      <c r="M23" s="102">
        <v>1.7</v>
      </c>
      <c r="N23" s="102">
        <f t="shared" si="1"/>
        <v>53.2</v>
      </c>
      <c r="O23" s="102">
        <f t="shared" si="2"/>
        <v>1020.2</v>
      </c>
      <c r="P23" s="102">
        <f t="shared" si="3"/>
        <v>181.9</v>
      </c>
      <c r="Q23" s="102">
        <f t="shared" si="4"/>
        <v>1255.3000000000002</v>
      </c>
    </row>
    <row r="24" spans="1:17">
      <c r="A24" s="102">
        <v>2002</v>
      </c>
      <c r="B24" s="102">
        <v>29.3</v>
      </c>
      <c r="C24" s="102">
        <v>33</v>
      </c>
      <c r="D24" s="102">
        <v>26.5</v>
      </c>
      <c r="E24" s="102">
        <v>32.799999999999997</v>
      </c>
      <c r="F24" s="102">
        <v>185.8</v>
      </c>
      <c r="G24" s="102">
        <v>197.7</v>
      </c>
      <c r="H24" s="102">
        <v>133.30000000000001</v>
      </c>
      <c r="I24" s="102">
        <v>252.5</v>
      </c>
      <c r="J24" s="102">
        <v>26.8</v>
      </c>
      <c r="K24" s="102">
        <v>95.7</v>
      </c>
      <c r="L24" s="102">
        <v>13.9</v>
      </c>
      <c r="M24" s="102">
        <v>20.9</v>
      </c>
      <c r="N24" s="102">
        <f t="shared" si="1"/>
        <v>121.6</v>
      </c>
      <c r="O24" s="102">
        <f t="shared" si="2"/>
        <v>796.09999999999991</v>
      </c>
      <c r="P24" s="102">
        <f t="shared" si="3"/>
        <v>130.5</v>
      </c>
      <c r="Q24" s="102">
        <f t="shared" si="4"/>
        <v>1048.2</v>
      </c>
    </row>
    <row r="25" spans="1:17">
      <c r="A25" s="102">
        <v>2003</v>
      </c>
      <c r="B25" s="102">
        <v>22.3</v>
      </c>
      <c r="C25" s="102">
        <v>4.0999999999999996</v>
      </c>
      <c r="D25" s="102">
        <v>81.099999999999994</v>
      </c>
      <c r="E25" s="102">
        <v>70.099999999999994</v>
      </c>
      <c r="F25" s="102">
        <v>169.4</v>
      </c>
      <c r="G25" s="102">
        <v>373.3</v>
      </c>
      <c r="H25" s="102">
        <v>252.1</v>
      </c>
      <c r="I25" s="102">
        <v>99</v>
      </c>
      <c r="J25" s="102">
        <v>221.7</v>
      </c>
      <c r="K25" s="102">
        <v>45.3</v>
      </c>
      <c r="L25" s="102">
        <v>8.5</v>
      </c>
      <c r="M25" s="102">
        <v>45.7</v>
      </c>
      <c r="N25" s="102">
        <f t="shared" si="1"/>
        <v>177.6</v>
      </c>
      <c r="O25" s="102">
        <f t="shared" si="2"/>
        <v>1115.5</v>
      </c>
      <c r="P25" s="102">
        <f t="shared" si="3"/>
        <v>99.5</v>
      </c>
      <c r="Q25" s="102">
        <f t="shared" si="4"/>
        <v>1392.6000000000001</v>
      </c>
    </row>
    <row r="26" spans="1:17">
      <c r="A26" s="102">
        <v>2004</v>
      </c>
      <c r="B26" s="102">
        <v>39</v>
      </c>
      <c r="C26" s="102">
        <v>46</v>
      </c>
      <c r="D26" s="102">
        <v>18</v>
      </c>
      <c r="E26" s="102">
        <v>72</v>
      </c>
      <c r="F26" s="102">
        <v>132</v>
      </c>
      <c r="G26" s="102">
        <v>190</v>
      </c>
      <c r="H26" s="102">
        <v>403</v>
      </c>
      <c r="I26" s="102">
        <v>120</v>
      </c>
      <c r="J26" s="102">
        <v>156</v>
      </c>
      <c r="K26" s="103">
        <v>46</v>
      </c>
      <c r="L26" s="103">
        <v>27</v>
      </c>
      <c r="M26" s="103">
        <v>17</v>
      </c>
      <c r="N26" s="102">
        <f t="shared" si="1"/>
        <v>175</v>
      </c>
      <c r="O26" s="102">
        <f t="shared" si="2"/>
        <v>1001</v>
      </c>
      <c r="P26" s="102">
        <f t="shared" si="3"/>
        <v>90</v>
      </c>
      <c r="Q26" s="102">
        <f t="shared" si="4"/>
        <v>1266</v>
      </c>
    </row>
    <row r="27" spans="1:17">
      <c r="A27" s="102">
        <v>2005</v>
      </c>
      <c r="B27" s="103">
        <v>41.9</v>
      </c>
      <c r="C27" s="103">
        <v>3.8</v>
      </c>
      <c r="D27" s="103">
        <v>40.5</v>
      </c>
      <c r="E27" s="103">
        <v>59</v>
      </c>
      <c r="F27" s="103">
        <v>151.6</v>
      </c>
      <c r="G27" s="103">
        <v>392.9</v>
      </c>
      <c r="H27" s="103">
        <v>247.1</v>
      </c>
      <c r="I27" s="103">
        <v>220</v>
      </c>
      <c r="J27" s="103">
        <v>196.1</v>
      </c>
      <c r="K27" s="102">
        <v>114.3</v>
      </c>
      <c r="L27" s="102">
        <v>7.9</v>
      </c>
      <c r="M27" s="102">
        <v>29.5</v>
      </c>
      <c r="N27" s="102">
        <f t="shared" si="1"/>
        <v>145.19999999999999</v>
      </c>
      <c r="O27" s="102">
        <f t="shared" si="2"/>
        <v>1207.7</v>
      </c>
      <c r="P27" s="102">
        <f t="shared" si="3"/>
        <v>151.69999999999999</v>
      </c>
      <c r="Q27" s="102">
        <f t="shared" si="4"/>
        <v>1504.6</v>
      </c>
    </row>
    <row r="28" spans="1:17">
      <c r="A28" s="102">
        <v>2006</v>
      </c>
      <c r="B28" s="102">
        <v>8.3000000000000007</v>
      </c>
      <c r="C28" s="102">
        <v>34.4</v>
      </c>
      <c r="D28" s="102">
        <v>16.600000000000001</v>
      </c>
      <c r="E28" s="102">
        <v>23.5</v>
      </c>
      <c r="F28" s="102">
        <v>133.5</v>
      </c>
      <c r="G28" s="102">
        <v>372.4</v>
      </c>
      <c r="H28" s="102">
        <v>88</v>
      </c>
      <c r="I28" s="102">
        <v>160.4</v>
      </c>
      <c r="J28" s="102">
        <v>71.3</v>
      </c>
      <c r="K28" s="102">
        <v>166.6</v>
      </c>
      <c r="L28" s="102">
        <v>18.2</v>
      </c>
      <c r="M28" s="102">
        <v>16.8</v>
      </c>
      <c r="N28" s="102">
        <f t="shared" si="1"/>
        <v>82.800000000000011</v>
      </c>
      <c r="O28" s="102">
        <f t="shared" si="2"/>
        <v>825.59999999999991</v>
      </c>
      <c r="P28" s="102">
        <f t="shared" si="3"/>
        <v>201.6</v>
      </c>
      <c r="Q28" s="102">
        <f t="shared" si="4"/>
        <v>1110</v>
      </c>
    </row>
    <row r="29" spans="1:17">
      <c r="A29" s="102">
        <v>2007</v>
      </c>
      <c r="B29" s="102">
        <v>40.200000000000003</v>
      </c>
      <c r="C29" s="102">
        <v>10.199999999999999</v>
      </c>
      <c r="D29" s="102">
        <v>2.7</v>
      </c>
      <c r="E29" s="102">
        <v>88.4</v>
      </c>
      <c r="F29" s="102">
        <v>249.2</v>
      </c>
      <c r="G29" s="102">
        <v>474.5</v>
      </c>
      <c r="H29" s="102">
        <v>264.39999999999998</v>
      </c>
      <c r="I29" s="102">
        <v>312.5</v>
      </c>
      <c r="J29" s="102">
        <v>109.9</v>
      </c>
      <c r="K29" s="102">
        <v>62</v>
      </c>
      <c r="L29" s="102">
        <v>10.3</v>
      </c>
      <c r="M29" s="102">
        <v>6.7</v>
      </c>
      <c r="N29" s="102">
        <f t="shared" si="1"/>
        <v>141.5</v>
      </c>
      <c r="O29" s="102">
        <f t="shared" si="2"/>
        <v>1410.5</v>
      </c>
      <c r="P29" s="102">
        <f t="shared" si="3"/>
        <v>79</v>
      </c>
      <c r="Q29" s="102">
        <f t="shared" si="4"/>
        <v>1631</v>
      </c>
    </row>
    <row r="30" spans="1:17">
      <c r="A30" s="102">
        <v>2008</v>
      </c>
      <c r="B30" s="102">
        <v>13.6</v>
      </c>
      <c r="C30" s="102">
        <v>21.7</v>
      </c>
      <c r="D30" s="102">
        <v>69</v>
      </c>
      <c r="E30" s="102">
        <v>45.3</v>
      </c>
      <c r="F30" s="102">
        <v>346.2</v>
      </c>
      <c r="G30" s="102">
        <v>205.3</v>
      </c>
      <c r="H30" s="102">
        <v>256.60000000000002</v>
      </c>
      <c r="I30" s="102">
        <v>203.3</v>
      </c>
      <c r="J30" s="102">
        <v>117</v>
      </c>
      <c r="K30" s="102">
        <v>81.7</v>
      </c>
      <c r="L30" s="102">
        <v>80</v>
      </c>
      <c r="M30" s="102">
        <v>39.700000000000003</v>
      </c>
      <c r="N30" s="102">
        <f t="shared" si="1"/>
        <v>149.6</v>
      </c>
      <c r="O30" s="102">
        <f t="shared" si="2"/>
        <v>1128.4000000000001</v>
      </c>
      <c r="P30" s="102">
        <f t="shared" si="3"/>
        <v>201.39999999999998</v>
      </c>
      <c r="Q30" s="102">
        <f t="shared" si="4"/>
        <v>1479.4</v>
      </c>
    </row>
    <row r="31" spans="1:17">
      <c r="A31" s="102">
        <v>2009</v>
      </c>
      <c r="B31" s="102">
        <v>13.5</v>
      </c>
      <c r="C31" s="102">
        <v>1.2</v>
      </c>
      <c r="D31" s="102">
        <v>39.6</v>
      </c>
      <c r="E31" s="102">
        <v>61.3</v>
      </c>
      <c r="F31" s="102">
        <v>149.69999999999999</v>
      </c>
      <c r="G31" s="102">
        <v>445.5</v>
      </c>
      <c r="H31" s="102">
        <v>219.9</v>
      </c>
      <c r="I31" s="102">
        <v>170.9</v>
      </c>
      <c r="J31" s="102">
        <v>61.7</v>
      </c>
      <c r="K31" s="102">
        <v>37.700000000000003</v>
      </c>
      <c r="L31" s="102">
        <v>9</v>
      </c>
      <c r="M31" s="102">
        <v>4</v>
      </c>
      <c r="N31" s="102">
        <f t="shared" si="1"/>
        <v>115.6</v>
      </c>
      <c r="O31" s="102">
        <f t="shared" si="2"/>
        <v>1047.7</v>
      </c>
      <c r="P31" s="102">
        <f t="shared" si="3"/>
        <v>50.7</v>
      </c>
      <c r="Q31" s="102">
        <f t="shared" si="4"/>
        <v>1214</v>
      </c>
    </row>
    <row r="32" spans="1:17">
      <c r="A32" s="102">
        <v>2010</v>
      </c>
      <c r="B32" s="102">
        <v>1.8</v>
      </c>
      <c r="C32" s="102">
        <v>1.2</v>
      </c>
      <c r="D32" s="102">
        <v>1.8</v>
      </c>
      <c r="E32" s="102">
        <v>92.6</v>
      </c>
      <c r="F32" s="102">
        <v>138.5</v>
      </c>
      <c r="G32" s="102">
        <v>279.7</v>
      </c>
      <c r="H32" s="102">
        <v>296.60000000000002</v>
      </c>
      <c r="I32" s="102">
        <v>201.4</v>
      </c>
      <c r="J32" s="102">
        <v>173.1</v>
      </c>
      <c r="K32" s="102">
        <v>84.5</v>
      </c>
      <c r="L32" s="102">
        <v>33.700000000000003</v>
      </c>
      <c r="M32" s="102">
        <v>32.799999999999997</v>
      </c>
      <c r="N32" s="102">
        <f t="shared" si="1"/>
        <v>97.399999999999991</v>
      </c>
      <c r="O32" s="102">
        <f t="shared" si="2"/>
        <v>1089.3</v>
      </c>
      <c r="P32" s="102">
        <f t="shared" si="3"/>
        <v>151</v>
      </c>
      <c r="Q32" s="102">
        <f t="shared" si="4"/>
        <v>1337.6999999999998</v>
      </c>
    </row>
    <row r="33" spans="1:33">
      <c r="A33" s="102">
        <v>2011</v>
      </c>
      <c r="B33" s="102">
        <v>35.799999999999997</v>
      </c>
      <c r="C33" s="102">
        <v>7</v>
      </c>
      <c r="D33" s="102">
        <v>22.4</v>
      </c>
      <c r="E33" s="102">
        <v>12.9</v>
      </c>
      <c r="F33" s="102">
        <v>27.6</v>
      </c>
      <c r="G33" s="102">
        <v>364.7</v>
      </c>
      <c r="H33" s="102">
        <v>45.1</v>
      </c>
      <c r="I33" s="102">
        <v>73.3</v>
      </c>
      <c r="J33" s="102">
        <v>192.1</v>
      </c>
      <c r="K33" s="102">
        <v>19.3</v>
      </c>
      <c r="L33" s="102">
        <v>24.5</v>
      </c>
      <c r="M33" s="102">
        <v>22.2</v>
      </c>
      <c r="N33" s="102">
        <f t="shared" si="1"/>
        <v>78.099999999999994</v>
      </c>
      <c r="O33" s="102">
        <f t="shared" si="2"/>
        <v>702.80000000000007</v>
      </c>
      <c r="P33" s="102">
        <f t="shared" si="3"/>
        <v>66</v>
      </c>
      <c r="Q33" s="102">
        <f t="shared" si="4"/>
        <v>846.9</v>
      </c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</row>
    <row r="34" spans="1:33">
      <c r="A34" s="102">
        <v>2012</v>
      </c>
      <c r="B34" s="102">
        <v>14.5</v>
      </c>
      <c r="C34" s="102">
        <v>10.8</v>
      </c>
      <c r="D34" s="102">
        <v>43.3</v>
      </c>
      <c r="E34" s="102">
        <v>14.9</v>
      </c>
      <c r="F34" s="102">
        <v>165.7</v>
      </c>
      <c r="G34" s="102">
        <v>327.5</v>
      </c>
      <c r="H34" s="102">
        <v>209.9</v>
      </c>
      <c r="I34" s="102">
        <v>77.400000000000006</v>
      </c>
      <c r="J34" s="102">
        <v>114.6</v>
      </c>
      <c r="K34" s="102">
        <v>39.6</v>
      </c>
      <c r="L34" s="102">
        <v>19.600000000000001</v>
      </c>
      <c r="M34" s="102">
        <v>7.7</v>
      </c>
      <c r="N34" s="102">
        <f t="shared" si="1"/>
        <v>83.5</v>
      </c>
      <c r="O34" s="102">
        <f t="shared" si="2"/>
        <v>895.1</v>
      </c>
      <c r="P34" s="102">
        <f t="shared" si="3"/>
        <v>66.900000000000006</v>
      </c>
      <c r="Q34" s="102">
        <f t="shared" si="4"/>
        <v>1045.5</v>
      </c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</row>
    <row r="35" spans="1:33">
      <c r="A35" s="102">
        <v>2013</v>
      </c>
      <c r="B35" s="102">
        <v>9.5</v>
      </c>
      <c r="C35" s="102">
        <v>2.6</v>
      </c>
      <c r="D35" s="102">
        <v>47</v>
      </c>
      <c r="E35" s="102">
        <v>43.8</v>
      </c>
      <c r="F35" s="102">
        <v>175.9</v>
      </c>
      <c r="G35" s="102">
        <v>228.2</v>
      </c>
      <c r="H35" s="102">
        <v>195.1</v>
      </c>
      <c r="I35" s="102">
        <v>193.1</v>
      </c>
      <c r="J35" s="102">
        <v>91.2</v>
      </c>
      <c r="K35" s="102">
        <v>89.1</v>
      </c>
      <c r="L35" s="102">
        <v>24.2</v>
      </c>
      <c r="M35" s="102">
        <v>38.5</v>
      </c>
      <c r="N35" s="102">
        <f t="shared" si="1"/>
        <v>102.9</v>
      </c>
      <c r="O35" s="102">
        <f t="shared" si="2"/>
        <v>883.50000000000011</v>
      </c>
      <c r="P35" s="102">
        <f t="shared" si="3"/>
        <v>151.80000000000001</v>
      </c>
      <c r="Q35" s="102">
        <f t="shared" si="4"/>
        <v>1138.2</v>
      </c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</row>
    <row r="36" spans="1:33">
      <c r="A36" s="102">
        <v>2014</v>
      </c>
      <c r="B36" s="128">
        <v>9.6999999999999993</v>
      </c>
      <c r="C36" s="128">
        <v>28.9</v>
      </c>
      <c r="D36" s="128">
        <v>37.5</v>
      </c>
      <c r="E36" s="128">
        <v>48.1</v>
      </c>
      <c r="F36" s="128">
        <v>67</v>
      </c>
      <c r="G36" s="128">
        <v>314.60000000000002</v>
      </c>
      <c r="H36" s="128">
        <v>349.6</v>
      </c>
      <c r="I36" s="128">
        <v>232.5</v>
      </c>
      <c r="J36" s="128">
        <v>235</v>
      </c>
      <c r="K36" s="128">
        <v>59.3</v>
      </c>
      <c r="L36" s="128">
        <v>40.700000000000003</v>
      </c>
      <c r="M36" s="128">
        <v>10.199999999999999</v>
      </c>
      <c r="N36" s="102">
        <f t="shared" si="1"/>
        <v>124.19999999999999</v>
      </c>
      <c r="O36" s="102">
        <f t="shared" si="2"/>
        <v>1198.7</v>
      </c>
      <c r="P36" s="102">
        <f t="shared" si="3"/>
        <v>110.2</v>
      </c>
      <c r="Q36" s="102">
        <f t="shared" si="4"/>
        <v>1433.1000000000001</v>
      </c>
    </row>
    <row r="37" spans="1:33">
      <c r="A37" s="102">
        <v>2015</v>
      </c>
      <c r="B37" s="128">
        <v>50.4</v>
      </c>
      <c r="C37" s="128">
        <v>22.4</v>
      </c>
      <c r="D37" s="128">
        <v>53.6</v>
      </c>
      <c r="E37" s="128">
        <v>46.5</v>
      </c>
      <c r="F37" s="128">
        <v>127.1</v>
      </c>
      <c r="G37" s="128">
        <v>145.80000000000001</v>
      </c>
      <c r="H37" s="128">
        <v>256.39999999999998</v>
      </c>
      <c r="I37" s="128">
        <v>348.5</v>
      </c>
      <c r="J37" s="128">
        <v>309.3</v>
      </c>
      <c r="K37" s="128">
        <v>108.5</v>
      </c>
      <c r="L37" s="128">
        <v>11</v>
      </c>
      <c r="M37" s="128">
        <v>44.7</v>
      </c>
      <c r="N37" s="102">
        <f t="shared" si="1"/>
        <v>172.9</v>
      </c>
      <c r="O37" s="102">
        <f t="shared" si="2"/>
        <v>1187.0999999999999</v>
      </c>
      <c r="P37" s="102">
        <f t="shared" si="3"/>
        <v>164.2</v>
      </c>
      <c r="Q37" s="102">
        <f t="shared" si="4"/>
        <v>1524.2</v>
      </c>
    </row>
    <row r="38" spans="1:33">
      <c r="A38" s="102">
        <v>2016</v>
      </c>
      <c r="B38" s="128">
        <v>23.8</v>
      </c>
      <c r="C38" s="128">
        <v>13</v>
      </c>
      <c r="D38" s="128">
        <v>18.100000000000001</v>
      </c>
      <c r="E38" s="128">
        <v>101.9</v>
      </c>
      <c r="F38" s="128">
        <v>128.4</v>
      </c>
      <c r="G38" s="128">
        <v>229.2</v>
      </c>
      <c r="H38" s="128">
        <v>92.9</v>
      </c>
      <c r="I38" s="128">
        <v>223.3</v>
      </c>
      <c r="J38" s="128">
        <v>107.4</v>
      </c>
      <c r="K38" s="128">
        <v>99.1</v>
      </c>
      <c r="L38" s="128">
        <v>53.1</v>
      </c>
      <c r="M38" s="128">
        <v>10.8</v>
      </c>
      <c r="N38" s="102">
        <f>SUM(B38:E38)</f>
        <v>156.80000000000001</v>
      </c>
      <c r="O38" s="102">
        <f>SUM(F38:J38)</f>
        <v>781.19999999999993</v>
      </c>
      <c r="P38" s="102">
        <f>SUM(K38:M38)</f>
        <v>163</v>
      </c>
      <c r="Q38" s="102">
        <f>SUM(B38:M38)</f>
        <v>1101</v>
      </c>
      <c r="R38" s="108">
        <f t="shared" ref="R38:AG38" si="5">100*(B38-B4)/B4</f>
        <v>-1.4430919814280161</v>
      </c>
      <c r="S38" s="108">
        <f t="shared" si="5"/>
        <v>-30.616205725376066</v>
      </c>
      <c r="T38" s="108">
        <f t="shared" si="5"/>
        <v>-43.22243346007604</v>
      </c>
      <c r="U38" s="108">
        <f t="shared" si="5"/>
        <v>119.72686879247257</v>
      </c>
      <c r="V38" s="108">
        <f t="shared" si="5"/>
        <v>-14.052738336713999</v>
      </c>
      <c r="W38" s="108">
        <f t="shared" si="5"/>
        <v>-22.007857371183469</v>
      </c>
      <c r="X38" s="108">
        <f t="shared" si="5"/>
        <v>-64.125397865568246</v>
      </c>
      <c r="Y38" s="108">
        <f t="shared" si="5"/>
        <v>11.107927987696415</v>
      </c>
      <c r="Z38" s="108">
        <f t="shared" si="5"/>
        <v>-25.178914479934125</v>
      </c>
      <c r="AA38" s="108">
        <f t="shared" si="5"/>
        <v>15.803824362606223</v>
      </c>
      <c r="AB38" s="108">
        <f t="shared" si="5"/>
        <v>88.886493478495183</v>
      </c>
      <c r="AC38" s="108">
        <f t="shared" si="5"/>
        <v>-37.319732676749908</v>
      </c>
      <c r="AD38" s="108">
        <f t="shared" si="5"/>
        <v>29.43766259755856</v>
      </c>
      <c r="AE38" s="108">
        <f t="shared" si="5"/>
        <v>-25.368675201056096</v>
      </c>
      <c r="AF38" s="108">
        <f t="shared" si="5"/>
        <v>24.50524269147974</v>
      </c>
      <c r="AG38" s="108">
        <f t="shared" si="5"/>
        <v>-15.229640344839622</v>
      </c>
    </row>
  </sheetData>
  <mergeCells count="6">
    <mergeCell ref="A1:A3"/>
    <mergeCell ref="B2:M2"/>
    <mergeCell ref="B1:Q1"/>
    <mergeCell ref="R1:AG1"/>
    <mergeCell ref="N2:Q2"/>
    <mergeCell ref="R2:AG2"/>
  </mergeCells>
  <phoneticPr fontId="2" type="noConversion"/>
  <pageMargins left="0.75" right="0.75" top="1" bottom="1" header="0.5" footer="0.5"/>
  <headerFooter alignWithMargins="0"/>
</worksheet>
</file>

<file path=xl/worksheets/sheet80.xml><?xml version="1.0" encoding="utf-8"?>
<worksheet xmlns="http://schemas.openxmlformats.org/spreadsheetml/2006/main" xmlns:r="http://schemas.openxmlformats.org/officeDocument/2006/relationships">
  <sheetPr codeName="Sheet80">
    <tabColor rgb="FFC00000"/>
  </sheetPr>
  <dimension ref="A1:BQ56"/>
  <sheetViews>
    <sheetView zoomScale="85" workbookViewId="0">
      <selection activeCell="S90" sqref="S90"/>
    </sheetView>
  </sheetViews>
  <sheetFormatPr defaultRowHeight="14.25"/>
  <cols>
    <col min="1" max="69" width="7.125" style="2" customWidth="1"/>
  </cols>
  <sheetData>
    <row r="1" spans="1:31" ht="14.25" customHeight="1">
      <c r="A1" s="163" t="s">
        <v>0</v>
      </c>
      <c r="B1" s="164" t="s">
        <v>1</v>
      </c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6"/>
      <c r="O1" s="166"/>
      <c r="P1" s="167"/>
      <c r="Q1" s="168" t="s">
        <v>2</v>
      </c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</row>
    <row r="2" spans="1:31">
      <c r="A2" s="163"/>
      <c r="B2" s="163" t="s">
        <v>3</v>
      </c>
      <c r="C2" s="163"/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69" t="s">
        <v>32</v>
      </c>
      <c r="O2" s="170"/>
      <c r="P2" s="171"/>
      <c r="Q2" s="168" t="s">
        <v>6</v>
      </c>
      <c r="R2" s="165"/>
      <c r="S2" s="165"/>
      <c r="T2" s="165"/>
      <c r="U2" s="165"/>
      <c r="V2" s="165"/>
      <c r="W2" s="165"/>
      <c r="X2" s="165"/>
      <c r="Y2" s="165"/>
      <c r="Z2" s="165"/>
      <c r="AA2" s="165"/>
      <c r="AB2" s="165"/>
      <c r="AC2" s="165"/>
      <c r="AD2" s="165"/>
      <c r="AE2" s="172"/>
    </row>
    <row r="3" spans="1:31">
      <c r="A3" s="163"/>
      <c r="B3" s="1" t="s">
        <v>7</v>
      </c>
      <c r="C3" s="1" t="s">
        <v>8</v>
      </c>
      <c r="D3" s="1" t="s">
        <v>9</v>
      </c>
      <c r="E3" s="1" t="s">
        <v>10</v>
      </c>
      <c r="F3" s="1" t="s">
        <v>11</v>
      </c>
      <c r="G3" s="1" t="s">
        <v>12</v>
      </c>
      <c r="H3" s="1" t="s">
        <v>13</v>
      </c>
      <c r="I3" s="1" t="s">
        <v>14</v>
      </c>
      <c r="J3" s="1" t="s">
        <v>15</v>
      </c>
      <c r="K3" s="1" t="s">
        <v>16</v>
      </c>
      <c r="L3" s="1" t="s">
        <v>17</v>
      </c>
      <c r="M3" s="1" t="s">
        <v>18</v>
      </c>
      <c r="N3" s="3" t="s">
        <v>31</v>
      </c>
      <c r="O3" s="3" t="s">
        <v>4</v>
      </c>
      <c r="P3" s="3" t="s">
        <v>5</v>
      </c>
      <c r="Q3" s="4" t="s">
        <v>19</v>
      </c>
      <c r="R3" s="5" t="s">
        <v>20</v>
      </c>
      <c r="S3" s="5" t="s">
        <v>21</v>
      </c>
      <c r="T3" s="5" t="s">
        <v>22</v>
      </c>
      <c r="U3" s="1" t="s">
        <v>23</v>
      </c>
      <c r="V3" s="1" t="s">
        <v>24</v>
      </c>
      <c r="W3" s="1" t="s">
        <v>25</v>
      </c>
      <c r="X3" s="1" t="s">
        <v>26</v>
      </c>
      <c r="Y3" s="1" t="s">
        <v>27</v>
      </c>
      <c r="Z3" s="6" t="s">
        <v>28</v>
      </c>
      <c r="AA3" s="6" t="s">
        <v>29</v>
      </c>
      <c r="AB3" s="6" t="s">
        <v>30</v>
      </c>
      <c r="AC3" s="1" t="s">
        <v>31</v>
      </c>
      <c r="AD3" s="1" t="s">
        <v>4</v>
      </c>
      <c r="AE3" s="1" t="s">
        <v>5</v>
      </c>
    </row>
    <row r="4" spans="1:31">
      <c r="A4" s="147" t="s">
        <v>261</v>
      </c>
      <c r="B4" s="147">
        <f t="shared" ref="B4:Q4" si="0">AVERAGE(B5:B51)</f>
        <v>14.585106382978726</v>
      </c>
      <c r="C4" s="147">
        <f t="shared" si="0"/>
        <v>18.34893617021277</v>
      </c>
      <c r="D4" s="147">
        <f t="shared" si="0"/>
        <v>33.525531914893605</v>
      </c>
      <c r="E4" s="147">
        <f t="shared" si="0"/>
        <v>81.010638297872333</v>
      </c>
      <c r="F4" s="147">
        <f t="shared" si="0"/>
        <v>183.02579574468086</v>
      </c>
      <c r="G4" s="147">
        <f t="shared" si="0"/>
        <v>216.73404255319144</v>
      </c>
      <c r="H4" s="147">
        <f t="shared" si="0"/>
        <v>164.10425531914899</v>
      </c>
      <c r="I4" s="147">
        <f t="shared" si="0"/>
        <v>144.00425531914894</v>
      </c>
      <c r="J4" s="147">
        <f t="shared" si="0"/>
        <v>86.770212765957439</v>
      </c>
      <c r="K4" s="147">
        <f t="shared" si="0"/>
        <v>74.378723404255311</v>
      </c>
      <c r="L4" s="147">
        <f t="shared" si="0"/>
        <v>39.851063829787236</v>
      </c>
      <c r="M4" s="147">
        <f t="shared" si="0"/>
        <v>14.010638297872347</v>
      </c>
      <c r="N4" s="153">
        <f t="shared" si="0"/>
        <v>273.63478260869562</v>
      </c>
      <c r="O4" s="153">
        <f t="shared" si="0"/>
        <v>794.63856170212762</v>
      </c>
      <c r="P4" s="153">
        <f t="shared" si="0"/>
        <v>1067.765486956522</v>
      </c>
      <c r="Q4" s="154" t="e">
        <f t="shared" si="0"/>
        <v>#DIV/0!</v>
      </c>
      <c r="R4" s="154"/>
      <c r="S4" s="154"/>
      <c r="T4" s="154"/>
      <c r="U4" s="153"/>
      <c r="V4" s="153"/>
      <c r="W4" s="153"/>
      <c r="X4" s="153"/>
      <c r="Y4" s="153"/>
      <c r="Z4" s="25"/>
      <c r="AA4" s="25"/>
      <c r="AB4" s="25"/>
      <c r="AC4" s="153"/>
      <c r="AD4" s="153"/>
      <c r="AE4" s="153"/>
    </row>
    <row r="5" spans="1:31" hidden="1">
      <c r="A5" s="7">
        <v>1954</v>
      </c>
      <c r="B5" s="7">
        <v>4</v>
      </c>
      <c r="C5" s="7">
        <v>15.2</v>
      </c>
      <c r="D5" s="7">
        <v>16.7</v>
      </c>
      <c r="E5" s="7">
        <v>81.5</v>
      </c>
      <c r="F5" s="7">
        <v>129.69999999999999</v>
      </c>
      <c r="G5" s="7">
        <v>197.4</v>
      </c>
      <c r="H5" s="7">
        <v>213.6</v>
      </c>
      <c r="I5" s="7">
        <v>190.3</v>
      </c>
      <c r="J5" s="7">
        <v>87</v>
      </c>
      <c r="K5" s="7">
        <v>68.2</v>
      </c>
      <c r="L5" s="7">
        <v>5.8</v>
      </c>
      <c r="M5" s="7">
        <v>1.4</v>
      </c>
      <c r="O5" s="2">
        <f t="shared" ref="O5:O54" si="1">SUM(F5:J5)</f>
        <v>818</v>
      </c>
    </row>
    <row r="6" spans="1:31" hidden="1">
      <c r="A6" s="7">
        <v>1955</v>
      </c>
      <c r="B6" s="7">
        <v>3.1</v>
      </c>
      <c r="C6" s="7">
        <v>3.4</v>
      </c>
      <c r="D6" s="7">
        <v>51.8</v>
      </c>
      <c r="E6" s="7">
        <v>20.9</v>
      </c>
      <c r="F6" s="7">
        <v>204.5</v>
      </c>
      <c r="G6" s="7">
        <v>276.3</v>
      </c>
      <c r="H6" s="7">
        <v>86.5</v>
      </c>
      <c r="I6" s="7">
        <v>112.9</v>
      </c>
      <c r="J6" s="7">
        <v>79.3</v>
      </c>
      <c r="K6" s="7">
        <v>48.2</v>
      </c>
      <c r="L6" s="7">
        <v>101</v>
      </c>
      <c r="M6" s="7">
        <v>10.4</v>
      </c>
      <c r="N6" s="2">
        <f>K5+L5+M5+B6+C6+D6+E6</f>
        <v>154.6</v>
      </c>
      <c r="O6" s="2">
        <f t="shared" si="1"/>
        <v>759.49999999999989</v>
      </c>
      <c r="P6" s="2">
        <f>SUM(N6:O6)</f>
        <v>914.09999999999991</v>
      </c>
    </row>
    <row r="7" spans="1:31" hidden="1">
      <c r="A7" s="7">
        <v>1956</v>
      </c>
      <c r="B7" s="7">
        <v>5.5</v>
      </c>
      <c r="C7" s="7">
        <v>18.5</v>
      </c>
      <c r="D7" s="7">
        <v>23.5</v>
      </c>
      <c r="E7" s="7">
        <v>67.599999999999994</v>
      </c>
      <c r="F7" s="7">
        <v>318.3</v>
      </c>
      <c r="G7" s="7">
        <v>188.9</v>
      </c>
      <c r="H7" s="7">
        <v>111.2</v>
      </c>
      <c r="I7" s="7">
        <v>118.9</v>
      </c>
      <c r="J7" s="7">
        <v>89.6</v>
      </c>
      <c r="K7" s="7">
        <v>38</v>
      </c>
      <c r="L7" s="7">
        <v>18.5</v>
      </c>
      <c r="M7" s="7">
        <v>0.9</v>
      </c>
      <c r="N7" s="2">
        <f t="shared" ref="N7:N54" si="2">K6+L6+M6+B7+C7+D7+E7</f>
        <v>274.7</v>
      </c>
      <c r="O7" s="2">
        <f t="shared" si="1"/>
        <v>826.90000000000009</v>
      </c>
      <c r="P7" s="2">
        <f t="shared" ref="P7:P54" si="3">SUM(N7:O7)</f>
        <v>1101.6000000000001</v>
      </c>
    </row>
    <row r="8" spans="1:31" hidden="1">
      <c r="A8" s="7">
        <v>1957</v>
      </c>
      <c r="B8" s="7">
        <v>15.6</v>
      </c>
      <c r="C8" s="7">
        <v>5.3</v>
      </c>
      <c r="D8" s="7">
        <v>35.200000000000003</v>
      </c>
      <c r="E8" s="7">
        <v>85.6</v>
      </c>
      <c r="F8" s="7">
        <v>220.9</v>
      </c>
      <c r="G8" s="7">
        <v>276.60000000000002</v>
      </c>
      <c r="H8" s="7">
        <v>142.6</v>
      </c>
      <c r="I8" s="7">
        <v>108.4</v>
      </c>
      <c r="J8" s="7">
        <v>86.6</v>
      </c>
      <c r="K8" s="7">
        <v>28</v>
      </c>
      <c r="L8" s="7">
        <v>22.8</v>
      </c>
      <c r="M8" s="7">
        <v>12.4</v>
      </c>
      <c r="N8" s="2">
        <f t="shared" si="2"/>
        <v>199.1</v>
      </c>
      <c r="O8" s="2">
        <f t="shared" si="1"/>
        <v>835.1</v>
      </c>
      <c r="P8" s="2">
        <f t="shared" si="3"/>
        <v>1034.2</v>
      </c>
    </row>
    <row r="9" spans="1:31" hidden="1">
      <c r="A9" s="7">
        <v>1958</v>
      </c>
      <c r="B9" s="7">
        <v>33.700000000000003</v>
      </c>
      <c r="C9" s="7">
        <v>9.4</v>
      </c>
      <c r="D9" s="7">
        <v>14.6</v>
      </c>
      <c r="E9" s="7">
        <v>37.200000000000003</v>
      </c>
      <c r="F9" s="7">
        <v>30.9</v>
      </c>
      <c r="G9" s="7">
        <v>210</v>
      </c>
      <c r="H9" s="7">
        <v>140.5</v>
      </c>
      <c r="I9" s="7">
        <v>89.3</v>
      </c>
      <c r="J9" s="7">
        <v>161.5</v>
      </c>
      <c r="K9" s="7">
        <v>33.6</v>
      </c>
      <c r="L9" s="7">
        <v>2.6</v>
      </c>
      <c r="M9" s="7">
        <v>0.6</v>
      </c>
      <c r="N9" s="2">
        <f t="shared" si="2"/>
        <v>158.10000000000002</v>
      </c>
      <c r="O9" s="2">
        <f t="shared" si="1"/>
        <v>632.20000000000005</v>
      </c>
      <c r="P9" s="2">
        <f t="shared" si="3"/>
        <v>790.30000000000007</v>
      </c>
    </row>
    <row r="10" spans="1:31" hidden="1">
      <c r="A10" s="7">
        <v>1959</v>
      </c>
      <c r="B10" s="7">
        <v>18.2</v>
      </c>
      <c r="C10" s="7">
        <v>34.299999999999997</v>
      </c>
      <c r="D10" s="7">
        <v>64.900000000000006</v>
      </c>
      <c r="E10" s="7">
        <v>77.5</v>
      </c>
      <c r="F10" s="7">
        <v>241.6</v>
      </c>
      <c r="G10" s="7">
        <v>362.9</v>
      </c>
      <c r="H10" s="7">
        <v>103.7</v>
      </c>
      <c r="I10" s="7">
        <v>180.6</v>
      </c>
      <c r="J10" s="7">
        <v>82.8</v>
      </c>
      <c r="K10" s="7">
        <v>26.6</v>
      </c>
      <c r="L10" s="7">
        <v>13.4</v>
      </c>
      <c r="M10" s="7">
        <v>30.9</v>
      </c>
      <c r="N10" s="2">
        <f t="shared" si="2"/>
        <v>231.7</v>
      </c>
      <c r="O10" s="2">
        <f t="shared" si="1"/>
        <v>971.6</v>
      </c>
      <c r="P10" s="2">
        <f t="shared" si="3"/>
        <v>1203.3</v>
      </c>
    </row>
    <row r="11" spans="1:31" hidden="1">
      <c r="A11" s="7">
        <v>1960</v>
      </c>
      <c r="B11" s="7">
        <v>12.2</v>
      </c>
      <c r="C11" s="7">
        <v>25.5</v>
      </c>
      <c r="D11" s="7">
        <v>60.9</v>
      </c>
      <c r="E11" s="7">
        <v>4.5</v>
      </c>
      <c r="F11" s="7">
        <v>90.4</v>
      </c>
      <c r="G11" s="7">
        <v>127.2</v>
      </c>
      <c r="H11" s="7">
        <v>180.4</v>
      </c>
      <c r="I11" s="7">
        <v>92.5</v>
      </c>
      <c r="J11" s="7">
        <v>102.6</v>
      </c>
      <c r="K11" s="7">
        <v>28.2</v>
      </c>
      <c r="L11" s="7">
        <v>49.1</v>
      </c>
      <c r="M11" s="7">
        <v>13.7</v>
      </c>
      <c r="N11" s="2">
        <f t="shared" si="2"/>
        <v>174</v>
      </c>
      <c r="O11" s="2">
        <f t="shared" si="1"/>
        <v>593.1</v>
      </c>
      <c r="P11" s="2">
        <f t="shared" si="3"/>
        <v>767.1</v>
      </c>
    </row>
    <row r="12" spans="1:31" hidden="1">
      <c r="A12" s="7">
        <v>1961</v>
      </c>
      <c r="B12" s="7">
        <v>5.2</v>
      </c>
      <c r="C12" s="7">
        <v>15.5</v>
      </c>
      <c r="D12" s="7">
        <v>34.1</v>
      </c>
      <c r="E12" s="7">
        <v>203.9</v>
      </c>
      <c r="F12" s="7">
        <v>277</v>
      </c>
      <c r="G12" s="7">
        <v>73</v>
      </c>
      <c r="H12" s="7">
        <v>153.30000000000001</v>
      </c>
      <c r="I12" s="7">
        <v>110.6</v>
      </c>
      <c r="J12" s="7">
        <v>69.400000000000006</v>
      </c>
      <c r="K12" s="7">
        <v>69.2</v>
      </c>
      <c r="L12" s="7">
        <v>37</v>
      </c>
      <c r="M12" s="7">
        <v>36.1</v>
      </c>
      <c r="N12" s="2">
        <f t="shared" si="2"/>
        <v>349.70000000000005</v>
      </c>
      <c r="O12" s="2">
        <f t="shared" si="1"/>
        <v>683.3</v>
      </c>
      <c r="P12" s="2">
        <f t="shared" si="3"/>
        <v>1033</v>
      </c>
    </row>
    <row r="13" spans="1:31" hidden="1">
      <c r="A13" s="7">
        <v>1962</v>
      </c>
      <c r="B13" s="7">
        <v>13.5</v>
      </c>
      <c r="C13" s="7">
        <v>8</v>
      </c>
      <c r="D13" s="7">
        <v>1.5</v>
      </c>
      <c r="E13" s="7">
        <v>50.4</v>
      </c>
      <c r="F13" s="7">
        <v>303</v>
      </c>
      <c r="G13" s="7">
        <v>204.8</v>
      </c>
      <c r="H13" s="7">
        <v>105.8</v>
      </c>
      <c r="I13" s="7">
        <v>88.5</v>
      </c>
      <c r="J13" s="7">
        <v>73.3</v>
      </c>
      <c r="K13" s="7">
        <v>42.4</v>
      </c>
      <c r="L13" s="7">
        <v>8.5</v>
      </c>
      <c r="M13" s="7">
        <v>1.2</v>
      </c>
      <c r="N13" s="2">
        <f t="shared" si="2"/>
        <v>215.70000000000002</v>
      </c>
      <c r="O13" s="2">
        <f t="shared" si="1"/>
        <v>775.4</v>
      </c>
      <c r="P13" s="2">
        <f t="shared" si="3"/>
        <v>991.1</v>
      </c>
    </row>
    <row r="14" spans="1:31" hidden="1">
      <c r="A14" s="7">
        <v>1963</v>
      </c>
      <c r="B14" s="7">
        <v>0.8</v>
      </c>
      <c r="C14" s="7">
        <v>48.4</v>
      </c>
      <c r="D14" s="7">
        <v>71.900000000000006</v>
      </c>
      <c r="E14" s="7">
        <v>2.5</v>
      </c>
      <c r="F14" s="7">
        <v>85.5</v>
      </c>
      <c r="G14" s="7">
        <v>96.9</v>
      </c>
      <c r="H14" s="7">
        <v>304.10000000000002</v>
      </c>
      <c r="I14" s="7">
        <v>66.2</v>
      </c>
      <c r="J14" s="7">
        <v>39.700000000000003</v>
      </c>
      <c r="K14" s="7">
        <v>94.6</v>
      </c>
      <c r="L14" s="7">
        <v>123.2</v>
      </c>
      <c r="M14" s="7">
        <v>34.299999999999997</v>
      </c>
      <c r="N14" s="2">
        <f t="shared" si="2"/>
        <v>175.7</v>
      </c>
      <c r="O14" s="2">
        <f t="shared" si="1"/>
        <v>592.40000000000009</v>
      </c>
      <c r="P14" s="2">
        <f t="shared" si="3"/>
        <v>768.10000000000014</v>
      </c>
    </row>
    <row r="15" spans="1:31" hidden="1">
      <c r="A15" s="7">
        <v>1964</v>
      </c>
      <c r="B15" s="7">
        <v>3.3</v>
      </c>
      <c r="C15" s="7">
        <v>18.2</v>
      </c>
      <c r="D15" s="7">
        <v>19.3</v>
      </c>
      <c r="E15" s="7">
        <v>90.4</v>
      </c>
      <c r="F15" s="7">
        <v>140</v>
      </c>
      <c r="G15" s="7">
        <v>164.7</v>
      </c>
      <c r="H15" s="7">
        <v>165.3</v>
      </c>
      <c r="I15" s="7">
        <v>307.7</v>
      </c>
      <c r="J15" s="7">
        <v>31.4</v>
      </c>
      <c r="K15" s="7">
        <v>84.5</v>
      </c>
      <c r="L15" s="7">
        <v>14.2</v>
      </c>
      <c r="M15" s="7">
        <v>20.100000000000001</v>
      </c>
      <c r="N15" s="2">
        <f t="shared" si="2"/>
        <v>383.30000000000007</v>
      </c>
      <c r="O15" s="2">
        <f t="shared" si="1"/>
        <v>809.1</v>
      </c>
      <c r="P15" s="2">
        <f t="shared" si="3"/>
        <v>1192.4000000000001</v>
      </c>
    </row>
    <row r="16" spans="1:31" hidden="1">
      <c r="A16" s="7">
        <v>1965</v>
      </c>
      <c r="B16" s="7">
        <v>22.7</v>
      </c>
      <c r="C16" s="7">
        <v>17.399999999999999</v>
      </c>
      <c r="D16" s="7">
        <v>81.400000000000006</v>
      </c>
      <c r="E16" s="7">
        <v>147.19999999999999</v>
      </c>
      <c r="F16" s="7">
        <v>167.4</v>
      </c>
      <c r="G16" s="7">
        <v>135</v>
      </c>
      <c r="H16" s="7">
        <v>73.400000000000006</v>
      </c>
      <c r="I16" s="7">
        <v>254.1</v>
      </c>
      <c r="J16" s="7">
        <v>43.5</v>
      </c>
      <c r="K16" s="7">
        <v>177.5</v>
      </c>
      <c r="L16" s="7">
        <v>46.4</v>
      </c>
      <c r="M16" s="7">
        <v>31.9</v>
      </c>
      <c r="N16" s="2">
        <f t="shared" si="2"/>
        <v>387.5</v>
      </c>
      <c r="O16" s="2">
        <f t="shared" si="1"/>
        <v>673.4</v>
      </c>
      <c r="P16" s="2">
        <f t="shared" si="3"/>
        <v>1060.9000000000001</v>
      </c>
    </row>
    <row r="17" spans="1:16" hidden="1">
      <c r="A17" s="7">
        <v>1966</v>
      </c>
      <c r="B17" s="7">
        <v>11.1</v>
      </c>
      <c r="C17" s="7">
        <v>20.8</v>
      </c>
      <c r="D17" s="7">
        <v>20.9</v>
      </c>
      <c r="E17" s="7">
        <v>49</v>
      </c>
      <c r="F17" s="7">
        <v>248.9</v>
      </c>
      <c r="G17" s="7">
        <v>246</v>
      </c>
      <c r="H17" s="7">
        <v>220.3</v>
      </c>
      <c r="I17" s="7">
        <v>104.8</v>
      </c>
      <c r="J17" s="7">
        <v>82</v>
      </c>
      <c r="K17" s="7">
        <v>65.7</v>
      </c>
      <c r="L17" s="7">
        <v>23.5</v>
      </c>
      <c r="M17" s="7">
        <v>3.5</v>
      </c>
      <c r="N17" s="2">
        <f t="shared" si="2"/>
        <v>357.6</v>
      </c>
      <c r="O17" s="2">
        <f t="shared" si="1"/>
        <v>902</v>
      </c>
      <c r="P17" s="2">
        <f t="shared" si="3"/>
        <v>1259.5999999999999</v>
      </c>
    </row>
    <row r="18" spans="1:16" hidden="1">
      <c r="A18" s="7">
        <v>1967</v>
      </c>
      <c r="B18" s="7">
        <v>2</v>
      </c>
      <c r="C18" s="7">
        <v>18.399999999999999</v>
      </c>
      <c r="D18" s="7">
        <v>18</v>
      </c>
      <c r="E18" s="7">
        <v>62.1</v>
      </c>
      <c r="F18" s="7">
        <v>215</v>
      </c>
      <c r="G18" s="7">
        <v>76.599999999999994</v>
      </c>
      <c r="H18" s="7">
        <v>146.6</v>
      </c>
      <c r="I18" s="7">
        <v>212.7</v>
      </c>
      <c r="J18" s="7">
        <v>72.400000000000006</v>
      </c>
      <c r="K18" s="7">
        <v>43.3</v>
      </c>
      <c r="L18" s="7">
        <v>64.3</v>
      </c>
      <c r="M18" s="7">
        <v>37.1</v>
      </c>
      <c r="N18" s="2">
        <f t="shared" si="2"/>
        <v>193.2</v>
      </c>
      <c r="O18" s="2">
        <f t="shared" si="1"/>
        <v>723.30000000000007</v>
      </c>
      <c r="P18" s="2">
        <f t="shared" si="3"/>
        <v>916.5</v>
      </c>
    </row>
    <row r="19" spans="1:16" hidden="1">
      <c r="A19" s="7">
        <v>1968</v>
      </c>
      <c r="B19" s="7">
        <v>6.7</v>
      </c>
      <c r="C19" s="7">
        <v>23.6</v>
      </c>
      <c r="D19" s="7">
        <v>43.5</v>
      </c>
      <c r="E19" s="7">
        <v>102.3</v>
      </c>
      <c r="F19" s="7">
        <v>297.8</v>
      </c>
      <c r="G19" s="7">
        <v>342.7</v>
      </c>
      <c r="H19" s="7">
        <v>285.60000000000002</v>
      </c>
      <c r="I19" s="7">
        <v>149.30000000000001</v>
      </c>
      <c r="J19" s="7">
        <v>31.2</v>
      </c>
      <c r="K19" s="7">
        <v>61.4</v>
      </c>
      <c r="L19" s="7">
        <v>63.5</v>
      </c>
      <c r="M19" s="7">
        <v>3.1</v>
      </c>
      <c r="N19" s="2">
        <f t="shared" si="2"/>
        <v>320.79999999999995</v>
      </c>
      <c r="O19" s="2">
        <f t="shared" si="1"/>
        <v>1106.6000000000001</v>
      </c>
      <c r="P19" s="2">
        <f t="shared" si="3"/>
        <v>1427.4</v>
      </c>
    </row>
    <row r="20" spans="1:16" hidden="1">
      <c r="A20" s="7">
        <v>1969</v>
      </c>
      <c r="B20" s="7">
        <v>14.5</v>
      </c>
      <c r="C20" s="7">
        <v>0.7</v>
      </c>
      <c r="D20" s="7">
        <v>4.5</v>
      </c>
      <c r="E20" s="7">
        <v>82</v>
      </c>
      <c r="F20" s="7">
        <v>136.69999999999999</v>
      </c>
      <c r="G20" s="7">
        <v>289.39999999999998</v>
      </c>
      <c r="H20" s="7">
        <v>156.69999999999999</v>
      </c>
      <c r="I20" s="7">
        <v>184.5</v>
      </c>
      <c r="J20" s="7">
        <v>62.7</v>
      </c>
      <c r="K20" s="7">
        <v>67</v>
      </c>
      <c r="L20" s="7">
        <v>29.6</v>
      </c>
      <c r="M20" s="7">
        <v>3</v>
      </c>
      <c r="N20" s="2">
        <f t="shared" si="2"/>
        <v>229.7</v>
      </c>
      <c r="O20" s="2">
        <f t="shared" si="1"/>
        <v>830</v>
      </c>
      <c r="P20" s="2">
        <f t="shared" si="3"/>
        <v>1059.7</v>
      </c>
    </row>
    <row r="21" spans="1:16" hidden="1">
      <c r="A21" s="7">
        <v>1970</v>
      </c>
      <c r="B21" s="7">
        <v>41</v>
      </c>
      <c r="C21" s="7">
        <v>15.2</v>
      </c>
      <c r="D21" s="7">
        <v>40.299999999999997</v>
      </c>
      <c r="E21" s="7">
        <v>110.1</v>
      </c>
      <c r="F21" s="7">
        <v>142.69999999999999</v>
      </c>
      <c r="G21" s="7">
        <v>85.1</v>
      </c>
      <c r="H21" s="7">
        <v>267.10000000000002</v>
      </c>
      <c r="I21" s="7">
        <v>50.5</v>
      </c>
      <c r="J21" s="7">
        <v>36.1</v>
      </c>
      <c r="K21" s="7">
        <v>11.8</v>
      </c>
      <c r="L21" s="7">
        <v>17.100000000000001</v>
      </c>
      <c r="M21" s="7">
        <v>53.9</v>
      </c>
      <c r="N21" s="2">
        <f t="shared" si="2"/>
        <v>306.19999999999993</v>
      </c>
      <c r="O21" s="2">
        <f t="shared" si="1"/>
        <v>581.5</v>
      </c>
      <c r="P21" s="2">
        <f t="shared" si="3"/>
        <v>887.69999999999993</v>
      </c>
    </row>
    <row r="22" spans="1:16" hidden="1">
      <c r="A22" s="7">
        <v>1971</v>
      </c>
      <c r="B22" s="7">
        <v>22.3</v>
      </c>
      <c r="C22" s="7">
        <v>37.4</v>
      </c>
      <c r="D22" s="7">
        <v>20.6</v>
      </c>
      <c r="E22" s="7">
        <v>80.099999999999994</v>
      </c>
      <c r="F22" s="7">
        <v>143.19999999999999</v>
      </c>
      <c r="G22" s="7">
        <v>131.4</v>
      </c>
      <c r="H22" s="7">
        <v>139.5</v>
      </c>
      <c r="I22" s="7">
        <v>284.60000000000002</v>
      </c>
      <c r="J22" s="7">
        <v>81.8</v>
      </c>
      <c r="K22" s="7">
        <v>69.099999999999994</v>
      </c>
      <c r="L22" s="7">
        <v>26.4</v>
      </c>
      <c r="M22" s="7">
        <v>15.3</v>
      </c>
      <c r="N22" s="2">
        <f t="shared" si="2"/>
        <v>243.2</v>
      </c>
      <c r="O22" s="2">
        <f t="shared" si="1"/>
        <v>780.5</v>
      </c>
      <c r="P22" s="2">
        <f t="shared" si="3"/>
        <v>1023.7</v>
      </c>
    </row>
    <row r="23" spans="1:16" hidden="1">
      <c r="A23" s="7">
        <v>1972</v>
      </c>
      <c r="B23" s="7">
        <v>7</v>
      </c>
      <c r="C23" s="7">
        <v>2.5</v>
      </c>
      <c r="D23" s="7">
        <v>19.5</v>
      </c>
      <c r="E23" s="7">
        <v>46</v>
      </c>
      <c r="F23" s="7">
        <v>272.5</v>
      </c>
      <c r="G23" s="7">
        <v>132.19999999999999</v>
      </c>
      <c r="H23" s="7">
        <v>16.7</v>
      </c>
      <c r="I23" s="7">
        <v>68.599999999999994</v>
      </c>
      <c r="J23" s="7">
        <v>105.8</v>
      </c>
      <c r="K23" s="7">
        <v>58.4</v>
      </c>
      <c r="L23" s="7">
        <v>90.7</v>
      </c>
      <c r="M23" s="7">
        <v>18.899999999999999</v>
      </c>
      <c r="N23" s="2">
        <f t="shared" si="2"/>
        <v>185.8</v>
      </c>
      <c r="O23" s="2">
        <f t="shared" si="1"/>
        <v>595.79999999999995</v>
      </c>
      <c r="P23" s="2">
        <f t="shared" si="3"/>
        <v>781.59999999999991</v>
      </c>
    </row>
    <row r="24" spans="1:16" hidden="1">
      <c r="A24" s="7">
        <v>1973</v>
      </c>
      <c r="B24" s="7">
        <v>12.1</v>
      </c>
      <c r="C24" s="7">
        <v>13.6</v>
      </c>
      <c r="D24" s="7">
        <v>62.9</v>
      </c>
      <c r="E24" s="7">
        <v>83.7</v>
      </c>
      <c r="F24" s="7">
        <v>283.3</v>
      </c>
      <c r="G24" s="7">
        <v>200.6</v>
      </c>
      <c r="H24" s="7">
        <v>123.5</v>
      </c>
      <c r="I24" s="7">
        <v>190.9</v>
      </c>
      <c r="J24" s="7">
        <v>85.1</v>
      </c>
      <c r="K24" s="7">
        <v>56.4</v>
      </c>
      <c r="L24" s="7">
        <v>15.8</v>
      </c>
      <c r="M24" s="7">
        <v>5.0999999999999996</v>
      </c>
      <c r="N24" s="2">
        <f t="shared" si="2"/>
        <v>340.29999999999995</v>
      </c>
      <c r="O24" s="2">
        <f t="shared" si="1"/>
        <v>883.4</v>
      </c>
      <c r="P24" s="2">
        <f t="shared" si="3"/>
        <v>1223.6999999999998</v>
      </c>
    </row>
    <row r="25" spans="1:16" ht="15" hidden="1">
      <c r="A25" s="7">
        <v>1974</v>
      </c>
      <c r="B25" s="7">
        <v>2.5</v>
      </c>
      <c r="C25" s="7">
        <v>2.4</v>
      </c>
      <c r="D25" s="7">
        <v>49.3</v>
      </c>
      <c r="E25" s="7">
        <v>89</v>
      </c>
      <c r="F25" s="7">
        <v>243.11240000000001</v>
      </c>
      <c r="G25" s="7">
        <v>405</v>
      </c>
      <c r="H25" s="7">
        <v>162.4</v>
      </c>
      <c r="I25" s="7">
        <v>155.9</v>
      </c>
      <c r="J25" s="7">
        <v>96.6</v>
      </c>
      <c r="K25" s="7">
        <v>20.9</v>
      </c>
      <c r="L25" s="8">
        <v>8.1999999999999993</v>
      </c>
      <c r="M25" s="8">
        <v>2.9</v>
      </c>
      <c r="N25" s="2">
        <f t="shared" si="2"/>
        <v>220.5</v>
      </c>
      <c r="O25" s="2">
        <f t="shared" si="1"/>
        <v>1063.0123999999998</v>
      </c>
      <c r="P25" s="2">
        <f t="shared" si="3"/>
        <v>1283.5123999999998</v>
      </c>
    </row>
    <row r="26" spans="1:16" ht="15" hidden="1">
      <c r="A26" s="7">
        <v>1975</v>
      </c>
      <c r="B26" s="7">
        <v>21.6</v>
      </c>
      <c r="C26" s="7">
        <v>11.7</v>
      </c>
      <c r="D26" s="7">
        <v>13.7</v>
      </c>
      <c r="E26" s="7">
        <v>73.3</v>
      </c>
      <c r="F26" s="7">
        <v>220.4</v>
      </c>
      <c r="G26" s="7">
        <v>111.4</v>
      </c>
      <c r="H26" s="7">
        <v>81.5</v>
      </c>
      <c r="I26" s="7">
        <v>153</v>
      </c>
      <c r="J26" s="7">
        <v>133.4</v>
      </c>
      <c r="K26" s="7">
        <v>36.299999999999997</v>
      </c>
      <c r="L26" s="8">
        <v>52.5</v>
      </c>
      <c r="M26" s="8">
        <v>0.7</v>
      </c>
      <c r="N26" s="2">
        <f t="shared" si="2"/>
        <v>152.30000000000001</v>
      </c>
      <c r="O26" s="2">
        <f t="shared" si="1"/>
        <v>699.69999999999993</v>
      </c>
      <c r="P26" s="2">
        <f t="shared" si="3"/>
        <v>852</v>
      </c>
    </row>
    <row r="27" spans="1:16" ht="15" hidden="1">
      <c r="A27" s="7">
        <v>1976</v>
      </c>
      <c r="B27" s="7">
        <v>8</v>
      </c>
      <c r="C27" s="7">
        <v>20.3</v>
      </c>
      <c r="D27" s="7">
        <v>27.8</v>
      </c>
      <c r="E27" s="7">
        <v>85.9</v>
      </c>
      <c r="F27" s="7">
        <v>195.9</v>
      </c>
      <c r="G27" s="7">
        <v>255.4</v>
      </c>
      <c r="H27" s="7">
        <v>312.8</v>
      </c>
      <c r="I27" s="7">
        <v>129.1</v>
      </c>
      <c r="J27" s="7">
        <v>128.5</v>
      </c>
      <c r="K27" s="7">
        <v>117.7</v>
      </c>
      <c r="L27" s="8">
        <v>23.3</v>
      </c>
      <c r="M27" s="8">
        <v>5.7</v>
      </c>
      <c r="N27" s="2">
        <f t="shared" si="2"/>
        <v>231.5</v>
      </c>
      <c r="O27" s="2">
        <f t="shared" si="1"/>
        <v>1021.7</v>
      </c>
      <c r="P27" s="2">
        <f t="shared" si="3"/>
        <v>1253.2</v>
      </c>
    </row>
    <row r="28" spans="1:16" ht="15" hidden="1">
      <c r="A28" s="7">
        <v>1977</v>
      </c>
      <c r="B28" s="7">
        <v>27.1</v>
      </c>
      <c r="C28" s="7">
        <v>7.4</v>
      </c>
      <c r="D28" s="7">
        <v>15.6</v>
      </c>
      <c r="E28" s="7">
        <v>37.299999999999997</v>
      </c>
      <c r="F28" s="7">
        <v>157.9</v>
      </c>
      <c r="G28" s="7">
        <v>314.60000000000002</v>
      </c>
      <c r="H28" s="7">
        <v>245.8</v>
      </c>
      <c r="I28" s="7">
        <v>130.4</v>
      </c>
      <c r="J28" s="7">
        <v>67.599999999999994</v>
      </c>
      <c r="K28" s="7">
        <v>169.9</v>
      </c>
      <c r="L28" s="8">
        <v>18.2</v>
      </c>
      <c r="M28" s="8">
        <v>3.9</v>
      </c>
      <c r="N28" s="2">
        <f t="shared" si="2"/>
        <v>234.09999999999997</v>
      </c>
      <c r="O28" s="2">
        <f t="shared" si="1"/>
        <v>916.3</v>
      </c>
      <c r="P28" s="2">
        <f t="shared" si="3"/>
        <v>1150.3999999999999</v>
      </c>
    </row>
    <row r="29" spans="1:16" ht="15" hidden="1">
      <c r="A29" s="7">
        <v>1978</v>
      </c>
      <c r="B29" s="7">
        <v>7.9</v>
      </c>
      <c r="C29" s="7">
        <v>3.6</v>
      </c>
      <c r="D29" s="7">
        <v>4.8</v>
      </c>
      <c r="E29" s="7">
        <v>115.9</v>
      </c>
      <c r="F29" s="7">
        <v>225.4</v>
      </c>
      <c r="G29" s="7">
        <v>148.69999999999999</v>
      </c>
      <c r="H29" s="7">
        <v>108.4</v>
      </c>
      <c r="I29" s="7">
        <v>116.2</v>
      </c>
      <c r="J29" s="7">
        <v>103.6</v>
      </c>
      <c r="K29" s="7">
        <v>130.4</v>
      </c>
      <c r="L29" s="8">
        <v>80.599999999999994</v>
      </c>
      <c r="M29" s="8">
        <v>10.4</v>
      </c>
      <c r="N29" s="2">
        <f t="shared" si="2"/>
        <v>324.20000000000005</v>
      </c>
      <c r="O29" s="2">
        <f t="shared" si="1"/>
        <v>702.30000000000007</v>
      </c>
      <c r="P29" s="2">
        <f t="shared" si="3"/>
        <v>1026.5</v>
      </c>
    </row>
    <row r="30" spans="1:16" ht="15" hidden="1">
      <c r="A30" s="7">
        <v>1979</v>
      </c>
      <c r="B30" s="7">
        <v>3.8</v>
      </c>
      <c r="C30" s="7">
        <v>51.8</v>
      </c>
      <c r="D30" s="7">
        <v>6.9</v>
      </c>
      <c r="E30" s="7">
        <v>154.30000000000001</v>
      </c>
      <c r="F30" s="7">
        <v>118.7</v>
      </c>
      <c r="G30" s="7">
        <v>352.1</v>
      </c>
      <c r="H30" s="7">
        <v>344.8</v>
      </c>
      <c r="I30" s="7">
        <v>184.4</v>
      </c>
      <c r="J30" s="7">
        <v>111.8</v>
      </c>
      <c r="K30" s="7">
        <v>12.1</v>
      </c>
      <c r="L30" s="8">
        <v>0.6</v>
      </c>
      <c r="M30" s="8">
        <v>15.6</v>
      </c>
      <c r="N30" s="2">
        <f t="shared" si="2"/>
        <v>438.2</v>
      </c>
      <c r="O30" s="2">
        <f t="shared" si="1"/>
        <v>1111.8</v>
      </c>
      <c r="P30" s="2">
        <f t="shared" si="3"/>
        <v>1550</v>
      </c>
    </row>
    <row r="31" spans="1:16" ht="15" hidden="1">
      <c r="A31" s="7">
        <v>1980</v>
      </c>
      <c r="B31" s="7">
        <v>2.7</v>
      </c>
      <c r="C31" s="7">
        <v>12</v>
      </c>
      <c r="D31" s="7">
        <v>53.7</v>
      </c>
      <c r="E31" s="7">
        <v>114</v>
      </c>
      <c r="F31" s="7">
        <v>157</v>
      </c>
      <c r="G31" s="7">
        <v>65.8</v>
      </c>
      <c r="H31" s="7">
        <v>210.6</v>
      </c>
      <c r="I31" s="7">
        <v>126.3</v>
      </c>
      <c r="J31" s="7">
        <v>50.2</v>
      </c>
      <c r="K31" s="7">
        <v>54.2</v>
      </c>
      <c r="L31" s="8">
        <v>29.1</v>
      </c>
      <c r="M31" s="8">
        <v>26.1</v>
      </c>
      <c r="N31" s="2">
        <f t="shared" si="2"/>
        <v>210.7</v>
      </c>
      <c r="O31" s="2">
        <f t="shared" si="1"/>
        <v>609.9</v>
      </c>
      <c r="P31" s="2">
        <f t="shared" si="3"/>
        <v>820.59999999999991</v>
      </c>
    </row>
    <row r="32" spans="1:16" ht="15" hidden="1">
      <c r="A32" s="7">
        <v>1981</v>
      </c>
      <c r="B32" s="7">
        <v>8.1999999999999993</v>
      </c>
      <c r="C32" s="7">
        <v>12</v>
      </c>
      <c r="D32" s="7">
        <v>58.8</v>
      </c>
      <c r="E32" s="7">
        <v>128.4</v>
      </c>
      <c r="F32" s="7">
        <v>253.8</v>
      </c>
      <c r="G32" s="7">
        <v>214.3</v>
      </c>
      <c r="H32" s="7">
        <v>159.30000000000001</v>
      </c>
      <c r="I32" s="7">
        <v>80</v>
      </c>
      <c r="J32" s="7">
        <v>73.099999999999994</v>
      </c>
      <c r="K32" s="7">
        <v>63.2</v>
      </c>
      <c r="L32" s="8">
        <v>105.4</v>
      </c>
      <c r="M32" s="8">
        <v>4.8</v>
      </c>
      <c r="N32" s="2">
        <f t="shared" si="2"/>
        <v>316.80000000000007</v>
      </c>
      <c r="O32" s="2">
        <f t="shared" si="1"/>
        <v>780.50000000000011</v>
      </c>
      <c r="P32" s="2">
        <f t="shared" si="3"/>
        <v>1097.3000000000002</v>
      </c>
    </row>
    <row r="33" spans="1:16" ht="15" hidden="1">
      <c r="A33" s="7">
        <v>1982</v>
      </c>
      <c r="B33" s="7">
        <v>8.4</v>
      </c>
      <c r="C33" s="7">
        <v>18.8</v>
      </c>
      <c r="D33" s="7">
        <v>38.5</v>
      </c>
      <c r="E33" s="7">
        <v>119.4</v>
      </c>
      <c r="F33" s="7">
        <v>137.1</v>
      </c>
      <c r="G33" s="7">
        <v>214.2</v>
      </c>
      <c r="H33" s="7">
        <v>70.5</v>
      </c>
      <c r="I33" s="7">
        <v>235.6</v>
      </c>
      <c r="J33" s="7">
        <v>124.9</v>
      </c>
      <c r="K33" s="7">
        <v>119.5</v>
      </c>
      <c r="L33" s="8">
        <v>82.6</v>
      </c>
      <c r="M33" s="8">
        <v>15.1</v>
      </c>
      <c r="N33" s="2">
        <f t="shared" si="2"/>
        <v>358.50000000000006</v>
      </c>
      <c r="O33" s="2">
        <f t="shared" si="1"/>
        <v>782.3</v>
      </c>
      <c r="P33" s="2">
        <f t="shared" si="3"/>
        <v>1140.8</v>
      </c>
    </row>
    <row r="34" spans="1:16" ht="15" hidden="1">
      <c r="A34" s="7">
        <v>1983</v>
      </c>
      <c r="B34" s="7">
        <v>43.4</v>
      </c>
      <c r="C34" s="7">
        <v>46.9</v>
      </c>
      <c r="D34" s="7">
        <v>43.2</v>
      </c>
      <c r="E34" s="7">
        <v>77.8</v>
      </c>
      <c r="F34" s="7">
        <v>161.6</v>
      </c>
      <c r="G34" s="7">
        <v>328.4</v>
      </c>
      <c r="H34" s="7">
        <v>65.099999999999994</v>
      </c>
      <c r="I34" s="7">
        <v>134.30000000000001</v>
      </c>
      <c r="J34" s="7">
        <v>173.9</v>
      </c>
      <c r="K34" s="7">
        <v>76.8</v>
      </c>
      <c r="L34" s="8">
        <v>52.2</v>
      </c>
      <c r="M34" s="8">
        <v>33.200000000000003</v>
      </c>
      <c r="N34" s="2">
        <f t="shared" si="2"/>
        <v>428.49999999999994</v>
      </c>
      <c r="O34" s="2">
        <f t="shared" si="1"/>
        <v>863.30000000000007</v>
      </c>
      <c r="P34" s="2">
        <f t="shared" si="3"/>
        <v>1291.8</v>
      </c>
    </row>
    <row r="35" spans="1:16" ht="15" hidden="1">
      <c r="A35" s="7">
        <v>1984</v>
      </c>
      <c r="B35" s="7">
        <v>9.3000000000000007</v>
      </c>
      <c r="C35" s="7">
        <v>1.6</v>
      </c>
      <c r="D35" s="7">
        <v>17.600000000000001</v>
      </c>
      <c r="E35" s="7">
        <v>117.6</v>
      </c>
      <c r="F35" s="7">
        <v>128.80000000000001</v>
      </c>
      <c r="G35" s="7">
        <v>152.4</v>
      </c>
      <c r="H35" s="7">
        <v>64.099999999999994</v>
      </c>
      <c r="I35" s="7">
        <v>159.1</v>
      </c>
      <c r="J35" s="7">
        <v>61.6</v>
      </c>
      <c r="K35" s="7">
        <v>151.6</v>
      </c>
      <c r="L35" s="8">
        <v>100</v>
      </c>
      <c r="M35" s="8">
        <v>10.6</v>
      </c>
      <c r="N35" s="2">
        <f t="shared" si="2"/>
        <v>308.29999999999995</v>
      </c>
      <c r="O35" s="2">
        <f t="shared" si="1"/>
        <v>566.00000000000011</v>
      </c>
      <c r="P35" s="2">
        <f t="shared" si="3"/>
        <v>874.30000000000007</v>
      </c>
    </row>
    <row r="36" spans="1:16" hidden="1">
      <c r="A36" s="7">
        <v>1985</v>
      </c>
      <c r="B36" s="9">
        <v>14.7</v>
      </c>
      <c r="C36" s="9">
        <v>18.600000000000001</v>
      </c>
      <c r="D36" s="9">
        <v>29.3</v>
      </c>
      <c r="E36" s="9">
        <v>137.6</v>
      </c>
      <c r="F36" s="9">
        <v>86</v>
      </c>
      <c r="G36" s="9">
        <v>297.7</v>
      </c>
      <c r="H36" s="9">
        <v>77.599999999999994</v>
      </c>
      <c r="I36" s="9">
        <v>155.6</v>
      </c>
      <c r="J36" s="9">
        <v>121.5</v>
      </c>
      <c r="K36" s="9">
        <v>58.3</v>
      </c>
      <c r="L36" s="9">
        <v>69.400000000000006</v>
      </c>
      <c r="M36" s="9">
        <v>19.3</v>
      </c>
      <c r="N36" s="2">
        <f t="shared" si="2"/>
        <v>462.4</v>
      </c>
      <c r="O36" s="2">
        <f t="shared" si="1"/>
        <v>738.4</v>
      </c>
      <c r="P36" s="2">
        <f t="shared" si="3"/>
        <v>1200.8</v>
      </c>
    </row>
    <row r="37" spans="1:16" hidden="1">
      <c r="A37" s="7">
        <v>1986</v>
      </c>
      <c r="B37" s="9">
        <v>10.7</v>
      </c>
      <c r="C37" s="9">
        <v>7.1</v>
      </c>
      <c r="D37" s="9">
        <v>10.4</v>
      </c>
      <c r="E37" s="9">
        <v>94.5</v>
      </c>
      <c r="F37" s="9">
        <v>101.6</v>
      </c>
      <c r="G37" s="9">
        <v>47.2</v>
      </c>
      <c r="H37" s="9">
        <v>274</v>
      </c>
      <c r="I37" s="9">
        <v>180.2</v>
      </c>
      <c r="J37" s="9">
        <v>133</v>
      </c>
      <c r="K37" s="9">
        <v>72.900000000000006</v>
      </c>
      <c r="L37" s="9">
        <v>25.4</v>
      </c>
      <c r="M37" s="9">
        <v>10.3</v>
      </c>
      <c r="N37" s="2">
        <f t="shared" si="2"/>
        <v>269.7</v>
      </c>
      <c r="O37" s="2">
        <f t="shared" si="1"/>
        <v>736</v>
      </c>
      <c r="P37" s="2">
        <f t="shared" si="3"/>
        <v>1005.7</v>
      </c>
    </row>
    <row r="38" spans="1:16" hidden="1">
      <c r="A38" s="7">
        <v>1987</v>
      </c>
      <c r="B38" s="7">
        <v>11.3</v>
      </c>
      <c r="C38" s="7">
        <v>30.8</v>
      </c>
      <c r="D38" s="7">
        <v>0.1</v>
      </c>
      <c r="E38" s="7">
        <v>52.6</v>
      </c>
      <c r="F38" s="7">
        <v>229.2</v>
      </c>
      <c r="G38" s="7">
        <v>335.3</v>
      </c>
      <c r="H38" s="7">
        <v>174.2</v>
      </c>
      <c r="I38" s="7">
        <v>131.69999999999999</v>
      </c>
      <c r="J38" s="7">
        <v>44.6</v>
      </c>
      <c r="K38" s="7">
        <v>91.8</v>
      </c>
      <c r="L38" s="7">
        <v>48.7</v>
      </c>
      <c r="M38" s="7">
        <v>0</v>
      </c>
      <c r="N38" s="2">
        <f t="shared" si="2"/>
        <v>203.4</v>
      </c>
      <c r="O38" s="2">
        <f t="shared" si="1"/>
        <v>915.00000000000011</v>
      </c>
      <c r="P38" s="2">
        <f t="shared" si="3"/>
        <v>1118.4000000000001</v>
      </c>
    </row>
    <row r="39" spans="1:16" hidden="1">
      <c r="A39" s="7">
        <v>1988</v>
      </c>
      <c r="B39" s="7">
        <v>8.1</v>
      </c>
      <c r="C39" s="7">
        <v>24.7</v>
      </c>
      <c r="D39" s="7">
        <v>0</v>
      </c>
      <c r="E39" s="7">
        <v>40</v>
      </c>
      <c r="F39" s="7">
        <v>92.2</v>
      </c>
      <c r="G39" s="7">
        <v>218.2</v>
      </c>
      <c r="H39" s="7">
        <v>61.9</v>
      </c>
      <c r="I39" s="7">
        <v>190.5</v>
      </c>
      <c r="J39" s="7">
        <v>149.80000000000001</v>
      </c>
      <c r="K39" s="7">
        <v>100.2</v>
      </c>
      <c r="L39" s="7">
        <v>0.8</v>
      </c>
      <c r="M39" s="7">
        <v>8.9</v>
      </c>
      <c r="N39" s="2">
        <f t="shared" si="2"/>
        <v>213.29999999999998</v>
      </c>
      <c r="O39" s="2">
        <f t="shared" si="1"/>
        <v>712.59999999999991</v>
      </c>
      <c r="P39" s="2">
        <f t="shared" si="3"/>
        <v>925.89999999999986</v>
      </c>
    </row>
    <row r="40" spans="1:16" hidden="1">
      <c r="A40" s="7">
        <v>1989</v>
      </c>
      <c r="B40" s="7">
        <v>15.6</v>
      </c>
      <c r="C40" s="7">
        <v>6.6</v>
      </c>
      <c r="D40" s="7">
        <v>27</v>
      </c>
      <c r="E40" s="7">
        <v>24.7</v>
      </c>
      <c r="F40" s="7">
        <v>183.9</v>
      </c>
      <c r="G40" s="7">
        <v>242.7</v>
      </c>
      <c r="H40" s="7">
        <v>64.3</v>
      </c>
      <c r="I40" s="7">
        <v>82.8</v>
      </c>
      <c r="J40" s="7">
        <v>51.3</v>
      </c>
      <c r="K40" s="7">
        <v>46.7</v>
      </c>
      <c r="L40" s="7">
        <v>13.3</v>
      </c>
      <c r="M40" s="7">
        <v>22.9</v>
      </c>
      <c r="N40" s="2">
        <f t="shared" si="2"/>
        <v>183.79999999999998</v>
      </c>
      <c r="O40" s="2">
        <f t="shared" si="1"/>
        <v>625</v>
      </c>
      <c r="P40" s="2">
        <f t="shared" si="3"/>
        <v>808.8</v>
      </c>
    </row>
    <row r="41" spans="1:16" hidden="1">
      <c r="A41" s="7">
        <v>1990</v>
      </c>
      <c r="B41" s="7">
        <v>26.3</v>
      </c>
      <c r="C41" s="7">
        <v>17.100000000000001</v>
      </c>
      <c r="D41" s="7">
        <v>97.8</v>
      </c>
      <c r="E41" s="7">
        <v>33.9</v>
      </c>
      <c r="F41" s="7">
        <v>109.5</v>
      </c>
      <c r="G41" s="7">
        <v>315.2</v>
      </c>
      <c r="H41" s="7">
        <v>119.6</v>
      </c>
      <c r="I41" s="7">
        <v>113.1</v>
      </c>
      <c r="J41" s="7">
        <v>189.5</v>
      </c>
      <c r="K41" s="7">
        <v>76.5</v>
      </c>
      <c r="L41" s="7">
        <v>40.299999999999997</v>
      </c>
      <c r="M41" s="7">
        <v>2.2000000000000002</v>
      </c>
      <c r="N41" s="2">
        <f t="shared" si="2"/>
        <v>258</v>
      </c>
      <c r="O41" s="2">
        <f t="shared" si="1"/>
        <v>846.9</v>
      </c>
      <c r="P41" s="2">
        <f t="shared" si="3"/>
        <v>1104.9000000000001</v>
      </c>
    </row>
    <row r="42" spans="1:16" hidden="1">
      <c r="A42" s="7">
        <v>1991</v>
      </c>
      <c r="B42" s="7">
        <v>28.2</v>
      </c>
      <c r="C42" s="7">
        <v>0.3</v>
      </c>
      <c r="D42" s="7">
        <v>36.5</v>
      </c>
      <c r="E42" s="7">
        <v>87.6</v>
      </c>
      <c r="F42" s="7">
        <v>37.6</v>
      </c>
      <c r="G42" s="7">
        <v>315.7</v>
      </c>
      <c r="H42" s="7">
        <v>95.8</v>
      </c>
      <c r="I42" s="7">
        <v>193.4</v>
      </c>
      <c r="J42" s="7">
        <v>35.6</v>
      </c>
      <c r="K42" s="7">
        <v>52.2</v>
      </c>
      <c r="L42" s="7">
        <v>37.4</v>
      </c>
      <c r="M42" s="7">
        <v>37.700000000000003</v>
      </c>
      <c r="N42" s="2">
        <f t="shared" si="2"/>
        <v>271.60000000000002</v>
      </c>
      <c r="O42" s="2">
        <f t="shared" si="1"/>
        <v>678.1</v>
      </c>
      <c r="P42" s="2">
        <f t="shared" si="3"/>
        <v>949.7</v>
      </c>
    </row>
    <row r="43" spans="1:16" hidden="1">
      <c r="A43" s="7">
        <v>1992</v>
      </c>
      <c r="B43" s="7">
        <v>27.1</v>
      </c>
      <c r="C43" s="7">
        <v>63.9</v>
      </c>
      <c r="D43" s="7">
        <v>18.600000000000001</v>
      </c>
      <c r="E43" s="7">
        <v>39.9</v>
      </c>
      <c r="F43" s="7">
        <v>170.8</v>
      </c>
      <c r="G43" s="7">
        <v>159.4</v>
      </c>
      <c r="H43" s="7">
        <v>290</v>
      </c>
      <c r="I43" s="7">
        <v>37.5</v>
      </c>
      <c r="J43" s="7">
        <v>18.2</v>
      </c>
      <c r="K43" s="7">
        <v>39.200000000000003</v>
      </c>
      <c r="L43" s="7">
        <v>8.1</v>
      </c>
      <c r="M43" s="7">
        <v>18.8</v>
      </c>
      <c r="N43" s="2">
        <f t="shared" si="2"/>
        <v>276.8</v>
      </c>
      <c r="O43" s="2">
        <f t="shared" si="1"/>
        <v>675.90000000000009</v>
      </c>
      <c r="P43" s="2">
        <f t="shared" si="3"/>
        <v>952.7</v>
      </c>
    </row>
    <row r="44" spans="1:16" hidden="1">
      <c r="A44" s="7">
        <v>1993</v>
      </c>
      <c r="B44" s="7">
        <v>34</v>
      </c>
      <c r="C44" s="7">
        <v>28.6</v>
      </c>
      <c r="D44" s="7">
        <v>6.4</v>
      </c>
      <c r="E44" s="7">
        <v>43.9</v>
      </c>
      <c r="F44" s="7">
        <v>132.19999999999999</v>
      </c>
      <c r="G44" s="7">
        <v>334.8</v>
      </c>
      <c r="H44" s="7">
        <v>234.8</v>
      </c>
      <c r="I44" s="7">
        <v>175.2</v>
      </c>
      <c r="J44" s="7">
        <v>137.9</v>
      </c>
      <c r="K44" s="7">
        <v>43.7</v>
      </c>
      <c r="L44" s="7">
        <v>48.4</v>
      </c>
      <c r="M44" s="7">
        <v>2.2000000000000002</v>
      </c>
      <c r="N44" s="2">
        <f t="shared" si="2"/>
        <v>179.00000000000003</v>
      </c>
      <c r="O44" s="2">
        <f t="shared" si="1"/>
        <v>1014.9</v>
      </c>
      <c r="P44" s="2">
        <f t="shared" si="3"/>
        <v>1193.9000000000001</v>
      </c>
    </row>
    <row r="45" spans="1:16" hidden="1">
      <c r="A45" s="7">
        <v>1994</v>
      </c>
      <c r="B45" s="7">
        <v>4.2</v>
      </c>
      <c r="C45" s="7">
        <v>14.1</v>
      </c>
      <c r="D45" s="7">
        <v>53</v>
      </c>
      <c r="E45" s="7">
        <v>13.5</v>
      </c>
      <c r="F45" s="7">
        <v>313.3</v>
      </c>
      <c r="G45" s="7">
        <v>202.5</v>
      </c>
      <c r="H45" s="7">
        <v>174.3</v>
      </c>
      <c r="I45" s="7">
        <v>181.4</v>
      </c>
      <c r="J45" s="7">
        <v>131.69999999999999</v>
      </c>
      <c r="K45" s="7">
        <v>121.8</v>
      </c>
      <c r="L45" s="7">
        <v>88.5</v>
      </c>
      <c r="M45" s="7">
        <v>13.5</v>
      </c>
      <c r="N45" s="2">
        <f t="shared" si="2"/>
        <v>179.1</v>
      </c>
      <c r="O45" s="2">
        <f t="shared" si="1"/>
        <v>1003.1999999999998</v>
      </c>
      <c r="P45" s="2">
        <f t="shared" si="3"/>
        <v>1182.2999999999997</v>
      </c>
    </row>
    <row r="46" spans="1:16" hidden="1">
      <c r="A46" s="7">
        <v>1995</v>
      </c>
      <c r="B46" s="7">
        <v>16.5</v>
      </c>
      <c r="C46" s="7">
        <v>49.2</v>
      </c>
      <c r="D46" s="7">
        <v>15.6</v>
      </c>
      <c r="E46" s="7">
        <v>54.2</v>
      </c>
      <c r="F46" s="7">
        <v>120.5</v>
      </c>
      <c r="G46" s="7">
        <v>229.2</v>
      </c>
      <c r="H46" s="7">
        <v>128</v>
      </c>
      <c r="I46" s="7">
        <v>126.5</v>
      </c>
      <c r="J46" s="7">
        <v>212.3</v>
      </c>
      <c r="K46" s="7">
        <v>10</v>
      </c>
      <c r="L46" s="7">
        <v>54.3</v>
      </c>
      <c r="M46" s="7">
        <v>2.2000000000000002</v>
      </c>
      <c r="N46" s="2">
        <f t="shared" si="2"/>
        <v>359.3</v>
      </c>
      <c r="O46" s="2">
        <f t="shared" si="1"/>
        <v>816.5</v>
      </c>
      <c r="P46" s="2">
        <f t="shared" si="3"/>
        <v>1175.8</v>
      </c>
    </row>
    <row r="47" spans="1:16" hidden="1">
      <c r="A47" s="7">
        <v>1996</v>
      </c>
      <c r="B47" s="7">
        <v>14.9</v>
      </c>
      <c r="C47" s="7">
        <v>9.9</v>
      </c>
      <c r="D47" s="7">
        <v>78.2</v>
      </c>
      <c r="E47" s="7">
        <v>62.7</v>
      </c>
      <c r="F47" s="7">
        <v>197.1</v>
      </c>
      <c r="G47" s="7">
        <v>237.4</v>
      </c>
      <c r="H47" s="7">
        <v>229.3</v>
      </c>
      <c r="I47" s="7">
        <v>158.4</v>
      </c>
      <c r="J47" s="7">
        <v>9.5</v>
      </c>
      <c r="K47" s="7">
        <v>28.6</v>
      </c>
      <c r="L47" s="7">
        <v>54.1</v>
      </c>
      <c r="M47" s="7">
        <v>7</v>
      </c>
      <c r="N47" s="2">
        <f t="shared" si="2"/>
        <v>232.2</v>
      </c>
      <c r="O47" s="2">
        <f t="shared" si="1"/>
        <v>831.69999999999993</v>
      </c>
      <c r="P47" s="2">
        <f t="shared" si="3"/>
        <v>1063.8999999999999</v>
      </c>
    </row>
    <row r="48" spans="1:16" hidden="1">
      <c r="A48" s="7">
        <v>1997</v>
      </c>
      <c r="B48" s="7">
        <v>35.6</v>
      </c>
      <c r="C48" s="7">
        <v>21.6</v>
      </c>
      <c r="D48" s="7">
        <v>62.3</v>
      </c>
      <c r="E48" s="7">
        <v>136.80000000000001</v>
      </c>
      <c r="F48" s="7">
        <v>235</v>
      </c>
      <c r="G48" s="7">
        <v>277.2</v>
      </c>
      <c r="H48" s="7">
        <v>214.5</v>
      </c>
      <c r="I48" s="7">
        <v>139.9</v>
      </c>
      <c r="J48" s="7">
        <v>103.2</v>
      </c>
      <c r="K48" s="7">
        <v>235.2</v>
      </c>
      <c r="L48" s="7">
        <v>3.5</v>
      </c>
      <c r="M48" s="7">
        <v>4.7</v>
      </c>
      <c r="N48" s="2">
        <f t="shared" si="2"/>
        <v>346</v>
      </c>
      <c r="O48" s="2">
        <f t="shared" si="1"/>
        <v>969.80000000000007</v>
      </c>
      <c r="P48" s="2">
        <f t="shared" si="3"/>
        <v>1315.8000000000002</v>
      </c>
    </row>
    <row r="49" spans="1:33" hidden="1">
      <c r="A49" s="7">
        <v>1998</v>
      </c>
      <c r="B49" s="7">
        <v>12.3</v>
      </c>
      <c r="C49" s="7">
        <v>13.2</v>
      </c>
      <c r="D49" s="7">
        <v>57.2</v>
      </c>
      <c r="E49" s="7">
        <v>105.6</v>
      </c>
      <c r="F49" s="7">
        <v>247.4</v>
      </c>
      <c r="G49" s="7">
        <v>253.6</v>
      </c>
      <c r="H49" s="7">
        <v>228.3</v>
      </c>
      <c r="I49" s="7">
        <v>26.8</v>
      </c>
      <c r="J49" s="7">
        <v>24.5</v>
      </c>
      <c r="K49" s="7">
        <v>99.1</v>
      </c>
      <c r="L49" s="7">
        <v>10.1</v>
      </c>
      <c r="M49" s="7">
        <v>5.7</v>
      </c>
      <c r="N49" s="2">
        <f t="shared" si="2"/>
        <v>431.69999999999993</v>
      </c>
      <c r="O49" s="2">
        <f t="shared" si="1"/>
        <v>780.59999999999991</v>
      </c>
      <c r="P49" s="2">
        <f t="shared" si="3"/>
        <v>1212.2999999999997</v>
      </c>
    </row>
    <row r="50" spans="1:33" hidden="1">
      <c r="A50" s="7">
        <v>1999</v>
      </c>
      <c r="B50" s="7">
        <v>16.5</v>
      </c>
      <c r="C50" s="7">
        <v>5.6</v>
      </c>
      <c r="D50" s="7">
        <v>5.3</v>
      </c>
      <c r="E50" s="7">
        <v>199</v>
      </c>
      <c r="F50" s="7">
        <v>159.1</v>
      </c>
      <c r="G50" s="7">
        <v>184.8</v>
      </c>
      <c r="H50" s="7">
        <v>221.3</v>
      </c>
      <c r="I50" s="7">
        <v>132.9</v>
      </c>
      <c r="J50" s="7">
        <v>44.7</v>
      </c>
      <c r="K50" s="7">
        <v>84.1</v>
      </c>
      <c r="L50" s="7">
        <v>29.7</v>
      </c>
      <c r="M50" s="7">
        <v>12.2</v>
      </c>
      <c r="N50" s="2">
        <f t="shared" si="2"/>
        <v>341.29999999999995</v>
      </c>
      <c r="O50" s="2">
        <f t="shared" si="1"/>
        <v>742.80000000000007</v>
      </c>
      <c r="P50" s="2">
        <f t="shared" si="3"/>
        <v>1084.0999999999999</v>
      </c>
    </row>
    <row r="51" spans="1:33" hidden="1">
      <c r="A51" s="7">
        <v>2000</v>
      </c>
      <c r="B51" s="7">
        <v>12.1</v>
      </c>
      <c r="C51" s="7">
        <v>11.3</v>
      </c>
      <c r="D51" s="7">
        <v>42.1</v>
      </c>
      <c r="E51" s="7">
        <v>83.6</v>
      </c>
      <c r="F51" s="7">
        <v>237.8</v>
      </c>
      <c r="G51" s="7">
        <v>155.6</v>
      </c>
      <c r="H51" s="7">
        <v>163.30000000000001</v>
      </c>
      <c r="I51" s="7">
        <v>172.1</v>
      </c>
      <c r="J51" s="7">
        <v>41.9</v>
      </c>
      <c r="K51" s="7">
        <v>210.8</v>
      </c>
      <c r="L51" s="7">
        <v>14.9</v>
      </c>
      <c r="M51" s="7">
        <v>28.1</v>
      </c>
      <c r="N51" s="2">
        <f t="shared" si="2"/>
        <v>275.10000000000002</v>
      </c>
      <c r="O51" s="2">
        <f t="shared" si="1"/>
        <v>770.7</v>
      </c>
      <c r="P51" s="2">
        <f t="shared" si="3"/>
        <v>1045.8000000000002</v>
      </c>
    </row>
    <row r="52" spans="1:33" hidden="1">
      <c r="A52" s="7">
        <v>2001</v>
      </c>
      <c r="B52" s="7">
        <v>4.0999999999999996</v>
      </c>
      <c r="C52" s="7">
        <v>23.3</v>
      </c>
      <c r="D52" s="7">
        <v>30.8</v>
      </c>
      <c r="E52" s="7">
        <v>21.6</v>
      </c>
      <c r="F52" s="7">
        <v>148.80000000000001</v>
      </c>
      <c r="G52" s="7">
        <v>334.9</v>
      </c>
      <c r="H52" s="7">
        <v>217</v>
      </c>
      <c r="I52" s="7">
        <v>84.7</v>
      </c>
      <c r="J52" s="7">
        <v>15.7</v>
      </c>
      <c r="K52" s="7">
        <v>125.4</v>
      </c>
      <c r="L52" s="7">
        <v>33.200000000000003</v>
      </c>
      <c r="M52" s="7">
        <v>4.2</v>
      </c>
      <c r="N52" s="2">
        <f t="shared" si="2"/>
        <v>333.60000000000008</v>
      </c>
      <c r="O52" s="2">
        <f t="shared" si="1"/>
        <v>801.10000000000014</v>
      </c>
      <c r="P52" s="2">
        <f t="shared" si="3"/>
        <v>1134.7000000000003</v>
      </c>
    </row>
    <row r="53" spans="1:33" hidden="1">
      <c r="A53" s="7">
        <v>2002</v>
      </c>
      <c r="B53" s="7">
        <v>18.399999999999999</v>
      </c>
      <c r="C53" s="7">
        <v>11.1</v>
      </c>
      <c r="D53" s="7">
        <v>32.700000000000003</v>
      </c>
      <c r="E53" s="7">
        <v>67.7</v>
      </c>
      <c r="F53" s="7">
        <v>188.9</v>
      </c>
      <c r="G53" s="7">
        <v>221.1</v>
      </c>
      <c r="H53" s="7">
        <v>163</v>
      </c>
      <c r="I53" s="7">
        <v>151.80000000000001</v>
      </c>
      <c r="J53" s="7">
        <v>54.5</v>
      </c>
      <c r="K53" s="7">
        <v>137.69999999999999</v>
      </c>
      <c r="L53" s="7">
        <v>7.5</v>
      </c>
      <c r="M53" s="7">
        <v>36.6</v>
      </c>
      <c r="N53" s="2">
        <f t="shared" si="2"/>
        <v>292.7</v>
      </c>
      <c r="O53" s="2">
        <f t="shared" si="1"/>
        <v>779.3</v>
      </c>
      <c r="P53" s="2">
        <f t="shared" si="3"/>
        <v>1072</v>
      </c>
    </row>
    <row r="54" spans="1:33" hidden="1">
      <c r="A54" s="7">
        <v>2003</v>
      </c>
      <c r="B54" s="7">
        <v>61</v>
      </c>
      <c r="C54" s="7">
        <v>2</v>
      </c>
      <c r="D54" s="7">
        <v>23</v>
      </c>
      <c r="E54" s="7">
        <v>33</v>
      </c>
      <c r="F54" s="7">
        <v>307</v>
      </c>
      <c r="G54" s="7">
        <v>307</v>
      </c>
      <c r="H54" s="7">
        <v>141</v>
      </c>
      <c r="I54" s="7">
        <v>45</v>
      </c>
      <c r="J54" s="7">
        <v>95</v>
      </c>
      <c r="K54" s="7">
        <v>23</v>
      </c>
      <c r="L54" s="7">
        <v>25</v>
      </c>
      <c r="M54" s="7">
        <v>15</v>
      </c>
      <c r="N54" s="2">
        <f t="shared" si="2"/>
        <v>300.79999999999995</v>
      </c>
      <c r="O54" s="2">
        <f t="shared" si="1"/>
        <v>895</v>
      </c>
      <c r="P54" s="2">
        <f t="shared" si="3"/>
        <v>1195.8</v>
      </c>
    </row>
    <row r="55" spans="1:33">
      <c r="A55" s="7">
        <v>2005</v>
      </c>
      <c r="B55" s="18">
        <v>12.7</v>
      </c>
      <c r="C55" s="18">
        <v>1</v>
      </c>
      <c r="D55" s="18">
        <v>26.8</v>
      </c>
      <c r="E55" s="18">
        <v>82.9</v>
      </c>
      <c r="F55" s="18">
        <v>160.80000000000001</v>
      </c>
      <c r="G55" s="18">
        <v>321.7</v>
      </c>
      <c r="H55" s="18">
        <v>32.1</v>
      </c>
      <c r="I55" s="18">
        <v>120.6</v>
      </c>
      <c r="J55" s="18">
        <v>16.5</v>
      </c>
      <c r="K55" s="18">
        <v>42</v>
      </c>
      <c r="L55" s="18">
        <v>5.4</v>
      </c>
      <c r="M55" s="18">
        <v>31.5</v>
      </c>
      <c r="N55" s="2">
        <f>SUM(B55:E55)</f>
        <v>123.4</v>
      </c>
      <c r="O55" s="2">
        <f>SUM(F55:J55)</f>
        <v>651.70000000000005</v>
      </c>
      <c r="P55" s="2">
        <f>SUM(K55:M55)</f>
        <v>78.900000000000006</v>
      </c>
      <c r="Q55" s="2">
        <f>SUM(B55:M55)</f>
        <v>854.00000000000011</v>
      </c>
      <c r="R55" s="2">
        <f t="shared" ref="R55:AG55" si="4">100*(B55-B4)/B4</f>
        <v>-12.924872355944585</v>
      </c>
      <c r="S55" s="2">
        <f t="shared" si="4"/>
        <v>-94.550092764378491</v>
      </c>
      <c r="T55" s="2">
        <f t="shared" si="4"/>
        <v>-20.060925303039888</v>
      </c>
      <c r="U55" s="2">
        <f t="shared" si="4"/>
        <v>2.3322390019698127</v>
      </c>
      <c r="V55" s="2">
        <f t="shared" si="4"/>
        <v>-12.143531819790919</v>
      </c>
      <c r="W55" s="2">
        <f t="shared" si="4"/>
        <v>48.430766210180167</v>
      </c>
      <c r="X55" s="2">
        <f t="shared" si="4"/>
        <v>-80.439264090031003</v>
      </c>
      <c r="Y55" s="2">
        <f t="shared" si="4"/>
        <v>-16.252474808664051</v>
      </c>
      <c r="Z55" s="2">
        <f t="shared" si="4"/>
        <v>-80.984257760776813</v>
      </c>
      <c r="AA55" s="2">
        <f t="shared" si="4"/>
        <v>-43.532238686423703</v>
      </c>
      <c r="AB55" s="2">
        <f t="shared" si="4"/>
        <v>-86.449546182594773</v>
      </c>
      <c r="AC55" s="2">
        <f t="shared" si="4"/>
        <v>124.82915717539852</v>
      </c>
      <c r="AD55" s="2">
        <f t="shared" si="4"/>
        <v>-54.903393923986265</v>
      </c>
      <c r="AE55" s="2">
        <f t="shared" si="4"/>
        <v>-17.987871290307261</v>
      </c>
      <c r="AF55" s="2">
        <f t="shared" si="4"/>
        <v>-92.610737005099253</v>
      </c>
      <c r="AG55" s="2" t="e">
        <f t="shared" si="4"/>
        <v>#DIV/0!</v>
      </c>
    </row>
    <row r="56" spans="1:33">
      <c r="A56" s="7"/>
      <c r="B56" s="2">
        <f t="shared" ref="B56:P56" si="5">AVERAGE(B5:B55)</f>
        <v>15.327450980392159</v>
      </c>
      <c r="C56" s="2">
        <f t="shared" si="5"/>
        <v>17.643137254901966</v>
      </c>
      <c r="D56" s="2">
        <f t="shared" si="5"/>
        <v>33.117647058823522</v>
      </c>
      <c r="E56" s="2">
        <f t="shared" si="5"/>
        <v>78.680392156862737</v>
      </c>
      <c r="F56" s="2">
        <f t="shared" si="5"/>
        <v>184.46494901960781</v>
      </c>
      <c r="G56" s="2">
        <f t="shared" si="5"/>
        <v>222.96470588235292</v>
      </c>
      <c r="H56" s="2">
        <f t="shared" si="5"/>
        <v>162.07843137254906</v>
      </c>
      <c r="I56" s="2">
        <f t="shared" si="5"/>
        <v>140.59411764705882</v>
      </c>
      <c r="J56" s="2">
        <f t="shared" si="5"/>
        <v>83.527450980392146</v>
      </c>
      <c r="K56" s="2">
        <f t="shared" si="5"/>
        <v>74.978431372549011</v>
      </c>
      <c r="L56" s="2">
        <f t="shared" si="5"/>
        <v>38.11960784313726</v>
      </c>
      <c r="M56" s="2">
        <f t="shared" si="5"/>
        <v>14.623529411764714</v>
      </c>
      <c r="N56" s="2">
        <f t="shared" si="5"/>
        <v>272.75399999999996</v>
      </c>
      <c r="O56" s="2">
        <f t="shared" si="5"/>
        <v>793.62965490196075</v>
      </c>
      <c r="P56" s="2">
        <f t="shared" si="5"/>
        <v>1051.9722480000003</v>
      </c>
    </row>
  </sheetData>
  <mergeCells count="6">
    <mergeCell ref="A1:A3"/>
    <mergeCell ref="B1:P1"/>
    <mergeCell ref="B2:M2"/>
    <mergeCell ref="Q1:AE1"/>
    <mergeCell ref="N2:P2"/>
    <mergeCell ref="Q2:AE2"/>
  </mergeCells>
  <phoneticPr fontId="2" type="noConversion"/>
  <pageMargins left="0.75" right="0.75" top="1" bottom="1" header="0.5" footer="0.5"/>
  <headerFooter alignWithMargins="0"/>
</worksheet>
</file>

<file path=xl/worksheets/sheet81.xml><?xml version="1.0" encoding="utf-8"?>
<worksheet xmlns="http://schemas.openxmlformats.org/spreadsheetml/2006/main" xmlns:r="http://schemas.openxmlformats.org/officeDocument/2006/relationships">
  <sheetPr codeName="Sheet81"/>
  <dimension ref="A1:AG61"/>
  <sheetViews>
    <sheetView zoomScaleNormal="100" workbookViewId="0">
      <pane ySplit="5" topLeftCell="A6" activePane="bottomLeft" state="frozen"/>
      <selection pane="bottomLeft" activeCell="R61" sqref="R61"/>
    </sheetView>
  </sheetViews>
  <sheetFormatPr defaultRowHeight="12"/>
  <cols>
    <col min="1" max="33" width="7.125" style="102" customWidth="1"/>
    <col min="34" max="16384" width="9" style="102"/>
  </cols>
  <sheetData>
    <row r="1" spans="1:33" s="118" customFormat="1" ht="14.25" customHeight="1">
      <c r="A1" s="176" t="s">
        <v>198</v>
      </c>
      <c r="B1" s="176" t="s">
        <v>206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207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199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200</v>
      </c>
      <c r="O2" s="176"/>
      <c r="P2" s="176"/>
      <c r="Q2" s="176"/>
      <c r="R2" s="176" t="s">
        <v>201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 ht="24">
      <c r="A3" s="176"/>
      <c r="B3" s="125" t="s">
        <v>208</v>
      </c>
      <c r="C3" s="125" t="s">
        <v>209</v>
      </c>
      <c r="D3" s="125" t="s">
        <v>9</v>
      </c>
      <c r="E3" s="125" t="s">
        <v>10</v>
      </c>
      <c r="F3" s="125" t="s">
        <v>11</v>
      </c>
      <c r="G3" s="125" t="s">
        <v>12</v>
      </c>
      <c r="H3" s="125" t="s">
        <v>13</v>
      </c>
      <c r="I3" s="125" t="s">
        <v>14</v>
      </c>
      <c r="J3" s="125" t="s">
        <v>15</v>
      </c>
      <c r="K3" s="125" t="s">
        <v>16</v>
      </c>
      <c r="L3" s="125" t="s">
        <v>17</v>
      </c>
      <c r="M3" s="125" t="s">
        <v>18</v>
      </c>
      <c r="N3" s="125" t="s">
        <v>210</v>
      </c>
      <c r="O3" s="125" t="s">
        <v>211</v>
      </c>
      <c r="P3" s="125" t="s">
        <v>212</v>
      </c>
      <c r="Q3" s="125" t="s">
        <v>213</v>
      </c>
      <c r="R3" s="125" t="s">
        <v>208</v>
      </c>
      <c r="S3" s="125" t="s">
        <v>209</v>
      </c>
      <c r="T3" s="125" t="s">
        <v>214</v>
      </c>
      <c r="U3" s="125" t="s">
        <v>215</v>
      </c>
      <c r="V3" s="125" t="s">
        <v>216</v>
      </c>
      <c r="W3" s="125" t="s">
        <v>217</v>
      </c>
      <c r="X3" s="125" t="s">
        <v>25</v>
      </c>
      <c r="Y3" s="125" t="s">
        <v>26</v>
      </c>
      <c r="Z3" s="125" t="s">
        <v>27</v>
      </c>
      <c r="AA3" s="125" t="s">
        <v>218</v>
      </c>
      <c r="AB3" s="125" t="s">
        <v>219</v>
      </c>
      <c r="AC3" s="125" t="s">
        <v>220</v>
      </c>
      <c r="AD3" s="125" t="s">
        <v>202</v>
      </c>
      <c r="AE3" s="125" t="s">
        <v>203</v>
      </c>
      <c r="AF3" s="125" t="s">
        <v>204</v>
      </c>
      <c r="AG3" s="125" t="s">
        <v>205</v>
      </c>
    </row>
    <row r="4" spans="1:33" s="118" customFormat="1">
      <c r="A4" s="150" t="s">
        <v>261</v>
      </c>
      <c r="B4" s="150">
        <f t="shared" ref="B4:Q4" si="0">AVERAGE(B5:B60)</f>
        <v>16.180850798817552</v>
      </c>
      <c r="C4" s="150">
        <f t="shared" si="0"/>
        <v>17.464601463114892</v>
      </c>
      <c r="D4" s="150">
        <f t="shared" si="0"/>
        <v>25.458239362938848</v>
      </c>
      <c r="E4" s="150">
        <f t="shared" si="0"/>
        <v>49.854025226691441</v>
      </c>
      <c r="F4" s="150">
        <f t="shared" si="0"/>
        <v>163.46964285714284</v>
      </c>
      <c r="G4" s="150">
        <f t="shared" si="0"/>
        <v>262.31785714285712</v>
      </c>
      <c r="H4" s="150">
        <f t="shared" si="0"/>
        <v>268.07857142857148</v>
      </c>
      <c r="I4" s="150">
        <f t="shared" si="0"/>
        <v>190.47499999999999</v>
      </c>
      <c r="J4" s="150">
        <f t="shared" si="0"/>
        <v>139.72678571428571</v>
      </c>
      <c r="K4" s="150">
        <f t="shared" si="0"/>
        <v>89.348214285714263</v>
      </c>
      <c r="L4" s="150">
        <f t="shared" si="0"/>
        <v>37.376785714285724</v>
      </c>
      <c r="M4" s="150">
        <f t="shared" si="0"/>
        <v>14.803571428571427</v>
      </c>
      <c r="N4" s="150">
        <f t="shared" si="0"/>
        <v>108.95771685156281</v>
      </c>
      <c r="O4" s="150">
        <f t="shared" si="0"/>
        <v>1024.0678571428573</v>
      </c>
      <c r="P4" s="150">
        <f t="shared" si="0"/>
        <v>141.52857142857144</v>
      </c>
      <c r="Q4" s="150">
        <f t="shared" si="0"/>
        <v>1274.5541454229913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1960</v>
      </c>
      <c r="B5" s="102">
        <v>16.7</v>
      </c>
      <c r="C5" s="102">
        <v>18.5</v>
      </c>
      <c r="D5" s="102">
        <v>11.8</v>
      </c>
      <c r="E5" s="102">
        <v>18.3</v>
      </c>
      <c r="F5" s="102">
        <v>170.3</v>
      </c>
      <c r="G5" s="102">
        <v>166</v>
      </c>
      <c r="H5" s="102">
        <v>290.60000000000002</v>
      </c>
      <c r="I5" s="102">
        <v>119.2</v>
      </c>
      <c r="J5" s="102">
        <v>209</v>
      </c>
      <c r="K5" s="102">
        <v>53</v>
      </c>
      <c r="L5" s="102">
        <v>20.5</v>
      </c>
      <c r="M5" s="102">
        <v>8.1</v>
      </c>
      <c r="N5" s="102">
        <f>SUM(B5:E5)</f>
        <v>65.3</v>
      </c>
      <c r="O5" s="102">
        <f>SUM(F5:J5)</f>
        <v>955.10000000000014</v>
      </c>
      <c r="P5" s="102">
        <f>SUM(K5:M5)</f>
        <v>81.599999999999994</v>
      </c>
      <c r="Q5" s="102">
        <f>SUM(B5:M5)</f>
        <v>1102</v>
      </c>
    </row>
    <row r="6" spans="1:33">
      <c r="A6" s="102">
        <v>1961</v>
      </c>
      <c r="B6" s="102">
        <v>19.927644733782799</v>
      </c>
      <c r="C6" s="102">
        <v>22.303278307370402</v>
      </c>
      <c r="D6" s="102">
        <v>24.217623808416601</v>
      </c>
      <c r="E6" s="102">
        <v>52.586840269704702</v>
      </c>
      <c r="F6" s="102">
        <v>192.5</v>
      </c>
      <c r="G6" s="102">
        <v>172</v>
      </c>
      <c r="H6" s="102">
        <v>358.5</v>
      </c>
      <c r="I6" s="102">
        <v>283.8</v>
      </c>
      <c r="J6" s="102">
        <v>186.4</v>
      </c>
      <c r="K6" s="102">
        <v>80</v>
      </c>
      <c r="L6" s="102">
        <v>60</v>
      </c>
      <c r="M6" s="102">
        <v>15</v>
      </c>
      <c r="N6" s="102">
        <f t="shared" ref="N6:N60" si="1">SUM(B6:E6)</f>
        <v>119.0353871192745</v>
      </c>
      <c r="O6" s="102">
        <f t="shared" ref="O6:O60" si="2">SUM(F6:J6)</f>
        <v>1193.2</v>
      </c>
      <c r="P6" s="102">
        <f t="shared" ref="P6:P60" si="3">SUM(K6:M6)</f>
        <v>155</v>
      </c>
      <c r="Q6" s="102">
        <f t="shared" ref="Q6:Q60" si="4">SUM(B6:M6)</f>
        <v>1467.2353871192745</v>
      </c>
    </row>
    <row r="7" spans="1:33">
      <c r="A7" s="102">
        <v>1962</v>
      </c>
      <c r="B7" s="102">
        <v>32.200000000000003</v>
      </c>
      <c r="C7" s="102">
        <v>19.100000000000001</v>
      </c>
      <c r="D7" s="102">
        <v>12.3</v>
      </c>
      <c r="E7" s="102">
        <v>34.5</v>
      </c>
      <c r="F7" s="102">
        <v>105.7</v>
      </c>
      <c r="G7" s="102">
        <v>129</v>
      </c>
      <c r="H7" s="102">
        <v>242.8</v>
      </c>
      <c r="I7" s="102">
        <v>165.5</v>
      </c>
      <c r="J7" s="102">
        <v>76.400000000000006</v>
      </c>
      <c r="K7" s="102">
        <v>86.5</v>
      </c>
      <c r="L7" s="102">
        <v>8.8000000000000007</v>
      </c>
      <c r="M7" s="102">
        <v>2.2999999999999998</v>
      </c>
      <c r="N7" s="102">
        <f t="shared" si="1"/>
        <v>98.100000000000009</v>
      </c>
      <c r="O7" s="102">
        <f t="shared" si="2"/>
        <v>719.4</v>
      </c>
      <c r="P7" s="102">
        <f t="shared" si="3"/>
        <v>97.6</v>
      </c>
      <c r="Q7" s="102">
        <f t="shared" si="4"/>
        <v>915.09999999999991</v>
      </c>
    </row>
    <row r="8" spans="1:33">
      <c r="A8" s="102">
        <v>1963</v>
      </c>
      <c r="B8" s="102">
        <v>2.8</v>
      </c>
      <c r="C8" s="102">
        <v>14.4</v>
      </c>
      <c r="D8" s="102">
        <v>45.5</v>
      </c>
      <c r="E8" s="102">
        <v>5</v>
      </c>
      <c r="F8" s="102">
        <v>44.2</v>
      </c>
      <c r="G8" s="102">
        <v>160.30000000000001</v>
      </c>
      <c r="H8" s="102">
        <v>165.1</v>
      </c>
      <c r="I8" s="102">
        <v>76</v>
      </c>
      <c r="J8" s="102">
        <v>87.6</v>
      </c>
      <c r="K8" s="102">
        <v>85.9</v>
      </c>
      <c r="L8" s="102">
        <v>169.4</v>
      </c>
      <c r="M8" s="102">
        <v>39.5</v>
      </c>
      <c r="N8" s="102">
        <f t="shared" si="1"/>
        <v>67.7</v>
      </c>
      <c r="O8" s="102">
        <f t="shared" si="2"/>
        <v>533.20000000000005</v>
      </c>
      <c r="P8" s="102">
        <f t="shared" si="3"/>
        <v>294.8</v>
      </c>
      <c r="Q8" s="102">
        <f t="shared" si="4"/>
        <v>895.7</v>
      </c>
    </row>
    <row r="9" spans="1:33">
      <c r="A9" s="102">
        <v>1964</v>
      </c>
      <c r="B9" s="102">
        <v>5.6</v>
      </c>
      <c r="C9" s="102">
        <v>33.1</v>
      </c>
      <c r="D9" s="102">
        <v>15.7</v>
      </c>
      <c r="E9" s="102">
        <v>72.099999999999994</v>
      </c>
      <c r="F9" s="102">
        <v>252.7</v>
      </c>
      <c r="G9" s="102">
        <v>280.89999999999998</v>
      </c>
      <c r="H9" s="102">
        <v>226.7</v>
      </c>
      <c r="I9" s="102">
        <v>209.6</v>
      </c>
      <c r="J9" s="102">
        <v>57.9</v>
      </c>
      <c r="K9" s="102">
        <v>199.1</v>
      </c>
      <c r="L9" s="102">
        <v>7.7</v>
      </c>
      <c r="M9" s="102">
        <v>22.8</v>
      </c>
      <c r="N9" s="102">
        <f t="shared" si="1"/>
        <v>126.5</v>
      </c>
      <c r="O9" s="102">
        <f t="shared" si="2"/>
        <v>1027.8</v>
      </c>
      <c r="P9" s="102">
        <f t="shared" si="3"/>
        <v>229.6</v>
      </c>
      <c r="Q9" s="102">
        <f t="shared" si="4"/>
        <v>1383.8999999999999</v>
      </c>
    </row>
    <row r="10" spans="1:33">
      <c r="A10" s="102">
        <v>1965</v>
      </c>
      <c r="B10" s="102">
        <v>15</v>
      </c>
      <c r="C10" s="102">
        <v>23.064403627063498</v>
      </c>
      <c r="D10" s="102">
        <v>18.543780516159</v>
      </c>
      <c r="E10" s="102">
        <v>28.138572425017401</v>
      </c>
      <c r="F10" s="102">
        <v>116.2</v>
      </c>
      <c r="G10" s="102">
        <v>370.9</v>
      </c>
      <c r="H10" s="102">
        <v>219.2</v>
      </c>
      <c r="I10" s="102">
        <v>195.7</v>
      </c>
      <c r="J10" s="102">
        <v>160.69999999999999</v>
      </c>
      <c r="K10" s="102">
        <v>47</v>
      </c>
      <c r="L10" s="102">
        <v>30</v>
      </c>
      <c r="M10" s="102">
        <v>10</v>
      </c>
      <c r="N10" s="102">
        <f t="shared" si="1"/>
        <v>84.746756568239903</v>
      </c>
      <c r="O10" s="102">
        <f t="shared" si="2"/>
        <v>1062.7</v>
      </c>
      <c r="P10" s="102">
        <f t="shared" si="3"/>
        <v>87</v>
      </c>
      <c r="Q10" s="102">
        <f t="shared" si="4"/>
        <v>1234.4467565682401</v>
      </c>
    </row>
    <row r="11" spans="1:33">
      <c r="A11" s="102">
        <v>1966</v>
      </c>
      <c r="B11" s="102">
        <v>12.7</v>
      </c>
      <c r="C11" s="102">
        <v>9.1999999999999993</v>
      </c>
      <c r="D11" s="102">
        <v>6.7</v>
      </c>
      <c r="E11" s="102">
        <v>21.4</v>
      </c>
      <c r="F11" s="102">
        <v>243.5</v>
      </c>
      <c r="G11" s="102">
        <v>250.7</v>
      </c>
      <c r="H11" s="102">
        <v>271.89999999999998</v>
      </c>
      <c r="I11" s="102">
        <v>114.4</v>
      </c>
      <c r="J11" s="102">
        <v>188</v>
      </c>
      <c r="K11" s="102">
        <v>102.1</v>
      </c>
      <c r="L11" s="102">
        <v>9.8000000000000007</v>
      </c>
      <c r="M11" s="102">
        <v>2.8</v>
      </c>
      <c r="N11" s="102">
        <f t="shared" si="1"/>
        <v>50</v>
      </c>
      <c r="O11" s="102">
        <f t="shared" si="2"/>
        <v>1068.5</v>
      </c>
      <c r="P11" s="102">
        <f t="shared" si="3"/>
        <v>114.69999999999999</v>
      </c>
      <c r="Q11" s="102">
        <f t="shared" si="4"/>
        <v>1233.1999999999998</v>
      </c>
    </row>
    <row r="12" spans="1:33">
      <c r="A12" s="102">
        <v>1967</v>
      </c>
      <c r="B12" s="102">
        <v>4</v>
      </c>
      <c r="C12" s="102">
        <v>20.3</v>
      </c>
      <c r="D12" s="102">
        <v>16.100000000000001</v>
      </c>
      <c r="E12" s="102">
        <v>137.6</v>
      </c>
      <c r="F12" s="102">
        <v>253.5</v>
      </c>
      <c r="G12" s="102">
        <v>296.60000000000002</v>
      </c>
      <c r="H12" s="102">
        <v>249.7</v>
      </c>
      <c r="I12" s="102">
        <v>234.7</v>
      </c>
      <c r="J12" s="102">
        <v>125.5</v>
      </c>
      <c r="K12" s="102">
        <v>31.4</v>
      </c>
      <c r="L12" s="102">
        <v>70.900000000000006</v>
      </c>
      <c r="M12" s="102">
        <v>29.4</v>
      </c>
      <c r="N12" s="102">
        <f t="shared" si="1"/>
        <v>178</v>
      </c>
      <c r="O12" s="102">
        <f t="shared" si="2"/>
        <v>1160</v>
      </c>
      <c r="P12" s="102">
        <f t="shared" si="3"/>
        <v>131.70000000000002</v>
      </c>
      <c r="Q12" s="102">
        <f t="shared" si="4"/>
        <v>1469.7000000000003</v>
      </c>
    </row>
    <row r="13" spans="1:33">
      <c r="A13" s="102">
        <v>1968</v>
      </c>
      <c r="B13" s="102">
        <v>10.199999999999999</v>
      </c>
      <c r="C13" s="102">
        <v>43.4</v>
      </c>
      <c r="D13" s="102">
        <v>14.6</v>
      </c>
      <c r="E13" s="102">
        <v>66.400000000000006</v>
      </c>
      <c r="F13" s="102">
        <v>121.3</v>
      </c>
      <c r="G13" s="102">
        <v>279.3</v>
      </c>
      <c r="H13" s="102">
        <v>264.5</v>
      </c>
      <c r="I13" s="102">
        <v>163.30000000000001</v>
      </c>
      <c r="J13" s="102">
        <v>119.5</v>
      </c>
      <c r="K13" s="102">
        <v>68.3</v>
      </c>
      <c r="L13" s="102">
        <v>37.799999999999997</v>
      </c>
      <c r="M13" s="102">
        <v>0.2</v>
      </c>
      <c r="N13" s="102">
        <f t="shared" si="1"/>
        <v>134.6</v>
      </c>
      <c r="O13" s="102">
        <f t="shared" si="2"/>
        <v>947.90000000000009</v>
      </c>
      <c r="P13" s="102">
        <f t="shared" si="3"/>
        <v>106.3</v>
      </c>
      <c r="Q13" s="102">
        <f t="shared" si="4"/>
        <v>1188.8</v>
      </c>
    </row>
    <row r="14" spans="1:33">
      <c r="A14" s="102">
        <v>1969</v>
      </c>
      <c r="B14" s="102">
        <v>15.9</v>
      </c>
      <c r="C14" s="102">
        <v>2.2999999999999998</v>
      </c>
      <c r="D14" s="102">
        <v>7.6</v>
      </c>
      <c r="E14" s="102">
        <v>90.8</v>
      </c>
      <c r="F14" s="102">
        <v>190</v>
      </c>
      <c r="G14" s="102">
        <v>413.7</v>
      </c>
      <c r="H14" s="102">
        <v>234.1</v>
      </c>
      <c r="I14" s="102">
        <v>212.6</v>
      </c>
      <c r="J14" s="102">
        <v>80.2</v>
      </c>
      <c r="K14" s="102">
        <v>25.8</v>
      </c>
      <c r="L14" s="102">
        <v>39.9</v>
      </c>
      <c r="M14" s="102">
        <v>12.2</v>
      </c>
      <c r="N14" s="102">
        <f t="shared" si="1"/>
        <v>116.6</v>
      </c>
      <c r="O14" s="102">
        <f t="shared" si="2"/>
        <v>1130.6000000000001</v>
      </c>
      <c r="P14" s="102">
        <f t="shared" si="3"/>
        <v>77.900000000000006</v>
      </c>
      <c r="Q14" s="102">
        <f t="shared" si="4"/>
        <v>1325.1000000000001</v>
      </c>
    </row>
    <row r="15" spans="1:33">
      <c r="A15" s="102">
        <v>1970</v>
      </c>
      <c r="B15" s="102">
        <v>21.4</v>
      </c>
      <c r="C15" s="102">
        <v>7.8</v>
      </c>
      <c r="D15" s="102">
        <v>37.4</v>
      </c>
      <c r="E15" s="102">
        <v>74.599999999999994</v>
      </c>
      <c r="F15" s="102">
        <v>137.9</v>
      </c>
      <c r="G15" s="102">
        <v>115.3</v>
      </c>
      <c r="H15" s="102">
        <v>357.9</v>
      </c>
      <c r="I15" s="102">
        <v>157.19999999999999</v>
      </c>
      <c r="J15" s="102">
        <v>203</v>
      </c>
      <c r="K15" s="102">
        <v>60.3</v>
      </c>
      <c r="L15" s="102">
        <v>38</v>
      </c>
      <c r="M15" s="102">
        <v>63.6</v>
      </c>
      <c r="N15" s="102">
        <f t="shared" si="1"/>
        <v>141.19999999999999</v>
      </c>
      <c r="O15" s="102">
        <f t="shared" si="2"/>
        <v>971.3</v>
      </c>
      <c r="P15" s="102">
        <f t="shared" si="3"/>
        <v>161.9</v>
      </c>
      <c r="Q15" s="102">
        <f t="shared" si="4"/>
        <v>1274.3999999999999</v>
      </c>
    </row>
    <row r="16" spans="1:33">
      <c r="A16" s="102">
        <v>1971</v>
      </c>
      <c r="B16" s="102">
        <v>23.2</v>
      </c>
      <c r="C16" s="102">
        <v>13.4</v>
      </c>
      <c r="D16" s="102">
        <v>6.2</v>
      </c>
      <c r="E16" s="102">
        <v>83.6</v>
      </c>
      <c r="F16" s="102">
        <v>204.2</v>
      </c>
      <c r="G16" s="102">
        <v>314.8</v>
      </c>
      <c r="H16" s="102">
        <v>198.7</v>
      </c>
      <c r="I16" s="102">
        <v>313.5</v>
      </c>
      <c r="J16" s="102">
        <v>235.9</v>
      </c>
      <c r="K16" s="102">
        <v>97.5</v>
      </c>
      <c r="L16" s="102">
        <v>63.6</v>
      </c>
      <c r="M16" s="102">
        <v>28.1</v>
      </c>
      <c r="N16" s="102">
        <f t="shared" si="1"/>
        <v>126.4</v>
      </c>
      <c r="O16" s="102">
        <f t="shared" si="2"/>
        <v>1267.1000000000001</v>
      </c>
      <c r="P16" s="102">
        <f t="shared" si="3"/>
        <v>189.2</v>
      </c>
      <c r="Q16" s="102">
        <f t="shared" si="4"/>
        <v>1582.7</v>
      </c>
    </row>
    <row r="17" spans="1:17">
      <c r="A17" s="102">
        <v>1972</v>
      </c>
      <c r="B17" s="102">
        <v>17.899999999999999</v>
      </c>
      <c r="C17" s="102">
        <v>21.7</v>
      </c>
      <c r="D17" s="102">
        <v>24.3</v>
      </c>
      <c r="E17" s="102">
        <v>40.9</v>
      </c>
      <c r="F17" s="102">
        <v>294.8</v>
      </c>
      <c r="G17" s="102">
        <v>201.1</v>
      </c>
      <c r="H17" s="102">
        <v>60.5</v>
      </c>
      <c r="I17" s="102">
        <v>171.4</v>
      </c>
      <c r="J17" s="102">
        <v>310.89999999999998</v>
      </c>
      <c r="K17" s="102">
        <v>37.299999999999997</v>
      </c>
      <c r="L17" s="102">
        <v>78.400000000000006</v>
      </c>
      <c r="M17" s="102">
        <v>3</v>
      </c>
      <c r="N17" s="102">
        <f t="shared" si="1"/>
        <v>104.79999999999998</v>
      </c>
      <c r="O17" s="102">
        <f t="shared" si="2"/>
        <v>1038.6999999999998</v>
      </c>
      <c r="P17" s="102">
        <f t="shared" si="3"/>
        <v>118.7</v>
      </c>
      <c r="Q17" s="102">
        <f t="shared" si="4"/>
        <v>1262.2</v>
      </c>
    </row>
    <row r="18" spans="1:17">
      <c r="A18" s="102">
        <v>1973</v>
      </c>
      <c r="B18" s="102">
        <v>18.899999999999999</v>
      </c>
      <c r="C18" s="102">
        <v>6</v>
      </c>
      <c r="D18" s="102">
        <v>102.4</v>
      </c>
      <c r="E18" s="102">
        <v>28.2</v>
      </c>
      <c r="F18" s="102">
        <v>61</v>
      </c>
      <c r="G18" s="102">
        <v>229.6</v>
      </c>
      <c r="H18" s="102">
        <v>329</v>
      </c>
      <c r="I18" s="102">
        <v>185.4</v>
      </c>
      <c r="J18" s="102">
        <v>257.5</v>
      </c>
      <c r="K18" s="102">
        <v>60.4</v>
      </c>
      <c r="L18" s="102">
        <v>24.5</v>
      </c>
      <c r="M18" s="102">
        <v>10.199999999999999</v>
      </c>
      <c r="N18" s="102">
        <f t="shared" si="1"/>
        <v>155.5</v>
      </c>
      <c r="O18" s="102">
        <f t="shared" si="2"/>
        <v>1062.5</v>
      </c>
      <c r="P18" s="102">
        <f t="shared" si="3"/>
        <v>95.100000000000009</v>
      </c>
      <c r="Q18" s="102">
        <f t="shared" si="4"/>
        <v>1313.1000000000001</v>
      </c>
    </row>
    <row r="19" spans="1:17">
      <c r="A19" s="102">
        <v>1974</v>
      </c>
      <c r="B19" s="102">
        <v>13.2</v>
      </c>
      <c r="C19" s="102">
        <v>2.7</v>
      </c>
      <c r="D19" s="102">
        <v>28.5</v>
      </c>
      <c r="E19" s="102">
        <v>51.1</v>
      </c>
      <c r="F19" s="102">
        <v>180.3</v>
      </c>
      <c r="G19" s="102">
        <v>357.2</v>
      </c>
      <c r="H19" s="102">
        <v>276.89999999999998</v>
      </c>
      <c r="I19" s="102">
        <v>225.1</v>
      </c>
      <c r="J19" s="102">
        <v>141.1</v>
      </c>
      <c r="K19" s="102">
        <v>87.4</v>
      </c>
      <c r="L19" s="102">
        <v>36.4</v>
      </c>
      <c r="M19" s="102">
        <v>2.7</v>
      </c>
      <c r="N19" s="102">
        <f t="shared" si="1"/>
        <v>95.5</v>
      </c>
      <c r="O19" s="102">
        <f t="shared" si="2"/>
        <v>1180.5999999999999</v>
      </c>
      <c r="P19" s="102">
        <f t="shared" si="3"/>
        <v>126.50000000000001</v>
      </c>
      <c r="Q19" s="102">
        <f t="shared" si="4"/>
        <v>1402.6000000000001</v>
      </c>
    </row>
    <row r="20" spans="1:17">
      <c r="A20" s="102">
        <v>1975</v>
      </c>
      <c r="B20" s="102">
        <v>17.2</v>
      </c>
      <c r="C20" s="102">
        <v>31.2</v>
      </c>
      <c r="D20" s="102">
        <v>3.3</v>
      </c>
      <c r="E20" s="102">
        <v>25.8</v>
      </c>
      <c r="F20" s="102">
        <v>170.6</v>
      </c>
      <c r="G20" s="102">
        <v>309.8</v>
      </c>
      <c r="H20" s="102">
        <v>127.5</v>
      </c>
      <c r="I20" s="102">
        <v>307.5</v>
      </c>
      <c r="J20" s="102">
        <v>86.4</v>
      </c>
      <c r="K20" s="102">
        <v>22.3</v>
      </c>
      <c r="L20" s="102">
        <v>65.5</v>
      </c>
      <c r="M20" s="102">
        <v>0</v>
      </c>
      <c r="N20" s="102">
        <f t="shared" si="1"/>
        <v>77.5</v>
      </c>
      <c r="O20" s="102">
        <f t="shared" si="2"/>
        <v>1001.8</v>
      </c>
      <c r="P20" s="102">
        <f t="shared" si="3"/>
        <v>87.8</v>
      </c>
      <c r="Q20" s="102">
        <f t="shared" si="4"/>
        <v>1167.0999999999999</v>
      </c>
    </row>
    <row r="21" spans="1:17">
      <c r="A21" s="102">
        <v>1976</v>
      </c>
      <c r="B21" s="102">
        <v>16.600000000000001</v>
      </c>
      <c r="C21" s="102">
        <v>20.7</v>
      </c>
      <c r="D21" s="102">
        <v>20.8</v>
      </c>
      <c r="E21" s="102">
        <v>32.9</v>
      </c>
      <c r="F21" s="102">
        <v>226.7</v>
      </c>
      <c r="G21" s="102">
        <v>207.6</v>
      </c>
      <c r="H21" s="102">
        <v>376.7</v>
      </c>
      <c r="I21" s="102">
        <v>277.2</v>
      </c>
      <c r="J21" s="102">
        <v>198.2</v>
      </c>
      <c r="K21" s="102">
        <v>232.9</v>
      </c>
      <c r="L21" s="102">
        <v>18.899999999999999</v>
      </c>
      <c r="M21" s="102">
        <v>6.4</v>
      </c>
      <c r="N21" s="102">
        <f t="shared" si="1"/>
        <v>91</v>
      </c>
      <c r="O21" s="102">
        <f t="shared" si="2"/>
        <v>1286.4000000000001</v>
      </c>
      <c r="P21" s="102">
        <f t="shared" si="3"/>
        <v>258.2</v>
      </c>
      <c r="Q21" s="102">
        <f t="shared" si="4"/>
        <v>1635.6000000000004</v>
      </c>
    </row>
    <row r="22" spans="1:17">
      <c r="A22" s="102">
        <v>1977</v>
      </c>
      <c r="B22" s="102">
        <v>9.3000000000000007</v>
      </c>
      <c r="C22" s="102">
        <v>21</v>
      </c>
      <c r="D22" s="102">
        <v>13.8</v>
      </c>
      <c r="E22" s="102">
        <v>87.4</v>
      </c>
      <c r="F22" s="102">
        <v>106.3</v>
      </c>
      <c r="G22" s="102">
        <v>403.9</v>
      </c>
      <c r="H22" s="102">
        <v>496.6</v>
      </c>
      <c r="I22" s="102">
        <v>107.1</v>
      </c>
      <c r="J22" s="102">
        <v>108.6</v>
      </c>
      <c r="K22" s="102">
        <v>220.8</v>
      </c>
      <c r="L22" s="102">
        <v>33.200000000000003</v>
      </c>
      <c r="M22" s="102">
        <v>2.9</v>
      </c>
      <c r="N22" s="102">
        <f t="shared" si="1"/>
        <v>131.5</v>
      </c>
      <c r="O22" s="102">
        <f t="shared" si="2"/>
        <v>1222.4999999999998</v>
      </c>
      <c r="P22" s="102">
        <f t="shared" si="3"/>
        <v>256.89999999999998</v>
      </c>
      <c r="Q22" s="102">
        <f t="shared" si="4"/>
        <v>1610.9</v>
      </c>
    </row>
    <row r="23" spans="1:17">
      <c r="A23" s="102">
        <v>1978</v>
      </c>
      <c r="B23" s="102">
        <v>12.7</v>
      </c>
      <c r="C23" s="102">
        <v>6.6</v>
      </c>
      <c r="D23" s="102">
        <v>17.100000000000001</v>
      </c>
      <c r="E23" s="102">
        <v>59.5</v>
      </c>
      <c r="F23" s="102">
        <v>235.4</v>
      </c>
      <c r="G23" s="102">
        <v>247</v>
      </c>
      <c r="H23" s="102">
        <v>185</v>
      </c>
      <c r="I23" s="102">
        <v>162.5</v>
      </c>
      <c r="J23" s="102">
        <v>89.3</v>
      </c>
      <c r="K23" s="102">
        <v>122.1</v>
      </c>
      <c r="L23" s="102">
        <v>65.599999999999994</v>
      </c>
      <c r="M23" s="102">
        <v>1.5</v>
      </c>
      <c r="N23" s="102">
        <f t="shared" si="1"/>
        <v>95.9</v>
      </c>
      <c r="O23" s="102">
        <f t="shared" si="2"/>
        <v>919.19999999999993</v>
      </c>
      <c r="P23" s="102">
        <f t="shared" si="3"/>
        <v>189.2</v>
      </c>
      <c r="Q23" s="102">
        <f t="shared" si="4"/>
        <v>1204.2999999999997</v>
      </c>
    </row>
    <row r="24" spans="1:17">
      <c r="A24" s="102">
        <v>1979</v>
      </c>
      <c r="B24" s="102">
        <v>2.1</v>
      </c>
      <c r="C24" s="102">
        <v>5</v>
      </c>
      <c r="D24" s="102">
        <v>14.4</v>
      </c>
      <c r="E24" s="102">
        <v>137.30000000000001</v>
      </c>
      <c r="F24" s="102">
        <v>22.1</v>
      </c>
      <c r="G24" s="102">
        <v>456.1</v>
      </c>
      <c r="H24" s="102">
        <v>334.1</v>
      </c>
      <c r="I24" s="102">
        <v>356.7</v>
      </c>
      <c r="J24" s="102">
        <v>206.6</v>
      </c>
      <c r="K24" s="102">
        <v>22.9</v>
      </c>
      <c r="L24" s="102">
        <v>3.6</v>
      </c>
      <c r="M24" s="102">
        <v>17</v>
      </c>
      <c r="N24" s="102">
        <f t="shared" si="1"/>
        <v>158.80000000000001</v>
      </c>
      <c r="O24" s="102">
        <f t="shared" si="2"/>
        <v>1375.6</v>
      </c>
      <c r="P24" s="102">
        <f t="shared" si="3"/>
        <v>43.5</v>
      </c>
      <c r="Q24" s="102">
        <f t="shared" si="4"/>
        <v>1577.8999999999999</v>
      </c>
    </row>
    <row r="25" spans="1:17">
      <c r="A25" s="102">
        <v>1980</v>
      </c>
      <c r="B25" s="102">
        <v>5.0999999999999996</v>
      </c>
      <c r="C25" s="102">
        <v>6.9</v>
      </c>
      <c r="D25" s="102">
        <v>26</v>
      </c>
      <c r="E25" s="102">
        <v>12.4</v>
      </c>
      <c r="F25" s="102">
        <v>204.3</v>
      </c>
      <c r="G25" s="102">
        <v>222.9</v>
      </c>
      <c r="H25" s="102">
        <v>398.4</v>
      </c>
      <c r="I25" s="102">
        <v>238.3</v>
      </c>
      <c r="J25" s="102">
        <v>76</v>
      </c>
      <c r="K25" s="102">
        <v>87.6</v>
      </c>
      <c r="L25" s="102">
        <v>16.2</v>
      </c>
      <c r="M25" s="102">
        <v>32</v>
      </c>
      <c r="N25" s="102">
        <f t="shared" si="1"/>
        <v>50.4</v>
      </c>
      <c r="O25" s="102">
        <f t="shared" si="2"/>
        <v>1139.9000000000001</v>
      </c>
      <c r="P25" s="102">
        <f t="shared" si="3"/>
        <v>135.80000000000001</v>
      </c>
      <c r="Q25" s="102">
        <f t="shared" si="4"/>
        <v>1326.1</v>
      </c>
    </row>
    <row r="26" spans="1:17">
      <c r="A26" s="102">
        <v>1981</v>
      </c>
      <c r="B26" s="102">
        <v>11.9</v>
      </c>
      <c r="C26" s="102">
        <v>22.2</v>
      </c>
      <c r="D26" s="102">
        <v>39.1</v>
      </c>
      <c r="E26" s="102">
        <v>65</v>
      </c>
      <c r="F26" s="102">
        <v>254.5</v>
      </c>
      <c r="G26" s="102">
        <v>175.2</v>
      </c>
      <c r="H26" s="102">
        <v>278</v>
      </c>
      <c r="I26" s="102">
        <v>146.80000000000001</v>
      </c>
      <c r="J26" s="102">
        <v>278.39999999999998</v>
      </c>
      <c r="K26" s="102">
        <v>54.4</v>
      </c>
      <c r="L26" s="102">
        <v>109.9</v>
      </c>
      <c r="M26" s="102">
        <v>10.7</v>
      </c>
      <c r="N26" s="102">
        <f t="shared" si="1"/>
        <v>138.19999999999999</v>
      </c>
      <c r="O26" s="102">
        <f t="shared" si="2"/>
        <v>1132.9000000000001</v>
      </c>
      <c r="P26" s="102">
        <f t="shared" si="3"/>
        <v>175</v>
      </c>
      <c r="Q26" s="102">
        <f t="shared" si="4"/>
        <v>1446.1000000000001</v>
      </c>
    </row>
    <row r="27" spans="1:17">
      <c r="A27" s="102">
        <v>1982</v>
      </c>
      <c r="B27" s="102">
        <v>4.5999999999999996</v>
      </c>
      <c r="C27" s="102">
        <v>84.1</v>
      </c>
      <c r="D27" s="102">
        <v>17.7</v>
      </c>
      <c r="E27" s="102">
        <v>81.8</v>
      </c>
      <c r="F27" s="102">
        <v>179</v>
      </c>
      <c r="G27" s="102">
        <v>247.4</v>
      </c>
      <c r="H27" s="102">
        <v>298.39999999999998</v>
      </c>
      <c r="I27" s="102">
        <v>190.8</v>
      </c>
      <c r="J27" s="102">
        <v>207.1</v>
      </c>
      <c r="K27" s="102">
        <v>45.6</v>
      </c>
      <c r="L27" s="102">
        <v>57.7</v>
      </c>
      <c r="M27" s="102">
        <v>8.6</v>
      </c>
      <c r="N27" s="102">
        <f t="shared" si="1"/>
        <v>188.2</v>
      </c>
      <c r="O27" s="102">
        <f t="shared" si="2"/>
        <v>1122.6999999999998</v>
      </c>
      <c r="P27" s="102">
        <f t="shared" si="3"/>
        <v>111.9</v>
      </c>
      <c r="Q27" s="102">
        <f t="shared" si="4"/>
        <v>1422.7999999999997</v>
      </c>
    </row>
    <row r="28" spans="1:17">
      <c r="A28" s="102">
        <v>1983</v>
      </c>
      <c r="B28" s="102">
        <v>26.9</v>
      </c>
      <c r="C28" s="102">
        <v>54.1</v>
      </c>
      <c r="D28" s="102">
        <v>46.2</v>
      </c>
      <c r="E28" s="102">
        <v>20.6</v>
      </c>
      <c r="F28" s="102">
        <v>207.4</v>
      </c>
      <c r="G28" s="102">
        <v>216.9</v>
      </c>
      <c r="H28" s="102">
        <v>219.4</v>
      </c>
      <c r="I28" s="102">
        <v>422.3</v>
      </c>
      <c r="J28" s="102">
        <v>182.8</v>
      </c>
      <c r="K28" s="102">
        <v>84.6</v>
      </c>
      <c r="L28" s="102">
        <v>87.6</v>
      </c>
      <c r="M28" s="102">
        <v>29.4</v>
      </c>
      <c r="N28" s="102">
        <f t="shared" si="1"/>
        <v>147.80000000000001</v>
      </c>
      <c r="O28" s="102">
        <f t="shared" si="2"/>
        <v>1248.8</v>
      </c>
      <c r="P28" s="102">
        <f t="shared" si="3"/>
        <v>201.6</v>
      </c>
      <c r="Q28" s="102">
        <f t="shared" si="4"/>
        <v>1598.1999999999998</v>
      </c>
    </row>
    <row r="29" spans="1:17">
      <c r="A29" s="102">
        <v>1984</v>
      </c>
      <c r="B29" s="102">
        <v>7.4</v>
      </c>
      <c r="C29" s="102">
        <v>3.9</v>
      </c>
      <c r="D29" s="102">
        <v>4.9000000000000004</v>
      </c>
      <c r="E29" s="102">
        <v>69.7</v>
      </c>
      <c r="F29" s="102">
        <v>118.1</v>
      </c>
      <c r="G29" s="102">
        <v>195</v>
      </c>
      <c r="H29" s="102">
        <v>213.4</v>
      </c>
      <c r="I29" s="102">
        <v>189</v>
      </c>
      <c r="J29" s="102">
        <v>113.2</v>
      </c>
      <c r="K29" s="102">
        <v>93.8</v>
      </c>
      <c r="L29" s="102">
        <v>17.5</v>
      </c>
      <c r="M29" s="102">
        <v>14.7</v>
      </c>
      <c r="N29" s="102">
        <f t="shared" si="1"/>
        <v>85.9</v>
      </c>
      <c r="O29" s="102">
        <f t="shared" si="2"/>
        <v>828.7</v>
      </c>
      <c r="P29" s="102">
        <f t="shared" si="3"/>
        <v>126</v>
      </c>
      <c r="Q29" s="102">
        <f t="shared" si="4"/>
        <v>1040.6000000000001</v>
      </c>
    </row>
    <row r="30" spans="1:17">
      <c r="A30" s="102">
        <v>1985</v>
      </c>
      <c r="B30" s="102">
        <v>24.5</v>
      </c>
      <c r="C30" s="102">
        <v>12.1</v>
      </c>
      <c r="D30" s="102">
        <v>18.5</v>
      </c>
      <c r="E30" s="102">
        <v>60.1</v>
      </c>
      <c r="F30" s="102">
        <v>251.5</v>
      </c>
      <c r="G30" s="102">
        <v>524.4</v>
      </c>
      <c r="H30" s="102">
        <v>223.4</v>
      </c>
      <c r="I30" s="102">
        <v>239</v>
      </c>
      <c r="J30" s="102">
        <v>133.19999999999999</v>
      </c>
      <c r="K30" s="102">
        <v>31</v>
      </c>
      <c r="L30" s="102">
        <v>30.7</v>
      </c>
      <c r="M30" s="102">
        <v>14.5</v>
      </c>
      <c r="N30" s="102">
        <f t="shared" si="1"/>
        <v>115.2</v>
      </c>
      <c r="O30" s="102">
        <f t="shared" si="2"/>
        <v>1371.5</v>
      </c>
      <c r="P30" s="102">
        <f t="shared" si="3"/>
        <v>76.2</v>
      </c>
      <c r="Q30" s="102">
        <f t="shared" si="4"/>
        <v>1562.9</v>
      </c>
    </row>
    <row r="31" spans="1:17">
      <c r="A31" s="102">
        <v>1986</v>
      </c>
      <c r="B31" s="102">
        <v>2</v>
      </c>
      <c r="C31" s="102">
        <v>6.3</v>
      </c>
      <c r="D31" s="102">
        <v>17.3</v>
      </c>
      <c r="E31" s="102">
        <v>72</v>
      </c>
      <c r="F31" s="102">
        <v>201.4</v>
      </c>
      <c r="G31" s="102">
        <v>211.9</v>
      </c>
      <c r="H31" s="102">
        <v>529</v>
      </c>
      <c r="I31" s="102">
        <v>408.7</v>
      </c>
      <c r="J31" s="102">
        <v>135.4</v>
      </c>
      <c r="K31" s="102">
        <v>103.7</v>
      </c>
      <c r="L31" s="102">
        <v>23.9</v>
      </c>
      <c r="M31" s="102">
        <v>6.8</v>
      </c>
      <c r="N31" s="102">
        <f t="shared" si="1"/>
        <v>97.6</v>
      </c>
      <c r="O31" s="102">
        <f t="shared" si="2"/>
        <v>1486.4</v>
      </c>
      <c r="P31" s="102">
        <f t="shared" si="3"/>
        <v>134.4</v>
      </c>
      <c r="Q31" s="102">
        <f t="shared" si="4"/>
        <v>1718.4000000000003</v>
      </c>
    </row>
    <row r="32" spans="1:17">
      <c r="A32" s="102">
        <v>1987</v>
      </c>
      <c r="B32" s="102">
        <v>20.2</v>
      </c>
      <c r="C32" s="102">
        <v>15.45</v>
      </c>
      <c r="D32" s="102">
        <v>4.8</v>
      </c>
      <c r="E32" s="102">
        <v>19.100000000000001</v>
      </c>
      <c r="F32" s="102">
        <v>151</v>
      </c>
      <c r="G32" s="102">
        <v>148.80000000000001</v>
      </c>
      <c r="H32" s="102">
        <v>297.8</v>
      </c>
      <c r="I32" s="102">
        <v>163.19999999999999</v>
      </c>
      <c r="J32" s="102">
        <v>68.400000000000006</v>
      </c>
      <c r="K32" s="102">
        <v>91.8</v>
      </c>
      <c r="L32" s="102">
        <v>51.8</v>
      </c>
      <c r="M32" s="102">
        <v>8</v>
      </c>
      <c r="N32" s="102">
        <f t="shared" si="1"/>
        <v>59.55</v>
      </c>
      <c r="O32" s="102">
        <f t="shared" si="2"/>
        <v>829.19999999999993</v>
      </c>
      <c r="P32" s="102">
        <f t="shared" si="3"/>
        <v>151.6</v>
      </c>
      <c r="Q32" s="102">
        <f t="shared" si="4"/>
        <v>1040.3500000000001</v>
      </c>
    </row>
    <row r="33" spans="1:17">
      <c r="A33" s="102">
        <v>1988</v>
      </c>
      <c r="B33" s="102">
        <v>5.2</v>
      </c>
      <c r="C33" s="102">
        <v>23.5</v>
      </c>
      <c r="D33" s="102">
        <v>1.4</v>
      </c>
      <c r="E33" s="102">
        <v>55</v>
      </c>
      <c r="F33" s="102">
        <v>80.400000000000006</v>
      </c>
      <c r="G33" s="102">
        <v>139.19999999999999</v>
      </c>
      <c r="H33" s="102">
        <v>104.9</v>
      </c>
      <c r="I33" s="102">
        <v>224.1</v>
      </c>
      <c r="J33" s="102">
        <v>274.3</v>
      </c>
      <c r="K33" s="102">
        <v>65.5</v>
      </c>
      <c r="L33" s="102">
        <v>8.1</v>
      </c>
      <c r="M33" s="102">
        <v>9.4</v>
      </c>
      <c r="N33" s="102">
        <f t="shared" si="1"/>
        <v>85.1</v>
      </c>
      <c r="O33" s="102">
        <f t="shared" si="2"/>
        <v>822.90000000000009</v>
      </c>
      <c r="P33" s="102">
        <f t="shared" si="3"/>
        <v>83</v>
      </c>
      <c r="Q33" s="102">
        <f t="shared" si="4"/>
        <v>991</v>
      </c>
    </row>
    <row r="34" spans="1:17">
      <c r="A34" s="102">
        <v>1989</v>
      </c>
      <c r="B34" s="102">
        <v>12.6</v>
      </c>
      <c r="C34" s="102">
        <v>9.6999999999999993</v>
      </c>
      <c r="D34" s="102">
        <v>25</v>
      </c>
      <c r="E34" s="102">
        <v>15.8</v>
      </c>
      <c r="F34" s="102">
        <v>119.6</v>
      </c>
      <c r="G34" s="102">
        <v>229.4</v>
      </c>
      <c r="H34" s="102">
        <v>174.2</v>
      </c>
      <c r="I34" s="102">
        <v>116.2</v>
      </c>
      <c r="J34" s="102">
        <v>125</v>
      </c>
      <c r="K34" s="102">
        <v>79.8</v>
      </c>
      <c r="L34" s="102">
        <v>9.5</v>
      </c>
      <c r="M34" s="102">
        <v>5.9</v>
      </c>
      <c r="N34" s="102">
        <f t="shared" si="1"/>
        <v>63.099999999999994</v>
      </c>
      <c r="O34" s="102">
        <f t="shared" si="2"/>
        <v>764.40000000000009</v>
      </c>
      <c r="P34" s="102">
        <f t="shared" si="3"/>
        <v>95.2</v>
      </c>
      <c r="Q34" s="102">
        <f t="shared" si="4"/>
        <v>922.69999999999993</v>
      </c>
    </row>
    <row r="35" spans="1:17">
      <c r="A35" s="102">
        <v>1990</v>
      </c>
      <c r="B35" s="102">
        <v>18.899999999999999</v>
      </c>
      <c r="C35" s="102">
        <v>12.2</v>
      </c>
      <c r="D35" s="102">
        <v>94.7</v>
      </c>
      <c r="E35" s="102">
        <v>68.7</v>
      </c>
      <c r="F35" s="102">
        <v>240.5</v>
      </c>
      <c r="G35" s="102">
        <v>377.3</v>
      </c>
      <c r="H35" s="102">
        <v>194.5</v>
      </c>
      <c r="I35" s="102">
        <v>39.9</v>
      </c>
      <c r="J35" s="102">
        <v>95</v>
      </c>
      <c r="K35" s="102">
        <v>72.8</v>
      </c>
      <c r="L35" s="102">
        <v>38.700000000000003</v>
      </c>
      <c r="M35" s="102">
        <v>0.8</v>
      </c>
      <c r="N35" s="102">
        <f t="shared" si="1"/>
        <v>194.5</v>
      </c>
      <c r="O35" s="102">
        <f t="shared" si="2"/>
        <v>947.19999999999993</v>
      </c>
      <c r="P35" s="102">
        <f t="shared" si="3"/>
        <v>112.3</v>
      </c>
      <c r="Q35" s="102">
        <f t="shared" si="4"/>
        <v>1254</v>
      </c>
    </row>
    <row r="36" spans="1:17">
      <c r="A36" s="102">
        <v>1991</v>
      </c>
      <c r="B36" s="102">
        <v>29.3</v>
      </c>
      <c r="C36" s="102">
        <v>9.6</v>
      </c>
      <c r="D36" s="102">
        <v>43.9</v>
      </c>
      <c r="E36" s="102">
        <v>36.1</v>
      </c>
      <c r="F36" s="102">
        <v>11.4</v>
      </c>
      <c r="G36" s="102">
        <v>333.8</v>
      </c>
      <c r="H36" s="102">
        <v>371.5</v>
      </c>
      <c r="I36" s="102">
        <v>255.5</v>
      </c>
      <c r="J36" s="102">
        <v>122.3</v>
      </c>
      <c r="K36" s="102">
        <v>57.6</v>
      </c>
      <c r="L36" s="102">
        <v>35.200000000000003</v>
      </c>
      <c r="M36" s="102">
        <v>23.9</v>
      </c>
      <c r="N36" s="102">
        <f t="shared" si="1"/>
        <v>118.9</v>
      </c>
      <c r="O36" s="102">
        <f t="shared" si="2"/>
        <v>1094.5</v>
      </c>
      <c r="P36" s="102">
        <f t="shared" si="3"/>
        <v>116.70000000000002</v>
      </c>
      <c r="Q36" s="102">
        <f t="shared" si="4"/>
        <v>1330.1</v>
      </c>
    </row>
    <row r="37" spans="1:17">
      <c r="A37" s="102">
        <v>1992</v>
      </c>
      <c r="B37" s="102">
        <v>56.1</v>
      </c>
      <c r="C37" s="102">
        <v>47.1</v>
      </c>
      <c r="D37" s="102">
        <v>12.3</v>
      </c>
      <c r="E37" s="102">
        <v>24.7</v>
      </c>
      <c r="F37" s="102">
        <v>157.9</v>
      </c>
      <c r="G37" s="102">
        <v>197</v>
      </c>
      <c r="H37" s="102">
        <v>261.89999999999998</v>
      </c>
      <c r="I37" s="102">
        <v>84.3</v>
      </c>
      <c r="J37" s="102">
        <v>69.599999999999994</v>
      </c>
      <c r="K37" s="102">
        <v>155.69999999999999</v>
      </c>
      <c r="L37" s="102">
        <v>18.2</v>
      </c>
      <c r="M37" s="102">
        <v>3.1</v>
      </c>
      <c r="N37" s="102">
        <f t="shared" si="1"/>
        <v>140.19999999999999</v>
      </c>
      <c r="O37" s="102">
        <f t="shared" si="2"/>
        <v>770.69999999999993</v>
      </c>
      <c r="P37" s="102">
        <f t="shared" si="3"/>
        <v>176.99999999999997</v>
      </c>
      <c r="Q37" s="102">
        <f t="shared" si="4"/>
        <v>1087.8999999999999</v>
      </c>
    </row>
    <row r="38" spans="1:17">
      <c r="A38" s="102">
        <v>1993</v>
      </c>
      <c r="B38" s="102">
        <v>23.7</v>
      </c>
      <c r="C38" s="102">
        <v>44.6</v>
      </c>
      <c r="D38" s="102">
        <v>2.2000000000000002</v>
      </c>
      <c r="E38" s="102">
        <v>34.200000000000003</v>
      </c>
      <c r="F38" s="102">
        <v>121.5</v>
      </c>
      <c r="G38" s="102">
        <v>200</v>
      </c>
      <c r="H38" s="102">
        <v>210.3</v>
      </c>
      <c r="I38" s="102">
        <v>238</v>
      </c>
      <c r="J38" s="102">
        <v>336</v>
      </c>
      <c r="K38" s="102">
        <v>66.099999999999994</v>
      </c>
      <c r="L38" s="102">
        <v>51.9</v>
      </c>
      <c r="M38" s="102">
        <v>14.2</v>
      </c>
      <c r="N38" s="102">
        <f t="shared" si="1"/>
        <v>104.7</v>
      </c>
      <c r="O38" s="102">
        <f t="shared" si="2"/>
        <v>1105.8</v>
      </c>
      <c r="P38" s="102">
        <f t="shared" si="3"/>
        <v>132.19999999999999</v>
      </c>
      <c r="Q38" s="102">
        <f t="shared" si="4"/>
        <v>1342.7</v>
      </c>
    </row>
    <row r="39" spans="1:17">
      <c r="A39" s="102">
        <v>1994</v>
      </c>
      <c r="B39" s="102">
        <v>8.1</v>
      </c>
      <c r="C39" s="102">
        <v>8.3000000000000007</v>
      </c>
      <c r="D39" s="102">
        <v>64.3</v>
      </c>
      <c r="E39" s="102">
        <v>3.5</v>
      </c>
      <c r="F39" s="102">
        <v>218.1</v>
      </c>
      <c r="G39" s="102">
        <v>430.8</v>
      </c>
      <c r="H39" s="102">
        <v>177.6</v>
      </c>
      <c r="I39" s="102">
        <v>148.80000000000001</v>
      </c>
      <c r="J39" s="102">
        <v>250.6</v>
      </c>
      <c r="K39" s="102">
        <v>106.2</v>
      </c>
      <c r="L39" s="102">
        <v>30.8</v>
      </c>
      <c r="M39" s="102">
        <v>39.4</v>
      </c>
      <c r="N39" s="102">
        <f t="shared" si="1"/>
        <v>84.199999999999989</v>
      </c>
      <c r="O39" s="102">
        <f t="shared" si="2"/>
        <v>1225.8999999999999</v>
      </c>
      <c r="P39" s="102">
        <f t="shared" si="3"/>
        <v>176.4</v>
      </c>
      <c r="Q39" s="102">
        <f t="shared" si="4"/>
        <v>1486.5</v>
      </c>
    </row>
    <row r="40" spans="1:17">
      <c r="A40" s="102">
        <v>1995</v>
      </c>
      <c r="B40" s="102">
        <v>19.7</v>
      </c>
      <c r="C40" s="102">
        <v>27</v>
      </c>
      <c r="D40" s="102">
        <v>2.1</v>
      </c>
      <c r="E40" s="102">
        <v>25.3</v>
      </c>
      <c r="F40" s="102">
        <v>319.39999999999998</v>
      </c>
      <c r="G40" s="102">
        <v>207.4</v>
      </c>
      <c r="H40" s="102">
        <v>295.3</v>
      </c>
      <c r="I40" s="102">
        <v>379.9</v>
      </c>
      <c r="J40" s="102">
        <v>216.9</v>
      </c>
      <c r="K40" s="102">
        <v>73.7</v>
      </c>
      <c r="L40" s="102">
        <v>52.4</v>
      </c>
      <c r="M40" s="102">
        <v>3.6</v>
      </c>
      <c r="N40" s="102">
        <f t="shared" si="1"/>
        <v>74.100000000000009</v>
      </c>
      <c r="O40" s="102">
        <f t="shared" si="2"/>
        <v>1418.9</v>
      </c>
      <c r="P40" s="102">
        <f t="shared" si="3"/>
        <v>129.69999999999999</v>
      </c>
      <c r="Q40" s="102">
        <f t="shared" si="4"/>
        <v>1622.7</v>
      </c>
    </row>
    <row r="41" spans="1:17">
      <c r="A41" s="102">
        <v>1996</v>
      </c>
      <c r="B41" s="102">
        <v>11.5</v>
      </c>
      <c r="C41" s="102">
        <v>3.8</v>
      </c>
      <c r="D41" s="102">
        <v>83.6</v>
      </c>
      <c r="E41" s="102">
        <v>41.1</v>
      </c>
      <c r="F41" s="102">
        <v>33.9</v>
      </c>
      <c r="G41" s="102">
        <v>266.10000000000002</v>
      </c>
      <c r="H41" s="102">
        <v>318.60000000000002</v>
      </c>
      <c r="I41" s="102">
        <v>176.1</v>
      </c>
      <c r="J41" s="102">
        <v>81.599999999999994</v>
      </c>
      <c r="K41" s="102">
        <v>85.6</v>
      </c>
      <c r="L41" s="102">
        <v>80.599999999999994</v>
      </c>
      <c r="M41" s="102">
        <v>3</v>
      </c>
      <c r="N41" s="102">
        <f t="shared" si="1"/>
        <v>140</v>
      </c>
      <c r="O41" s="102">
        <f t="shared" si="2"/>
        <v>876.30000000000007</v>
      </c>
      <c r="P41" s="102">
        <f t="shared" si="3"/>
        <v>169.2</v>
      </c>
      <c r="Q41" s="102">
        <f t="shared" si="4"/>
        <v>1185.5</v>
      </c>
    </row>
    <row r="42" spans="1:17">
      <c r="A42" s="102">
        <v>1997</v>
      </c>
      <c r="B42" s="102">
        <v>10</v>
      </c>
      <c r="C42" s="102">
        <v>66.5</v>
      </c>
      <c r="D42" s="102">
        <v>63.4</v>
      </c>
      <c r="E42" s="102">
        <v>38.6</v>
      </c>
      <c r="F42" s="102">
        <v>142.69999999999999</v>
      </c>
      <c r="G42" s="102">
        <v>292</v>
      </c>
      <c r="H42" s="102">
        <v>534.20000000000005</v>
      </c>
      <c r="I42" s="102">
        <v>98.7</v>
      </c>
      <c r="J42" s="102">
        <v>118.5</v>
      </c>
      <c r="K42" s="102">
        <v>220.5</v>
      </c>
      <c r="L42" s="102">
        <v>20.8</v>
      </c>
      <c r="M42" s="102">
        <v>2.5</v>
      </c>
      <c r="N42" s="102">
        <f t="shared" si="1"/>
        <v>178.5</v>
      </c>
      <c r="O42" s="102">
        <f t="shared" si="2"/>
        <v>1186.1000000000001</v>
      </c>
      <c r="P42" s="102">
        <f t="shared" si="3"/>
        <v>243.8</v>
      </c>
      <c r="Q42" s="102">
        <f t="shared" si="4"/>
        <v>1608.4</v>
      </c>
    </row>
    <row r="43" spans="1:17">
      <c r="A43" s="102">
        <v>1998</v>
      </c>
      <c r="B43" s="102">
        <v>13.6</v>
      </c>
      <c r="C43" s="102">
        <v>12.1</v>
      </c>
      <c r="D43" s="102">
        <v>14.5</v>
      </c>
      <c r="E43" s="102">
        <v>96.6</v>
      </c>
      <c r="F43" s="102">
        <v>89.5</v>
      </c>
      <c r="G43" s="102">
        <v>220.6</v>
      </c>
      <c r="H43" s="102">
        <v>282.5</v>
      </c>
      <c r="I43" s="102">
        <v>209.5</v>
      </c>
      <c r="J43" s="102">
        <v>79.099999999999994</v>
      </c>
      <c r="K43" s="102">
        <v>145.80000000000001</v>
      </c>
      <c r="L43" s="102">
        <v>14</v>
      </c>
      <c r="M43" s="102">
        <v>13.3</v>
      </c>
      <c r="N43" s="102">
        <f t="shared" si="1"/>
        <v>136.80000000000001</v>
      </c>
      <c r="O43" s="102">
        <f t="shared" si="2"/>
        <v>881.2</v>
      </c>
      <c r="P43" s="102">
        <f t="shared" si="3"/>
        <v>173.10000000000002</v>
      </c>
      <c r="Q43" s="102">
        <f t="shared" si="4"/>
        <v>1191.0999999999999</v>
      </c>
    </row>
    <row r="44" spans="1:17">
      <c r="A44" s="102">
        <v>1999</v>
      </c>
      <c r="B44" s="102">
        <v>10</v>
      </c>
      <c r="C44" s="102">
        <v>3.8</v>
      </c>
      <c r="D44" s="102">
        <v>29.6</v>
      </c>
      <c r="E44" s="102">
        <v>63.7</v>
      </c>
      <c r="F44" s="102">
        <v>222</v>
      </c>
      <c r="G44" s="102">
        <v>185.2</v>
      </c>
      <c r="H44" s="102">
        <v>433.1</v>
      </c>
      <c r="I44" s="102">
        <v>204.3</v>
      </c>
      <c r="J44" s="102">
        <v>79.900000000000006</v>
      </c>
      <c r="K44" s="102">
        <v>106</v>
      </c>
      <c r="L44" s="102">
        <v>40</v>
      </c>
      <c r="M44" s="102">
        <v>7</v>
      </c>
      <c r="N44" s="102">
        <f t="shared" si="1"/>
        <v>107.10000000000001</v>
      </c>
      <c r="O44" s="102">
        <f t="shared" si="2"/>
        <v>1124.5</v>
      </c>
      <c r="P44" s="102">
        <f t="shared" si="3"/>
        <v>153</v>
      </c>
      <c r="Q44" s="102">
        <f t="shared" si="4"/>
        <v>1384.6000000000001</v>
      </c>
    </row>
    <row r="45" spans="1:17">
      <c r="A45" s="102">
        <v>2000</v>
      </c>
      <c r="B45" s="102">
        <v>16.7</v>
      </c>
      <c r="C45" s="102">
        <v>24.3</v>
      </c>
      <c r="D45" s="102">
        <v>36.4</v>
      </c>
      <c r="E45" s="102">
        <v>70.2</v>
      </c>
      <c r="F45" s="102">
        <v>91.8</v>
      </c>
      <c r="G45" s="102">
        <v>333.3</v>
      </c>
      <c r="H45" s="102">
        <v>262.10000000000002</v>
      </c>
      <c r="I45" s="102">
        <v>268.7</v>
      </c>
      <c r="J45" s="102">
        <v>86</v>
      </c>
      <c r="K45" s="102">
        <v>104.6</v>
      </c>
      <c r="L45" s="102">
        <v>21.4</v>
      </c>
      <c r="M45" s="102">
        <v>31.2</v>
      </c>
      <c r="N45" s="102">
        <f t="shared" si="1"/>
        <v>147.60000000000002</v>
      </c>
      <c r="O45" s="102">
        <f t="shared" si="2"/>
        <v>1041.9000000000001</v>
      </c>
      <c r="P45" s="102">
        <f t="shared" si="3"/>
        <v>157.19999999999999</v>
      </c>
      <c r="Q45" s="102">
        <f t="shared" si="4"/>
        <v>1346.7</v>
      </c>
    </row>
    <row r="46" spans="1:17">
      <c r="A46" s="102">
        <v>2001</v>
      </c>
      <c r="B46" s="102">
        <v>2</v>
      </c>
      <c r="C46" s="102">
        <v>22</v>
      </c>
      <c r="D46" s="102">
        <v>14</v>
      </c>
      <c r="E46" s="102">
        <v>29</v>
      </c>
      <c r="F46" s="102">
        <v>219</v>
      </c>
      <c r="G46" s="102">
        <v>361</v>
      </c>
      <c r="H46" s="102">
        <v>232</v>
      </c>
      <c r="I46" s="102">
        <v>103</v>
      </c>
      <c r="J46" s="102">
        <v>79</v>
      </c>
      <c r="K46" s="102">
        <v>125</v>
      </c>
      <c r="L46" s="102">
        <v>23</v>
      </c>
      <c r="M46" s="102">
        <v>0.3</v>
      </c>
      <c r="N46" s="102">
        <f t="shared" si="1"/>
        <v>67</v>
      </c>
      <c r="O46" s="102">
        <f t="shared" si="2"/>
        <v>994</v>
      </c>
      <c r="P46" s="102">
        <f t="shared" si="3"/>
        <v>148.30000000000001</v>
      </c>
      <c r="Q46" s="102">
        <f t="shared" si="4"/>
        <v>1209.3</v>
      </c>
    </row>
    <row r="47" spans="1:17">
      <c r="A47" s="102">
        <v>2002</v>
      </c>
      <c r="B47" s="102">
        <v>24.5</v>
      </c>
      <c r="C47" s="102">
        <v>2.7</v>
      </c>
      <c r="D47" s="102">
        <v>24.3</v>
      </c>
      <c r="E47" s="102">
        <v>18.7</v>
      </c>
      <c r="F47" s="102">
        <v>253.8</v>
      </c>
      <c r="G47" s="102">
        <v>407.9</v>
      </c>
      <c r="H47" s="102">
        <v>158.80000000000001</v>
      </c>
      <c r="I47" s="102">
        <v>247.7</v>
      </c>
      <c r="J47" s="102">
        <v>26.2</v>
      </c>
      <c r="K47" s="102">
        <v>69.5</v>
      </c>
      <c r="L47" s="102">
        <v>3.6</v>
      </c>
      <c r="M47" s="102">
        <v>11.2</v>
      </c>
      <c r="N47" s="102">
        <f t="shared" si="1"/>
        <v>70.2</v>
      </c>
      <c r="O47" s="102">
        <f t="shared" si="2"/>
        <v>1094.4000000000001</v>
      </c>
      <c r="P47" s="102">
        <f t="shared" si="3"/>
        <v>84.3</v>
      </c>
      <c r="Q47" s="102">
        <f t="shared" si="4"/>
        <v>1248.9000000000001</v>
      </c>
    </row>
    <row r="48" spans="1:17">
      <c r="A48" s="102">
        <v>2003</v>
      </c>
      <c r="B48" s="102">
        <v>36</v>
      </c>
      <c r="C48" s="102">
        <v>0</v>
      </c>
      <c r="D48" s="102">
        <v>50</v>
      </c>
      <c r="E48" s="102">
        <v>14</v>
      </c>
      <c r="F48" s="102">
        <v>140</v>
      </c>
      <c r="G48" s="102">
        <v>321</v>
      </c>
      <c r="H48" s="102">
        <v>345</v>
      </c>
      <c r="I48" s="102">
        <v>98</v>
      </c>
      <c r="J48" s="102">
        <v>133</v>
      </c>
      <c r="K48" s="102">
        <v>29.5</v>
      </c>
      <c r="L48" s="102">
        <v>23.1</v>
      </c>
      <c r="M48" s="102">
        <v>27.7</v>
      </c>
      <c r="N48" s="102">
        <f t="shared" si="1"/>
        <v>100</v>
      </c>
      <c r="O48" s="102">
        <f t="shared" si="2"/>
        <v>1037</v>
      </c>
      <c r="P48" s="102">
        <f t="shared" si="3"/>
        <v>80.3</v>
      </c>
      <c r="Q48" s="102">
        <f t="shared" si="4"/>
        <v>1217.3</v>
      </c>
    </row>
    <row r="49" spans="1:33">
      <c r="A49" s="102">
        <v>2004</v>
      </c>
      <c r="B49" s="102">
        <v>16.600000000000001</v>
      </c>
      <c r="C49" s="102">
        <v>15.5</v>
      </c>
      <c r="D49" s="102">
        <v>6.3</v>
      </c>
      <c r="E49" s="102">
        <v>44.6</v>
      </c>
      <c r="F49" s="102">
        <v>97.7</v>
      </c>
      <c r="G49" s="102">
        <v>97.6</v>
      </c>
      <c r="H49" s="102">
        <v>372.2</v>
      </c>
      <c r="I49" s="102">
        <v>258.8</v>
      </c>
      <c r="J49" s="102">
        <v>135.9</v>
      </c>
      <c r="K49" s="102">
        <v>18.8</v>
      </c>
      <c r="L49" s="102">
        <v>47.2</v>
      </c>
      <c r="M49" s="102">
        <v>13.1</v>
      </c>
      <c r="N49" s="102">
        <f t="shared" si="1"/>
        <v>83</v>
      </c>
      <c r="O49" s="102">
        <f t="shared" si="2"/>
        <v>962.19999999999993</v>
      </c>
      <c r="P49" s="102">
        <f t="shared" si="3"/>
        <v>79.099999999999994</v>
      </c>
      <c r="Q49" s="102">
        <f t="shared" si="4"/>
        <v>1124.3</v>
      </c>
    </row>
    <row r="50" spans="1:33">
      <c r="A50" s="102">
        <v>2005</v>
      </c>
      <c r="B50" s="102">
        <v>25.7</v>
      </c>
      <c r="C50" s="102">
        <v>0.3</v>
      </c>
      <c r="D50" s="102">
        <v>20.6</v>
      </c>
      <c r="E50" s="102">
        <v>20.7</v>
      </c>
      <c r="F50" s="102">
        <v>136.1</v>
      </c>
      <c r="G50" s="102">
        <v>252.8</v>
      </c>
      <c r="H50" s="102">
        <v>150.19999999999999</v>
      </c>
      <c r="I50" s="102">
        <v>166.7</v>
      </c>
      <c r="J50" s="102">
        <v>128.6</v>
      </c>
      <c r="K50" s="102">
        <v>62.4</v>
      </c>
      <c r="L50" s="102">
        <v>12.1</v>
      </c>
      <c r="M50" s="102">
        <v>23.5</v>
      </c>
      <c r="N50" s="102">
        <f t="shared" si="1"/>
        <v>67.3</v>
      </c>
      <c r="O50" s="102">
        <f t="shared" si="2"/>
        <v>834.4</v>
      </c>
      <c r="P50" s="102">
        <f t="shared" si="3"/>
        <v>98</v>
      </c>
      <c r="Q50" s="102">
        <f t="shared" si="4"/>
        <v>999.69999999999993</v>
      </c>
    </row>
    <row r="51" spans="1:33">
      <c r="A51" s="102">
        <v>2006</v>
      </c>
      <c r="B51" s="102">
        <v>0.9</v>
      </c>
      <c r="C51" s="102">
        <v>30.7</v>
      </c>
      <c r="D51" s="102">
        <v>24.6</v>
      </c>
      <c r="E51" s="102">
        <v>26.4</v>
      </c>
      <c r="F51" s="102">
        <v>156.69999999999999</v>
      </c>
      <c r="G51" s="102">
        <v>456.7</v>
      </c>
      <c r="H51" s="102">
        <v>181.5</v>
      </c>
      <c r="I51" s="102">
        <v>141.6</v>
      </c>
      <c r="J51" s="102">
        <v>37.799999999999997</v>
      </c>
      <c r="K51" s="102">
        <v>276.10000000000002</v>
      </c>
      <c r="L51" s="102">
        <v>38.9</v>
      </c>
      <c r="M51" s="102">
        <v>7.6</v>
      </c>
      <c r="N51" s="102">
        <f t="shared" si="1"/>
        <v>82.6</v>
      </c>
      <c r="O51" s="102">
        <f t="shared" si="2"/>
        <v>974.3</v>
      </c>
      <c r="P51" s="102">
        <f t="shared" si="3"/>
        <v>322.60000000000002</v>
      </c>
      <c r="Q51" s="102">
        <f t="shared" si="4"/>
        <v>1379.5</v>
      </c>
    </row>
    <row r="52" spans="1:33">
      <c r="A52" s="102">
        <v>2007</v>
      </c>
      <c r="B52" s="102">
        <v>39.299999999999997</v>
      </c>
      <c r="C52" s="102">
        <v>2.9</v>
      </c>
      <c r="D52" s="102">
        <v>2.8</v>
      </c>
      <c r="E52" s="102">
        <v>79.3</v>
      </c>
      <c r="F52" s="102">
        <v>91.9</v>
      </c>
      <c r="G52" s="102">
        <v>232.4</v>
      </c>
      <c r="H52" s="102">
        <v>459.7</v>
      </c>
      <c r="I52" s="102">
        <v>65.400000000000006</v>
      </c>
      <c r="J52" s="102">
        <v>95</v>
      </c>
      <c r="K52" s="102">
        <v>95.7</v>
      </c>
      <c r="L52" s="102">
        <v>16.2</v>
      </c>
      <c r="M52" s="102">
        <v>11.8</v>
      </c>
      <c r="N52" s="102">
        <f t="shared" si="1"/>
        <v>124.29999999999998</v>
      </c>
      <c r="O52" s="102">
        <f t="shared" si="2"/>
        <v>944.4</v>
      </c>
      <c r="P52" s="102">
        <f t="shared" si="3"/>
        <v>123.7</v>
      </c>
      <c r="Q52" s="102">
        <f t="shared" si="4"/>
        <v>1192.3999999999999</v>
      </c>
    </row>
    <row r="53" spans="1:33">
      <c r="A53" s="102">
        <v>2008</v>
      </c>
      <c r="B53" s="102">
        <v>9.1999999999999993</v>
      </c>
      <c r="C53" s="102">
        <v>8.3000000000000007</v>
      </c>
      <c r="D53" s="102">
        <v>51.4</v>
      </c>
      <c r="E53" s="102">
        <v>25.2</v>
      </c>
      <c r="F53" s="102">
        <v>371.2</v>
      </c>
      <c r="G53" s="102">
        <v>274.8</v>
      </c>
      <c r="H53" s="102">
        <v>174.4</v>
      </c>
      <c r="I53" s="102">
        <v>210.9</v>
      </c>
      <c r="J53" s="102">
        <v>62</v>
      </c>
      <c r="K53" s="102">
        <v>109</v>
      </c>
      <c r="L53" s="102">
        <v>51.2</v>
      </c>
      <c r="M53" s="102">
        <v>8.9</v>
      </c>
      <c r="N53" s="102">
        <f t="shared" si="1"/>
        <v>94.100000000000009</v>
      </c>
      <c r="O53" s="102">
        <f t="shared" si="2"/>
        <v>1093.3</v>
      </c>
      <c r="P53" s="102">
        <f t="shared" si="3"/>
        <v>169.1</v>
      </c>
      <c r="Q53" s="102">
        <f t="shared" si="4"/>
        <v>1356.5000000000002</v>
      </c>
    </row>
    <row r="54" spans="1:33">
      <c r="A54" s="102">
        <v>2009</v>
      </c>
      <c r="B54" s="102">
        <v>2.5</v>
      </c>
      <c r="C54" s="102">
        <v>7.4</v>
      </c>
      <c r="D54" s="102">
        <v>41</v>
      </c>
      <c r="E54" s="102">
        <v>97.2</v>
      </c>
      <c r="F54" s="102">
        <v>174.5</v>
      </c>
      <c r="G54" s="102">
        <v>220.6</v>
      </c>
      <c r="H54" s="102">
        <v>270.2</v>
      </c>
      <c r="I54" s="102">
        <v>68.7</v>
      </c>
      <c r="J54" s="102">
        <v>28.7</v>
      </c>
      <c r="K54" s="102">
        <v>36.700000000000003</v>
      </c>
      <c r="L54" s="102">
        <v>6</v>
      </c>
      <c r="M54" s="102">
        <v>1.5</v>
      </c>
      <c r="N54" s="102">
        <f t="shared" si="1"/>
        <v>148.1</v>
      </c>
      <c r="O54" s="102">
        <f t="shared" si="2"/>
        <v>762.7</v>
      </c>
      <c r="P54" s="102">
        <f t="shared" si="3"/>
        <v>44.2</v>
      </c>
      <c r="Q54" s="102">
        <f t="shared" si="4"/>
        <v>955.00000000000023</v>
      </c>
    </row>
    <row r="55" spans="1:33">
      <c r="A55" s="102">
        <v>2010</v>
      </c>
      <c r="B55" s="102">
        <v>9.1999999999999993</v>
      </c>
      <c r="C55" s="102">
        <v>1.7</v>
      </c>
      <c r="D55" s="102">
        <v>0.8</v>
      </c>
      <c r="E55" s="102">
        <v>73</v>
      </c>
      <c r="F55" s="102">
        <v>142.1</v>
      </c>
      <c r="G55" s="102">
        <v>218.6</v>
      </c>
      <c r="H55" s="102">
        <v>237.4</v>
      </c>
      <c r="I55" s="102">
        <v>142</v>
      </c>
      <c r="J55" s="102">
        <v>108.8</v>
      </c>
      <c r="K55" s="102">
        <v>117.5</v>
      </c>
      <c r="L55" s="102">
        <v>46.9</v>
      </c>
      <c r="M55" s="102">
        <v>52.1</v>
      </c>
      <c r="N55" s="102">
        <f t="shared" si="1"/>
        <v>84.7</v>
      </c>
      <c r="O55" s="102">
        <f t="shared" si="2"/>
        <v>848.9</v>
      </c>
      <c r="P55" s="102">
        <f t="shared" si="3"/>
        <v>216.5</v>
      </c>
      <c r="Q55" s="102">
        <f t="shared" si="4"/>
        <v>1150.0999999999999</v>
      </c>
    </row>
    <row r="56" spans="1:33">
      <c r="A56" s="102">
        <v>2011</v>
      </c>
      <c r="B56" s="102">
        <v>24.3</v>
      </c>
      <c r="C56" s="102">
        <v>1.1000000000000001</v>
      </c>
      <c r="D56" s="102">
        <v>23.7</v>
      </c>
      <c r="E56" s="102">
        <v>9.4</v>
      </c>
      <c r="F56" s="102">
        <v>22</v>
      </c>
      <c r="G56" s="102">
        <v>148.9</v>
      </c>
      <c r="H56" s="102">
        <v>39.5</v>
      </c>
      <c r="I56" s="102">
        <v>51.1</v>
      </c>
      <c r="J56" s="102">
        <v>32.799999999999997</v>
      </c>
      <c r="K56" s="102">
        <v>72.2</v>
      </c>
      <c r="L56" s="102">
        <v>38.200000000000003</v>
      </c>
      <c r="M56" s="102">
        <v>6.6</v>
      </c>
      <c r="N56" s="102">
        <f t="shared" si="1"/>
        <v>58.5</v>
      </c>
      <c r="O56" s="102">
        <f t="shared" si="2"/>
        <v>294.3</v>
      </c>
      <c r="P56" s="102">
        <f t="shared" si="3"/>
        <v>117</v>
      </c>
      <c r="Q56" s="102">
        <f t="shared" si="4"/>
        <v>469.8</v>
      </c>
      <c r="R56" s="104"/>
      <c r="S56" s="104"/>
      <c r="T56" s="104"/>
      <c r="U56" s="104"/>
      <c r="V56" s="104"/>
      <c r="W56" s="104"/>
      <c r="X56" s="104"/>
      <c r="Y56" s="104"/>
      <c r="Z56" s="104"/>
      <c r="AA56" s="104"/>
      <c r="AB56" s="104"/>
      <c r="AC56" s="104"/>
      <c r="AD56" s="104"/>
      <c r="AE56" s="104"/>
    </row>
    <row r="57" spans="1:33">
      <c r="A57" s="102">
        <v>2012</v>
      </c>
      <c r="B57" s="102">
        <v>26.7</v>
      </c>
      <c r="C57" s="102">
        <v>2.5</v>
      </c>
      <c r="D57" s="102">
        <v>15.7</v>
      </c>
      <c r="E57" s="102">
        <v>9.4</v>
      </c>
      <c r="F57" s="102">
        <v>145.30000000000001</v>
      </c>
      <c r="G57" s="102">
        <v>387.2</v>
      </c>
      <c r="H57" s="102">
        <v>187.6</v>
      </c>
      <c r="I57" s="102">
        <v>95.1</v>
      </c>
      <c r="J57" s="102">
        <v>70.900000000000006</v>
      </c>
      <c r="K57" s="102">
        <v>78</v>
      </c>
      <c r="L57" s="102">
        <v>29.2</v>
      </c>
      <c r="M57" s="102">
        <v>0.8</v>
      </c>
      <c r="N57" s="102">
        <f t="shared" si="1"/>
        <v>54.3</v>
      </c>
      <c r="O57" s="102">
        <f t="shared" si="2"/>
        <v>886.1</v>
      </c>
      <c r="P57" s="102">
        <f t="shared" si="3"/>
        <v>108</v>
      </c>
      <c r="Q57" s="102">
        <f t="shared" si="4"/>
        <v>1048.3999999999999</v>
      </c>
      <c r="R57" s="104"/>
      <c r="S57" s="104"/>
      <c r="T57" s="104"/>
      <c r="U57" s="104"/>
      <c r="V57" s="104"/>
      <c r="W57" s="104"/>
      <c r="X57" s="104"/>
      <c r="Y57" s="104"/>
      <c r="Z57" s="104"/>
      <c r="AA57" s="104"/>
      <c r="AB57" s="104"/>
      <c r="AC57" s="104"/>
      <c r="AD57" s="104"/>
      <c r="AE57" s="104"/>
      <c r="AF57" s="104"/>
      <c r="AG57" s="104"/>
    </row>
    <row r="58" spans="1:33">
      <c r="A58" s="102">
        <v>2013</v>
      </c>
      <c r="B58" s="102">
        <v>8.1</v>
      </c>
      <c r="C58" s="102">
        <v>0.4</v>
      </c>
      <c r="D58" s="102">
        <v>15.9</v>
      </c>
      <c r="E58" s="102">
        <v>82.4</v>
      </c>
      <c r="F58" s="102">
        <v>153.6</v>
      </c>
      <c r="G58" s="102">
        <v>140.30000000000001</v>
      </c>
      <c r="H58" s="102">
        <v>278.7</v>
      </c>
      <c r="I58" s="102">
        <v>166.9</v>
      </c>
      <c r="J58" s="102">
        <v>77.2</v>
      </c>
      <c r="K58" s="102">
        <v>66.2</v>
      </c>
      <c r="L58" s="102">
        <v>6.1</v>
      </c>
      <c r="M58" s="102">
        <v>39.9</v>
      </c>
      <c r="N58" s="102">
        <f t="shared" si="1"/>
        <v>106.80000000000001</v>
      </c>
      <c r="O58" s="102">
        <f t="shared" si="2"/>
        <v>816.69999999999993</v>
      </c>
      <c r="P58" s="102">
        <f t="shared" si="3"/>
        <v>112.19999999999999</v>
      </c>
      <c r="Q58" s="102">
        <f t="shared" si="4"/>
        <v>1035.7</v>
      </c>
      <c r="R58" s="104"/>
      <c r="S58" s="104"/>
      <c r="T58" s="104"/>
      <c r="U58" s="104"/>
      <c r="V58" s="104"/>
      <c r="W58" s="104"/>
      <c r="X58" s="104"/>
      <c r="Y58" s="104"/>
      <c r="Z58" s="104"/>
      <c r="AA58" s="104"/>
      <c r="AB58" s="104"/>
      <c r="AC58" s="104"/>
      <c r="AD58" s="104"/>
      <c r="AE58" s="104"/>
      <c r="AF58" s="104"/>
      <c r="AG58" s="104"/>
    </row>
    <row r="59" spans="1:33">
      <c r="A59" s="102">
        <v>2014</v>
      </c>
      <c r="B59" s="128">
        <v>8.3000000000000007</v>
      </c>
      <c r="C59" s="128">
        <v>27.9</v>
      </c>
      <c r="D59" s="128">
        <v>15.8</v>
      </c>
      <c r="E59" s="128">
        <v>101.6</v>
      </c>
      <c r="F59" s="128">
        <v>54</v>
      </c>
      <c r="G59" s="128">
        <v>290.5</v>
      </c>
      <c r="H59" s="128">
        <v>322.10000000000002</v>
      </c>
      <c r="I59" s="128">
        <v>143.4</v>
      </c>
      <c r="J59" s="128">
        <v>287.7</v>
      </c>
      <c r="K59" s="128">
        <v>47.1</v>
      </c>
      <c r="L59" s="128">
        <v>30.6</v>
      </c>
      <c r="M59" s="128">
        <v>1.3</v>
      </c>
      <c r="N59" s="102">
        <f t="shared" si="1"/>
        <v>153.6</v>
      </c>
      <c r="O59" s="102">
        <f t="shared" si="2"/>
        <v>1097.7</v>
      </c>
      <c r="P59" s="102">
        <f t="shared" si="3"/>
        <v>79</v>
      </c>
      <c r="Q59" s="102">
        <f t="shared" si="4"/>
        <v>1330.2999999999997</v>
      </c>
    </row>
    <row r="60" spans="1:33">
      <c r="A60" s="102">
        <v>2015</v>
      </c>
      <c r="B60" s="128">
        <v>47.3</v>
      </c>
      <c r="C60" s="128">
        <v>15.3</v>
      </c>
      <c r="D60" s="128">
        <v>29.6</v>
      </c>
      <c r="E60" s="128">
        <v>38.6</v>
      </c>
      <c r="F60" s="128">
        <v>251.3</v>
      </c>
      <c r="G60" s="128">
        <v>163.1</v>
      </c>
      <c r="H60" s="128">
        <v>258.60000000000002</v>
      </c>
      <c r="I60" s="128">
        <v>226.8</v>
      </c>
      <c r="J60" s="128">
        <v>263.10000000000002</v>
      </c>
      <c r="K60" s="128">
        <v>124.4</v>
      </c>
      <c r="L60" s="128">
        <v>21.4</v>
      </c>
      <c r="M60" s="128">
        <v>63</v>
      </c>
      <c r="N60" s="102">
        <f t="shared" si="1"/>
        <v>130.79999999999998</v>
      </c>
      <c r="O60" s="102">
        <f t="shared" si="2"/>
        <v>1162.9000000000001</v>
      </c>
      <c r="P60" s="102">
        <f t="shared" si="3"/>
        <v>208.8</v>
      </c>
      <c r="Q60" s="102">
        <f t="shared" si="4"/>
        <v>1502.5000000000005</v>
      </c>
    </row>
    <row r="61" spans="1:33">
      <c r="A61" s="102">
        <v>2016</v>
      </c>
      <c r="B61" s="128">
        <v>12.2</v>
      </c>
      <c r="C61" s="128">
        <v>8.6999999999999993</v>
      </c>
      <c r="D61" s="128">
        <v>4.7</v>
      </c>
      <c r="E61" s="128">
        <v>67.900000000000006</v>
      </c>
      <c r="F61" s="128">
        <v>142.19999999999999</v>
      </c>
      <c r="G61" s="128">
        <v>416.1</v>
      </c>
      <c r="H61" s="128">
        <v>103.4</v>
      </c>
      <c r="I61" s="128">
        <v>184.8</v>
      </c>
      <c r="J61" s="128">
        <v>113.3</v>
      </c>
      <c r="K61" s="128">
        <v>56.9</v>
      </c>
      <c r="L61" s="128">
        <v>84.1</v>
      </c>
      <c r="M61" s="128">
        <v>2.2999999999999998</v>
      </c>
      <c r="N61" s="102">
        <f>SUM(B61:E61)</f>
        <v>93.5</v>
      </c>
      <c r="O61" s="102">
        <f>SUM(F61:J61)</f>
        <v>959.8</v>
      </c>
      <c r="P61" s="102">
        <f>SUM(K61:M61)</f>
        <v>143.30000000000001</v>
      </c>
      <c r="Q61" s="102">
        <f>SUM(B61:M61)</f>
        <v>1196.5999999999999</v>
      </c>
      <c r="R61" s="108">
        <f t="shared" ref="R61:AG61" si="5">100*(B61-B4)/B4</f>
        <v>-24.602234136591022</v>
      </c>
      <c r="S61" s="108">
        <f t="shared" si="5"/>
        <v>-50.184949720299464</v>
      </c>
      <c r="T61" s="108">
        <f t="shared" si="5"/>
        <v>-81.538393393998476</v>
      </c>
      <c r="U61" s="108">
        <f t="shared" si="5"/>
        <v>36.197628358495905</v>
      </c>
      <c r="V61" s="108">
        <f t="shared" si="5"/>
        <v>-13.011371705100334</v>
      </c>
      <c r="W61" s="108">
        <f t="shared" si="5"/>
        <v>58.624351590899828</v>
      </c>
      <c r="X61" s="108">
        <f t="shared" si="5"/>
        <v>-61.429218512696181</v>
      </c>
      <c r="Y61" s="108">
        <f t="shared" si="5"/>
        <v>-2.9793936212101237</v>
      </c>
      <c r="Z61" s="108">
        <f t="shared" si="5"/>
        <v>-18.913185170038471</v>
      </c>
      <c r="AA61" s="108">
        <f t="shared" si="5"/>
        <v>-36.3165783951234</v>
      </c>
      <c r="AB61" s="108">
        <f t="shared" si="5"/>
        <v>125.00597200324869</v>
      </c>
      <c r="AC61" s="108">
        <f t="shared" si="5"/>
        <v>-84.46320868516284</v>
      </c>
      <c r="AD61" s="108">
        <f t="shared" si="5"/>
        <v>-14.186894970111604</v>
      </c>
      <c r="AE61" s="108">
        <f t="shared" si="5"/>
        <v>-6.2757420511336273</v>
      </c>
      <c r="AF61" s="108">
        <f t="shared" si="5"/>
        <v>1.2516402543656007</v>
      </c>
      <c r="AG61" s="108">
        <f t="shared" si="5"/>
        <v>-6.1161893908493319</v>
      </c>
    </row>
  </sheetData>
  <mergeCells count="6">
    <mergeCell ref="A1:A3"/>
    <mergeCell ref="B2:M2"/>
    <mergeCell ref="B1:Q1"/>
    <mergeCell ref="R1:AG1"/>
    <mergeCell ref="N2:Q2"/>
    <mergeCell ref="R2:AG2"/>
  </mergeCells>
  <phoneticPr fontId="2" type="noConversion"/>
  <pageMargins left="0.75" right="0.75" top="1" bottom="1" header="0.5" footer="0.5"/>
  <headerFooter alignWithMargins="0"/>
</worksheet>
</file>

<file path=xl/worksheets/sheet82.xml><?xml version="1.0" encoding="utf-8"?>
<worksheet xmlns="http://schemas.openxmlformats.org/spreadsheetml/2006/main" xmlns:r="http://schemas.openxmlformats.org/officeDocument/2006/relationships">
  <sheetPr codeName="Sheet82"/>
  <dimension ref="A1:AG41"/>
  <sheetViews>
    <sheetView zoomScale="85" zoomScaleNormal="85" workbookViewId="0">
      <pane ySplit="5" topLeftCell="A6" activePane="bottomLeft" state="frozen"/>
      <selection pane="bottomLeft" activeCell="R41" sqref="R41"/>
    </sheetView>
  </sheetViews>
  <sheetFormatPr defaultRowHeight="12"/>
  <cols>
    <col min="1" max="73" width="7.125" style="102" customWidth="1"/>
    <col min="74" max="16384" width="9" style="102"/>
  </cols>
  <sheetData>
    <row r="1" spans="1:33" s="118" customFormat="1" ht="14.25" customHeight="1">
      <c r="A1" s="176" t="s">
        <v>53</v>
      </c>
      <c r="B1" s="176" t="s">
        <v>171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2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116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32</v>
      </c>
      <c r="O2" s="176"/>
      <c r="P2" s="176"/>
      <c r="Q2" s="176"/>
      <c r="R2" s="176" t="s">
        <v>38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 ht="24">
      <c r="A3" s="176"/>
      <c r="B3" s="125" t="s">
        <v>149</v>
      </c>
      <c r="C3" s="125" t="s">
        <v>150</v>
      </c>
      <c r="D3" s="125" t="s">
        <v>9</v>
      </c>
      <c r="E3" s="125" t="s">
        <v>10</v>
      </c>
      <c r="F3" s="125" t="s">
        <v>11</v>
      </c>
      <c r="G3" s="125" t="s">
        <v>12</v>
      </c>
      <c r="H3" s="125" t="s">
        <v>13</v>
      </c>
      <c r="I3" s="125" t="s">
        <v>14</v>
      </c>
      <c r="J3" s="125" t="s">
        <v>15</v>
      </c>
      <c r="K3" s="125" t="s">
        <v>16</v>
      </c>
      <c r="L3" s="125" t="s">
        <v>17</v>
      </c>
      <c r="M3" s="125" t="s">
        <v>18</v>
      </c>
      <c r="N3" s="125" t="s">
        <v>145</v>
      </c>
      <c r="O3" s="125" t="s">
        <v>146</v>
      </c>
      <c r="P3" s="125" t="s">
        <v>147</v>
      </c>
      <c r="Q3" s="125" t="s">
        <v>148</v>
      </c>
      <c r="R3" s="125" t="s">
        <v>149</v>
      </c>
      <c r="S3" s="125" t="s">
        <v>150</v>
      </c>
      <c r="T3" s="125" t="s">
        <v>151</v>
      </c>
      <c r="U3" s="125" t="s">
        <v>152</v>
      </c>
      <c r="V3" s="125" t="s">
        <v>153</v>
      </c>
      <c r="W3" s="125" t="s">
        <v>154</v>
      </c>
      <c r="X3" s="125" t="s">
        <v>25</v>
      </c>
      <c r="Y3" s="125" t="s">
        <v>26</v>
      </c>
      <c r="Z3" s="125" t="s">
        <v>27</v>
      </c>
      <c r="AA3" s="125" t="s">
        <v>155</v>
      </c>
      <c r="AB3" s="125" t="s">
        <v>156</v>
      </c>
      <c r="AC3" s="125" t="s">
        <v>157</v>
      </c>
      <c r="AD3" s="125" t="s">
        <v>132</v>
      </c>
      <c r="AE3" s="125" t="s">
        <v>42</v>
      </c>
      <c r="AF3" s="125" t="s">
        <v>91</v>
      </c>
      <c r="AG3" s="125" t="s">
        <v>66</v>
      </c>
    </row>
    <row r="4" spans="1:33" s="118" customFormat="1">
      <c r="A4" s="150" t="s">
        <v>261</v>
      </c>
      <c r="B4" s="150">
        <f t="shared" ref="B4:Q4" si="0">AVERAGE(B5:B40)</f>
        <v>20.072222222222219</v>
      </c>
      <c r="C4" s="150">
        <f t="shared" si="0"/>
        <v>24.458333333333329</v>
      </c>
      <c r="D4" s="150">
        <f t="shared" si="0"/>
        <v>33.461111111111123</v>
      </c>
      <c r="E4" s="150">
        <f t="shared" si="0"/>
        <v>57.472222222222221</v>
      </c>
      <c r="F4" s="150">
        <f t="shared" si="0"/>
        <v>171.37777777777779</v>
      </c>
      <c r="G4" s="150">
        <f t="shared" si="0"/>
        <v>253.46944444444443</v>
      </c>
      <c r="H4" s="150">
        <f t="shared" si="0"/>
        <v>246.51111111111109</v>
      </c>
      <c r="I4" s="150">
        <f t="shared" si="0"/>
        <v>170.51388888888889</v>
      </c>
      <c r="J4" s="150">
        <f t="shared" si="0"/>
        <v>105.93611111111109</v>
      </c>
      <c r="K4" s="150">
        <f t="shared" si="0"/>
        <v>81.422222222222231</v>
      </c>
      <c r="L4" s="150">
        <f t="shared" si="0"/>
        <v>37.319444444444443</v>
      </c>
      <c r="M4" s="150">
        <f t="shared" si="0"/>
        <v>18.669444444444448</v>
      </c>
      <c r="N4" s="150">
        <f t="shared" si="0"/>
        <v>135.46388888888885</v>
      </c>
      <c r="O4" s="150">
        <f t="shared" si="0"/>
        <v>947.80833333333374</v>
      </c>
      <c r="P4" s="150">
        <f t="shared" si="0"/>
        <v>137.4111111111111</v>
      </c>
      <c r="Q4" s="150">
        <f t="shared" si="0"/>
        <v>1220.6833333333334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1980</v>
      </c>
      <c r="B5" s="102">
        <v>5.4</v>
      </c>
      <c r="C5" s="102">
        <v>17.2</v>
      </c>
      <c r="D5" s="102">
        <v>52.8</v>
      </c>
      <c r="E5" s="102">
        <v>24</v>
      </c>
      <c r="F5" s="102">
        <v>298.7</v>
      </c>
      <c r="G5" s="102">
        <v>198.1</v>
      </c>
      <c r="H5" s="102">
        <v>361.5</v>
      </c>
      <c r="I5" s="102">
        <v>105.2</v>
      </c>
      <c r="J5" s="102">
        <v>63.9</v>
      </c>
      <c r="K5" s="102">
        <v>184.4</v>
      </c>
      <c r="L5" s="102">
        <v>58.2</v>
      </c>
      <c r="M5" s="102">
        <v>41.1</v>
      </c>
      <c r="N5" s="102">
        <f>SUM(B5:E5)</f>
        <v>99.4</v>
      </c>
      <c r="O5" s="102">
        <f>SUM(F5:J5)</f>
        <v>1027.4000000000001</v>
      </c>
      <c r="P5" s="102">
        <f>SUM(K5:M5)</f>
        <v>283.70000000000005</v>
      </c>
      <c r="Q5" s="102">
        <f>SUM(B5:M5)</f>
        <v>1410.5000000000002</v>
      </c>
    </row>
    <row r="6" spans="1:33">
      <c r="A6" s="102">
        <v>1981</v>
      </c>
      <c r="B6" s="102">
        <v>16.5</v>
      </c>
      <c r="C6" s="102">
        <v>29.4</v>
      </c>
      <c r="D6" s="102">
        <v>51.8</v>
      </c>
      <c r="E6" s="102">
        <v>112.2</v>
      </c>
      <c r="F6" s="102">
        <v>227.4</v>
      </c>
      <c r="G6" s="102">
        <v>245.3</v>
      </c>
      <c r="H6" s="102">
        <v>212.4</v>
      </c>
      <c r="I6" s="102">
        <v>114.5</v>
      </c>
      <c r="J6" s="102">
        <v>228.5</v>
      </c>
      <c r="K6" s="102">
        <v>40.1</v>
      </c>
      <c r="L6" s="102">
        <v>137.69999999999999</v>
      </c>
      <c r="M6" s="102">
        <v>9.1</v>
      </c>
      <c r="N6" s="102">
        <f t="shared" ref="N6:N40" si="1">SUM(B6:E6)</f>
        <v>209.89999999999998</v>
      </c>
      <c r="O6" s="102">
        <f t="shared" ref="O6:O40" si="2">SUM(F6:J6)</f>
        <v>1028.0999999999999</v>
      </c>
      <c r="P6" s="102">
        <f t="shared" ref="P6:P40" si="3">SUM(K6:M6)</f>
        <v>186.89999999999998</v>
      </c>
      <c r="Q6" s="102">
        <f t="shared" ref="Q6:Q40" si="4">SUM(B6:M6)</f>
        <v>1424.8999999999999</v>
      </c>
    </row>
    <row r="7" spans="1:33">
      <c r="A7" s="102">
        <v>1982</v>
      </c>
      <c r="B7" s="102">
        <v>12</v>
      </c>
      <c r="C7" s="102">
        <v>69.5</v>
      </c>
      <c r="D7" s="102">
        <v>30.5</v>
      </c>
      <c r="E7" s="102">
        <v>200.9</v>
      </c>
      <c r="F7" s="102">
        <v>179.6</v>
      </c>
      <c r="G7" s="102">
        <v>343.2</v>
      </c>
      <c r="H7" s="102">
        <v>172.1</v>
      </c>
      <c r="I7" s="102">
        <v>266.89999999999998</v>
      </c>
      <c r="J7" s="102">
        <v>133.5</v>
      </c>
      <c r="K7" s="102">
        <v>40</v>
      </c>
      <c r="L7" s="102">
        <v>98.5</v>
      </c>
      <c r="M7" s="102">
        <v>18.399999999999999</v>
      </c>
      <c r="N7" s="102">
        <f t="shared" si="1"/>
        <v>312.89999999999998</v>
      </c>
      <c r="O7" s="102">
        <f t="shared" si="2"/>
        <v>1095.3</v>
      </c>
      <c r="P7" s="102">
        <f t="shared" si="3"/>
        <v>156.9</v>
      </c>
      <c r="Q7" s="102">
        <f t="shared" si="4"/>
        <v>1565.1000000000001</v>
      </c>
    </row>
    <row r="8" spans="1:33">
      <c r="A8" s="102">
        <v>1983</v>
      </c>
      <c r="B8" s="102">
        <v>28.3</v>
      </c>
      <c r="C8" s="102">
        <v>63.2</v>
      </c>
      <c r="D8" s="102">
        <v>49.1</v>
      </c>
      <c r="E8" s="102">
        <v>49.9</v>
      </c>
      <c r="F8" s="102">
        <v>299.10000000000002</v>
      </c>
      <c r="G8" s="102">
        <v>305.60000000000002</v>
      </c>
      <c r="H8" s="102">
        <v>184.3</v>
      </c>
      <c r="I8" s="102">
        <v>217.1</v>
      </c>
      <c r="J8" s="102">
        <v>60.7</v>
      </c>
      <c r="K8" s="102">
        <v>92.6</v>
      </c>
      <c r="L8" s="102">
        <v>80.2</v>
      </c>
      <c r="M8" s="102">
        <v>24.9</v>
      </c>
      <c r="N8" s="102">
        <f t="shared" si="1"/>
        <v>190.5</v>
      </c>
      <c r="O8" s="102">
        <f t="shared" si="2"/>
        <v>1066.8</v>
      </c>
      <c r="P8" s="102">
        <f t="shared" si="3"/>
        <v>197.70000000000002</v>
      </c>
      <c r="Q8" s="102">
        <f t="shared" si="4"/>
        <v>1455</v>
      </c>
    </row>
    <row r="9" spans="1:33">
      <c r="A9" s="102">
        <v>1984</v>
      </c>
      <c r="B9" s="102">
        <v>18.600000000000001</v>
      </c>
      <c r="C9" s="102">
        <v>9.6999999999999993</v>
      </c>
      <c r="D9" s="102">
        <v>7.3</v>
      </c>
      <c r="E9" s="102">
        <v>82.1</v>
      </c>
      <c r="F9" s="102">
        <v>222.7</v>
      </c>
      <c r="G9" s="102">
        <v>165.4</v>
      </c>
      <c r="H9" s="102">
        <v>214.7</v>
      </c>
      <c r="I9" s="102">
        <v>194.1</v>
      </c>
      <c r="J9" s="102">
        <v>71.099999999999994</v>
      </c>
      <c r="K9" s="102">
        <v>50.1</v>
      </c>
      <c r="L9" s="102">
        <v>18.399999999999999</v>
      </c>
      <c r="M9" s="102">
        <v>20.3</v>
      </c>
      <c r="N9" s="102">
        <f t="shared" si="1"/>
        <v>117.69999999999999</v>
      </c>
      <c r="O9" s="102">
        <f t="shared" si="2"/>
        <v>868</v>
      </c>
      <c r="P9" s="102">
        <f t="shared" si="3"/>
        <v>88.8</v>
      </c>
      <c r="Q9" s="102">
        <f t="shared" si="4"/>
        <v>1074.5</v>
      </c>
    </row>
    <row r="10" spans="1:33">
      <c r="A10" s="102">
        <v>1985</v>
      </c>
      <c r="B10" s="102">
        <v>15.8</v>
      </c>
      <c r="C10" s="102">
        <v>28.3</v>
      </c>
      <c r="D10" s="102">
        <v>29.9</v>
      </c>
      <c r="E10" s="102">
        <v>94.7</v>
      </c>
      <c r="F10" s="102">
        <v>241</v>
      </c>
      <c r="G10" s="102">
        <v>386.9</v>
      </c>
      <c r="H10" s="102">
        <v>256.60000000000002</v>
      </c>
      <c r="I10" s="102">
        <v>129.6</v>
      </c>
      <c r="J10" s="102">
        <v>148.80000000000001</v>
      </c>
      <c r="K10" s="102">
        <v>35.1</v>
      </c>
      <c r="L10" s="102">
        <v>38.9</v>
      </c>
      <c r="M10" s="102">
        <v>15.2</v>
      </c>
      <c r="N10" s="102">
        <f t="shared" si="1"/>
        <v>168.7</v>
      </c>
      <c r="O10" s="102">
        <f t="shared" si="2"/>
        <v>1162.9000000000001</v>
      </c>
      <c r="P10" s="102">
        <f t="shared" si="3"/>
        <v>89.2</v>
      </c>
      <c r="Q10" s="102">
        <f t="shared" si="4"/>
        <v>1420.7999999999997</v>
      </c>
    </row>
    <row r="11" spans="1:33">
      <c r="A11" s="102">
        <v>1986</v>
      </c>
      <c r="B11" s="102">
        <v>8</v>
      </c>
      <c r="C11" s="102">
        <v>19.399999999999999</v>
      </c>
      <c r="D11" s="102">
        <v>40.1</v>
      </c>
      <c r="E11" s="102">
        <v>64.8</v>
      </c>
      <c r="F11" s="102">
        <v>171.5</v>
      </c>
      <c r="G11" s="102">
        <v>198.8</v>
      </c>
      <c r="H11" s="102">
        <v>339.8</v>
      </c>
      <c r="I11" s="102">
        <v>188.7</v>
      </c>
      <c r="J11" s="102">
        <v>74.099999999999994</v>
      </c>
      <c r="K11" s="102">
        <v>98.4</v>
      </c>
      <c r="L11" s="102">
        <v>37.700000000000003</v>
      </c>
      <c r="M11" s="102">
        <v>12.1</v>
      </c>
      <c r="N11" s="102">
        <f t="shared" si="1"/>
        <v>132.30000000000001</v>
      </c>
      <c r="O11" s="102">
        <f t="shared" si="2"/>
        <v>972.9</v>
      </c>
      <c r="P11" s="102">
        <f t="shared" si="3"/>
        <v>148.20000000000002</v>
      </c>
      <c r="Q11" s="102">
        <f t="shared" si="4"/>
        <v>1253.4000000000001</v>
      </c>
    </row>
    <row r="12" spans="1:33">
      <c r="A12" s="102">
        <v>1987</v>
      </c>
      <c r="B12" s="102">
        <v>19.7</v>
      </c>
      <c r="C12" s="102">
        <v>19.3</v>
      </c>
      <c r="D12" s="102">
        <v>0.4</v>
      </c>
      <c r="E12" s="102">
        <v>18.399999999999999</v>
      </c>
      <c r="F12" s="102">
        <v>107.8</v>
      </c>
      <c r="G12" s="102">
        <v>183.3</v>
      </c>
      <c r="H12" s="102">
        <v>295.10000000000002</v>
      </c>
      <c r="I12" s="102">
        <v>258.5</v>
      </c>
      <c r="J12" s="102">
        <v>64.900000000000006</v>
      </c>
      <c r="K12" s="102">
        <v>122.3</v>
      </c>
      <c r="L12" s="102">
        <v>39.200000000000003</v>
      </c>
      <c r="M12" s="102">
        <v>5.4</v>
      </c>
      <c r="N12" s="102">
        <f t="shared" si="1"/>
        <v>57.8</v>
      </c>
      <c r="O12" s="102">
        <f t="shared" si="2"/>
        <v>909.6</v>
      </c>
      <c r="P12" s="102">
        <f t="shared" si="3"/>
        <v>166.9</v>
      </c>
      <c r="Q12" s="102">
        <f t="shared" si="4"/>
        <v>1134.3000000000002</v>
      </c>
    </row>
    <row r="13" spans="1:33">
      <c r="A13" s="102">
        <v>1988</v>
      </c>
      <c r="B13" s="102">
        <v>6</v>
      </c>
      <c r="C13" s="102">
        <v>40.9</v>
      </c>
      <c r="D13" s="102">
        <v>6.7</v>
      </c>
      <c r="E13" s="102">
        <v>74.599999999999994</v>
      </c>
      <c r="F13" s="102">
        <v>128.69999999999999</v>
      </c>
      <c r="G13" s="102">
        <v>181.6</v>
      </c>
      <c r="H13" s="102">
        <v>179.3</v>
      </c>
      <c r="I13" s="102">
        <v>181.3</v>
      </c>
      <c r="J13" s="102">
        <v>212.8</v>
      </c>
      <c r="K13" s="102">
        <v>69</v>
      </c>
      <c r="L13" s="102">
        <v>2.7</v>
      </c>
      <c r="M13" s="102">
        <v>3.4</v>
      </c>
      <c r="N13" s="102">
        <f t="shared" si="1"/>
        <v>128.19999999999999</v>
      </c>
      <c r="O13" s="102">
        <f t="shared" si="2"/>
        <v>883.7</v>
      </c>
      <c r="P13" s="102">
        <f t="shared" si="3"/>
        <v>75.100000000000009</v>
      </c>
      <c r="Q13" s="102">
        <f t="shared" si="4"/>
        <v>1087</v>
      </c>
    </row>
    <row r="14" spans="1:33">
      <c r="A14" s="102">
        <v>1989</v>
      </c>
      <c r="B14" s="102">
        <v>19.8</v>
      </c>
      <c r="C14" s="102">
        <v>6.7</v>
      </c>
      <c r="D14" s="102">
        <v>37.799999999999997</v>
      </c>
      <c r="E14" s="102">
        <v>35.200000000000003</v>
      </c>
      <c r="F14" s="102">
        <v>112.3</v>
      </c>
      <c r="G14" s="102">
        <v>282.60000000000002</v>
      </c>
      <c r="H14" s="102">
        <v>99.5</v>
      </c>
      <c r="I14" s="102">
        <v>109</v>
      </c>
      <c r="J14" s="102">
        <v>100.8</v>
      </c>
      <c r="K14" s="102">
        <v>60.7</v>
      </c>
      <c r="L14" s="102">
        <v>3.7</v>
      </c>
      <c r="M14" s="102">
        <v>18.5</v>
      </c>
      <c r="N14" s="102">
        <f t="shared" si="1"/>
        <v>99.5</v>
      </c>
      <c r="O14" s="102">
        <f t="shared" si="2"/>
        <v>704.2</v>
      </c>
      <c r="P14" s="102">
        <f t="shared" si="3"/>
        <v>82.9</v>
      </c>
      <c r="Q14" s="102">
        <f t="shared" si="4"/>
        <v>886.60000000000014</v>
      </c>
    </row>
    <row r="15" spans="1:33">
      <c r="A15" s="102">
        <v>1990</v>
      </c>
      <c r="B15" s="102">
        <v>15.9</v>
      </c>
      <c r="C15" s="102">
        <v>21.3</v>
      </c>
      <c r="D15" s="102">
        <v>54.2</v>
      </c>
      <c r="E15" s="102">
        <v>48.9</v>
      </c>
      <c r="F15" s="102">
        <v>233.7</v>
      </c>
      <c r="G15" s="102">
        <v>381.2</v>
      </c>
      <c r="H15" s="102">
        <v>156.19999999999999</v>
      </c>
      <c r="I15" s="102">
        <v>100.4</v>
      </c>
      <c r="J15" s="102">
        <v>131.5</v>
      </c>
      <c r="K15" s="102">
        <v>54.9</v>
      </c>
      <c r="L15" s="102">
        <v>30.4</v>
      </c>
      <c r="M15" s="102">
        <v>2.2999999999999998</v>
      </c>
      <c r="N15" s="102">
        <f t="shared" si="1"/>
        <v>140.30000000000001</v>
      </c>
      <c r="O15" s="102">
        <f t="shared" si="2"/>
        <v>1002.9999999999999</v>
      </c>
      <c r="P15" s="102">
        <f t="shared" si="3"/>
        <v>87.6</v>
      </c>
      <c r="Q15" s="102">
        <f t="shared" si="4"/>
        <v>1230.9000000000003</v>
      </c>
    </row>
    <row r="16" spans="1:33">
      <c r="A16" s="102">
        <v>1991</v>
      </c>
      <c r="B16" s="102">
        <v>48.8</v>
      </c>
      <c r="C16" s="102">
        <v>5.5</v>
      </c>
      <c r="D16" s="102">
        <v>53.8</v>
      </c>
      <c r="E16" s="102">
        <v>30</v>
      </c>
      <c r="F16" s="102">
        <v>20.100000000000001</v>
      </c>
      <c r="G16" s="102">
        <v>335.6</v>
      </c>
      <c r="H16" s="102">
        <v>285.5</v>
      </c>
      <c r="I16" s="102">
        <v>310.8</v>
      </c>
      <c r="J16" s="102">
        <v>58.7</v>
      </c>
      <c r="K16" s="102">
        <v>41.9</v>
      </c>
      <c r="L16" s="102">
        <v>49.7</v>
      </c>
      <c r="M16" s="102">
        <v>31.3</v>
      </c>
      <c r="N16" s="102">
        <f t="shared" si="1"/>
        <v>138.1</v>
      </c>
      <c r="O16" s="102">
        <f t="shared" si="2"/>
        <v>1010.7</v>
      </c>
      <c r="P16" s="102">
        <f t="shared" si="3"/>
        <v>122.89999999999999</v>
      </c>
      <c r="Q16" s="102">
        <f t="shared" si="4"/>
        <v>1271.7</v>
      </c>
    </row>
    <row r="17" spans="1:17">
      <c r="A17" s="102">
        <v>1992</v>
      </c>
      <c r="B17" s="102">
        <v>46.7</v>
      </c>
      <c r="C17" s="102">
        <v>71.7</v>
      </c>
      <c r="D17" s="102">
        <v>21.6</v>
      </c>
      <c r="E17" s="102">
        <v>30.1</v>
      </c>
      <c r="F17" s="102">
        <v>78.7</v>
      </c>
      <c r="G17" s="102">
        <v>171.4</v>
      </c>
      <c r="H17" s="102">
        <v>300.60000000000002</v>
      </c>
      <c r="I17" s="102">
        <v>45.5</v>
      </c>
      <c r="J17" s="102">
        <v>96</v>
      </c>
      <c r="K17" s="102">
        <v>71.7</v>
      </c>
      <c r="L17" s="102">
        <v>18.7</v>
      </c>
      <c r="M17" s="102">
        <v>6.8</v>
      </c>
      <c r="N17" s="102">
        <f t="shared" si="1"/>
        <v>170.1</v>
      </c>
      <c r="O17" s="102">
        <f t="shared" si="2"/>
        <v>692.2</v>
      </c>
      <c r="P17" s="102">
        <f t="shared" si="3"/>
        <v>97.2</v>
      </c>
      <c r="Q17" s="102">
        <f t="shared" si="4"/>
        <v>959.50000000000011</v>
      </c>
    </row>
    <row r="18" spans="1:17">
      <c r="A18" s="102">
        <v>1993</v>
      </c>
      <c r="B18" s="102">
        <v>27.5</v>
      </c>
      <c r="C18" s="102">
        <v>42.4</v>
      </c>
      <c r="D18" s="102">
        <v>8.6999999999999993</v>
      </c>
      <c r="E18" s="102">
        <v>26.4</v>
      </c>
      <c r="F18" s="102">
        <v>186.5</v>
      </c>
      <c r="G18" s="102">
        <v>171.7</v>
      </c>
      <c r="H18" s="102">
        <v>475.3</v>
      </c>
      <c r="I18" s="102">
        <v>182.2</v>
      </c>
      <c r="J18" s="102">
        <v>190.5</v>
      </c>
      <c r="K18" s="102">
        <v>45.7</v>
      </c>
      <c r="L18" s="102">
        <v>2.9</v>
      </c>
      <c r="M18" s="102">
        <v>8.3000000000000007</v>
      </c>
      <c r="N18" s="102">
        <f t="shared" si="1"/>
        <v>105</v>
      </c>
      <c r="O18" s="102">
        <f t="shared" si="2"/>
        <v>1206.2</v>
      </c>
      <c r="P18" s="102">
        <f t="shared" si="3"/>
        <v>56.900000000000006</v>
      </c>
      <c r="Q18" s="102">
        <f t="shared" si="4"/>
        <v>1368.1000000000001</v>
      </c>
    </row>
    <row r="19" spans="1:17">
      <c r="A19" s="102">
        <v>1994</v>
      </c>
      <c r="B19" s="102">
        <v>13.1</v>
      </c>
      <c r="C19" s="102">
        <v>18.100000000000001</v>
      </c>
      <c r="D19" s="102">
        <v>59.5</v>
      </c>
      <c r="E19" s="102">
        <v>18.7</v>
      </c>
      <c r="F19" s="102">
        <v>217.4</v>
      </c>
      <c r="G19" s="102">
        <v>332.5</v>
      </c>
      <c r="H19" s="102">
        <v>197</v>
      </c>
      <c r="I19" s="102">
        <v>181</v>
      </c>
      <c r="J19" s="102">
        <v>179.7</v>
      </c>
      <c r="K19" s="102">
        <v>146.80000000000001</v>
      </c>
      <c r="L19" s="102">
        <v>59.3</v>
      </c>
      <c r="M19" s="102">
        <v>53.8</v>
      </c>
      <c r="N19" s="102">
        <f t="shared" si="1"/>
        <v>109.4</v>
      </c>
      <c r="O19" s="102">
        <f t="shared" si="2"/>
        <v>1107.5999999999999</v>
      </c>
      <c r="P19" s="102">
        <f t="shared" si="3"/>
        <v>259.90000000000003</v>
      </c>
      <c r="Q19" s="102">
        <f t="shared" si="4"/>
        <v>1476.8999999999999</v>
      </c>
    </row>
    <row r="20" spans="1:17">
      <c r="A20" s="102">
        <v>1995</v>
      </c>
      <c r="B20" s="102">
        <v>26.2</v>
      </c>
      <c r="C20" s="102">
        <v>41</v>
      </c>
      <c r="D20" s="102">
        <v>2.8</v>
      </c>
      <c r="E20" s="102">
        <v>54.4</v>
      </c>
      <c r="F20" s="102">
        <v>274.8</v>
      </c>
      <c r="G20" s="102">
        <v>223.2</v>
      </c>
      <c r="H20" s="102">
        <v>172.9</v>
      </c>
      <c r="I20" s="102">
        <v>315.3</v>
      </c>
      <c r="J20" s="102">
        <v>230.7</v>
      </c>
      <c r="K20" s="102">
        <v>55.2</v>
      </c>
      <c r="L20" s="102">
        <v>44.8</v>
      </c>
      <c r="M20" s="102">
        <v>4.4000000000000004</v>
      </c>
      <c r="N20" s="102">
        <f t="shared" si="1"/>
        <v>124.4</v>
      </c>
      <c r="O20" s="102">
        <f t="shared" si="2"/>
        <v>1216.9000000000001</v>
      </c>
      <c r="P20" s="102">
        <f t="shared" si="3"/>
        <v>104.4</v>
      </c>
      <c r="Q20" s="102">
        <f t="shared" si="4"/>
        <v>1445.7000000000003</v>
      </c>
    </row>
    <row r="21" spans="1:17">
      <c r="A21" s="102">
        <v>1996</v>
      </c>
      <c r="B21" s="102">
        <v>13.4</v>
      </c>
      <c r="C21" s="102">
        <v>17.399999999999999</v>
      </c>
      <c r="D21" s="102">
        <v>102.2</v>
      </c>
      <c r="E21" s="102">
        <v>67.7</v>
      </c>
      <c r="F21" s="102">
        <v>127.6</v>
      </c>
      <c r="G21" s="102">
        <v>137.30000000000001</v>
      </c>
      <c r="H21" s="102">
        <v>321.7</v>
      </c>
      <c r="I21" s="102">
        <v>337.3</v>
      </c>
      <c r="J21" s="102">
        <v>87.3</v>
      </c>
      <c r="K21" s="102">
        <v>63.9</v>
      </c>
      <c r="L21" s="102">
        <v>75.599999999999994</v>
      </c>
      <c r="M21" s="102">
        <v>6.2</v>
      </c>
      <c r="N21" s="102">
        <f t="shared" si="1"/>
        <v>200.7</v>
      </c>
      <c r="O21" s="102">
        <f t="shared" si="2"/>
        <v>1011.1999999999998</v>
      </c>
      <c r="P21" s="102">
        <f t="shared" si="3"/>
        <v>145.69999999999999</v>
      </c>
      <c r="Q21" s="102">
        <f t="shared" si="4"/>
        <v>1357.6</v>
      </c>
    </row>
    <row r="22" spans="1:17">
      <c r="A22" s="102">
        <v>1997</v>
      </c>
      <c r="B22" s="102">
        <v>18.8</v>
      </c>
      <c r="C22" s="102">
        <v>70.599999999999994</v>
      </c>
      <c r="D22" s="102">
        <v>65</v>
      </c>
      <c r="E22" s="102">
        <v>41</v>
      </c>
      <c r="F22" s="102">
        <v>167</v>
      </c>
      <c r="G22" s="102">
        <v>243.3</v>
      </c>
      <c r="H22" s="102">
        <v>338.9</v>
      </c>
      <c r="I22" s="102">
        <v>126.2</v>
      </c>
      <c r="J22" s="102">
        <v>131.6</v>
      </c>
      <c r="K22" s="102">
        <v>191</v>
      </c>
      <c r="L22" s="102">
        <v>6.7</v>
      </c>
      <c r="M22" s="102">
        <v>7.7</v>
      </c>
      <c r="N22" s="102">
        <f t="shared" si="1"/>
        <v>195.39999999999998</v>
      </c>
      <c r="O22" s="102">
        <f t="shared" si="2"/>
        <v>1007.0000000000001</v>
      </c>
      <c r="P22" s="102">
        <f t="shared" si="3"/>
        <v>205.39999999999998</v>
      </c>
      <c r="Q22" s="102">
        <f t="shared" si="4"/>
        <v>1407.8</v>
      </c>
    </row>
    <row r="23" spans="1:17">
      <c r="A23" s="102">
        <v>1998</v>
      </c>
      <c r="B23" s="102">
        <v>18.3</v>
      </c>
      <c r="C23" s="102">
        <v>23.4</v>
      </c>
      <c r="D23" s="102">
        <v>36.6</v>
      </c>
      <c r="E23" s="102">
        <v>37.799999999999997</v>
      </c>
      <c r="F23" s="102">
        <v>81.2</v>
      </c>
      <c r="G23" s="102">
        <v>175.5</v>
      </c>
      <c r="H23" s="102">
        <v>322.5</v>
      </c>
      <c r="I23" s="102">
        <v>82.3</v>
      </c>
      <c r="J23" s="102">
        <v>60.8</v>
      </c>
      <c r="K23" s="102">
        <v>71.099999999999994</v>
      </c>
      <c r="L23" s="102">
        <v>14.1</v>
      </c>
      <c r="M23" s="102">
        <v>10.7</v>
      </c>
      <c r="N23" s="102">
        <f t="shared" si="1"/>
        <v>116.10000000000001</v>
      </c>
      <c r="O23" s="102">
        <f t="shared" si="2"/>
        <v>722.3</v>
      </c>
      <c r="P23" s="102">
        <f t="shared" si="3"/>
        <v>95.899999999999991</v>
      </c>
      <c r="Q23" s="102">
        <f t="shared" si="4"/>
        <v>934.3</v>
      </c>
    </row>
    <row r="24" spans="1:17">
      <c r="A24" s="102">
        <v>1999</v>
      </c>
      <c r="B24" s="102">
        <v>10.1</v>
      </c>
      <c r="C24" s="102">
        <v>3.9</v>
      </c>
      <c r="D24" s="102">
        <v>25.6</v>
      </c>
      <c r="E24" s="102">
        <v>112</v>
      </c>
      <c r="F24" s="102">
        <v>143.1</v>
      </c>
      <c r="G24" s="102">
        <v>185.9</v>
      </c>
      <c r="H24" s="102">
        <v>378.8</v>
      </c>
      <c r="I24" s="102">
        <v>330.3</v>
      </c>
      <c r="J24" s="102">
        <v>74.099999999999994</v>
      </c>
      <c r="K24" s="102">
        <v>142.30000000000001</v>
      </c>
      <c r="L24" s="102">
        <v>49.3</v>
      </c>
      <c r="M24" s="102">
        <v>11.3</v>
      </c>
      <c r="N24" s="102">
        <f t="shared" si="1"/>
        <v>151.6</v>
      </c>
      <c r="O24" s="102">
        <f t="shared" si="2"/>
        <v>1112.1999999999998</v>
      </c>
      <c r="P24" s="102">
        <f t="shared" si="3"/>
        <v>202.90000000000003</v>
      </c>
      <c r="Q24" s="102">
        <f t="shared" si="4"/>
        <v>1466.6999999999998</v>
      </c>
    </row>
    <row r="25" spans="1:17">
      <c r="A25" s="102">
        <v>2000</v>
      </c>
      <c r="B25" s="102">
        <v>21</v>
      </c>
      <c r="C25" s="102">
        <v>34.5</v>
      </c>
      <c r="D25" s="102">
        <v>31.8</v>
      </c>
      <c r="E25" s="102">
        <v>72.599999999999994</v>
      </c>
      <c r="F25" s="102">
        <v>165.1</v>
      </c>
      <c r="G25" s="102">
        <v>256</v>
      </c>
      <c r="H25" s="102">
        <v>218.3</v>
      </c>
      <c r="I25" s="102">
        <v>209.7</v>
      </c>
      <c r="J25" s="102">
        <v>100.7</v>
      </c>
      <c r="K25" s="102">
        <v>104.1</v>
      </c>
      <c r="L25" s="102">
        <v>21.4</v>
      </c>
      <c r="M25" s="102">
        <v>29.2</v>
      </c>
      <c r="N25" s="102">
        <f t="shared" si="1"/>
        <v>159.89999999999998</v>
      </c>
      <c r="O25" s="102">
        <f t="shared" si="2"/>
        <v>949.80000000000018</v>
      </c>
      <c r="P25" s="102">
        <f t="shared" si="3"/>
        <v>154.69999999999999</v>
      </c>
      <c r="Q25" s="102">
        <f t="shared" si="4"/>
        <v>1264.4000000000001</v>
      </c>
    </row>
    <row r="26" spans="1:17">
      <c r="A26" s="102">
        <v>2001</v>
      </c>
      <c r="B26" s="102">
        <v>5.7</v>
      </c>
      <c r="C26" s="102">
        <v>23.6</v>
      </c>
      <c r="D26" s="102">
        <v>22.6</v>
      </c>
      <c r="E26" s="102">
        <v>15.8</v>
      </c>
      <c r="F26" s="102">
        <v>181.7</v>
      </c>
      <c r="G26" s="102">
        <v>271.89999999999998</v>
      </c>
      <c r="H26" s="102">
        <v>237.2</v>
      </c>
      <c r="I26" s="102">
        <v>93</v>
      </c>
      <c r="J26" s="102">
        <v>47.2</v>
      </c>
      <c r="K26" s="102">
        <v>169.5</v>
      </c>
      <c r="L26" s="102">
        <v>40.700000000000003</v>
      </c>
      <c r="M26" s="102">
        <v>6.3</v>
      </c>
      <c r="N26" s="102">
        <f t="shared" si="1"/>
        <v>67.7</v>
      </c>
      <c r="O26" s="102">
        <f t="shared" si="2"/>
        <v>831</v>
      </c>
      <c r="P26" s="102">
        <f t="shared" si="3"/>
        <v>216.5</v>
      </c>
      <c r="Q26" s="102">
        <f t="shared" si="4"/>
        <v>1115.2</v>
      </c>
    </row>
    <row r="27" spans="1:17">
      <c r="A27" s="102">
        <v>2002</v>
      </c>
      <c r="B27" s="102">
        <v>29.6</v>
      </c>
      <c r="C27" s="102">
        <v>9.1</v>
      </c>
      <c r="D27" s="102">
        <v>16.3</v>
      </c>
      <c r="E27" s="102">
        <v>51.6</v>
      </c>
      <c r="F27" s="102">
        <v>275</v>
      </c>
      <c r="G27" s="102">
        <v>222.4</v>
      </c>
      <c r="H27" s="102">
        <v>115.6</v>
      </c>
      <c r="I27" s="102">
        <v>230</v>
      </c>
      <c r="J27" s="102">
        <v>12.1</v>
      </c>
      <c r="K27" s="102">
        <v>94.2</v>
      </c>
      <c r="L27" s="102">
        <v>3.6</v>
      </c>
      <c r="M27" s="102">
        <v>43.3</v>
      </c>
      <c r="N27" s="102">
        <f t="shared" si="1"/>
        <v>106.6</v>
      </c>
      <c r="O27" s="102">
        <f t="shared" si="2"/>
        <v>855.1</v>
      </c>
      <c r="P27" s="102">
        <f t="shared" si="3"/>
        <v>141.1</v>
      </c>
      <c r="Q27" s="102">
        <f t="shared" si="4"/>
        <v>1102.8</v>
      </c>
    </row>
    <row r="28" spans="1:17">
      <c r="A28" s="102">
        <v>2003</v>
      </c>
      <c r="B28" s="102">
        <v>33</v>
      </c>
      <c r="C28" s="102">
        <v>2</v>
      </c>
      <c r="D28" s="102">
        <v>36</v>
      </c>
      <c r="E28" s="102">
        <v>10</v>
      </c>
      <c r="F28" s="102">
        <v>158</v>
      </c>
      <c r="G28" s="102">
        <v>250</v>
      </c>
      <c r="H28" s="102">
        <v>285</v>
      </c>
      <c r="I28" s="102">
        <v>123</v>
      </c>
      <c r="J28" s="102">
        <v>63</v>
      </c>
      <c r="K28" s="102">
        <v>36.799999999999997</v>
      </c>
      <c r="L28" s="102">
        <v>10.5</v>
      </c>
      <c r="M28" s="102">
        <v>16.2</v>
      </c>
      <c r="N28" s="102">
        <f t="shared" si="1"/>
        <v>81</v>
      </c>
      <c r="O28" s="102">
        <f t="shared" si="2"/>
        <v>879</v>
      </c>
      <c r="P28" s="102">
        <f t="shared" si="3"/>
        <v>63.5</v>
      </c>
      <c r="Q28" s="102">
        <f t="shared" si="4"/>
        <v>1023.5</v>
      </c>
    </row>
    <row r="29" spans="1:17">
      <c r="A29" s="102">
        <v>2004</v>
      </c>
      <c r="B29" s="102">
        <v>16.2</v>
      </c>
      <c r="C29" s="102">
        <v>47.3</v>
      </c>
      <c r="D29" s="102">
        <v>13.6</v>
      </c>
      <c r="E29" s="102">
        <v>132.1</v>
      </c>
      <c r="F29" s="102">
        <v>71</v>
      </c>
      <c r="G29" s="102">
        <v>65.5</v>
      </c>
      <c r="H29" s="102">
        <v>304.89999999999998</v>
      </c>
      <c r="I29" s="102">
        <v>149.5</v>
      </c>
      <c r="J29" s="102">
        <v>79</v>
      </c>
      <c r="K29" s="102">
        <v>10.3</v>
      </c>
      <c r="L29" s="102">
        <v>51.2</v>
      </c>
      <c r="M29" s="102">
        <v>7.3</v>
      </c>
      <c r="N29" s="102">
        <f t="shared" si="1"/>
        <v>209.2</v>
      </c>
      <c r="O29" s="102">
        <f t="shared" si="2"/>
        <v>669.9</v>
      </c>
      <c r="P29" s="102">
        <f t="shared" si="3"/>
        <v>68.8</v>
      </c>
      <c r="Q29" s="102">
        <f t="shared" si="4"/>
        <v>947.89999999999986</v>
      </c>
    </row>
    <row r="30" spans="1:17">
      <c r="A30" s="102">
        <v>2005</v>
      </c>
      <c r="B30" s="102">
        <v>23.6</v>
      </c>
      <c r="C30" s="102">
        <v>7.2</v>
      </c>
      <c r="D30" s="102">
        <v>58.9</v>
      </c>
      <c r="E30" s="102">
        <v>17.8</v>
      </c>
      <c r="F30" s="102">
        <v>142.5</v>
      </c>
      <c r="G30" s="102">
        <v>401.2</v>
      </c>
      <c r="H30" s="102">
        <v>155.5</v>
      </c>
      <c r="I30" s="102">
        <v>225.3</v>
      </c>
      <c r="J30" s="102">
        <v>81.2</v>
      </c>
      <c r="K30" s="102">
        <v>90</v>
      </c>
      <c r="L30" s="102">
        <v>4.8</v>
      </c>
      <c r="M30" s="102">
        <v>22.8</v>
      </c>
      <c r="N30" s="102">
        <f t="shared" si="1"/>
        <v>107.5</v>
      </c>
      <c r="O30" s="102">
        <f t="shared" si="2"/>
        <v>1005.7</v>
      </c>
      <c r="P30" s="102">
        <f t="shared" si="3"/>
        <v>117.6</v>
      </c>
      <c r="Q30" s="102">
        <f t="shared" si="4"/>
        <v>1230.8</v>
      </c>
    </row>
    <row r="31" spans="1:17">
      <c r="A31" s="102">
        <v>2006</v>
      </c>
      <c r="B31" s="102">
        <v>2.2999999999999998</v>
      </c>
      <c r="C31" s="102">
        <v>32.299999999999997</v>
      </c>
      <c r="D31" s="102">
        <v>30.1</v>
      </c>
      <c r="E31" s="102">
        <v>19.399999999999999</v>
      </c>
      <c r="F31" s="102">
        <v>166.5</v>
      </c>
      <c r="G31" s="102">
        <v>340</v>
      </c>
      <c r="H31" s="102">
        <v>186.8</v>
      </c>
      <c r="I31" s="102">
        <v>100.6</v>
      </c>
      <c r="J31" s="102">
        <v>42.5</v>
      </c>
      <c r="K31" s="102">
        <v>192.7</v>
      </c>
      <c r="L31" s="102">
        <v>47.4</v>
      </c>
      <c r="M31" s="102">
        <v>10</v>
      </c>
      <c r="N31" s="102">
        <f t="shared" si="1"/>
        <v>84.1</v>
      </c>
      <c r="O31" s="102">
        <f t="shared" si="2"/>
        <v>836.4</v>
      </c>
      <c r="P31" s="102">
        <f t="shared" si="3"/>
        <v>250.1</v>
      </c>
      <c r="Q31" s="102">
        <f t="shared" si="4"/>
        <v>1170.6000000000001</v>
      </c>
    </row>
    <row r="32" spans="1:17">
      <c r="A32" s="102">
        <v>2007</v>
      </c>
      <c r="B32" s="102">
        <v>28.2</v>
      </c>
      <c r="C32" s="102">
        <v>5.8</v>
      </c>
      <c r="D32" s="102">
        <v>3.5</v>
      </c>
      <c r="E32" s="102">
        <v>99.2</v>
      </c>
      <c r="F32" s="102">
        <v>201.1</v>
      </c>
      <c r="G32" s="102">
        <v>378.3</v>
      </c>
      <c r="H32" s="102">
        <v>302.39999999999998</v>
      </c>
      <c r="I32" s="102">
        <v>219.8</v>
      </c>
      <c r="J32" s="102">
        <v>114</v>
      </c>
      <c r="K32" s="102">
        <v>41.8</v>
      </c>
      <c r="L32" s="102">
        <v>8.3000000000000007</v>
      </c>
      <c r="M32" s="102">
        <v>19.3</v>
      </c>
      <c r="N32" s="102">
        <f t="shared" si="1"/>
        <v>136.69999999999999</v>
      </c>
      <c r="O32" s="102">
        <f t="shared" si="2"/>
        <v>1215.5999999999999</v>
      </c>
      <c r="P32" s="102">
        <f t="shared" si="3"/>
        <v>69.399999999999991</v>
      </c>
      <c r="Q32" s="102">
        <f t="shared" si="4"/>
        <v>1421.6999999999998</v>
      </c>
    </row>
    <row r="33" spans="1:33">
      <c r="A33" s="102">
        <v>2008</v>
      </c>
      <c r="B33" s="102">
        <v>18.8</v>
      </c>
      <c r="C33" s="102">
        <v>8.9</v>
      </c>
      <c r="D33" s="102">
        <v>76.5</v>
      </c>
      <c r="E33" s="102">
        <v>30.2</v>
      </c>
      <c r="F33" s="102">
        <v>314.2</v>
      </c>
      <c r="G33" s="102">
        <v>136.6</v>
      </c>
      <c r="H33" s="102">
        <v>295.7</v>
      </c>
      <c r="I33" s="102">
        <v>153.5</v>
      </c>
      <c r="J33" s="102">
        <v>78.099999999999994</v>
      </c>
      <c r="K33" s="102">
        <v>74.5</v>
      </c>
      <c r="L33" s="102">
        <v>71.5</v>
      </c>
      <c r="M33" s="102">
        <v>23.3</v>
      </c>
      <c r="N33" s="102">
        <f t="shared" si="1"/>
        <v>134.4</v>
      </c>
      <c r="O33" s="102">
        <f t="shared" si="2"/>
        <v>978.1</v>
      </c>
      <c r="P33" s="102">
        <f t="shared" si="3"/>
        <v>169.3</v>
      </c>
      <c r="Q33" s="102">
        <f t="shared" si="4"/>
        <v>1281.8</v>
      </c>
    </row>
    <row r="34" spans="1:33">
      <c r="A34" s="102">
        <v>2009</v>
      </c>
      <c r="B34" s="102">
        <v>4.7</v>
      </c>
      <c r="C34" s="102">
        <v>6.7</v>
      </c>
      <c r="D34" s="102">
        <v>74</v>
      </c>
      <c r="E34" s="102">
        <v>67.400000000000006</v>
      </c>
      <c r="F34" s="102">
        <v>57.1</v>
      </c>
      <c r="G34" s="102">
        <v>356.6</v>
      </c>
      <c r="H34" s="102">
        <v>181.5</v>
      </c>
      <c r="I34" s="102">
        <v>77.599999999999994</v>
      </c>
      <c r="J34" s="102">
        <v>40.5</v>
      </c>
      <c r="K34" s="102">
        <v>29.7</v>
      </c>
      <c r="L34" s="102">
        <v>8.9</v>
      </c>
      <c r="M34" s="102">
        <v>2.8</v>
      </c>
      <c r="N34" s="102">
        <f t="shared" si="1"/>
        <v>152.80000000000001</v>
      </c>
      <c r="O34" s="102">
        <f t="shared" si="2"/>
        <v>713.30000000000007</v>
      </c>
      <c r="P34" s="102">
        <f t="shared" si="3"/>
        <v>41.4</v>
      </c>
      <c r="Q34" s="102">
        <f t="shared" si="4"/>
        <v>907.5</v>
      </c>
    </row>
    <row r="35" spans="1:33">
      <c r="A35" s="102">
        <v>2010</v>
      </c>
      <c r="B35" s="102">
        <v>4.0999999999999996</v>
      </c>
      <c r="C35" s="102">
        <v>0.8</v>
      </c>
      <c r="D35" s="102">
        <v>0</v>
      </c>
      <c r="E35" s="102">
        <v>126.8</v>
      </c>
      <c r="F35" s="102">
        <v>132.80000000000001</v>
      </c>
      <c r="G35" s="102">
        <v>218</v>
      </c>
      <c r="H35" s="102">
        <v>303.7</v>
      </c>
      <c r="I35" s="102">
        <v>117.4</v>
      </c>
      <c r="J35" s="102">
        <v>176.8</v>
      </c>
      <c r="K35" s="102">
        <v>48.4</v>
      </c>
      <c r="L35" s="102">
        <v>37.6</v>
      </c>
      <c r="M35" s="102">
        <v>43.9</v>
      </c>
      <c r="N35" s="102">
        <f t="shared" si="1"/>
        <v>131.69999999999999</v>
      </c>
      <c r="O35" s="102">
        <f t="shared" si="2"/>
        <v>948.7</v>
      </c>
      <c r="P35" s="102">
        <f t="shared" si="3"/>
        <v>129.9</v>
      </c>
      <c r="Q35" s="102">
        <f t="shared" si="4"/>
        <v>1210.3000000000002</v>
      </c>
    </row>
    <row r="36" spans="1:33">
      <c r="A36" s="102">
        <v>2011</v>
      </c>
      <c r="B36" s="102">
        <v>22.3</v>
      </c>
      <c r="C36" s="102">
        <v>9.1</v>
      </c>
      <c r="D36" s="102">
        <v>35.4</v>
      </c>
      <c r="E36" s="102">
        <v>9.9</v>
      </c>
      <c r="F36" s="102">
        <v>36.299999999999997</v>
      </c>
      <c r="G36" s="102">
        <v>190.2</v>
      </c>
      <c r="H36" s="102">
        <v>57.5</v>
      </c>
      <c r="I36" s="102">
        <v>81.3</v>
      </c>
      <c r="J36" s="102">
        <v>60.6</v>
      </c>
      <c r="K36" s="102">
        <v>94.5</v>
      </c>
      <c r="L36" s="102">
        <v>36.299999999999997</v>
      </c>
      <c r="M36" s="102">
        <v>6.1</v>
      </c>
      <c r="N36" s="102">
        <f t="shared" si="1"/>
        <v>76.7</v>
      </c>
      <c r="O36" s="102">
        <f t="shared" si="2"/>
        <v>425.90000000000003</v>
      </c>
      <c r="P36" s="102">
        <f t="shared" si="3"/>
        <v>136.9</v>
      </c>
      <c r="Q36" s="102">
        <f t="shared" si="4"/>
        <v>639.5</v>
      </c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</row>
    <row r="37" spans="1:33">
      <c r="A37" s="102">
        <v>2012</v>
      </c>
      <c r="B37" s="102">
        <v>21.9</v>
      </c>
      <c r="C37" s="102">
        <v>10.3</v>
      </c>
      <c r="D37" s="102">
        <v>13.2</v>
      </c>
      <c r="E37" s="102">
        <v>23.4</v>
      </c>
      <c r="F37" s="102">
        <v>255.4</v>
      </c>
      <c r="G37" s="102">
        <v>369.4</v>
      </c>
      <c r="H37" s="102">
        <v>245.1</v>
      </c>
      <c r="I37" s="102">
        <v>112.9</v>
      </c>
      <c r="J37" s="102">
        <v>86.6</v>
      </c>
      <c r="K37" s="102">
        <v>27.2</v>
      </c>
      <c r="L37" s="102">
        <v>33.9</v>
      </c>
      <c r="M37" s="102">
        <v>10.5</v>
      </c>
      <c r="N37" s="102">
        <f t="shared" si="1"/>
        <v>68.800000000000011</v>
      </c>
      <c r="O37" s="102">
        <f t="shared" si="2"/>
        <v>1069.3999999999999</v>
      </c>
      <c r="P37" s="102">
        <f t="shared" si="3"/>
        <v>71.599999999999994</v>
      </c>
      <c r="Q37" s="102">
        <f t="shared" si="4"/>
        <v>1209.8000000000002</v>
      </c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</row>
    <row r="38" spans="1:33">
      <c r="A38" s="102">
        <v>2013</v>
      </c>
      <c r="B38" s="102">
        <v>14.9</v>
      </c>
      <c r="C38" s="102">
        <v>4</v>
      </c>
      <c r="D38" s="102">
        <v>20.9</v>
      </c>
      <c r="E38" s="102">
        <v>57.5</v>
      </c>
      <c r="F38" s="102">
        <v>206.1</v>
      </c>
      <c r="G38" s="102">
        <v>108</v>
      </c>
      <c r="H38" s="102">
        <v>138</v>
      </c>
      <c r="I38" s="102">
        <v>95.7</v>
      </c>
      <c r="J38" s="102">
        <v>51.1</v>
      </c>
      <c r="K38" s="102">
        <v>43.5</v>
      </c>
      <c r="L38" s="102">
        <v>6.3</v>
      </c>
      <c r="M38" s="102">
        <v>43.6</v>
      </c>
      <c r="N38" s="102">
        <f t="shared" si="1"/>
        <v>97.3</v>
      </c>
      <c r="O38" s="102">
        <f t="shared" si="2"/>
        <v>598.90000000000009</v>
      </c>
      <c r="P38" s="102">
        <f t="shared" si="3"/>
        <v>93.4</v>
      </c>
      <c r="Q38" s="102">
        <f t="shared" si="4"/>
        <v>789.6</v>
      </c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</row>
    <row r="39" spans="1:33">
      <c r="A39" s="102">
        <v>2014</v>
      </c>
      <c r="B39" s="128">
        <v>19.100000000000001</v>
      </c>
      <c r="C39" s="128">
        <v>34.5</v>
      </c>
      <c r="D39" s="128">
        <v>25.5</v>
      </c>
      <c r="E39" s="128">
        <v>75.099999999999994</v>
      </c>
      <c r="F39" s="128">
        <v>42.1</v>
      </c>
      <c r="G39" s="128">
        <v>545.29999999999995</v>
      </c>
      <c r="H39" s="128">
        <v>379</v>
      </c>
      <c r="I39" s="128">
        <v>184</v>
      </c>
      <c r="J39" s="128">
        <v>213.4</v>
      </c>
      <c r="K39" s="128">
        <v>56.5</v>
      </c>
      <c r="L39" s="128">
        <v>51</v>
      </c>
      <c r="M39" s="128">
        <v>3.7</v>
      </c>
      <c r="N39" s="102">
        <f t="shared" si="1"/>
        <v>154.19999999999999</v>
      </c>
      <c r="O39" s="102">
        <f t="shared" si="2"/>
        <v>1363.8000000000002</v>
      </c>
      <c r="P39" s="102">
        <f t="shared" si="3"/>
        <v>111.2</v>
      </c>
      <c r="Q39" s="102">
        <f t="shared" si="4"/>
        <v>1629.2</v>
      </c>
    </row>
    <row r="40" spans="1:33">
      <c r="A40" s="102">
        <v>2015</v>
      </c>
      <c r="B40" s="128">
        <v>68.3</v>
      </c>
      <c r="C40" s="128">
        <v>25.5</v>
      </c>
      <c r="D40" s="128">
        <v>9.9</v>
      </c>
      <c r="E40" s="128">
        <v>36.4</v>
      </c>
      <c r="F40" s="128">
        <v>245.8</v>
      </c>
      <c r="G40" s="128">
        <v>167.1</v>
      </c>
      <c r="H40" s="128">
        <v>203.5</v>
      </c>
      <c r="I40" s="128">
        <v>189</v>
      </c>
      <c r="J40" s="128">
        <v>166.9</v>
      </c>
      <c r="K40" s="128">
        <v>140.30000000000001</v>
      </c>
      <c r="L40" s="128">
        <v>43.4</v>
      </c>
      <c r="M40" s="128">
        <v>72.599999999999994</v>
      </c>
      <c r="N40" s="102">
        <f t="shared" si="1"/>
        <v>140.1</v>
      </c>
      <c r="O40" s="102">
        <f t="shared" si="2"/>
        <v>972.3</v>
      </c>
      <c r="P40" s="102">
        <f t="shared" si="3"/>
        <v>256.3</v>
      </c>
      <c r="Q40" s="102">
        <f t="shared" si="4"/>
        <v>1368.7</v>
      </c>
    </row>
    <row r="41" spans="1:33">
      <c r="A41" s="102">
        <v>2016</v>
      </c>
      <c r="B41" s="134">
        <v>14.5</v>
      </c>
      <c r="C41" s="134">
        <v>7</v>
      </c>
      <c r="D41" s="134">
        <v>7</v>
      </c>
      <c r="E41" s="134">
        <v>107.9</v>
      </c>
      <c r="F41" s="134">
        <v>209.3</v>
      </c>
      <c r="G41" s="134">
        <v>426.9</v>
      </c>
      <c r="H41" s="134">
        <v>38.9</v>
      </c>
      <c r="I41" s="134">
        <v>196.2</v>
      </c>
      <c r="J41" s="134">
        <v>54.2</v>
      </c>
      <c r="K41" s="134">
        <v>103.8</v>
      </c>
      <c r="L41" s="134">
        <v>67.5</v>
      </c>
      <c r="M41" s="134">
        <v>1.6</v>
      </c>
      <c r="N41" s="102">
        <f>SUM(B41:E41)</f>
        <v>136.4</v>
      </c>
      <c r="O41" s="102">
        <f>SUM(F41:J41)</f>
        <v>925.5</v>
      </c>
      <c r="P41" s="102">
        <f>SUM(K41:M41)</f>
        <v>172.9</v>
      </c>
      <c r="Q41" s="102">
        <f>SUM(B41:M41)</f>
        <v>1234.8</v>
      </c>
      <c r="R41" s="108">
        <f t="shared" ref="R41:AG41" si="5">100*(B41-B4)/B4</f>
        <v>-27.760863548297802</v>
      </c>
      <c r="S41" s="108">
        <f t="shared" si="5"/>
        <v>-71.379897785349229</v>
      </c>
      <c r="T41" s="108">
        <f t="shared" si="5"/>
        <v>-79.08019259505231</v>
      </c>
      <c r="U41" s="108">
        <f t="shared" si="5"/>
        <v>87.74287095215081</v>
      </c>
      <c r="V41" s="108">
        <f t="shared" si="5"/>
        <v>22.127852697095431</v>
      </c>
      <c r="W41" s="108">
        <f t="shared" si="5"/>
        <v>68.422667645672831</v>
      </c>
      <c r="X41" s="108">
        <f t="shared" si="5"/>
        <v>-84.219778238528804</v>
      </c>
      <c r="Y41" s="108">
        <f t="shared" si="5"/>
        <v>15.063940702125922</v>
      </c>
      <c r="Z41" s="108">
        <f t="shared" si="5"/>
        <v>-48.837087343000221</v>
      </c>
      <c r="AA41" s="108">
        <f t="shared" si="5"/>
        <v>27.483624454148451</v>
      </c>
      <c r="AB41" s="108">
        <f t="shared" si="5"/>
        <v>80.870859694826947</v>
      </c>
      <c r="AC41" s="108">
        <f t="shared" si="5"/>
        <v>-91.429846748995672</v>
      </c>
      <c r="AD41" s="108">
        <f t="shared" si="5"/>
        <v>0.69104107285668093</v>
      </c>
      <c r="AE41" s="108">
        <f t="shared" si="5"/>
        <v>-2.3536755849020521</v>
      </c>
      <c r="AF41" s="108">
        <f t="shared" si="5"/>
        <v>25.82679712137141</v>
      </c>
      <c r="AG41" s="108">
        <f t="shared" si="5"/>
        <v>1.1564560833412891</v>
      </c>
    </row>
  </sheetData>
  <mergeCells count="6">
    <mergeCell ref="A1:A3"/>
    <mergeCell ref="B2:M2"/>
    <mergeCell ref="B1:Q1"/>
    <mergeCell ref="R1:AG1"/>
    <mergeCell ref="N2:Q2"/>
    <mergeCell ref="R2:AG2"/>
  </mergeCells>
  <phoneticPr fontId="2" type="noConversion"/>
  <pageMargins left="0.75" right="0.75" top="1" bottom="1" header="0.5" footer="0.5"/>
  <headerFooter alignWithMargins="0"/>
</worksheet>
</file>

<file path=xl/worksheets/sheet83.xml><?xml version="1.0" encoding="utf-8"?>
<worksheet xmlns="http://schemas.openxmlformats.org/spreadsheetml/2006/main" xmlns:r="http://schemas.openxmlformats.org/officeDocument/2006/relationships">
  <sheetPr codeName="Sheet83">
    <tabColor rgb="FFC00000"/>
  </sheetPr>
  <dimension ref="A1:BV54"/>
  <sheetViews>
    <sheetView zoomScale="85" workbookViewId="0">
      <selection activeCell="O87" sqref="O87"/>
    </sheetView>
  </sheetViews>
  <sheetFormatPr defaultRowHeight="14.25"/>
  <cols>
    <col min="1" max="74" width="7.125" style="2" customWidth="1"/>
  </cols>
  <sheetData>
    <row r="1" spans="1:31" ht="14.25" customHeight="1">
      <c r="A1" s="163" t="s">
        <v>0</v>
      </c>
      <c r="B1" s="164" t="s">
        <v>1</v>
      </c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6"/>
      <c r="O1" s="166"/>
      <c r="P1" s="167"/>
      <c r="Q1" s="168" t="s">
        <v>2</v>
      </c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</row>
    <row r="2" spans="1:31">
      <c r="A2" s="163"/>
      <c r="B2" s="163" t="s">
        <v>3</v>
      </c>
      <c r="C2" s="163"/>
      <c r="D2" s="163"/>
      <c r="E2" s="163"/>
      <c r="F2" s="163"/>
      <c r="G2" s="163"/>
      <c r="H2" s="163"/>
      <c r="I2" s="163"/>
      <c r="J2" s="163"/>
      <c r="K2" s="163"/>
      <c r="L2" s="163"/>
      <c r="M2" s="163"/>
      <c r="N2" s="169" t="s">
        <v>32</v>
      </c>
      <c r="O2" s="170"/>
      <c r="P2" s="171"/>
      <c r="Q2" s="168" t="s">
        <v>6</v>
      </c>
      <c r="R2" s="165"/>
      <c r="S2" s="165"/>
      <c r="T2" s="165"/>
      <c r="U2" s="165"/>
      <c r="V2" s="165"/>
      <c r="W2" s="165"/>
      <c r="X2" s="165"/>
      <c r="Y2" s="165"/>
      <c r="Z2" s="165"/>
      <c r="AA2" s="165"/>
      <c r="AB2" s="165"/>
      <c r="AC2" s="165"/>
      <c r="AD2" s="165"/>
      <c r="AE2" s="172"/>
    </row>
    <row r="3" spans="1:31">
      <c r="A3" s="163"/>
      <c r="B3" s="1" t="s">
        <v>7</v>
      </c>
      <c r="C3" s="1" t="s">
        <v>8</v>
      </c>
      <c r="D3" s="1" t="s">
        <v>9</v>
      </c>
      <c r="E3" s="1" t="s">
        <v>10</v>
      </c>
      <c r="F3" s="1" t="s">
        <v>11</v>
      </c>
      <c r="G3" s="1" t="s">
        <v>12</v>
      </c>
      <c r="H3" s="1" t="s">
        <v>13</v>
      </c>
      <c r="I3" s="1" t="s">
        <v>14</v>
      </c>
      <c r="J3" s="1" t="s">
        <v>15</v>
      </c>
      <c r="K3" s="1" t="s">
        <v>16</v>
      </c>
      <c r="L3" s="1" t="s">
        <v>17</v>
      </c>
      <c r="M3" s="1" t="s">
        <v>18</v>
      </c>
      <c r="N3" s="3" t="s">
        <v>31</v>
      </c>
      <c r="O3" s="3" t="s">
        <v>4</v>
      </c>
      <c r="P3" s="3" t="s">
        <v>5</v>
      </c>
      <c r="Q3" s="4" t="s">
        <v>19</v>
      </c>
      <c r="R3" s="5" t="s">
        <v>20</v>
      </c>
      <c r="S3" s="5" t="s">
        <v>21</v>
      </c>
      <c r="T3" s="5" t="s">
        <v>22</v>
      </c>
      <c r="U3" s="1" t="s">
        <v>23</v>
      </c>
      <c r="V3" s="1" t="s">
        <v>24</v>
      </c>
      <c r="W3" s="1" t="s">
        <v>25</v>
      </c>
      <c r="X3" s="1" t="s">
        <v>26</v>
      </c>
      <c r="Y3" s="1" t="s">
        <v>27</v>
      </c>
      <c r="Z3" s="6" t="s">
        <v>28</v>
      </c>
      <c r="AA3" s="6" t="s">
        <v>29</v>
      </c>
      <c r="AB3" s="6" t="s">
        <v>30</v>
      </c>
      <c r="AC3" s="1" t="s">
        <v>31</v>
      </c>
      <c r="AD3" s="1" t="s">
        <v>4</v>
      </c>
      <c r="AE3" s="1" t="s">
        <v>5</v>
      </c>
    </row>
    <row r="4" spans="1:31">
      <c r="A4" s="147" t="s">
        <v>261</v>
      </c>
      <c r="B4" s="147">
        <f t="shared" ref="B4:Q4" si="0">AVERAGE(B5:B53)</f>
        <v>14.532653061224492</v>
      </c>
      <c r="C4" s="147">
        <f t="shared" si="0"/>
        <v>18.816326530612244</v>
      </c>
      <c r="D4" s="147">
        <f t="shared" si="0"/>
        <v>26.532653061224487</v>
      </c>
      <c r="E4" s="147">
        <f t="shared" si="0"/>
        <v>59.536734693877548</v>
      </c>
      <c r="F4" s="147">
        <f t="shared" si="0"/>
        <v>153.62857142857141</v>
      </c>
      <c r="G4" s="147">
        <f t="shared" si="0"/>
        <v>230.35510204081629</v>
      </c>
      <c r="H4" s="147">
        <f t="shared" si="0"/>
        <v>193.50204081632651</v>
      </c>
      <c r="I4" s="147">
        <f t="shared" si="0"/>
        <v>152.30408163265307</v>
      </c>
      <c r="J4" s="147">
        <f t="shared" si="0"/>
        <v>95.851020408163293</v>
      </c>
      <c r="K4" s="147">
        <f t="shared" si="0"/>
        <v>70.953061224489815</v>
      </c>
      <c r="L4" s="147">
        <f t="shared" si="0"/>
        <v>33.269387755102045</v>
      </c>
      <c r="M4" s="147">
        <f t="shared" si="0"/>
        <v>13.657142857142853</v>
      </c>
      <c r="N4" s="153">
        <f t="shared" si="0"/>
        <v>237.83750000000006</v>
      </c>
      <c r="O4" s="153">
        <f t="shared" si="0"/>
        <v>825.64081632653051</v>
      </c>
      <c r="P4" s="153">
        <f t="shared" si="0"/>
        <v>1064.6583333333333</v>
      </c>
      <c r="Q4" s="154" t="e">
        <f t="shared" si="0"/>
        <v>#REF!</v>
      </c>
      <c r="R4" s="154"/>
      <c r="S4" s="154"/>
      <c r="T4" s="154"/>
      <c r="U4" s="153"/>
      <c r="V4" s="153"/>
      <c r="W4" s="153"/>
      <c r="X4" s="153"/>
      <c r="Y4" s="153"/>
      <c r="Z4" s="25"/>
      <c r="AA4" s="25"/>
      <c r="AB4" s="25"/>
      <c r="AC4" s="153"/>
      <c r="AD4" s="153"/>
      <c r="AE4" s="153"/>
    </row>
    <row r="5" spans="1:31" hidden="1">
      <c r="A5" s="7">
        <v>1957</v>
      </c>
      <c r="B5" s="7">
        <v>23.7</v>
      </c>
      <c r="C5" s="7">
        <v>8.1</v>
      </c>
      <c r="D5" s="7">
        <v>24.6</v>
      </c>
      <c r="E5" s="7">
        <v>86.2</v>
      </c>
      <c r="F5" s="7">
        <v>74.2</v>
      </c>
      <c r="G5" s="7">
        <v>287.10000000000002</v>
      </c>
      <c r="H5" s="7">
        <v>120.6</v>
      </c>
      <c r="I5" s="7">
        <v>119.6</v>
      </c>
      <c r="J5" s="7">
        <v>167.5</v>
      </c>
      <c r="K5" s="7">
        <v>65.900000000000006</v>
      </c>
      <c r="L5" s="7">
        <v>14.2</v>
      </c>
      <c r="M5" s="7">
        <v>10.4</v>
      </c>
      <c r="O5" s="2">
        <f t="shared" ref="O5:O53" si="1">SUM(F5:J5)</f>
        <v>769</v>
      </c>
    </row>
    <row r="6" spans="1:31" hidden="1">
      <c r="A6" s="7">
        <v>1958</v>
      </c>
      <c r="B6" s="7">
        <v>4.7</v>
      </c>
      <c r="C6" s="7">
        <v>9.6999999999999993</v>
      </c>
      <c r="D6" s="7">
        <v>3.7</v>
      </c>
      <c r="E6" s="7">
        <v>24.4</v>
      </c>
      <c r="F6" s="7">
        <v>47.5</v>
      </c>
      <c r="G6" s="7">
        <v>281.2</v>
      </c>
      <c r="H6" s="7">
        <v>173.1</v>
      </c>
      <c r="I6" s="7">
        <v>203.5</v>
      </c>
      <c r="J6" s="7">
        <v>190.8</v>
      </c>
      <c r="K6" s="7">
        <v>69.5</v>
      </c>
      <c r="L6" s="7">
        <v>3.7</v>
      </c>
      <c r="M6" s="7">
        <v>1</v>
      </c>
      <c r="N6" s="2">
        <f>K5+L5+M5+B6+C6+D6+E6</f>
        <v>133.00000000000003</v>
      </c>
      <c r="O6" s="2">
        <f t="shared" si="1"/>
        <v>896.09999999999991</v>
      </c>
      <c r="P6" s="2">
        <f>SUM(N6:O6)</f>
        <v>1029.0999999999999</v>
      </c>
    </row>
    <row r="7" spans="1:31" hidden="1">
      <c r="A7" s="7">
        <v>1959</v>
      </c>
      <c r="B7" s="7">
        <v>13.3</v>
      </c>
      <c r="C7" s="7">
        <v>28.6</v>
      </c>
      <c r="D7" s="7">
        <v>47.9</v>
      </c>
      <c r="E7" s="7">
        <v>50.3</v>
      </c>
      <c r="F7" s="7">
        <v>221.5</v>
      </c>
      <c r="G7" s="7">
        <v>208.6</v>
      </c>
      <c r="H7" s="7">
        <v>153.4</v>
      </c>
      <c r="I7" s="7">
        <v>76.400000000000006</v>
      </c>
      <c r="J7" s="7">
        <v>147.1</v>
      </c>
      <c r="K7" s="7">
        <v>33.200000000000003</v>
      </c>
      <c r="L7" s="7">
        <v>1</v>
      </c>
      <c r="M7" s="7">
        <v>14.8</v>
      </c>
      <c r="N7" s="2">
        <f t="shared" ref="N7:N53" si="2">K6+L6+M6+B7+C7+D7+E7</f>
        <v>214.3</v>
      </c>
      <c r="O7" s="2">
        <f t="shared" si="1"/>
        <v>807</v>
      </c>
      <c r="P7" s="2">
        <f t="shared" ref="P7:P53" si="3">SUM(N7:O7)</f>
        <v>1021.3</v>
      </c>
    </row>
    <row r="8" spans="1:31" hidden="1">
      <c r="A8" s="7">
        <v>1960</v>
      </c>
      <c r="B8" s="7">
        <v>13.2</v>
      </c>
      <c r="C8" s="7">
        <v>13.1</v>
      </c>
      <c r="D8" s="7">
        <v>24.7</v>
      </c>
      <c r="E8" s="7">
        <v>10.9</v>
      </c>
      <c r="F8" s="7">
        <v>129.1</v>
      </c>
      <c r="G8" s="7">
        <v>95.4</v>
      </c>
      <c r="H8" s="7">
        <v>317.10000000000002</v>
      </c>
      <c r="I8" s="7">
        <v>64.3</v>
      </c>
      <c r="J8" s="7">
        <v>160.80000000000001</v>
      </c>
      <c r="K8" s="7">
        <v>26.1</v>
      </c>
      <c r="L8" s="7">
        <v>17</v>
      </c>
      <c r="M8" s="7">
        <v>5.4</v>
      </c>
      <c r="N8" s="2">
        <f t="shared" si="2"/>
        <v>110.9</v>
      </c>
      <c r="O8" s="2">
        <f t="shared" si="1"/>
        <v>766.7</v>
      </c>
      <c r="P8" s="2">
        <f t="shared" si="3"/>
        <v>877.6</v>
      </c>
    </row>
    <row r="9" spans="1:31" hidden="1">
      <c r="A9" s="7">
        <v>1961</v>
      </c>
      <c r="B9" s="7">
        <v>6.1</v>
      </c>
      <c r="C9" s="7">
        <v>42.6</v>
      </c>
      <c r="D9" s="7">
        <v>32</v>
      </c>
      <c r="E9" s="7">
        <v>162.5</v>
      </c>
      <c r="F9" s="7">
        <v>119.7</v>
      </c>
      <c r="G9" s="7">
        <v>105.8</v>
      </c>
      <c r="H9" s="7">
        <v>151.5</v>
      </c>
      <c r="I9" s="7">
        <v>55.4</v>
      </c>
      <c r="J9" s="7">
        <v>98.7</v>
      </c>
      <c r="K9" s="7">
        <v>99.5</v>
      </c>
      <c r="L9" s="7">
        <v>75.2</v>
      </c>
      <c r="M9" s="7">
        <v>52.9</v>
      </c>
      <c r="N9" s="2">
        <f t="shared" si="2"/>
        <v>291.7</v>
      </c>
      <c r="O9" s="2">
        <f t="shared" si="1"/>
        <v>531.1</v>
      </c>
      <c r="P9" s="2">
        <f t="shared" si="3"/>
        <v>822.8</v>
      </c>
    </row>
    <row r="10" spans="1:31" hidden="1">
      <c r="A10" s="7">
        <v>1962</v>
      </c>
      <c r="B10" s="7">
        <v>20.100000000000001</v>
      </c>
      <c r="C10" s="7">
        <v>12.9</v>
      </c>
      <c r="D10" s="7">
        <v>8</v>
      </c>
      <c r="E10" s="7">
        <v>17.7</v>
      </c>
      <c r="F10" s="7">
        <v>138.5</v>
      </c>
      <c r="G10" s="7">
        <v>237.6</v>
      </c>
      <c r="H10" s="7">
        <v>132</v>
      </c>
      <c r="I10" s="7">
        <v>91.4</v>
      </c>
      <c r="J10" s="7">
        <v>48.5</v>
      </c>
      <c r="K10" s="7">
        <v>45</v>
      </c>
      <c r="L10" s="7">
        <v>17.3</v>
      </c>
      <c r="M10" s="7">
        <v>3.7</v>
      </c>
      <c r="N10" s="2">
        <f t="shared" si="2"/>
        <v>286.29999999999995</v>
      </c>
      <c r="O10" s="2">
        <f t="shared" si="1"/>
        <v>648</v>
      </c>
      <c r="P10" s="2">
        <f t="shared" si="3"/>
        <v>934.3</v>
      </c>
    </row>
    <row r="11" spans="1:31" hidden="1">
      <c r="A11" s="7">
        <v>1963</v>
      </c>
      <c r="B11" s="7">
        <v>1.5</v>
      </c>
      <c r="C11" s="7">
        <v>10.199999999999999</v>
      </c>
      <c r="D11" s="7">
        <v>41.5</v>
      </c>
      <c r="E11" s="7">
        <v>5.4</v>
      </c>
      <c r="F11" s="7">
        <v>56.9</v>
      </c>
      <c r="G11" s="7">
        <v>194.7</v>
      </c>
      <c r="H11" s="7">
        <v>230.1</v>
      </c>
      <c r="I11" s="7">
        <v>106.5</v>
      </c>
      <c r="J11" s="7">
        <v>24.7</v>
      </c>
      <c r="K11" s="7">
        <v>58.1</v>
      </c>
      <c r="L11" s="7">
        <v>95.4</v>
      </c>
      <c r="M11" s="7">
        <v>52.6</v>
      </c>
      <c r="N11" s="2">
        <f t="shared" si="2"/>
        <v>124.60000000000001</v>
      </c>
      <c r="O11" s="2">
        <f t="shared" si="1"/>
        <v>612.90000000000009</v>
      </c>
      <c r="P11" s="2">
        <f t="shared" si="3"/>
        <v>737.50000000000011</v>
      </c>
    </row>
    <row r="12" spans="1:31" hidden="1">
      <c r="A12" s="7">
        <v>1964</v>
      </c>
      <c r="B12" s="7">
        <v>5.6</v>
      </c>
      <c r="C12" s="7">
        <v>35.700000000000003</v>
      </c>
      <c r="D12" s="7">
        <v>14.2</v>
      </c>
      <c r="E12" s="7">
        <v>100.7</v>
      </c>
      <c r="F12" s="7">
        <v>84.3</v>
      </c>
      <c r="G12" s="7">
        <v>269.10000000000002</v>
      </c>
      <c r="H12" s="7">
        <v>179.7</v>
      </c>
      <c r="I12" s="7">
        <v>235</v>
      </c>
      <c r="J12" s="7">
        <v>89.6</v>
      </c>
      <c r="K12" s="7">
        <v>104.6</v>
      </c>
      <c r="L12" s="7">
        <v>7</v>
      </c>
      <c r="M12" s="7">
        <v>19.600000000000001</v>
      </c>
      <c r="N12" s="2">
        <f t="shared" si="2"/>
        <v>362.29999999999995</v>
      </c>
      <c r="O12" s="2">
        <f t="shared" si="1"/>
        <v>857.7</v>
      </c>
      <c r="P12" s="2">
        <f t="shared" si="3"/>
        <v>1220</v>
      </c>
    </row>
    <row r="13" spans="1:31" hidden="1">
      <c r="A13" s="7">
        <v>1965</v>
      </c>
      <c r="B13" s="7">
        <v>18.600000000000001</v>
      </c>
      <c r="C13" s="7">
        <v>20.8</v>
      </c>
      <c r="D13" s="7">
        <v>13.4</v>
      </c>
      <c r="E13" s="7">
        <v>81.400000000000006</v>
      </c>
      <c r="F13" s="7">
        <v>181.2</v>
      </c>
      <c r="G13" s="7">
        <v>214.7</v>
      </c>
      <c r="H13" s="7">
        <v>105.9</v>
      </c>
      <c r="I13" s="7">
        <v>221.3</v>
      </c>
      <c r="J13" s="7">
        <v>66.8</v>
      </c>
      <c r="K13" s="7">
        <v>226.7</v>
      </c>
      <c r="L13" s="7">
        <v>18.7</v>
      </c>
      <c r="M13" s="7">
        <v>27.2</v>
      </c>
      <c r="N13" s="2">
        <f t="shared" si="2"/>
        <v>265.39999999999998</v>
      </c>
      <c r="O13" s="2">
        <f t="shared" si="1"/>
        <v>789.89999999999986</v>
      </c>
      <c r="P13" s="2">
        <f t="shared" si="3"/>
        <v>1055.2999999999997</v>
      </c>
    </row>
    <row r="14" spans="1:31" hidden="1">
      <c r="A14" s="7">
        <v>1966</v>
      </c>
      <c r="B14" s="7">
        <v>15.5</v>
      </c>
      <c r="C14" s="7">
        <v>2.7</v>
      </c>
      <c r="D14" s="7">
        <v>11.5</v>
      </c>
      <c r="E14" s="7">
        <v>21</v>
      </c>
      <c r="F14" s="7">
        <v>229</v>
      </c>
      <c r="G14" s="7">
        <v>156.19999999999999</v>
      </c>
      <c r="H14" s="7">
        <v>140.30000000000001</v>
      </c>
      <c r="I14" s="7">
        <v>78.599999999999994</v>
      </c>
      <c r="J14" s="7">
        <v>67</v>
      </c>
      <c r="K14" s="7">
        <v>115.2</v>
      </c>
      <c r="L14" s="7">
        <v>11.6</v>
      </c>
      <c r="M14" s="7">
        <v>8.1999999999999993</v>
      </c>
      <c r="N14" s="2">
        <f t="shared" si="2"/>
        <v>323.29999999999995</v>
      </c>
      <c r="O14" s="2">
        <f t="shared" si="1"/>
        <v>671.1</v>
      </c>
      <c r="P14" s="2">
        <f t="shared" si="3"/>
        <v>994.4</v>
      </c>
    </row>
    <row r="15" spans="1:31" hidden="1">
      <c r="A15" s="7">
        <v>1967</v>
      </c>
      <c r="B15" s="7">
        <v>2.8</v>
      </c>
      <c r="C15" s="7">
        <v>22.9</v>
      </c>
      <c r="D15" s="7">
        <v>14.4</v>
      </c>
      <c r="E15" s="7">
        <v>71.8</v>
      </c>
      <c r="F15" s="7">
        <v>177.2</v>
      </c>
      <c r="G15" s="7">
        <v>150.9</v>
      </c>
      <c r="H15" s="7">
        <v>155.1</v>
      </c>
      <c r="I15" s="7">
        <v>176.2</v>
      </c>
      <c r="J15" s="7">
        <v>95.8</v>
      </c>
      <c r="K15" s="7">
        <v>27.6</v>
      </c>
      <c r="L15" s="7">
        <v>69.7</v>
      </c>
      <c r="M15" s="7">
        <v>29</v>
      </c>
      <c r="N15" s="2">
        <f t="shared" si="2"/>
        <v>246.90000000000003</v>
      </c>
      <c r="O15" s="2">
        <f t="shared" si="1"/>
        <v>755.2</v>
      </c>
      <c r="P15" s="2">
        <f t="shared" si="3"/>
        <v>1002.1000000000001</v>
      </c>
    </row>
    <row r="16" spans="1:31" hidden="1">
      <c r="A16" s="7">
        <v>1968</v>
      </c>
      <c r="B16" s="7">
        <v>5.6</v>
      </c>
      <c r="C16" s="7">
        <v>39.200000000000003</v>
      </c>
      <c r="D16" s="7">
        <v>20.3</v>
      </c>
      <c r="E16" s="7">
        <v>117.6</v>
      </c>
      <c r="F16" s="7">
        <v>138.1</v>
      </c>
      <c r="G16" s="7">
        <v>229.9</v>
      </c>
      <c r="H16" s="7">
        <v>186.4</v>
      </c>
      <c r="I16" s="7">
        <v>158.30000000000001</v>
      </c>
      <c r="J16" s="7">
        <v>33.700000000000003</v>
      </c>
      <c r="K16" s="7">
        <v>51.9</v>
      </c>
      <c r="L16" s="7">
        <v>70.5</v>
      </c>
      <c r="M16" s="7">
        <v>2.8</v>
      </c>
      <c r="N16" s="2">
        <f t="shared" si="2"/>
        <v>309</v>
      </c>
      <c r="O16" s="2">
        <f t="shared" si="1"/>
        <v>746.40000000000009</v>
      </c>
      <c r="P16" s="2">
        <f t="shared" si="3"/>
        <v>1055.4000000000001</v>
      </c>
    </row>
    <row r="17" spans="1:16" hidden="1">
      <c r="A17" s="7">
        <v>1969</v>
      </c>
      <c r="B17" s="7">
        <v>18.7</v>
      </c>
      <c r="C17" s="7">
        <v>4.4000000000000004</v>
      </c>
      <c r="D17" s="7">
        <v>6.6</v>
      </c>
      <c r="E17" s="7">
        <v>101.4</v>
      </c>
      <c r="F17" s="7">
        <v>174.4</v>
      </c>
      <c r="G17" s="7">
        <v>381.8</v>
      </c>
      <c r="H17" s="7">
        <v>188.7</v>
      </c>
      <c r="I17" s="7">
        <v>294.8</v>
      </c>
      <c r="J17" s="7">
        <v>12</v>
      </c>
      <c r="K17" s="7">
        <v>80.5</v>
      </c>
      <c r="L17" s="7">
        <v>25</v>
      </c>
      <c r="M17" s="7">
        <v>6.4</v>
      </c>
      <c r="N17" s="2">
        <f t="shared" si="2"/>
        <v>256.3</v>
      </c>
      <c r="O17" s="2">
        <f t="shared" si="1"/>
        <v>1051.7</v>
      </c>
      <c r="P17" s="2">
        <f t="shared" si="3"/>
        <v>1308</v>
      </c>
    </row>
    <row r="18" spans="1:16" hidden="1">
      <c r="A18" s="7">
        <v>1970</v>
      </c>
      <c r="B18" s="7">
        <v>17.5</v>
      </c>
      <c r="C18" s="7">
        <v>7.6</v>
      </c>
      <c r="D18" s="7">
        <v>24.6</v>
      </c>
      <c r="E18" s="7">
        <v>78.8</v>
      </c>
      <c r="F18" s="7">
        <v>134.19999999999999</v>
      </c>
      <c r="G18" s="7">
        <v>80.8</v>
      </c>
      <c r="H18" s="7">
        <v>288.3</v>
      </c>
      <c r="I18" s="7">
        <v>89.5</v>
      </c>
      <c r="J18" s="7">
        <v>72.5</v>
      </c>
      <c r="K18" s="7">
        <v>15.8</v>
      </c>
      <c r="L18" s="7">
        <v>15.9</v>
      </c>
      <c r="M18" s="7">
        <v>49.4</v>
      </c>
      <c r="N18" s="2">
        <f t="shared" si="2"/>
        <v>240.39999999999998</v>
      </c>
      <c r="O18" s="2">
        <f t="shared" si="1"/>
        <v>665.3</v>
      </c>
      <c r="P18" s="2">
        <f t="shared" si="3"/>
        <v>905.69999999999993</v>
      </c>
    </row>
    <row r="19" spans="1:16" hidden="1">
      <c r="A19" s="7">
        <v>1971</v>
      </c>
      <c r="B19" s="7">
        <v>16.8</v>
      </c>
      <c r="C19" s="7">
        <v>11</v>
      </c>
      <c r="D19" s="7">
        <v>16.899999999999999</v>
      </c>
      <c r="E19" s="7">
        <v>50.2</v>
      </c>
      <c r="F19" s="7">
        <v>138.80000000000001</v>
      </c>
      <c r="G19" s="7">
        <v>228.5</v>
      </c>
      <c r="H19" s="7">
        <v>162.80000000000001</v>
      </c>
      <c r="I19" s="7">
        <v>180.9</v>
      </c>
      <c r="J19" s="7">
        <v>68.599999999999994</v>
      </c>
      <c r="K19" s="7">
        <v>67.099999999999994</v>
      </c>
      <c r="L19" s="7">
        <v>33.4</v>
      </c>
      <c r="M19" s="7">
        <v>7.9</v>
      </c>
      <c r="N19" s="2">
        <f t="shared" si="2"/>
        <v>176</v>
      </c>
      <c r="O19" s="2">
        <f t="shared" si="1"/>
        <v>779.6</v>
      </c>
      <c r="P19" s="2">
        <f t="shared" si="3"/>
        <v>955.6</v>
      </c>
    </row>
    <row r="20" spans="1:16" hidden="1">
      <c r="A20" s="7">
        <v>1972</v>
      </c>
      <c r="B20" s="7">
        <v>6.9</v>
      </c>
      <c r="C20" s="7">
        <v>10.6</v>
      </c>
      <c r="D20" s="7">
        <v>48.3</v>
      </c>
      <c r="E20" s="7">
        <v>51.9</v>
      </c>
      <c r="F20" s="7">
        <v>178.9</v>
      </c>
      <c r="G20" s="7">
        <v>131.80000000000001</v>
      </c>
      <c r="H20" s="7">
        <v>24.6</v>
      </c>
      <c r="I20" s="7">
        <v>87.6</v>
      </c>
      <c r="J20" s="7">
        <v>239.9</v>
      </c>
      <c r="K20" s="7">
        <v>60.2</v>
      </c>
      <c r="L20" s="7">
        <v>70.7</v>
      </c>
      <c r="M20" s="7">
        <v>12</v>
      </c>
      <c r="N20" s="2">
        <f t="shared" si="2"/>
        <v>226.1</v>
      </c>
      <c r="O20" s="2">
        <f t="shared" si="1"/>
        <v>662.80000000000007</v>
      </c>
      <c r="P20" s="2">
        <f t="shared" si="3"/>
        <v>888.90000000000009</v>
      </c>
    </row>
    <row r="21" spans="1:16" hidden="1">
      <c r="A21" s="7">
        <v>1973</v>
      </c>
      <c r="B21" s="7">
        <v>16.100000000000001</v>
      </c>
      <c r="C21" s="7">
        <v>8.6999999999999993</v>
      </c>
      <c r="D21" s="7">
        <v>49.7</v>
      </c>
      <c r="E21" s="7">
        <v>61.6</v>
      </c>
      <c r="F21" s="7">
        <v>122</v>
      </c>
      <c r="G21" s="7">
        <v>175.8</v>
      </c>
      <c r="H21" s="7">
        <v>192.1</v>
      </c>
      <c r="I21" s="7">
        <v>187</v>
      </c>
      <c r="J21" s="7">
        <v>123.1</v>
      </c>
      <c r="K21" s="7">
        <v>63.5</v>
      </c>
      <c r="L21" s="7">
        <v>27.4</v>
      </c>
      <c r="M21" s="7">
        <v>6.4</v>
      </c>
      <c r="N21" s="2">
        <f t="shared" si="2"/>
        <v>279</v>
      </c>
      <c r="O21" s="2">
        <f t="shared" si="1"/>
        <v>800</v>
      </c>
      <c r="P21" s="2">
        <f t="shared" si="3"/>
        <v>1079</v>
      </c>
    </row>
    <row r="22" spans="1:16" ht="15" hidden="1">
      <c r="A22" s="7">
        <v>1974</v>
      </c>
      <c r="B22" s="7">
        <v>11.9</v>
      </c>
      <c r="C22" s="7">
        <v>3.5</v>
      </c>
      <c r="D22" s="7">
        <v>29.3</v>
      </c>
      <c r="E22" s="7">
        <v>77.7</v>
      </c>
      <c r="F22" s="7">
        <v>79.8</v>
      </c>
      <c r="G22" s="7">
        <v>273.8</v>
      </c>
      <c r="H22" s="7">
        <v>289.2</v>
      </c>
      <c r="I22" s="7">
        <v>297.5</v>
      </c>
      <c r="J22" s="7">
        <v>169.5</v>
      </c>
      <c r="K22" s="7">
        <v>64.8</v>
      </c>
      <c r="L22" s="8">
        <v>8.5</v>
      </c>
      <c r="M22" s="8">
        <v>3</v>
      </c>
      <c r="N22" s="2">
        <f t="shared" si="2"/>
        <v>219.70000000000005</v>
      </c>
      <c r="O22" s="2">
        <f t="shared" si="1"/>
        <v>1109.8</v>
      </c>
      <c r="P22" s="2">
        <f t="shared" si="3"/>
        <v>1329.5</v>
      </c>
    </row>
    <row r="23" spans="1:16" ht="15" hidden="1">
      <c r="A23" s="7">
        <v>1975</v>
      </c>
      <c r="B23" s="7">
        <v>18.7</v>
      </c>
      <c r="C23" s="7">
        <v>27.2</v>
      </c>
      <c r="D23" s="7">
        <v>10.7</v>
      </c>
      <c r="E23" s="7">
        <v>43.8</v>
      </c>
      <c r="F23" s="7">
        <v>120.2</v>
      </c>
      <c r="G23" s="7">
        <v>204.4</v>
      </c>
      <c r="H23" s="7">
        <v>48.7</v>
      </c>
      <c r="I23" s="7">
        <v>196.8</v>
      </c>
      <c r="J23" s="7">
        <v>54.3</v>
      </c>
      <c r="K23" s="7">
        <v>10.4</v>
      </c>
      <c r="L23" s="8">
        <v>54.4</v>
      </c>
      <c r="M23" s="8">
        <v>0</v>
      </c>
      <c r="N23" s="2">
        <f t="shared" si="2"/>
        <v>176.7</v>
      </c>
      <c r="O23" s="2">
        <f t="shared" si="1"/>
        <v>624.4</v>
      </c>
      <c r="P23" s="2">
        <f t="shared" si="3"/>
        <v>801.09999999999991</v>
      </c>
    </row>
    <row r="24" spans="1:16" ht="15" hidden="1">
      <c r="A24" s="7">
        <v>1976</v>
      </c>
      <c r="B24" s="7">
        <v>9.8000000000000007</v>
      </c>
      <c r="C24" s="7">
        <v>4.8</v>
      </c>
      <c r="D24" s="7">
        <v>20</v>
      </c>
      <c r="E24" s="7">
        <v>23.6</v>
      </c>
      <c r="F24" s="7">
        <v>295.10000000000002</v>
      </c>
      <c r="G24" s="7">
        <v>193.4</v>
      </c>
      <c r="H24" s="7">
        <v>231.5</v>
      </c>
      <c r="I24" s="7">
        <v>143.30000000000001</v>
      </c>
      <c r="J24" s="7">
        <v>123.3</v>
      </c>
      <c r="K24" s="7">
        <v>143.19999999999999</v>
      </c>
      <c r="L24" s="8">
        <v>15.2</v>
      </c>
      <c r="M24" s="8">
        <v>5.2</v>
      </c>
      <c r="N24" s="2">
        <f t="shared" si="2"/>
        <v>123</v>
      </c>
      <c r="O24" s="2">
        <f t="shared" si="1"/>
        <v>986.59999999999991</v>
      </c>
      <c r="P24" s="2">
        <f t="shared" si="3"/>
        <v>1109.5999999999999</v>
      </c>
    </row>
    <row r="25" spans="1:16" ht="15" hidden="1">
      <c r="A25" s="7">
        <v>1977</v>
      </c>
      <c r="B25" s="7">
        <v>12.9</v>
      </c>
      <c r="C25" s="7">
        <v>5.8</v>
      </c>
      <c r="D25" s="7">
        <v>13.8</v>
      </c>
      <c r="E25" s="7">
        <v>39.799999999999997</v>
      </c>
      <c r="F25" s="7">
        <v>309.89999999999998</v>
      </c>
      <c r="G25" s="7">
        <v>323</v>
      </c>
      <c r="H25" s="7">
        <v>478.1</v>
      </c>
      <c r="I25" s="7">
        <v>124.3</v>
      </c>
      <c r="J25" s="7">
        <v>63.4</v>
      </c>
      <c r="K25" s="7">
        <v>63.9</v>
      </c>
      <c r="L25" s="8">
        <v>18.2</v>
      </c>
      <c r="M25" s="8">
        <v>0.7</v>
      </c>
      <c r="N25" s="2">
        <f t="shared" si="2"/>
        <v>235.89999999999998</v>
      </c>
      <c r="O25" s="2">
        <f t="shared" si="1"/>
        <v>1298.7</v>
      </c>
      <c r="P25" s="2">
        <f t="shared" si="3"/>
        <v>1534.6</v>
      </c>
    </row>
    <row r="26" spans="1:16" ht="15" hidden="1">
      <c r="A26" s="7">
        <v>1978</v>
      </c>
      <c r="B26" s="7">
        <v>1.4</v>
      </c>
      <c r="C26" s="7">
        <v>10.1</v>
      </c>
      <c r="D26" s="7">
        <v>16.7</v>
      </c>
      <c r="E26" s="7">
        <v>55.8</v>
      </c>
      <c r="F26" s="7">
        <v>278.60000000000002</v>
      </c>
      <c r="G26" s="7">
        <v>210.1</v>
      </c>
      <c r="H26" s="7">
        <v>148.19999999999999</v>
      </c>
      <c r="I26" s="7">
        <v>142.69999999999999</v>
      </c>
      <c r="J26" s="7">
        <v>81.5</v>
      </c>
      <c r="K26" s="7">
        <v>127.4</v>
      </c>
      <c r="L26" s="8">
        <v>108.2</v>
      </c>
      <c r="M26" s="8">
        <v>8.1999999999999993</v>
      </c>
      <c r="N26" s="2">
        <f t="shared" si="2"/>
        <v>166.8</v>
      </c>
      <c r="O26" s="2">
        <f t="shared" si="1"/>
        <v>861.10000000000014</v>
      </c>
      <c r="P26" s="2">
        <f t="shared" si="3"/>
        <v>1027.9000000000001</v>
      </c>
    </row>
    <row r="27" spans="1:16" ht="15" hidden="1">
      <c r="A27" s="7">
        <v>1979</v>
      </c>
      <c r="B27" s="7">
        <v>5.5</v>
      </c>
      <c r="C27" s="7">
        <v>8.1</v>
      </c>
      <c r="D27" s="7">
        <v>10.199999999999999</v>
      </c>
      <c r="E27" s="7">
        <v>126.2</v>
      </c>
      <c r="F27" s="7">
        <v>110.5</v>
      </c>
      <c r="G27" s="7">
        <v>550</v>
      </c>
      <c r="H27" s="7">
        <v>320.3</v>
      </c>
      <c r="I27" s="7">
        <v>163.30000000000001</v>
      </c>
      <c r="J27" s="7">
        <v>89</v>
      </c>
      <c r="K27" s="7">
        <v>13.8</v>
      </c>
      <c r="L27" s="8">
        <v>1.1000000000000001</v>
      </c>
      <c r="M27" s="8">
        <v>6.8</v>
      </c>
      <c r="N27" s="2">
        <f t="shared" si="2"/>
        <v>393.8</v>
      </c>
      <c r="O27" s="2">
        <f t="shared" si="1"/>
        <v>1233.0999999999999</v>
      </c>
      <c r="P27" s="2">
        <f t="shared" si="3"/>
        <v>1626.8999999999999</v>
      </c>
    </row>
    <row r="28" spans="1:16" ht="15" hidden="1">
      <c r="A28" s="7">
        <v>1980</v>
      </c>
      <c r="B28" s="7">
        <v>2.2999999999999998</v>
      </c>
      <c r="C28" s="7">
        <v>21.2</v>
      </c>
      <c r="D28" s="7">
        <v>39.799999999999997</v>
      </c>
      <c r="E28" s="7">
        <v>47.9</v>
      </c>
      <c r="F28" s="7">
        <v>173.5</v>
      </c>
      <c r="G28" s="7">
        <v>134.9</v>
      </c>
      <c r="H28" s="7">
        <v>222.6</v>
      </c>
      <c r="I28" s="7">
        <v>200.6</v>
      </c>
      <c r="J28" s="7">
        <v>42.5</v>
      </c>
      <c r="K28" s="7">
        <v>104.6</v>
      </c>
      <c r="L28" s="8">
        <v>24.7</v>
      </c>
      <c r="M28" s="8">
        <v>36</v>
      </c>
      <c r="N28" s="2">
        <f t="shared" si="2"/>
        <v>132.9</v>
      </c>
      <c r="O28" s="2">
        <f t="shared" si="1"/>
        <v>774.1</v>
      </c>
      <c r="P28" s="2">
        <f t="shared" si="3"/>
        <v>907</v>
      </c>
    </row>
    <row r="29" spans="1:16" ht="15" hidden="1">
      <c r="A29" s="7">
        <v>1981</v>
      </c>
      <c r="B29" s="7">
        <v>18.399999999999999</v>
      </c>
      <c r="C29" s="7">
        <v>17.3</v>
      </c>
      <c r="D29" s="7">
        <v>35.200000000000003</v>
      </c>
      <c r="E29" s="7">
        <v>95.9</v>
      </c>
      <c r="F29" s="7">
        <v>172.6</v>
      </c>
      <c r="G29" s="7">
        <v>145.5</v>
      </c>
      <c r="H29" s="7">
        <v>179.2</v>
      </c>
      <c r="I29" s="7">
        <v>55.1</v>
      </c>
      <c r="J29" s="7">
        <v>149.30000000000001</v>
      </c>
      <c r="K29" s="7">
        <v>24</v>
      </c>
      <c r="L29" s="8">
        <v>111.9</v>
      </c>
      <c r="M29" s="8">
        <v>8.1</v>
      </c>
      <c r="N29" s="2">
        <f t="shared" si="2"/>
        <v>332.1</v>
      </c>
      <c r="O29" s="2">
        <f t="shared" si="1"/>
        <v>701.7</v>
      </c>
      <c r="P29" s="2">
        <f t="shared" si="3"/>
        <v>1033.8000000000002</v>
      </c>
    </row>
    <row r="30" spans="1:16" ht="15" hidden="1">
      <c r="A30" s="7">
        <v>1982</v>
      </c>
      <c r="B30" s="7">
        <v>6.3</v>
      </c>
      <c r="C30" s="7">
        <v>54.9</v>
      </c>
      <c r="D30" s="7">
        <v>21.6</v>
      </c>
      <c r="E30" s="7">
        <v>165.7</v>
      </c>
      <c r="F30" s="7">
        <v>72.3</v>
      </c>
      <c r="G30" s="7">
        <v>231.9</v>
      </c>
      <c r="H30" s="7">
        <v>81.7</v>
      </c>
      <c r="I30" s="7">
        <v>148.6</v>
      </c>
      <c r="J30" s="7">
        <v>120.3</v>
      </c>
      <c r="K30" s="7">
        <v>51.3</v>
      </c>
      <c r="L30" s="8">
        <v>56.1</v>
      </c>
      <c r="M30" s="8">
        <v>10.1</v>
      </c>
      <c r="N30" s="2">
        <f t="shared" si="2"/>
        <v>392.5</v>
      </c>
      <c r="O30" s="2">
        <f t="shared" si="1"/>
        <v>654.79999999999995</v>
      </c>
      <c r="P30" s="2">
        <f t="shared" si="3"/>
        <v>1047.3</v>
      </c>
    </row>
    <row r="31" spans="1:16" ht="15" hidden="1">
      <c r="A31" s="7">
        <v>1983</v>
      </c>
      <c r="B31" s="7">
        <v>26.3</v>
      </c>
      <c r="C31" s="7">
        <v>40.5</v>
      </c>
      <c r="D31" s="7">
        <v>42.6</v>
      </c>
      <c r="E31" s="7">
        <v>52.3</v>
      </c>
      <c r="F31" s="7">
        <v>411</v>
      </c>
      <c r="G31" s="7">
        <v>194.3</v>
      </c>
      <c r="H31" s="7">
        <v>120.4</v>
      </c>
      <c r="I31" s="7">
        <v>182.9</v>
      </c>
      <c r="J31" s="7">
        <v>136.9</v>
      </c>
      <c r="K31" s="7">
        <v>98.3</v>
      </c>
      <c r="L31" s="8">
        <v>82.3</v>
      </c>
      <c r="M31" s="8">
        <v>29.6</v>
      </c>
      <c r="N31" s="2">
        <f t="shared" si="2"/>
        <v>279.2</v>
      </c>
      <c r="O31" s="2">
        <f t="shared" si="1"/>
        <v>1045.5</v>
      </c>
      <c r="P31" s="2">
        <f t="shared" si="3"/>
        <v>1324.7</v>
      </c>
    </row>
    <row r="32" spans="1:16" ht="15" hidden="1">
      <c r="A32" s="7">
        <v>1984</v>
      </c>
      <c r="B32" s="7">
        <v>14.7</v>
      </c>
      <c r="C32" s="7">
        <v>5</v>
      </c>
      <c r="D32" s="7">
        <v>14.7</v>
      </c>
      <c r="E32" s="7">
        <v>67.3</v>
      </c>
      <c r="F32" s="7">
        <v>170.8</v>
      </c>
      <c r="G32" s="7">
        <v>170.7</v>
      </c>
      <c r="H32" s="7">
        <v>110.9</v>
      </c>
      <c r="I32" s="7">
        <v>158.6</v>
      </c>
      <c r="J32" s="7">
        <v>47.9</v>
      </c>
      <c r="K32" s="7">
        <v>71.400000000000006</v>
      </c>
      <c r="L32" s="8">
        <v>26.6</v>
      </c>
      <c r="M32" s="8">
        <v>18</v>
      </c>
      <c r="N32" s="2">
        <f t="shared" si="2"/>
        <v>311.89999999999998</v>
      </c>
      <c r="O32" s="2">
        <f t="shared" si="1"/>
        <v>658.9</v>
      </c>
      <c r="P32" s="2">
        <f t="shared" si="3"/>
        <v>970.8</v>
      </c>
    </row>
    <row r="33" spans="1:16" hidden="1">
      <c r="A33" s="7">
        <v>1985</v>
      </c>
      <c r="B33" s="9">
        <v>11.1</v>
      </c>
      <c r="C33" s="9">
        <v>38.799999999999997</v>
      </c>
      <c r="D33" s="9">
        <v>15.4</v>
      </c>
      <c r="E33" s="9">
        <v>82.4</v>
      </c>
      <c r="F33" s="9">
        <v>204.2</v>
      </c>
      <c r="G33" s="9">
        <v>254.1</v>
      </c>
      <c r="H33" s="9">
        <v>108.8</v>
      </c>
      <c r="I33" s="9">
        <v>129.9</v>
      </c>
      <c r="J33" s="9">
        <v>77.3</v>
      </c>
      <c r="K33" s="9">
        <v>41.9</v>
      </c>
      <c r="L33" s="9">
        <v>24.4</v>
      </c>
      <c r="M33" s="9">
        <v>8.9</v>
      </c>
      <c r="N33" s="2">
        <f t="shared" si="2"/>
        <v>263.7</v>
      </c>
      <c r="O33" s="2">
        <f t="shared" si="1"/>
        <v>774.29999999999984</v>
      </c>
      <c r="P33" s="2">
        <f t="shared" si="3"/>
        <v>1037.9999999999998</v>
      </c>
    </row>
    <row r="34" spans="1:16" hidden="1">
      <c r="A34" s="7">
        <v>1986</v>
      </c>
      <c r="B34" s="9">
        <v>2.2000000000000002</v>
      </c>
      <c r="C34" s="9">
        <v>17.600000000000001</v>
      </c>
      <c r="D34" s="9">
        <v>22.2</v>
      </c>
      <c r="E34" s="9">
        <v>37.9</v>
      </c>
      <c r="F34" s="9">
        <v>172.5</v>
      </c>
      <c r="G34" s="9">
        <v>162.30000000000001</v>
      </c>
      <c r="H34" s="9">
        <v>207.3</v>
      </c>
      <c r="I34" s="9">
        <v>214.8</v>
      </c>
      <c r="J34" s="9">
        <v>106.7</v>
      </c>
      <c r="K34" s="9">
        <v>86.4</v>
      </c>
      <c r="L34" s="9">
        <v>26.4</v>
      </c>
      <c r="M34" s="9">
        <v>4.8</v>
      </c>
      <c r="N34" s="2">
        <f t="shared" si="2"/>
        <v>155.1</v>
      </c>
      <c r="O34" s="2">
        <f t="shared" si="1"/>
        <v>863.60000000000014</v>
      </c>
      <c r="P34" s="2">
        <f t="shared" si="3"/>
        <v>1018.7000000000002</v>
      </c>
    </row>
    <row r="35" spans="1:16" hidden="1">
      <c r="A35" s="7">
        <v>1987</v>
      </c>
      <c r="B35" s="7">
        <v>11.2</v>
      </c>
      <c r="C35" s="7">
        <v>11.8</v>
      </c>
      <c r="D35" s="7">
        <v>0</v>
      </c>
      <c r="E35" s="7">
        <v>16.2</v>
      </c>
      <c r="F35" s="7">
        <v>191</v>
      </c>
      <c r="G35" s="7">
        <v>288.8</v>
      </c>
      <c r="H35" s="7">
        <v>344.5</v>
      </c>
      <c r="I35" s="7">
        <v>283.3</v>
      </c>
      <c r="J35" s="7">
        <v>71.8</v>
      </c>
      <c r="K35" s="7">
        <v>83.3</v>
      </c>
      <c r="L35" s="7">
        <v>30.4</v>
      </c>
      <c r="M35" s="7">
        <v>1.4</v>
      </c>
      <c r="N35" s="2">
        <f t="shared" si="2"/>
        <v>156.80000000000001</v>
      </c>
      <c r="O35" s="2">
        <f t="shared" si="1"/>
        <v>1179.3999999999999</v>
      </c>
      <c r="P35" s="2">
        <f t="shared" si="3"/>
        <v>1336.1999999999998</v>
      </c>
    </row>
    <row r="36" spans="1:16" hidden="1">
      <c r="A36" s="7">
        <v>1988</v>
      </c>
      <c r="B36" s="7">
        <v>9.5</v>
      </c>
      <c r="C36" s="7">
        <v>17.5</v>
      </c>
      <c r="D36" s="7">
        <v>0.9</v>
      </c>
      <c r="E36" s="7">
        <v>40</v>
      </c>
      <c r="F36" s="7">
        <v>86.5</v>
      </c>
      <c r="G36" s="7">
        <v>214.2</v>
      </c>
      <c r="H36" s="7">
        <v>87.5</v>
      </c>
      <c r="I36" s="7">
        <v>304.10000000000002</v>
      </c>
      <c r="J36" s="7">
        <v>171.6</v>
      </c>
      <c r="K36" s="7">
        <v>65.900000000000006</v>
      </c>
      <c r="L36" s="7">
        <v>1.4</v>
      </c>
      <c r="M36" s="7">
        <v>4.3</v>
      </c>
      <c r="N36" s="2">
        <f t="shared" si="2"/>
        <v>183</v>
      </c>
      <c r="O36" s="2">
        <f t="shared" si="1"/>
        <v>863.9</v>
      </c>
      <c r="P36" s="2">
        <f t="shared" si="3"/>
        <v>1046.9000000000001</v>
      </c>
    </row>
    <row r="37" spans="1:16" hidden="1">
      <c r="A37" s="7">
        <v>1989</v>
      </c>
      <c r="B37" s="7">
        <v>19.600000000000001</v>
      </c>
      <c r="C37" s="7">
        <v>8.1</v>
      </c>
      <c r="D37" s="7">
        <v>29.2</v>
      </c>
      <c r="E37" s="7">
        <v>22.7</v>
      </c>
      <c r="F37" s="7">
        <v>122</v>
      </c>
      <c r="G37" s="7">
        <v>194.3</v>
      </c>
      <c r="H37" s="7">
        <v>72.900000000000006</v>
      </c>
      <c r="I37" s="7">
        <v>69.3</v>
      </c>
      <c r="J37" s="7">
        <v>116.1</v>
      </c>
      <c r="K37" s="7">
        <v>25</v>
      </c>
      <c r="L37" s="7">
        <v>6.7</v>
      </c>
      <c r="M37" s="7">
        <v>8.3000000000000007</v>
      </c>
      <c r="N37" s="2">
        <f t="shared" si="2"/>
        <v>151.19999999999999</v>
      </c>
      <c r="O37" s="2">
        <f t="shared" si="1"/>
        <v>574.6</v>
      </c>
      <c r="P37" s="2">
        <f t="shared" si="3"/>
        <v>725.8</v>
      </c>
    </row>
    <row r="38" spans="1:16" hidden="1">
      <c r="A38" s="7">
        <v>1990</v>
      </c>
      <c r="B38" s="7">
        <v>22.9</v>
      </c>
      <c r="C38" s="7">
        <v>10.7</v>
      </c>
      <c r="D38" s="7">
        <v>58.5</v>
      </c>
      <c r="E38" s="7">
        <v>29.6</v>
      </c>
      <c r="F38" s="7">
        <v>137.19999999999999</v>
      </c>
      <c r="G38" s="7">
        <v>251.6</v>
      </c>
      <c r="H38" s="7">
        <v>158.30000000000001</v>
      </c>
      <c r="I38" s="7">
        <v>33.299999999999997</v>
      </c>
      <c r="J38" s="7">
        <v>116.6</v>
      </c>
      <c r="K38" s="7">
        <v>49.4</v>
      </c>
      <c r="L38" s="7">
        <v>34.1</v>
      </c>
      <c r="M38" s="7">
        <v>1.7</v>
      </c>
      <c r="N38" s="2">
        <f t="shared" si="2"/>
        <v>161.69999999999999</v>
      </c>
      <c r="O38" s="2">
        <f t="shared" si="1"/>
        <v>696.99999999999989</v>
      </c>
      <c r="P38" s="2">
        <f t="shared" si="3"/>
        <v>858.69999999999982</v>
      </c>
    </row>
    <row r="39" spans="1:16" hidden="1">
      <c r="A39" s="7">
        <v>1991</v>
      </c>
      <c r="B39" s="7">
        <v>37.200000000000003</v>
      </c>
      <c r="C39" s="7">
        <v>2.9</v>
      </c>
      <c r="D39" s="7">
        <v>33.299999999999997</v>
      </c>
      <c r="E39" s="7">
        <v>33.9</v>
      </c>
      <c r="F39" s="7">
        <v>25.6</v>
      </c>
      <c r="G39" s="7">
        <v>376.5</v>
      </c>
      <c r="H39" s="7">
        <v>368.1</v>
      </c>
      <c r="I39" s="7">
        <v>210.6</v>
      </c>
      <c r="J39" s="7">
        <v>32.299999999999997</v>
      </c>
      <c r="K39" s="7">
        <v>28.4</v>
      </c>
      <c r="L39" s="7">
        <v>40.700000000000003</v>
      </c>
      <c r="M39" s="7">
        <v>25.7</v>
      </c>
      <c r="N39" s="2">
        <f t="shared" si="2"/>
        <v>192.50000000000003</v>
      </c>
      <c r="O39" s="2">
        <f t="shared" si="1"/>
        <v>1013.1</v>
      </c>
      <c r="P39" s="2">
        <f t="shared" si="3"/>
        <v>1205.6000000000001</v>
      </c>
    </row>
    <row r="40" spans="1:16" hidden="1">
      <c r="A40" s="7">
        <v>1992</v>
      </c>
      <c r="B40" s="7">
        <v>32.299999999999997</v>
      </c>
      <c r="C40" s="7">
        <v>48.9</v>
      </c>
      <c r="D40" s="7">
        <v>30</v>
      </c>
      <c r="E40" s="7">
        <v>56.1</v>
      </c>
      <c r="F40" s="7">
        <v>86.9</v>
      </c>
      <c r="G40" s="7">
        <v>229.3</v>
      </c>
      <c r="H40" s="7">
        <v>262.3</v>
      </c>
      <c r="I40" s="7">
        <v>88.6</v>
      </c>
      <c r="J40" s="7">
        <v>65.599999999999994</v>
      </c>
      <c r="K40" s="7">
        <v>46.5</v>
      </c>
      <c r="L40" s="7">
        <v>23.1</v>
      </c>
      <c r="M40" s="7">
        <v>12.2</v>
      </c>
      <c r="N40" s="2">
        <f t="shared" si="2"/>
        <v>262.10000000000002</v>
      </c>
      <c r="O40" s="2">
        <f t="shared" si="1"/>
        <v>732.7</v>
      </c>
      <c r="P40" s="2">
        <f t="shared" si="3"/>
        <v>994.80000000000007</v>
      </c>
    </row>
    <row r="41" spans="1:16" hidden="1">
      <c r="A41" s="7">
        <v>1993</v>
      </c>
      <c r="B41" s="7">
        <v>18.600000000000001</v>
      </c>
      <c r="C41" s="7">
        <v>37.4</v>
      </c>
      <c r="D41" s="7">
        <v>0</v>
      </c>
      <c r="E41" s="7">
        <v>67.3</v>
      </c>
      <c r="F41" s="7">
        <v>94.9</v>
      </c>
      <c r="G41" s="7">
        <v>339.8</v>
      </c>
      <c r="H41" s="7">
        <v>258.3</v>
      </c>
      <c r="I41" s="7">
        <v>215.5</v>
      </c>
      <c r="J41" s="7">
        <v>334.3</v>
      </c>
      <c r="K41" s="7">
        <v>19.3</v>
      </c>
      <c r="L41" s="7">
        <v>32.1</v>
      </c>
      <c r="M41" s="7">
        <v>5.2</v>
      </c>
      <c r="N41" s="2">
        <f t="shared" si="2"/>
        <v>205.10000000000002</v>
      </c>
      <c r="O41" s="2">
        <f t="shared" si="1"/>
        <v>1242.8</v>
      </c>
      <c r="P41" s="2">
        <f t="shared" si="3"/>
        <v>1447.9</v>
      </c>
    </row>
    <row r="42" spans="1:16" hidden="1">
      <c r="A42" s="7">
        <v>1994</v>
      </c>
      <c r="B42" s="7">
        <v>13.2</v>
      </c>
      <c r="C42" s="7">
        <v>12.1</v>
      </c>
      <c r="D42" s="7">
        <v>48.5</v>
      </c>
      <c r="E42" s="7">
        <v>9.3000000000000007</v>
      </c>
      <c r="F42" s="7">
        <v>175.9</v>
      </c>
      <c r="G42" s="7">
        <v>432.6</v>
      </c>
      <c r="H42" s="7">
        <v>172.2</v>
      </c>
      <c r="I42" s="7">
        <v>165.7</v>
      </c>
      <c r="J42" s="7">
        <v>120.4</v>
      </c>
      <c r="K42" s="7">
        <v>226.1</v>
      </c>
      <c r="L42" s="7">
        <v>28.6</v>
      </c>
      <c r="M42" s="7">
        <v>36.200000000000003</v>
      </c>
      <c r="N42" s="2">
        <f t="shared" si="2"/>
        <v>139.70000000000002</v>
      </c>
      <c r="O42" s="2">
        <f t="shared" si="1"/>
        <v>1066.8000000000002</v>
      </c>
      <c r="P42" s="2">
        <f t="shared" si="3"/>
        <v>1206.5000000000002</v>
      </c>
    </row>
    <row r="43" spans="1:16" hidden="1">
      <c r="A43" s="7">
        <v>1995</v>
      </c>
      <c r="B43" s="7">
        <v>12.6</v>
      </c>
      <c r="C43" s="7">
        <v>27.7</v>
      </c>
      <c r="D43" s="7">
        <v>1.3</v>
      </c>
      <c r="E43" s="7">
        <v>27.7</v>
      </c>
      <c r="F43" s="7">
        <v>145.9</v>
      </c>
      <c r="G43" s="7">
        <v>157.4</v>
      </c>
      <c r="H43" s="7">
        <v>232.2</v>
      </c>
      <c r="I43" s="7">
        <v>222.9</v>
      </c>
      <c r="J43" s="7">
        <v>221.3</v>
      </c>
      <c r="K43" s="7">
        <v>28</v>
      </c>
      <c r="L43" s="7">
        <v>39.6</v>
      </c>
      <c r="M43" s="7">
        <v>2</v>
      </c>
      <c r="N43" s="2">
        <f t="shared" si="2"/>
        <v>360.2</v>
      </c>
      <c r="O43" s="2">
        <f t="shared" si="1"/>
        <v>979.7</v>
      </c>
      <c r="P43" s="2">
        <f t="shared" si="3"/>
        <v>1339.9</v>
      </c>
    </row>
    <row r="44" spans="1:16" hidden="1">
      <c r="A44" s="7">
        <v>1996</v>
      </c>
      <c r="B44" s="7">
        <v>2.2999999999999998</v>
      </c>
      <c r="C44" s="7">
        <v>5.7</v>
      </c>
      <c r="D44" s="7">
        <v>103.4</v>
      </c>
      <c r="E44" s="7">
        <v>44</v>
      </c>
      <c r="F44" s="7">
        <v>123.4</v>
      </c>
      <c r="G44" s="7">
        <v>197.8</v>
      </c>
      <c r="H44" s="7">
        <v>216.5</v>
      </c>
      <c r="I44" s="7">
        <v>175.8</v>
      </c>
      <c r="J44" s="7">
        <v>55.8</v>
      </c>
      <c r="K44" s="7">
        <v>28</v>
      </c>
      <c r="L44" s="7">
        <v>55.3</v>
      </c>
      <c r="M44" s="7">
        <v>6.1</v>
      </c>
      <c r="N44" s="2">
        <f t="shared" si="2"/>
        <v>225</v>
      </c>
      <c r="O44" s="2">
        <f t="shared" si="1"/>
        <v>769.3</v>
      </c>
      <c r="P44" s="2">
        <f t="shared" si="3"/>
        <v>994.3</v>
      </c>
    </row>
    <row r="45" spans="1:16" hidden="1">
      <c r="A45" s="7">
        <v>1997</v>
      </c>
      <c r="B45" s="7">
        <v>36.200000000000003</v>
      </c>
      <c r="C45" s="7">
        <v>39.799999999999997</v>
      </c>
      <c r="D45" s="7">
        <v>63</v>
      </c>
      <c r="E45" s="7">
        <v>64.099999999999994</v>
      </c>
      <c r="F45" s="7">
        <v>139.1</v>
      </c>
      <c r="G45" s="7">
        <v>240.3</v>
      </c>
      <c r="H45" s="7">
        <v>228.2</v>
      </c>
      <c r="I45" s="7">
        <v>111</v>
      </c>
      <c r="J45" s="7">
        <v>76.099999999999994</v>
      </c>
      <c r="K45" s="7">
        <v>204.1</v>
      </c>
      <c r="L45" s="7">
        <v>15.8</v>
      </c>
      <c r="M45" s="7">
        <v>9.8000000000000007</v>
      </c>
      <c r="N45" s="2">
        <f t="shared" si="2"/>
        <v>292.5</v>
      </c>
      <c r="O45" s="2">
        <f t="shared" si="1"/>
        <v>794.69999999999993</v>
      </c>
      <c r="P45" s="2">
        <f t="shared" si="3"/>
        <v>1087.1999999999998</v>
      </c>
    </row>
    <row r="46" spans="1:16" hidden="1">
      <c r="A46" s="7">
        <v>1998</v>
      </c>
      <c r="B46" s="7">
        <v>14.8</v>
      </c>
      <c r="C46" s="7">
        <v>11.1</v>
      </c>
      <c r="D46" s="7">
        <v>23.8</v>
      </c>
      <c r="E46" s="7">
        <v>71.400000000000006</v>
      </c>
      <c r="F46" s="7">
        <v>181.2</v>
      </c>
      <c r="G46" s="7">
        <v>230.3</v>
      </c>
      <c r="H46" s="7">
        <v>308.5</v>
      </c>
      <c r="I46" s="7">
        <v>56.4</v>
      </c>
      <c r="J46" s="7">
        <v>11</v>
      </c>
      <c r="K46" s="7">
        <v>65.900000000000006</v>
      </c>
      <c r="L46" s="7">
        <v>9.4</v>
      </c>
      <c r="M46" s="7">
        <v>15</v>
      </c>
      <c r="N46" s="2">
        <f t="shared" si="2"/>
        <v>350.80000000000007</v>
      </c>
      <c r="O46" s="2">
        <f t="shared" si="1"/>
        <v>787.4</v>
      </c>
      <c r="P46" s="2">
        <f t="shared" si="3"/>
        <v>1138.2</v>
      </c>
    </row>
    <row r="47" spans="1:16" hidden="1">
      <c r="A47" s="7">
        <v>1999</v>
      </c>
      <c r="B47" s="7">
        <v>7.2</v>
      </c>
      <c r="C47" s="7">
        <v>1.8</v>
      </c>
      <c r="D47" s="7">
        <v>21.2</v>
      </c>
      <c r="E47" s="7">
        <v>49</v>
      </c>
      <c r="F47" s="7">
        <v>124.9</v>
      </c>
      <c r="G47" s="7">
        <v>192.6</v>
      </c>
      <c r="H47" s="7">
        <v>295.3</v>
      </c>
      <c r="I47" s="7">
        <v>230</v>
      </c>
      <c r="J47" s="7">
        <v>39.5</v>
      </c>
      <c r="K47" s="7">
        <v>98.9</v>
      </c>
      <c r="L47" s="7">
        <v>41.5</v>
      </c>
      <c r="M47" s="7">
        <v>8.3000000000000007</v>
      </c>
      <c r="N47" s="2">
        <f t="shared" si="2"/>
        <v>169.5</v>
      </c>
      <c r="O47" s="2">
        <f t="shared" si="1"/>
        <v>882.3</v>
      </c>
      <c r="P47" s="2">
        <f t="shared" si="3"/>
        <v>1051.8</v>
      </c>
    </row>
    <row r="48" spans="1:16" hidden="1">
      <c r="A48" s="7">
        <v>2000</v>
      </c>
      <c r="B48" s="7">
        <v>22.6</v>
      </c>
      <c r="C48" s="7">
        <v>26.3</v>
      </c>
      <c r="D48" s="7">
        <v>30.5</v>
      </c>
      <c r="E48" s="7">
        <v>108</v>
      </c>
      <c r="F48" s="7">
        <v>167.8</v>
      </c>
      <c r="G48" s="7">
        <v>209.8</v>
      </c>
      <c r="H48" s="7">
        <v>139.4</v>
      </c>
      <c r="I48" s="7">
        <v>222.5</v>
      </c>
      <c r="J48" s="7">
        <v>44.8</v>
      </c>
      <c r="K48" s="7">
        <v>77.2</v>
      </c>
      <c r="L48" s="7">
        <v>27</v>
      </c>
      <c r="M48" s="7">
        <v>22.9</v>
      </c>
      <c r="N48" s="2">
        <f t="shared" si="2"/>
        <v>336.1</v>
      </c>
      <c r="O48" s="2">
        <f t="shared" si="1"/>
        <v>784.3</v>
      </c>
      <c r="P48" s="2">
        <f t="shared" si="3"/>
        <v>1120.4000000000001</v>
      </c>
    </row>
    <row r="49" spans="1:33" hidden="1">
      <c r="A49" s="7">
        <v>2001</v>
      </c>
      <c r="B49" s="7">
        <v>2.7</v>
      </c>
      <c r="C49" s="7">
        <v>14.7</v>
      </c>
      <c r="D49" s="7">
        <v>32.5</v>
      </c>
      <c r="E49" s="7">
        <v>56.1</v>
      </c>
      <c r="F49" s="7">
        <v>144.69999999999999</v>
      </c>
      <c r="G49" s="7">
        <v>366.3</v>
      </c>
      <c r="H49" s="7">
        <v>251.4</v>
      </c>
      <c r="I49" s="7">
        <v>85.1</v>
      </c>
      <c r="J49" s="7">
        <v>36.6</v>
      </c>
      <c r="K49" s="7">
        <v>184.7</v>
      </c>
      <c r="L49" s="7">
        <v>26.2</v>
      </c>
      <c r="M49" s="7">
        <v>1.1000000000000001</v>
      </c>
      <c r="N49" s="2">
        <f t="shared" si="2"/>
        <v>233.09999999999997</v>
      </c>
      <c r="O49" s="2">
        <f t="shared" si="1"/>
        <v>884.1</v>
      </c>
      <c r="P49" s="2">
        <f t="shared" si="3"/>
        <v>1117.2</v>
      </c>
    </row>
    <row r="50" spans="1:33" hidden="1">
      <c r="A50" s="7">
        <v>2002</v>
      </c>
      <c r="B50" s="7">
        <v>17</v>
      </c>
      <c r="C50" s="7">
        <v>80</v>
      </c>
      <c r="D50" s="7">
        <v>19</v>
      </c>
      <c r="E50" s="7">
        <v>56</v>
      </c>
      <c r="F50" s="7">
        <v>233</v>
      </c>
      <c r="G50" s="7">
        <v>345</v>
      </c>
      <c r="H50" s="7">
        <v>114</v>
      </c>
      <c r="I50" s="7">
        <v>149</v>
      </c>
      <c r="J50" s="7">
        <v>12</v>
      </c>
      <c r="K50" s="7">
        <v>67</v>
      </c>
      <c r="L50" s="7">
        <v>5</v>
      </c>
      <c r="M50" s="7">
        <v>20</v>
      </c>
      <c r="N50" s="2">
        <f t="shared" si="2"/>
        <v>384</v>
      </c>
      <c r="O50" s="2">
        <f t="shared" si="1"/>
        <v>853</v>
      </c>
      <c r="P50" s="2">
        <f t="shared" si="3"/>
        <v>1237</v>
      </c>
    </row>
    <row r="51" spans="1:33" hidden="1">
      <c r="A51" s="7">
        <v>2003</v>
      </c>
      <c r="B51" s="7">
        <v>37</v>
      </c>
      <c r="C51" s="7">
        <v>0</v>
      </c>
      <c r="D51" s="7">
        <v>50</v>
      </c>
      <c r="E51" s="7">
        <v>36</v>
      </c>
      <c r="F51" s="7">
        <v>220</v>
      </c>
      <c r="G51" s="7">
        <v>290</v>
      </c>
      <c r="H51" s="7">
        <v>236</v>
      </c>
      <c r="I51" s="7">
        <v>87</v>
      </c>
      <c r="J51" s="7">
        <v>84</v>
      </c>
      <c r="K51" s="7">
        <v>11</v>
      </c>
      <c r="L51" s="7">
        <v>34</v>
      </c>
      <c r="M51" s="7">
        <v>18</v>
      </c>
      <c r="N51" s="2">
        <f t="shared" si="2"/>
        <v>215</v>
      </c>
      <c r="O51" s="2">
        <f t="shared" si="1"/>
        <v>917</v>
      </c>
      <c r="P51" s="2">
        <f t="shared" si="3"/>
        <v>1132</v>
      </c>
    </row>
    <row r="52" spans="1:33">
      <c r="A52" s="7">
        <v>2004</v>
      </c>
      <c r="B52" s="15">
        <v>20.7</v>
      </c>
      <c r="C52" s="15">
        <v>12.9</v>
      </c>
      <c r="D52" s="15">
        <v>40.5</v>
      </c>
      <c r="E52" s="15">
        <v>59.6</v>
      </c>
      <c r="F52" s="15">
        <v>92.7</v>
      </c>
      <c r="G52" s="15">
        <v>84.2</v>
      </c>
      <c r="H52" s="15">
        <v>214.5</v>
      </c>
      <c r="I52" s="15">
        <v>53.2</v>
      </c>
      <c r="J52" s="15">
        <v>74.900000000000006</v>
      </c>
      <c r="K52" s="15">
        <v>6.8</v>
      </c>
      <c r="L52" s="15">
        <v>38.700000000000003</v>
      </c>
      <c r="M52" s="15">
        <v>11.4</v>
      </c>
      <c r="N52" s="2">
        <f t="shared" si="2"/>
        <v>196.70000000000002</v>
      </c>
      <c r="O52" s="2">
        <f t="shared" si="1"/>
        <v>519.5</v>
      </c>
      <c r="P52" s="2">
        <f t="shared" si="3"/>
        <v>716.2</v>
      </c>
      <c r="Q52" s="2" t="e">
        <f>(B52-#REF!)/#REF!*100</f>
        <v>#REF!</v>
      </c>
      <c r="R52" s="2" t="e">
        <f>(C52-#REF!)/#REF!*100</f>
        <v>#REF!</v>
      </c>
      <c r="S52" s="2" t="e">
        <f>(D52-#REF!)/#REF!*100</f>
        <v>#REF!</v>
      </c>
      <c r="T52" s="2" t="e">
        <f>(E52-#REF!)/#REF!*100</f>
        <v>#REF!</v>
      </c>
      <c r="U52" s="2" t="e">
        <f>(F52-#REF!)/#REF!*100</f>
        <v>#REF!</v>
      </c>
      <c r="V52" s="2" t="e">
        <f>(G52-#REF!)/#REF!*100</f>
        <v>#REF!</v>
      </c>
      <c r="W52" s="2" t="e">
        <f>(H52-#REF!)/#REF!*100</f>
        <v>#REF!</v>
      </c>
      <c r="X52" s="2" t="e">
        <f>(I52-#REF!)/#REF!*100</f>
        <v>#REF!</v>
      </c>
      <c r="Y52" s="2" t="e">
        <f>(J52-#REF!)/#REF!*100</f>
        <v>#REF!</v>
      </c>
      <c r="Z52" s="10" t="e">
        <f>(K52-#REF!)/#REF!*100</f>
        <v>#REF!</v>
      </c>
      <c r="AA52" s="10" t="e">
        <f>(L52-#REF!)/#REF!*100</f>
        <v>#REF!</v>
      </c>
      <c r="AB52" s="10" t="e">
        <f>(M52-#REF!)/#REF!*100</f>
        <v>#REF!</v>
      </c>
      <c r="AC52" s="2" t="e">
        <f>(N52-#REF!)/#REF!*100</f>
        <v>#REF!</v>
      </c>
      <c r="AD52" s="2" t="e">
        <f>(O52-#REF!)/#REF!*100</f>
        <v>#REF!</v>
      </c>
      <c r="AE52" s="2" t="e">
        <f>(P52-#REF!)/#REF!*100</f>
        <v>#REF!</v>
      </c>
    </row>
    <row r="53" spans="1:33">
      <c r="A53" s="7">
        <v>2005</v>
      </c>
      <c r="B53" s="18">
        <v>26.3</v>
      </c>
      <c r="C53" s="18">
        <v>9</v>
      </c>
      <c r="D53" s="18">
        <v>20</v>
      </c>
      <c r="E53" s="18">
        <v>60.2</v>
      </c>
      <c r="F53" s="18">
        <v>118.6</v>
      </c>
      <c r="G53" s="18">
        <v>168.3</v>
      </c>
      <c r="H53" s="18">
        <v>72.900000000000006</v>
      </c>
      <c r="I53" s="18">
        <v>114.9</v>
      </c>
      <c r="J53" s="18">
        <v>43</v>
      </c>
      <c r="K53" s="18">
        <v>49.4</v>
      </c>
      <c r="L53" s="18">
        <v>8.9</v>
      </c>
      <c r="M53" s="18">
        <v>10.5</v>
      </c>
      <c r="N53" s="2">
        <f t="shared" si="2"/>
        <v>172.4</v>
      </c>
      <c r="O53" s="2">
        <f t="shared" si="1"/>
        <v>517.69999999999993</v>
      </c>
      <c r="P53" s="2">
        <f t="shared" si="3"/>
        <v>690.09999999999991</v>
      </c>
      <c r="Q53" s="2" t="e">
        <f>(B53-#REF!)/#REF!*100</f>
        <v>#REF!</v>
      </c>
      <c r="R53" s="2" t="e">
        <f>(C53-#REF!)/#REF!*100</f>
        <v>#REF!</v>
      </c>
      <c r="S53" s="2" t="e">
        <f>(D53-#REF!)/#REF!*100</f>
        <v>#REF!</v>
      </c>
      <c r="T53" s="2" t="e">
        <f>(E53-#REF!)/#REF!*100</f>
        <v>#REF!</v>
      </c>
      <c r="U53" s="2" t="e">
        <f>(F53-#REF!)/#REF!*100</f>
        <v>#REF!</v>
      </c>
      <c r="V53" s="2" t="e">
        <f>(G53-#REF!)/#REF!*100</f>
        <v>#REF!</v>
      </c>
      <c r="W53" s="2" t="e">
        <f>(H53-#REF!)/#REF!*100</f>
        <v>#REF!</v>
      </c>
      <c r="X53" s="2" t="e">
        <f>(I53-#REF!)/#REF!*100</f>
        <v>#REF!</v>
      </c>
      <c r="Y53" s="2" t="e">
        <f>(J53-#REF!)/#REF!*100</f>
        <v>#REF!</v>
      </c>
      <c r="Z53" s="2" t="e">
        <f>(K53-#REF!)/#REF!*100</f>
        <v>#REF!</v>
      </c>
      <c r="AA53" s="2" t="e">
        <f>(L53-#REF!)/#REF!*100</f>
        <v>#REF!</v>
      </c>
      <c r="AB53" s="2" t="e">
        <f>(M53-#REF!)/#REF!*100</f>
        <v>#REF!</v>
      </c>
      <c r="AC53" s="2" t="e">
        <f>(N53-#REF!)/#REF!*100</f>
        <v>#REF!</v>
      </c>
      <c r="AD53" s="2" t="e">
        <f>(O53-#REF!)/#REF!*100</f>
        <v>#REF!</v>
      </c>
      <c r="AE53" s="2" t="e">
        <f>(P53-#REF!)/#REF!*100</f>
        <v>#REF!</v>
      </c>
    </row>
    <row r="54" spans="1:33">
      <c r="A54" s="2">
        <v>2006</v>
      </c>
      <c r="N54" s="2">
        <f>SUM(B54:E54)</f>
        <v>0</v>
      </c>
      <c r="O54" s="2">
        <f>SUM(F54:J54)</f>
        <v>0</v>
      </c>
      <c r="P54" s="2">
        <f>SUM(K54:M54)</f>
        <v>0</v>
      </c>
      <c r="Q54" s="2">
        <f>SUM(B54:M54)</f>
        <v>0</v>
      </c>
      <c r="R54" s="2">
        <f t="shared" ref="R54:AG54" si="4">100*(B54-B4)/B4</f>
        <v>-100</v>
      </c>
      <c r="S54" s="2">
        <f t="shared" si="4"/>
        <v>-100</v>
      </c>
      <c r="T54" s="2">
        <f t="shared" si="4"/>
        <v>-100</v>
      </c>
      <c r="U54" s="2">
        <f t="shared" si="4"/>
        <v>-100</v>
      </c>
      <c r="V54" s="2">
        <f t="shared" si="4"/>
        <v>-100</v>
      </c>
      <c r="W54" s="2">
        <f t="shared" si="4"/>
        <v>-99.999999999999986</v>
      </c>
      <c r="X54" s="2">
        <f t="shared" si="4"/>
        <v>-100</v>
      </c>
      <c r="Y54" s="2">
        <f t="shared" si="4"/>
        <v>-100</v>
      </c>
      <c r="Z54" s="2">
        <f t="shared" si="4"/>
        <v>-100</v>
      </c>
      <c r="AA54" s="2">
        <f t="shared" si="4"/>
        <v>-100</v>
      </c>
      <c r="AB54" s="2">
        <f t="shared" si="4"/>
        <v>-100</v>
      </c>
      <c r="AC54" s="2">
        <f t="shared" si="4"/>
        <v>-100</v>
      </c>
      <c r="AD54" s="2">
        <f t="shared" si="4"/>
        <v>-100</v>
      </c>
      <c r="AE54" s="2">
        <f t="shared" si="4"/>
        <v>-100</v>
      </c>
      <c r="AF54" s="2">
        <f t="shared" si="4"/>
        <v>-100</v>
      </c>
      <c r="AG54" s="2" t="e">
        <f t="shared" si="4"/>
        <v>#REF!</v>
      </c>
    </row>
  </sheetData>
  <mergeCells count="6">
    <mergeCell ref="A1:A3"/>
    <mergeCell ref="B1:P1"/>
    <mergeCell ref="B2:M2"/>
    <mergeCell ref="Q1:AE1"/>
    <mergeCell ref="N2:P2"/>
    <mergeCell ref="Q2:AE2"/>
  </mergeCells>
  <phoneticPr fontId="2" type="noConversion"/>
  <pageMargins left="0.75" right="0.75" top="1" bottom="1" header="0.5" footer="0.5"/>
  <headerFooter alignWithMargins="0"/>
</worksheet>
</file>

<file path=xl/worksheets/sheet84.xml><?xml version="1.0" encoding="utf-8"?>
<worksheet xmlns="http://schemas.openxmlformats.org/spreadsheetml/2006/main" xmlns:r="http://schemas.openxmlformats.org/officeDocument/2006/relationships">
  <sheetPr codeName="Sheet84"/>
  <dimension ref="A1:AG38"/>
  <sheetViews>
    <sheetView zoomScale="85" zoomScaleNormal="85" workbookViewId="0">
      <pane ySplit="5" topLeftCell="A6" activePane="bottomLeft" state="frozen"/>
      <selection pane="bottomLeft" activeCell="R38" sqref="R38"/>
    </sheetView>
  </sheetViews>
  <sheetFormatPr defaultRowHeight="12"/>
  <cols>
    <col min="1" max="60" width="7.125" style="102" customWidth="1"/>
    <col min="61" max="16384" width="9" style="102"/>
  </cols>
  <sheetData>
    <row r="1" spans="1:33" s="118" customFormat="1" ht="14.25" customHeight="1">
      <c r="A1" s="176" t="s">
        <v>53</v>
      </c>
      <c r="B1" s="176" t="s">
        <v>171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2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116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32</v>
      </c>
      <c r="O2" s="176"/>
      <c r="P2" s="176"/>
      <c r="Q2" s="176"/>
      <c r="R2" s="176" t="s">
        <v>38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 ht="24">
      <c r="A3" s="176"/>
      <c r="B3" s="125" t="s">
        <v>149</v>
      </c>
      <c r="C3" s="125" t="s">
        <v>150</v>
      </c>
      <c r="D3" s="125" t="s">
        <v>9</v>
      </c>
      <c r="E3" s="125" t="s">
        <v>10</v>
      </c>
      <c r="F3" s="125" t="s">
        <v>11</v>
      </c>
      <c r="G3" s="125" t="s">
        <v>12</v>
      </c>
      <c r="H3" s="125" t="s">
        <v>13</v>
      </c>
      <c r="I3" s="125" t="s">
        <v>14</v>
      </c>
      <c r="J3" s="125" t="s">
        <v>15</v>
      </c>
      <c r="K3" s="125" t="s">
        <v>16</v>
      </c>
      <c r="L3" s="125" t="s">
        <v>17</v>
      </c>
      <c r="M3" s="125" t="s">
        <v>18</v>
      </c>
      <c r="N3" s="125" t="s">
        <v>145</v>
      </c>
      <c r="O3" s="125" t="s">
        <v>146</v>
      </c>
      <c r="P3" s="125" t="s">
        <v>147</v>
      </c>
      <c r="Q3" s="125" t="s">
        <v>148</v>
      </c>
      <c r="R3" s="125" t="s">
        <v>149</v>
      </c>
      <c r="S3" s="125" t="s">
        <v>150</v>
      </c>
      <c r="T3" s="125" t="s">
        <v>151</v>
      </c>
      <c r="U3" s="125" t="s">
        <v>152</v>
      </c>
      <c r="V3" s="125" t="s">
        <v>153</v>
      </c>
      <c r="W3" s="125" t="s">
        <v>154</v>
      </c>
      <c r="X3" s="125" t="s">
        <v>25</v>
      </c>
      <c r="Y3" s="125" t="s">
        <v>26</v>
      </c>
      <c r="Z3" s="125" t="s">
        <v>27</v>
      </c>
      <c r="AA3" s="125" t="s">
        <v>155</v>
      </c>
      <c r="AB3" s="125" t="s">
        <v>156</v>
      </c>
      <c r="AC3" s="125" t="s">
        <v>157</v>
      </c>
      <c r="AD3" s="125" t="s">
        <v>132</v>
      </c>
      <c r="AE3" s="125" t="s">
        <v>42</v>
      </c>
      <c r="AF3" s="125" t="s">
        <v>91</v>
      </c>
      <c r="AG3" s="125" t="s">
        <v>66</v>
      </c>
    </row>
    <row r="4" spans="1:33" s="118" customFormat="1">
      <c r="A4" s="150" t="s">
        <v>261</v>
      </c>
      <c r="B4" s="150">
        <f t="shared" ref="B4:Q4" si="0">AVERAGE(B5:B37)</f>
        <v>16.018181818181819</v>
      </c>
      <c r="C4" s="150">
        <f t="shared" si="0"/>
        <v>14.621212121212125</v>
      </c>
      <c r="D4" s="150">
        <f t="shared" si="0"/>
        <v>25.942424242424245</v>
      </c>
      <c r="E4" s="150">
        <f t="shared" si="0"/>
        <v>45.327272727272742</v>
      </c>
      <c r="F4" s="150">
        <f t="shared" si="0"/>
        <v>138.0181818181818</v>
      </c>
      <c r="G4" s="150">
        <f t="shared" si="0"/>
        <v>239.09696969696975</v>
      </c>
      <c r="H4" s="150">
        <f t="shared" si="0"/>
        <v>245.15151515151516</v>
      </c>
      <c r="I4" s="150">
        <f t="shared" si="0"/>
        <v>198.25151515151512</v>
      </c>
      <c r="J4" s="150">
        <f t="shared" si="0"/>
        <v>123.1212121212121</v>
      </c>
      <c r="K4" s="150">
        <f t="shared" si="0"/>
        <v>66.524242424242445</v>
      </c>
      <c r="L4" s="150">
        <f t="shared" si="0"/>
        <v>23.666666666666668</v>
      </c>
      <c r="M4" s="150">
        <f t="shared" si="0"/>
        <v>11.560606060606059</v>
      </c>
      <c r="N4" s="150">
        <f t="shared" si="0"/>
        <v>101.90909090909092</v>
      </c>
      <c r="O4" s="150">
        <f t="shared" si="0"/>
        <v>943.63939393939404</v>
      </c>
      <c r="P4" s="150">
        <f t="shared" si="0"/>
        <v>101.75151515151518</v>
      </c>
      <c r="Q4" s="150">
        <f t="shared" si="0"/>
        <v>1147.2999999999997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1983</v>
      </c>
      <c r="B5" s="102">
        <v>37.299999999999997</v>
      </c>
      <c r="C5" s="102">
        <v>44.1</v>
      </c>
      <c r="D5" s="102">
        <v>38.4</v>
      </c>
      <c r="E5" s="102">
        <v>29</v>
      </c>
      <c r="F5" s="102">
        <v>220.7</v>
      </c>
      <c r="G5" s="102">
        <v>206.6</v>
      </c>
      <c r="H5" s="102">
        <v>294.39999999999998</v>
      </c>
      <c r="I5" s="102">
        <v>309.8</v>
      </c>
      <c r="J5" s="102">
        <v>134</v>
      </c>
      <c r="K5" s="102">
        <v>98.3</v>
      </c>
      <c r="L5" s="102">
        <v>89.5</v>
      </c>
      <c r="M5" s="102">
        <v>17.7</v>
      </c>
      <c r="N5" s="102">
        <f>SUM(B5:E5)</f>
        <v>148.80000000000001</v>
      </c>
      <c r="O5" s="102">
        <f>SUM(F5:J5)</f>
        <v>1165.5</v>
      </c>
      <c r="P5" s="102">
        <f>SUM(K5:M5)</f>
        <v>205.5</v>
      </c>
      <c r="Q5" s="102">
        <f>SUM(B5:M5)</f>
        <v>1519.8</v>
      </c>
    </row>
    <row r="6" spans="1:33">
      <c r="A6" s="102">
        <v>1984</v>
      </c>
      <c r="B6" s="102">
        <v>2.4</v>
      </c>
      <c r="C6" s="102">
        <v>4.8</v>
      </c>
      <c r="D6" s="102">
        <v>3.4</v>
      </c>
      <c r="E6" s="102">
        <v>48.5</v>
      </c>
      <c r="F6" s="102">
        <v>208.1</v>
      </c>
      <c r="G6" s="102">
        <v>274.3</v>
      </c>
      <c r="H6" s="102">
        <v>108.2</v>
      </c>
      <c r="I6" s="102">
        <v>225.1</v>
      </c>
      <c r="J6" s="102">
        <v>88.2</v>
      </c>
      <c r="K6" s="102">
        <v>59</v>
      </c>
      <c r="L6" s="102">
        <v>10.1</v>
      </c>
      <c r="M6" s="102">
        <v>9.6999999999999993</v>
      </c>
      <c r="N6" s="102">
        <f t="shared" ref="N6:N36" si="1">SUM(B6:E6)</f>
        <v>59.1</v>
      </c>
      <c r="O6" s="102">
        <f t="shared" ref="O6:O36" si="2">SUM(F6:J6)</f>
        <v>903.90000000000009</v>
      </c>
      <c r="P6" s="102">
        <f t="shared" ref="P6:P36" si="3">SUM(K6:M6)</f>
        <v>78.8</v>
      </c>
      <c r="Q6" s="102">
        <f t="shared" ref="Q6:Q36" si="4">SUM(B6:M6)</f>
        <v>1041.8000000000002</v>
      </c>
    </row>
    <row r="7" spans="1:33">
      <c r="A7" s="102">
        <v>1985</v>
      </c>
      <c r="B7" s="102">
        <v>10.6</v>
      </c>
      <c r="C7" s="102">
        <v>8.9</v>
      </c>
      <c r="D7" s="102">
        <v>22.7</v>
      </c>
      <c r="E7" s="102">
        <v>95.1</v>
      </c>
      <c r="F7" s="102">
        <v>136.4</v>
      </c>
      <c r="G7" s="102">
        <v>314.10000000000002</v>
      </c>
      <c r="H7" s="102">
        <v>261.60000000000002</v>
      </c>
      <c r="I7" s="102">
        <v>247.2</v>
      </c>
      <c r="J7" s="102">
        <v>117</v>
      </c>
      <c r="K7" s="102">
        <v>55.5</v>
      </c>
      <c r="L7" s="102">
        <v>10.199999999999999</v>
      </c>
      <c r="M7" s="102">
        <v>5</v>
      </c>
      <c r="N7" s="102">
        <f t="shared" si="1"/>
        <v>137.30000000000001</v>
      </c>
      <c r="O7" s="102">
        <f t="shared" si="2"/>
        <v>1076.3</v>
      </c>
      <c r="P7" s="102">
        <f t="shared" si="3"/>
        <v>70.7</v>
      </c>
      <c r="Q7" s="102">
        <f t="shared" si="4"/>
        <v>1284.3000000000002</v>
      </c>
    </row>
    <row r="8" spans="1:33">
      <c r="A8" s="102">
        <v>1986</v>
      </c>
      <c r="B8" s="102">
        <v>1.1000000000000001</v>
      </c>
      <c r="C8" s="102">
        <v>9.1</v>
      </c>
      <c r="D8" s="102">
        <v>1.3</v>
      </c>
      <c r="E8" s="102">
        <v>64</v>
      </c>
      <c r="F8" s="102">
        <v>121.8</v>
      </c>
      <c r="G8" s="102">
        <v>219.1</v>
      </c>
      <c r="H8" s="102">
        <v>407.7</v>
      </c>
      <c r="I8" s="102">
        <v>292</v>
      </c>
      <c r="J8" s="102">
        <v>168.1</v>
      </c>
      <c r="K8" s="102">
        <v>106.9</v>
      </c>
      <c r="L8" s="102">
        <v>21.9</v>
      </c>
      <c r="M8" s="102">
        <v>3.7</v>
      </c>
      <c r="N8" s="102">
        <f t="shared" si="1"/>
        <v>75.5</v>
      </c>
      <c r="O8" s="102">
        <f t="shared" si="2"/>
        <v>1208.6999999999998</v>
      </c>
      <c r="P8" s="102">
        <f t="shared" si="3"/>
        <v>132.5</v>
      </c>
      <c r="Q8" s="102">
        <f t="shared" si="4"/>
        <v>1416.7</v>
      </c>
    </row>
    <row r="9" spans="1:33">
      <c r="A9" s="102">
        <v>1987</v>
      </c>
      <c r="B9" s="102">
        <v>14.4</v>
      </c>
      <c r="C9" s="102">
        <v>3.4</v>
      </c>
      <c r="D9" s="102">
        <v>0</v>
      </c>
      <c r="E9" s="102">
        <v>5.0999999999999996</v>
      </c>
      <c r="F9" s="102">
        <v>145</v>
      </c>
      <c r="G9" s="102">
        <v>254.7</v>
      </c>
      <c r="H9" s="102">
        <v>173.6</v>
      </c>
      <c r="I9" s="102">
        <v>293.8</v>
      </c>
      <c r="J9" s="102">
        <v>82.6</v>
      </c>
      <c r="K9" s="102">
        <v>17</v>
      </c>
      <c r="L9" s="102">
        <v>38.700000000000003</v>
      </c>
      <c r="M9" s="102">
        <v>15.4</v>
      </c>
      <c r="N9" s="102">
        <f t="shared" si="1"/>
        <v>22.9</v>
      </c>
      <c r="O9" s="102">
        <f t="shared" si="2"/>
        <v>949.69999999999993</v>
      </c>
      <c r="P9" s="102">
        <f t="shared" si="3"/>
        <v>71.100000000000009</v>
      </c>
      <c r="Q9" s="102">
        <f t="shared" si="4"/>
        <v>1043.7</v>
      </c>
    </row>
    <row r="10" spans="1:33">
      <c r="A10" s="102">
        <v>1988</v>
      </c>
      <c r="B10" s="102">
        <v>1.5</v>
      </c>
      <c r="C10" s="102">
        <v>11.6</v>
      </c>
      <c r="D10" s="102">
        <v>2.5</v>
      </c>
      <c r="E10" s="102">
        <v>62.7</v>
      </c>
      <c r="F10" s="102">
        <v>78</v>
      </c>
      <c r="G10" s="102">
        <v>134.6</v>
      </c>
      <c r="H10" s="102">
        <v>56</v>
      </c>
      <c r="I10" s="102">
        <v>352.6</v>
      </c>
      <c r="J10" s="102">
        <v>62.9</v>
      </c>
      <c r="K10" s="102">
        <v>25.5</v>
      </c>
      <c r="L10" s="102">
        <v>9.8000000000000007</v>
      </c>
      <c r="M10" s="102">
        <v>5.2</v>
      </c>
      <c r="N10" s="102">
        <f t="shared" si="1"/>
        <v>78.3</v>
      </c>
      <c r="O10" s="102">
        <f t="shared" si="2"/>
        <v>684.1</v>
      </c>
      <c r="P10" s="102">
        <f t="shared" si="3"/>
        <v>40.5</v>
      </c>
      <c r="Q10" s="102">
        <f t="shared" si="4"/>
        <v>802.9</v>
      </c>
    </row>
    <row r="11" spans="1:33">
      <c r="A11" s="102">
        <v>1989</v>
      </c>
      <c r="B11" s="102">
        <v>21.4</v>
      </c>
      <c r="C11" s="102">
        <v>9.9</v>
      </c>
      <c r="D11" s="102">
        <v>74.7</v>
      </c>
      <c r="E11" s="102">
        <v>27.4</v>
      </c>
      <c r="F11" s="102">
        <v>86.7</v>
      </c>
      <c r="G11" s="102">
        <v>173.1</v>
      </c>
      <c r="H11" s="102">
        <v>130</v>
      </c>
      <c r="I11" s="102">
        <v>103.4</v>
      </c>
      <c r="J11" s="102">
        <v>199.3</v>
      </c>
      <c r="K11" s="102">
        <v>42.6</v>
      </c>
      <c r="L11" s="102">
        <v>3</v>
      </c>
      <c r="M11" s="102">
        <v>15.6</v>
      </c>
      <c r="N11" s="102">
        <f t="shared" si="1"/>
        <v>133.4</v>
      </c>
      <c r="O11" s="102">
        <f t="shared" si="2"/>
        <v>692.5</v>
      </c>
      <c r="P11" s="102">
        <f t="shared" si="3"/>
        <v>61.2</v>
      </c>
      <c r="Q11" s="102">
        <f t="shared" si="4"/>
        <v>887.10000000000014</v>
      </c>
    </row>
    <row r="12" spans="1:33">
      <c r="A12" s="102">
        <v>1990</v>
      </c>
      <c r="B12" s="102">
        <v>6.5</v>
      </c>
      <c r="C12" s="102">
        <v>12.1</v>
      </c>
      <c r="D12" s="102">
        <v>58.5</v>
      </c>
      <c r="E12" s="102">
        <v>24.1</v>
      </c>
      <c r="F12" s="102">
        <v>258</v>
      </c>
      <c r="G12" s="102">
        <v>187.6</v>
      </c>
      <c r="H12" s="102">
        <v>182.5</v>
      </c>
      <c r="I12" s="102">
        <v>162.19999999999999</v>
      </c>
      <c r="J12" s="102">
        <v>85.2</v>
      </c>
      <c r="K12" s="102">
        <v>81.599999999999994</v>
      </c>
      <c r="L12" s="102">
        <v>37.6</v>
      </c>
      <c r="M12" s="102">
        <v>5.6</v>
      </c>
      <c r="N12" s="102">
        <f t="shared" si="1"/>
        <v>101.19999999999999</v>
      </c>
      <c r="O12" s="102">
        <f t="shared" si="2"/>
        <v>875.5</v>
      </c>
      <c r="P12" s="102">
        <f t="shared" si="3"/>
        <v>124.79999999999998</v>
      </c>
      <c r="Q12" s="102">
        <f t="shared" si="4"/>
        <v>1101.4999999999998</v>
      </c>
    </row>
    <row r="13" spans="1:33">
      <c r="A13" s="102">
        <v>1991</v>
      </c>
      <c r="B13" s="102">
        <v>50.2</v>
      </c>
      <c r="C13" s="102">
        <v>4.4000000000000004</v>
      </c>
      <c r="D13" s="102">
        <v>20.399999999999999</v>
      </c>
      <c r="E13" s="102">
        <v>45.9</v>
      </c>
      <c r="F13" s="102">
        <v>142.4</v>
      </c>
      <c r="G13" s="102">
        <v>230.2</v>
      </c>
      <c r="H13" s="102">
        <v>404.6</v>
      </c>
      <c r="I13" s="102">
        <v>278</v>
      </c>
      <c r="J13" s="102">
        <v>93.7</v>
      </c>
      <c r="K13" s="102">
        <v>53.9</v>
      </c>
      <c r="L13" s="102">
        <v>49.8</v>
      </c>
      <c r="M13" s="102">
        <v>16.399999999999999</v>
      </c>
      <c r="N13" s="102">
        <f t="shared" si="1"/>
        <v>120.9</v>
      </c>
      <c r="O13" s="102">
        <f t="shared" si="2"/>
        <v>1148.9000000000001</v>
      </c>
      <c r="P13" s="102">
        <f t="shared" si="3"/>
        <v>120.1</v>
      </c>
      <c r="Q13" s="102">
        <f t="shared" si="4"/>
        <v>1389.9</v>
      </c>
    </row>
    <row r="14" spans="1:33">
      <c r="A14" s="102">
        <v>1992</v>
      </c>
      <c r="B14" s="102">
        <v>45.1</v>
      </c>
      <c r="C14" s="102">
        <v>55.1</v>
      </c>
      <c r="D14" s="102">
        <v>16.8</v>
      </c>
      <c r="E14" s="102">
        <v>47</v>
      </c>
      <c r="F14" s="102">
        <v>120.5</v>
      </c>
      <c r="G14" s="102">
        <v>223.9</v>
      </c>
      <c r="H14" s="102">
        <v>346.6</v>
      </c>
      <c r="I14" s="102">
        <v>202.3</v>
      </c>
      <c r="J14" s="102">
        <v>103.9</v>
      </c>
      <c r="K14" s="102">
        <v>76.099999999999994</v>
      </c>
      <c r="L14" s="102">
        <v>27.5</v>
      </c>
      <c r="M14" s="102">
        <v>3.2</v>
      </c>
      <c r="N14" s="102">
        <f t="shared" si="1"/>
        <v>164</v>
      </c>
      <c r="O14" s="102">
        <f t="shared" si="2"/>
        <v>997.19999999999993</v>
      </c>
      <c r="P14" s="102">
        <f t="shared" si="3"/>
        <v>106.8</v>
      </c>
      <c r="Q14" s="102">
        <f t="shared" si="4"/>
        <v>1268</v>
      </c>
    </row>
    <row r="15" spans="1:33">
      <c r="A15" s="102">
        <v>1993</v>
      </c>
      <c r="B15" s="102">
        <v>15.3</v>
      </c>
      <c r="C15" s="102">
        <v>41.4</v>
      </c>
      <c r="D15" s="102">
        <v>4.8</v>
      </c>
      <c r="E15" s="102">
        <v>45.4</v>
      </c>
      <c r="F15" s="102">
        <v>141.1</v>
      </c>
      <c r="G15" s="102">
        <v>163.9</v>
      </c>
      <c r="H15" s="102">
        <v>187.7</v>
      </c>
      <c r="I15" s="102">
        <v>308.2</v>
      </c>
      <c r="J15" s="102">
        <v>224.4</v>
      </c>
      <c r="K15" s="102">
        <v>30.6</v>
      </c>
      <c r="L15" s="102">
        <v>7.9</v>
      </c>
      <c r="M15" s="102">
        <v>8.9</v>
      </c>
      <c r="N15" s="102">
        <f t="shared" si="1"/>
        <v>106.9</v>
      </c>
      <c r="O15" s="102">
        <f t="shared" si="2"/>
        <v>1025.3</v>
      </c>
      <c r="P15" s="102">
        <f t="shared" si="3"/>
        <v>47.4</v>
      </c>
      <c r="Q15" s="102">
        <f t="shared" si="4"/>
        <v>1179.6000000000001</v>
      </c>
    </row>
    <row r="16" spans="1:33">
      <c r="A16" s="102">
        <v>1994</v>
      </c>
      <c r="B16" s="102">
        <v>2.6</v>
      </c>
      <c r="C16" s="102">
        <v>18.100000000000001</v>
      </c>
      <c r="D16" s="102">
        <v>71.2</v>
      </c>
      <c r="E16" s="102">
        <v>5.3</v>
      </c>
      <c r="F16" s="102">
        <v>158.80000000000001</v>
      </c>
      <c r="G16" s="102">
        <v>326.5</v>
      </c>
      <c r="H16" s="102">
        <v>114.5</v>
      </c>
      <c r="I16" s="102">
        <v>173.2</v>
      </c>
      <c r="J16" s="102">
        <v>126.2</v>
      </c>
      <c r="K16" s="102">
        <v>114.7</v>
      </c>
      <c r="L16" s="102">
        <v>37.799999999999997</v>
      </c>
      <c r="M16" s="102">
        <v>18.600000000000001</v>
      </c>
      <c r="N16" s="102">
        <f t="shared" si="1"/>
        <v>97.2</v>
      </c>
      <c r="O16" s="102">
        <f t="shared" si="2"/>
        <v>899.2</v>
      </c>
      <c r="P16" s="102">
        <f t="shared" si="3"/>
        <v>171.1</v>
      </c>
      <c r="Q16" s="102">
        <f t="shared" si="4"/>
        <v>1167.5</v>
      </c>
    </row>
    <row r="17" spans="1:17">
      <c r="A17" s="102">
        <v>1995</v>
      </c>
      <c r="B17" s="102">
        <v>18.100000000000001</v>
      </c>
      <c r="C17" s="102">
        <v>20</v>
      </c>
      <c r="D17" s="102">
        <v>15.5</v>
      </c>
      <c r="E17" s="102">
        <v>13</v>
      </c>
      <c r="F17" s="102">
        <v>89.9</v>
      </c>
      <c r="G17" s="102">
        <v>192.4</v>
      </c>
      <c r="H17" s="102">
        <v>347.4</v>
      </c>
      <c r="I17" s="102">
        <v>170.6</v>
      </c>
      <c r="J17" s="102">
        <v>304.3</v>
      </c>
      <c r="K17" s="102">
        <v>89.3</v>
      </c>
      <c r="L17" s="102">
        <v>46.9</v>
      </c>
      <c r="M17" s="102">
        <v>6.9</v>
      </c>
      <c r="N17" s="102">
        <f t="shared" si="1"/>
        <v>66.599999999999994</v>
      </c>
      <c r="O17" s="102">
        <f t="shared" si="2"/>
        <v>1104.6000000000001</v>
      </c>
      <c r="P17" s="102">
        <f t="shared" si="3"/>
        <v>143.1</v>
      </c>
      <c r="Q17" s="102">
        <f t="shared" si="4"/>
        <v>1314.3000000000002</v>
      </c>
    </row>
    <row r="18" spans="1:17">
      <c r="A18" s="102">
        <v>1996</v>
      </c>
      <c r="B18" s="102">
        <v>6.4</v>
      </c>
      <c r="C18" s="102">
        <v>2.7</v>
      </c>
      <c r="D18" s="102">
        <v>48.1</v>
      </c>
      <c r="E18" s="102">
        <v>29.9</v>
      </c>
      <c r="F18" s="102">
        <v>116.2</v>
      </c>
      <c r="G18" s="102">
        <v>268.3</v>
      </c>
      <c r="H18" s="102">
        <v>263.7</v>
      </c>
      <c r="I18" s="102">
        <v>139.6</v>
      </c>
      <c r="J18" s="102">
        <v>69</v>
      </c>
      <c r="K18" s="102">
        <v>43.6</v>
      </c>
      <c r="L18" s="102">
        <v>46</v>
      </c>
      <c r="M18" s="102">
        <v>7.9</v>
      </c>
      <c r="N18" s="102">
        <f t="shared" si="1"/>
        <v>87.1</v>
      </c>
      <c r="O18" s="102">
        <f t="shared" si="2"/>
        <v>856.80000000000007</v>
      </c>
      <c r="P18" s="102">
        <f t="shared" si="3"/>
        <v>97.5</v>
      </c>
      <c r="Q18" s="102">
        <f t="shared" si="4"/>
        <v>1041.4000000000001</v>
      </c>
    </row>
    <row r="19" spans="1:17">
      <c r="A19" s="102">
        <v>1997</v>
      </c>
      <c r="B19" s="102">
        <v>19.5</v>
      </c>
      <c r="C19" s="102">
        <v>51.2</v>
      </c>
      <c r="D19" s="102">
        <v>34.299999999999997</v>
      </c>
      <c r="E19" s="102">
        <v>75.099999999999994</v>
      </c>
      <c r="F19" s="102">
        <v>126.1</v>
      </c>
      <c r="G19" s="102">
        <v>285.3</v>
      </c>
      <c r="H19" s="102">
        <v>476.3</v>
      </c>
      <c r="I19" s="102">
        <v>187.8</v>
      </c>
      <c r="J19" s="102">
        <v>176</v>
      </c>
      <c r="K19" s="102">
        <v>93.5</v>
      </c>
      <c r="L19" s="102">
        <v>5.5</v>
      </c>
      <c r="M19" s="102">
        <v>2.5</v>
      </c>
      <c r="N19" s="102">
        <f t="shared" si="1"/>
        <v>180.1</v>
      </c>
      <c r="O19" s="102">
        <f t="shared" si="2"/>
        <v>1251.5</v>
      </c>
      <c r="P19" s="102">
        <f t="shared" si="3"/>
        <v>101.5</v>
      </c>
      <c r="Q19" s="102">
        <f t="shared" si="4"/>
        <v>1533.1</v>
      </c>
    </row>
    <row r="20" spans="1:17">
      <c r="A20" s="102">
        <v>1998</v>
      </c>
      <c r="B20" s="102">
        <v>21.6</v>
      </c>
      <c r="C20" s="102">
        <v>14.1</v>
      </c>
      <c r="D20" s="102">
        <v>8.9</v>
      </c>
      <c r="E20" s="102">
        <v>33.799999999999997</v>
      </c>
      <c r="F20" s="102">
        <v>180.2</v>
      </c>
      <c r="G20" s="102">
        <v>201.5</v>
      </c>
      <c r="H20" s="102">
        <v>383.4</v>
      </c>
      <c r="I20" s="102">
        <v>227.8</v>
      </c>
      <c r="J20" s="102">
        <v>31.6</v>
      </c>
      <c r="K20" s="102">
        <v>64</v>
      </c>
      <c r="L20" s="102">
        <v>20.2</v>
      </c>
      <c r="M20" s="102">
        <v>7.1</v>
      </c>
      <c r="N20" s="102">
        <f t="shared" si="1"/>
        <v>78.400000000000006</v>
      </c>
      <c r="O20" s="102">
        <f t="shared" si="2"/>
        <v>1024.4999999999998</v>
      </c>
      <c r="P20" s="102">
        <f t="shared" si="3"/>
        <v>91.3</v>
      </c>
      <c r="Q20" s="102">
        <f t="shared" si="4"/>
        <v>1194.1999999999998</v>
      </c>
    </row>
    <row r="21" spans="1:17">
      <c r="A21" s="102">
        <v>1999</v>
      </c>
      <c r="B21" s="102">
        <v>21.8</v>
      </c>
      <c r="C21" s="102">
        <v>1.7</v>
      </c>
      <c r="D21" s="102">
        <v>12.7</v>
      </c>
      <c r="E21" s="102">
        <v>54.6</v>
      </c>
      <c r="F21" s="102">
        <v>133.6</v>
      </c>
      <c r="G21" s="102">
        <v>214.1</v>
      </c>
      <c r="H21" s="102">
        <v>281.8</v>
      </c>
      <c r="I21" s="102">
        <v>162.30000000000001</v>
      </c>
      <c r="J21" s="102">
        <v>77.5</v>
      </c>
      <c r="K21" s="102">
        <v>93.6</v>
      </c>
      <c r="L21" s="102">
        <v>45.3</v>
      </c>
      <c r="M21" s="102">
        <v>5.6</v>
      </c>
      <c r="N21" s="102">
        <f t="shared" si="1"/>
        <v>90.800000000000011</v>
      </c>
      <c r="O21" s="102">
        <f t="shared" si="2"/>
        <v>869.3</v>
      </c>
      <c r="P21" s="102">
        <f t="shared" si="3"/>
        <v>144.49999999999997</v>
      </c>
      <c r="Q21" s="102">
        <f t="shared" si="4"/>
        <v>1104.5999999999997</v>
      </c>
    </row>
    <row r="22" spans="1:17">
      <c r="A22" s="102">
        <v>2000</v>
      </c>
      <c r="B22" s="102">
        <v>19.899999999999999</v>
      </c>
      <c r="C22" s="102">
        <v>21.3</v>
      </c>
      <c r="D22" s="102">
        <v>47.1</v>
      </c>
      <c r="E22" s="102">
        <v>117.4</v>
      </c>
      <c r="F22" s="102">
        <v>106</v>
      </c>
      <c r="G22" s="102">
        <v>359.5</v>
      </c>
      <c r="H22" s="102">
        <v>272</v>
      </c>
      <c r="I22" s="102">
        <v>208.4</v>
      </c>
      <c r="J22" s="102">
        <v>92.2</v>
      </c>
      <c r="K22" s="102">
        <v>73.400000000000006</v>
      </c>
      <c r="L22" s="102">
        <v>20.7</v>
      </c>
      <c r="M22" s="102">
        <v>11.6</v>
      </c>
      <c r="N22" s="102">
        <f t="shared" si="1"/>
        <v>205.70000000000002</v>
      </c>
      <c r="O22" s="102">
        <f t="shared" si="2"/>
        <v>1038.0999999999999</v>
      </c>
      <c r="P22" s="102">
        <f t="shared" si="3"/>
        <v>105.7</v>
      </c>
      <c r="Q22" s="102">
        <f t="shared" si="4"/>
        <v>1349.5000000000002</v>
      </c>
    </row>
    <row r="23" spans="1:17">
      <c r="A23" s="102">
        <v>2001</v>
      </c>
      <c r="B23" s="102">
        <v>4.9000000000000004</v>
      </c>
      <c r="C23" s="102">
        <v>10.5</v>
      </c>
      <c r="D23" s="102">
        <v>13.4</v>
      </c>
      <c r="E23" s="102">
        <v>4.4000000000000004</v>
      </c>
      <c r="F23" s="102">
        <v>133</v>
      </c>
      <c r="G23" s="102">
        <v>284.3</v>
      </c>
      <c r="H23" s="102">
        <v>370.8</v>
      </c>
      <c r="I23" s="102">
        <v>242.6</v>
      </c>
      <c r="J23" s="102">
        <v>121.3</v>
      </c>
      <c r="K23" s="102">
        <v>130.9</v>
      </c>
      <c r="L23" s="102">
        <v>12.8</v>
      </c>
      <c r="M23" s="102">
        <v>0.9</v>
      </c>
      <c r="N23" s="102">
        <f t="shared" si="1"/>
        <v>33.200000000000003</v>
      </c>
      <c r="O23" s="102">
        <f t="shared" si="2"/>
        <v>1152</v>
      </c>
      <c r="P23" s="102">
        <f t="shared" si="3"/>
        <v>144.60000000000002</v>
      </c>
      <c r="Q23" s="102">
        <f t="shared" si="4"/>
        <v>1329.8</v>
      </c>
    </row>
    <row r="24" spans="1:17">
      <c r="A24" s="102">
        <v>2002</v>
      </c>
      <c r="B24" s="102">
        <v>19.600000000000001</v>
      </c>
      <c r="C24" s="102">
        <v>24.6</v>
      </c>
      <c r="D24" s="102">
        <v>46.5</v>
      </c>
      <c r="E24" s="102">
        <v>24.3</v>
      </c>
      <c r="F24" s="102">
        <v>135.4</v>
      </c>
      <c r="G24" s="102">
        <v>139.19999999999999</v>
      </c>
      <c r="H24" s="102">
        <v>149.4</v>
      </c>
      <c r="I24" s="102">
        <v>169.4</v>
      </c>
      <c r="J24" s="102">
        <v>24.6</v>
      </c>
      <c r="K24" s="102">
        <v>71.3</v>
      </c>
      <c r="L24" s="102">
        <v>6.9</v>
      </c>
      <c r="M24" s="102">
        <v>16.600000000000001</v>
      </c>
      <c r="N24" s="102">
        <f t="shared" si="1"/>
        <v>115</v>
      </c>
      <c r="O24" s="102">
        <f t="shared" si="2"/>
        <v>618</v>
      </c>
      <c r="P24" s="102">
        <f t="shared" si="3"/>
        <v>94.800000000000011</v>
      </c>
      <c r="Q24" s="102">
        <f t="shared" si="4"/>
        <v>827.8</v>
      </c>
    </row>
    <row r="25" spans="1:17">
      <c r="A25" s="102">
        <v>2003</v>
      </c>
      <c r="B25" s="102">
        <v>18</v>
      </c>
      <c r="C25" s="102">
        <v>3</v>
      </c>
      <c r="D25" s="102">
        <v>54</v>
      </c>
      <c r="E25" s="102">
        <v>126</v>
      </c>
      <c r="F25" s="102">
        <v>106</v>
      </c>
      <c r="G25" s="102">
        <v>265</v>
      </c>
      <c r="H25" s="102">
        <v>230</v>
      </c>
      <c r="I25" s="102">
        <v>120</v>
      </c>
      <c r="J25" s="102">
        <v>161</v>
      </c>
      <c r="K25" s="102">
        <v>30.9</v>
      </c>
      <c r="L25" s="102">
        <v>9.6</v>
      </c>
      <c r="M25" s="102">
        <v>39.799999999999997</v>
      </c>
      <c r="N25" s="102">
        <f t="shared" si="1"/>
        <v>201</v>
      </c>
      <c r="O25" s="102">
        <f t="shared" si="2"/>
        <v>882</v>
      </c>
      <c r="P25" s="102">
        <f t="shared" si="3"/>
        <v>80.3</v>
      </c>
      <c r="Q25" s="102">
        <f t="shared" si="4"/>
        <v>1163.3</v>
      </c>
    </row>
    <row r="26" spans="1:17">
      <c r="A26" s="102">
        <v>2004</v>
      </c>
      <c r="B26" s="102">
        <v>32.299999999999997</v>
      </c>
      <c r="C26" s="102">
        <v>40.200000000000003</v>
      </c>
      <c r="D26" s="102">
        <v>6.2</v>
      </c>
      <c r="E26" s="102">
        <v>68</v>
      </c>
      <c r="F26" s="102">
        <v>137.19999999999999</v>
      </c>
      <c r="G26" s="102">
        <v>158.69999999999999</v>
      </c>
      <c r="H26" s="102">
        <v>404.2</v>
      </c>
      <c r="I26" s="102">
        <v>95.5</v>
      </c>
      <c r="J26" s="102">
        <v>68</v>
      </c>
      <c r="K26" s="102">
        <v>21.4</v>
      </c>
      <c r="L26" s="102">
        <v>11.4</v>
      </c>
      <c r="M26" s="102">
        <v>9</v>
      </c>
      <c r="N26" s="102">
        <f t="shared" si="1"/>
        <v>146.69999999999999</v>
      </c>
      <c r="O26" s="102">
        <f t="shared" si="2"/>
        <v>863.59999999999991</v>
      </c>
      <c r="P26" s="102">
        <f t="shared" si="3"/>
        <v>41.8</v>
      </c>
      <c r="Q26" s="102">
        <f t="shared" si="4"/>
        <v>1052.1000000000001</v>
      </c>
    </row>
    <row r="27" spans="1:17">
      <c r="A27" s="102">
        <v>2005</v>
      </c>
      <c r="B27" s="102">
        <v>31.6</v>
      </c>
      <c r="C27" s="102">
        <v>1.1000000000000001</v>
      </c>
      <c r="D27" s="102">
        <v>34.700000000000003</v>
      </c>
      <c r="E27" s="102">
        <v>52.4</v>
      </c>
      <c r="F27" s="102">
        <v>86.9</v>
      </c>
      <c r="G27" s="102">
        <v>224</v>
      </c>
      <c r="H27" s="102">
        <v>257.3</v>
      </c>
      <c r="I27" s="102">
        <v>173</v>
      </c>
      <c r="J27" s="102">
        <v>197.2</v>
      </c>
      <c r="K27" s="102">
        <v>97.4</v>
      </c>
      <c r="L27" s="102">
        <v>5.2</v>
      </c>
      <c r="M27" s="102">
        <v>9.5</v>
      </c>
      <c r="N27" s="102">
        <f t="shared" si="1"/>
        <v>119.80000000000001</v>
      </c>
      <c r="O27" s="102">
        <f t="shared" si="2"/>
        <v>938.40000000000009</v>
      </c>
      <c r="P27" s="102">
        <f t="shared" si="3"/>
        <v>112.10000000000001</v>
      </c>
      <c r="Q27" s="102">
        <f t="shared" si="4"/>
        <v>1170.3000000000002</v>
      </c>
    </row>
    <row r="28" spans="1:17">
      <c r="A28" s="102">
        <v>2006</v>
      </c>
      <c r="B28" s="102">
        <v>2.8</v>
      </c>
      <c r="C28" s="102">
        <v>19.5</v>
      </c>
      <c r="D28" s="102">
        <v>7.6</v>
      </c>
      <c r="E28" s="102">
        <v>12.5</v>
      </c>
      <c r="F28" s="102">
        <v>80.2</v>
      </c>
      <c r="G28" s="102">
        <v>261.10000000000002</v>
      </c>
      <c r="H28" s="102">
        <v>132.80000000000001</v>
      </c>
      <c r="I28" s="102">
        <v>157.4</v>
      </c>
      <c r="J28" s="102">
        <v>26.2</v>
      </c>
      <c r="K28" s="102">
        <v>151</v>
      </c>
      <c r="L28" s="102">
        <v>11.5</v>
      </c>
      <c r="M28" s="102">
        <v>4.4000000000000004</v>
      </c>
      <c r="N28" s="102">
        <f t="shared" si="1"/>
        <v>42.4</v>
      </c>
      <c r="O28" s="102">
        <f t="shared" si="2"/>
        <v>657.7</v>
      </c>
      <c r="P28" s="102">
        <f t="shared" si="3"/>
        <v>166.9</v>
      </c>
      <c r="Q28" s="102">
        <f t="shared" si="4"/>
        <v>867</v>
      </c>
    </row>
    <row r="29" spans="1:17">
      <c r="A29" s="102">
        <v>2007</v>
      </c>
      <c r="B29" s="102">
        <v>10.5</v>
      </c>
      <c r="C29" s="102">
        <v>5.3</v>
      </c>
      <c r="D29" s="102">
        <v>3.3</v>
      </c>
      <c r="E29" s="102">
        <v>63.9</v>
      </c>
      <c r="F29" s="102">
        <v>163.4</v>
      </c>
      <c r="G29" s="102">
        <v>362</v>
      </c>
      <c r="H29" s="102">
        <v>189.1</v>
      </c>
      <c r="I29" s="102">
        <v>221.2</v>
      </c>
      <c r="J29" s="102">
        <v>68.599999999999994</v>
      </c>
      <c r="K29" s="102">
        <v>34.200000000000003</v>
      </c>
      <c r="L29" s="102">
        <v>4.2</v>
      </c>
      <c r="M29" s="102">
        <v>1.1000000000000001</v>
      </c>
      <c r="N29" s="102">
        <f t="shared" si="1"/>
        <v>83</v>
      </c>
      <c r="O29" s="102">
        <f t="shared" si="2"/>
        <v>1004.3000000000001</v>
      </c>
      <c r="P29" s="102">
        <f t="shared" si="3"/>
        <v>39.500000000000007</v>
      </c>
      <c r="Q29" s="102">
        <f t="shared" si="4"/>
        <v>1126.8</v>
      </c>
    </row>
    <row r="30" spans="1:17">
      <c r="A30" s="102">
        <v>2008</v>
      </c>
      <c r="B30" s="102">
        <v>2.9</v>
      </c>
      <c r="C30" s="102">
        <v>3.8</v>
      </c>
      <c r="D30" s="102">
        <v>51.2</v>
      </c>
      <c r="E30" s="102">
        <v>19.7</v>
      </c>
      <c r="F30" s="102">
        <v>221.3</v>
      </c>
      <c r="G30" s="102">
        <v>206.3</v>
      </c>
      <c r="H30" s="102">
        <v>308.2</v>
      </c>
      <c r="I30" s="102">
        <v>178.3</v>
      </c>
      <c r="J30" s="102">
        <v>98.2</v>
      </c>
      <c r="K30" s="102">
        <v>67.3</v>
      </c>
      <c r="L30" s="102">
        <v>68.599999999999994</v>
      </c>
      <c r="M30" s="102">
        <v>20.5</v>
      </c>
      <c r="N30" s="102">
        <f t="shared" si="1"/>
        <v>77.600000000000009</v>
      </c>
      <c r="O30" s="102">
        <f t="shared" si="2"/>
        <v>1012.3</v>
      </c>
      <c r="P30" s="102">
        <f t="shared" si="3"/>
        <v>156.39999999999998</v>
      </c>
      <c r="Q30" s="102">
        <f t="shared" si="4"/>
        <v>1246.3</v>
      </c>
    </row>
    <row r="31" spans="1:17">
      <c r="A31" s="102">
        <v>2009</v>
      </c>
      <c r="B31" s="102">
        <v>4.8</v>
      </c>
      <c r="C31" s="102">
        <v>0.2</v>
      </c>
      <c r="D31" s="102">
        <v>31.4</v>
      </c>
      <c r="E31" s="102">
        <v>61.4</v>
      </c>
      <c r="F31" s="102">
        <v>128.1</v>
      </c>
      <c r="G31" s="102">
        <v>264</v>
      </c>
      <c r="H31" s="102">
        <v>179.4</v>
      </c>
      <c r="I31" s="102">
        <v>150</v>
      </c>
      <c r="J31" s="102">
        <v>6.8</v>
      </c>
      <c r="K31" s="102">
        <v>40</v>
      </c>
      <c r="L31" s="102">
        <v>4.7</v>
      </c>
      <c r="M31" s="102">
        <v>0.4</v>
      </c>
      <c r="N31" s="102">
        <f t="shared" si="1"/>
        <v>97.8</v>
      </c>
      <c r="O31" s="102">
        <f t="shared" si="2"/>
        <v>728.3</v>
      </c>
      <c r="P31" s="102">
        <f t="shared" si="3"/>
        <v>45.1</v>
      </c>
      <c r="Q31" s="102">
        <f t="shared" si="4"/>
        <v>871.19999999999993</v>
      </c>
    </row>
    <row r="32" spans="1:17">
      <c r="A32" s="102">
        <v>2010</v>
      </c>
      <c r="B32" s="102">
        <v>0.5</v>
      </c>
      <c r="C32" s="102">
        <v>0.5</v>
      </c>
      <c r="D32" s="102">
        <v>0.1</v>
      </c>
      <c r="E32" s="102">
        <v>66.5</v>
      </c>
      <c r="F32" s="102">
        <v>102.5</v>
      </c>
      <c r="G32" s="102">
        <v>402.6</v>
      </c>
      <c r="H32" s="102">
        <v>309.5</v>
      </c>
      <c r="I32" s="102">
        <v>90.9</v>
      </c>
      <c r="J32" s="102">
        <v>93.2</v>
      </c>
      <c r="K32" s="102">
        <v>61.8</v>
      </c>
      <c r="L32" s="102">
        <v>25.9</v>
      </c>
      <c r="M32" s="102">
        <v>29.2</v>
      </c>
      <c r="N32" s="102">
        <f t="shared" si="1"/>
        <v>67.599999999999994</v>
      </c>
      <c r="O32" s="102">
        <f t="shared" si="2"/>
        <v>998.7</v>
      </c>
      <c r="P32" s="102">
        <f t="shared" si="3"/>
        <v>116.89999999999999</v>
      </c>
      <c r="Q32" s="102">
        <f t="shared" si="4"/>
        <v>1183.2</v>
      </c>
    </row>
    <row r="33" spans="1:33">
      <c r="A33" s="102">
        <v>2011</v>
      </c>
      <c r="B33" s="102">
        <v>24.5</v>
      </c>
      <c r="C33" s="102">
        <v>0.3</v>
      </c>
      <c r="D33" s="102">
        <v>8.8000000000000007</v>
      </c>
      <c r="E33" s="102">
        <v>5.3</v>
      </c>
      <c r="F33" s="102">
        <v>39.799999999999997</v>
      </c>
      <c r="G33" s="102">
        <v>233.9</v>
      </c>
      <c r="H33" s="102">
        <v>14.9</v>
      </c>
      <c r="I33" s="102">
        <v>79.900000000000006</v>
      </c>
      <c r="J33" s="102">
        <v>187.7</v>
      </c>
      <c r="K33" s="102">
        <v>35</v>
      </c>
      <c r="L33" s="102">
        <v>6.7</v>
      </c>
      <c r="M33" s="102">
        <v>10.3</v>
      </c>
      <c r="N33" s="102">
        <f t="shared" si="1"/>
        <v>38.9</v>
      </c>
      <c r="O33" s="102">
        <f t="shared" si="2"/>
        <v>556.20000000000005</v>
      </c>
      <c r="P33" s="102">
        <f t="shared" si="3"/>
        <v>52</v>
      </c>
      <c r="Q33" s="102">
        <f t="shared" si="4"/>
        <v>647.09999999999991</v>
      </c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</row>
    <row r="34" spans="1:33">
      <c r="A34" s="102">
        <v>2012</v>
      </c>
      <c r="B34" s="102">
        <v>9.1999999999999993</v>
      </c>
      <c r="C34" s="102">
        <v>1</v>
      </c>
      <c r="D34" s="102">
        <v>29.4</v>
      </c>
      <c r="E34" s="102">
        <v>6.7</v>
      </c>
      <c r="F34" s="102">
        <v>293.60000000000002</v>
      </c>
      <c r="G34" s="102">
        <v>228</v>
      </c>
      <c r="H34" s="102">
        <v>305.10000000000002</v>
      </c>
      <c r="I34" s="102">
        <v>163.5</v>
      </c>
      <c r="J34" s="102">
        <v>93.7</v>
      </c>
      <c r="K34" s="102">
        <v>51.7</v>
      </c>
      <c r="L34" s="102">
        <v>8.1</v>
      </c>
      <c r="M34" s="102">
        <v>1.5</v>
      </c>
      <c r="N34" s="102">
        <f t="shared" si="1"/>
        <v>46.3</v>
      </c>
      <c r="O34" s="102">
        <f t="shared" si="2"/>
        <v>1083.9000000000001</v>
      </c>
      <c r="P34" s="102">
        <f t="shared" si="3"/>
        <v>61.300000000000004</v>
      </c>
      <c r="Q34" s="102">
        <f t="shared" si="4"/>
        <v>1191.5</v>
      </c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</row>
    <row r="35" spans="1:33">
      <c r="A35" s="102">
        <v>2013</v>
      </c>
      <c r="B35" s="102">
        <v>3.5</v>
      </c>
      <c r="C35" s="102">
        <v>0.3</v>
      </c>
      <c r="D35" s="102">
        <v>12.6</v>
      </c>
      <c r="E35" s="102">
        <v>64.7</v>
      </c>
      <c r="F35" s="102">
        <v>198</v>
      </c>
      <c r="G35" s="102">
        <v>157.19999999999999</v>
      </c>
      <c r="H35" s="102">
        <v>96.3</v>
      </c>
      <c r="I35" s="102">
        <v>184.5</v>
      </c>
      <c r="J35" s="102">
        <v>109.4</v>
      </c>
      <c r="K35" s="102">
        <v>72.3</v>
      </c>
      <c r="L35" s="102">
        <v>20.8</v>
      </c>
      <c r="M35" s="102">
        <v>31.7</v>
      </c>
      <c r="N35" s="102">
        <f t="shared" si="1"/>
        <v>81.099999999999994</v>
      </c>
      <c r="O35" s="102">
        <f t="shared" si="2"/>
        <v>745.4</v>
      </c>
      <c r="P35" s="102">
        <f t="shared" si="3"/>
        <v>124.8</v>
      </c>
      <c r="Q35" s="102">
        <f t="shared" si="4"/>
        <v>951.3</v>
      </c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  <c r="AF35" s="104"/>
      <c r="AG35" s="104"/>
    </row>
    <row r="36" spans="1:33">
      <c r="A36" s="102">
        <v>2014</v>
      </c>
      <c r="B36" s="135">
        <v>5.3</v>
      </c>
      <c r="C36" s="135">
        <v>17.2</v>
      </c>
      <c r="D36" s="135">
        <v>63.9</v>
      </c>
      <c r="E36" s="135">
        <v>48.2</v>
      </c>
      <c r="F36" s="135">
        <v>37.5</v>
      </c>
      <c r="G36" s="135">
        <v>331.1</v>
      </c>
      <c r="H36" s="135">
        <v>292</v>
      </c>
      <c r="I36" s="135">
        <v>195.1</v>
      </c>
      <c r="J36" s="135">
        <v>289.10000000000002</v>
      </c>
      <c r="K36" s="135">
        <v>37.1</v>
      </c>
      <c r="L36" s="135">
        <v>40.299999999999997</v>
      </c>
      <c r="M36" s="135">
        <v>2.4</v>
      </c>
      <c r="N36" s="102">
        <f t="shared" si="1"/>
        <v>134.60000000000002</v>
      </c>
      <c r="O36" s="102">
        <f t="shared" si="2"/>
        <v>1144.8000000000002</v>
      </c>
      <c r="P36" s="102">
        <f t="shared" si="3"/>
        <v>79.800000000000011</v>
      </c>
      <c r="Q36" s="102">
        <f t="shared" si="4"/>
        <v>1359.2</v>
      </c>
    </row>
    <row r="37" spans="1:33">
      <c r="A37" s="102">
        <v>2015</v>
      </c>
      <c r="B37" s="135">
        <v>42.5</v>
      </c>
      <c r="C37" s="135">
        <v>21.1</v>
      </c>
      <c r="D37" s="135">
        <v>11.7</v>
      </c>
      <c r="E37" s="135">
        <v>48.5</v>
      </c>
      <c r="F37" s="135">
        <v>122.2</v>
      </c>
      <c r="G37" s="135">
        <v>143.1</v>
      </c>
      <c r="H37" s="135">
        <v>159</v>
      </c>
      <c r="I37" s="135">
        <v>276.7</v>
      </c>
      <c r="J37" s="135">
        <v>281.89999999999998</v>
      </c>
      <c r="K37" s="135">
        <v>73.900000000000006</v>
      </c>
      <c r="L37" s="135">
        <v>15.9</v>
      </c>
      <c r="M37" s="135">
        <v>37.6</v>
      </c>
      <c r="N37" s="102">
        <f>SUM(B37:E37)</f>
        <v>123.8</v>
      </c>
      <c r="O37" s="102">
        <f>SUM(F37:J37)</f>
        <v>982.9</v>
      </c>
      <c r="P37" s="102">
        <f>SUM(K37:M37)</f>
        <v>127.4</v>
      </c>
      <c r="Q37" s="102">
        <f>SUM(B37:M37)</f>
        <v>1234.0999999999999</v>
      </c>
    </row>
    <row r="38" spans="1:33">
      <c r="A38" s="102">
        <v>2016</v>
      </c>
      <c r="B38" s="128">
        <v>16.399999999999999</v>
      </c>
      <c r="C38" s="128">
        <v>5</v>
      </c>
      <c r="D38" s="128">
        <v>6</v>
      </c>
      <c r="E38" s="128">
        <v>109.1</v>
      </c>
      <c r="F38" s="128">
        <v>136.1</v>
      </c>
      <c r="G38" s="128">
        <v>209.2</v>
      </c>
      <c r="H38" s="128">
        <v>212.5</v>
      </c>
      <c r="I38" s="128">
        <v>215.9</v>
      </c>
      <c r="J38" s="128">
        <v>89.3</v>
      </c>
      <c r="K38" s="128">
        <v>76.2</v>
      </c>
      <c r="L38" s="128">
        <v>49.1</v>
      </c>
      <c r="M38" s="128">
        <v>3.4</v>
      </c>
      <c r="N38" s="102">
        <f>SUM(B38:E38)</f>
        <v>136.5</v>
      </c>
      <c r="O38" s="102">
        <f>SUM(F38:J38)</f>
        <v>862.99999999999989</v>
      </c>
      <c r="P38" s="102">
        <f>SUM(K38:M38)</f>
        <v>128.70000000000002</v>
      </c>
      <c r="Q38" s="102">
        <f>SUM(B38:M38)</f>
        <v>1128.1999999999998</v>
      </c>
      <c r="R38" s="108">
        <f t="shared" ref="R38:AG38" si="5">100*(B38-B4)/B4</f>
        <v>2.3836549375709253</v>
      </c>
      <c r="S38" s="108">
        <f t="shared" si="5"/>
        <v>-65.803108808290162</v>
      </c>
      <c r="T38" s="108">
        <f t="shared" si="5"/>
        <v>-76.871860763929448</v>
      </c>
      <c r="U38" s="108">
        <f t="shared" si="5"/>
        <v>140.69394304051335</v>
      </c>
      <c r="V38" s="108">
        <f t="shared" si="5"/>
        <v>-1.389803714925562</v>
      </c>
      <c r="W38" s="108">
        <f t="shared" si="5"/>
        <v>-12.50411903373808</v>
      </c>
      <c r="X38" s="108">
        <f t="shared" si="5"/>
        <v>-13.318912237330037</v>
      </c>
      <c r="Y38" s="108">
        <f t="shared" si="5"/>
        <v>8.9020680800330343</v>
      </c>
      <c r="Z38" s="108">
        <f t="shared" si="5"/>
        <v>-27.469849864632032</v>
      </c>
      <c r="AA38" s="108">
        <f t="shared" si="5"/>
        <v>14.544709151368803</v>
      </c>
      <c r="AB38" s="108">
        <f t="shared" si="5"/>
        <v>107.46478873239437</v>
      </c>
      <c r="AC38" s="108">
        <f t="shared" si="5"/>
        <v>-70.589777195281783</v>
      </c>
      <c r="AD38" s="108">
        <f t="shared" si="5"/>
        <v>33.94290811775199</v>
      </c>
      <c r="AE38" s="108">
        <f t="shared" si="5"/>
        <v>-8.5455730713774418</v>
      </c>
      <c r="AF38" s="108">
        <f t="shared" si="5"/>
        <v>26.484603013878118</v>
      </c>
      <c r="AG38" s="108">
        <f t="shared" si="5"/>
        <v>-1.6647781748452815</v>
      </c>
    </row>
  </sheetData>
  <mergeCells count="6">
    <mergeCell ref="A1:A3"/>
    <mergeCell ref="B2:M2"/>
    <mergeCell ref="B1:Q1"/>
    <mergeCell ref="R1:AG1"/>
    <mergeCell ref="N2:Q2"/>
    <mergeCell ref="R2:AG2"/>
  </mergeCells>
  <phoneticPr fontId="2" type="noConversion"/>
  <pageMargins left="0.75" right="0.75" top="1" bottom="1" header="0.5" footer="0.5"/>
  <headerFooter alignWithMargins="0"/>
</worksheet>
</file>

<file path=xl/worksheets/sheet85.xml><?xml version="1.0" encoding="utf-8"?>
<worksheet xmlns="http://schemas.openxmlformats.org/spreadsheetml/2006/main" xmlns:r="http://schemas.openxmlformats.org/officeDocument/2006/relationships">
  <sheetPr codeName="Sheet85"/>
  <dimension ref="A1:AG42"/>
  <sheetViews>
    <sheetView zoomScale="85" zoomScaleNormal="85" workbookViewId="0">
      <pane ySplit="5" topLeftCell="A6" activePane="bottomLeft" state="frozen"/>
      <selection pane="bottomLeft" activeCell="R42" sqref="R42"/>
    </sheetView>
  </sheetViews>
  <sheetFormatPr defaultRowHeight="12"/>
  <cols>
    <col min="1" max="35" width="7.125" style="102" customWidth="1"/>
    <col min="36" max="16384" width="9" style="102"/>
  </cols>
  <sheetData>
    <row r="1" spans="1:33" s="118" customFormat="1" ht="14.25" customHeight="1">
      <c r="A1" s="176" t="s">
        <v>53</v>
      </c>
      <c r="B1" s="176" t="s">
        <v>171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2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116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32</v>
      </c>
      <c r="O2" s="176"/>
      <c r="P2" s="176"/>
      <c r="Q2" s="176"/>
      <c r="R2" s="176" t="s">
        <v>38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 ht="24">
      <c r="A3" s="176"/>
      <c r="B3" s="125" t="s">
        <v>149</v>
      </c>
      <c r="C3" s="125" t="s">
        <v>150</v>
      </c>
      <c r="D3" s="125" t="s">
        <v>9</v>
      </c>
      <c r="E3" s="125" t="s">
        <v>10</v>
      </c>
      <c r="F3" s="125" t="s">
        <v>11</v>
      </c>
      <c r="G3" s="125" t="s">
        <v>12</v>
      </c>
      <c r="H3" s="125" t="s">
        <v>13</v>
      </c>
      <c r="I3" s="125" t="s">
        <v>14</v>
      </c>
      <c r="J3" s="125" t="s">
        <v>15</v>
      </c>
      <c r="K3" s="125" t="s">
        <v>16</v>
      </c>
      <c r="L3" s="125" t="s">
        <v>17</v>
      </c>
      <c r="M3" s="125" t="s">
        <v>18</v>
      </c>
      <c r="N3" s="125" t="s">
        <v>145</v>
      </c>
      <c r="O3" s="125" t="s">
        <v>146</v>
      </c>
      <c r="P3" s="125" t="s">
        <v>147</v>
      </c>
      <c r="Q3" s="125" t="s">
        <v>148</v>
      </c>
      <c r="R3" s="125" t="s">
        <v>149</v>
      </c>
      <c r="S3" s="125" t="s">
        <v>150</v>
      </c>
      <c r="T3" s="125" t="s">
        <v>151</v>
      </c>
      <c r="U3" s="125" t="s">
        <v>152</v>
      </c>
      <c r="V3" s="125" t="s">
        <v>153</v>
      </c>
      <c r="W3" s="125" t="s">
        <v>154</v>
      </c>
      <c r="X3" s="125" t="s">
        <v>25</v>
      </c>
      <c r="Y3" s="125" t="s">
        <v>26</v>
      </c>
      <c r="Z3" s="125" t="s">
        <v>27</v>
      </c>
      <c r="AA3" s="125" t="s">
        <v>155</v>
      </c>
      <c r="AB3" s="125" t="s">
        <v>156</v>
      </c>
      <c r="AC3" s="125" t="s">
        <v>157</v>
      </c>
      <c r="AD3" s="125" t="s">
        <v>132</v>
      </c>
      <c r="AE3" s="125" t="s">
        <v>42</v>
      </c>
      <c r="AF3" s="125" t="s">
        <v>91</v>
      </c>
      <c r="AG3" s="125" t="s">
        <v>66</v>
      </c>
    </row>
    <row r="4" spans="1:33" s="118" customFormat="1">
      <c r="A4" s="150" t="s">
        <v>261</v>
      </c>
      <c r="B4" s="150">
        <f t="shared" ref="B4:Q4" si="0">AVERAGE(B5:B41)</f>
        <v>21.397297297297303</v>
      </c>
      <c r="C4" s="150">
        <f t="shared" si="0"/>
        <v>22.735135135135138</v>
      </c>
      <c r="D4" s="150">
        <f t="shared" si="0"/>
        <v>35.951351351351356</v>
      </c>
      <c r="E4" s="150">
        <f t="shared" si="0"/>
        <v>59.599999999999994</v>
      </c>
      <c r="F4" s="150">
        <f t="shared" si="0"/>
        <v>145.70810810810812</v>
      </c>
      <c r="G4" s="150">
        <f t="shared" si="0"/>
        <v>235.50540540540538</v>
      </c>
      <c r="H4" s="150">
        <f t="shared" si="0"/>
        <v>222.28108108108108</v>
      </c>
      <c r="I4" s="150">
        <f t="shared" si="0"/>
        <v>183.32702702702699</v>
      </c>
      <c r="J4" s="150">
        <f t="shared" si="0"/>
        <v>127.80000000000001</v>
      </c>
      <c r="K4" s="150">
        <f t="shared" si="0"/>
        <v>76.064864864864845</v>
      </c>
      <c r="L4" s="150">
        <f t="shared" si="0"/>
        <v>35.000000000000014</v>
      </c>
      <c r="M4" s="150">
        <f t="shared" si="0"/>
        <v>19.105405405405406</v>
      </c>
      <c r="N4" s="150">
        <f t="shared" si="0"/>
        <v>139.68378378378378</v>
      </c>
      <c r="O4" s="150">
        <f t="shared" si="0"/>
        <v>914.62162162162144</v>
      </c>
      <c r="P4" s="150">
        <f t="shared" si="0"/>
        <v>130.17027027027027</v>
      </c>
      <c r="Q4" s="150">
        <f t="shared" si="0"/>
        <v>1184.4756756756756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1979</v>
      </c>
      <c r="B5" s="102">
        <v>6.2</v>
      </c>
      <c r="C5" s="102">
        <v>27.6</v>
      </c>
      <c r="D5" s="102">
        <v>20.8</v>
      </c>
      <c r="E5" s="102">
        <v>145.30000000000001</v>
      </c>
      <c r="F5" s="102">
        <v>193</v>
      </c>
      <c r="G5" s="102">
        <v>476.3</v>
      </c>
      <c r="H5" s="102">
        <v>407.4</v>
      </c>
      <c r="I5" s="102">
        <v>298.10000000000002</v>
      </c>
      <c r="J5" s="102">
        <v>126.5</v>
      </c>
      <c r="K5" s="102">
        <v>11.3</v>
      </c>
      <c r="L5" s="102">
        <v>3.5</v>
      </c>
      <c r="M5" s="102">
        <v>16.5</v>
      </c>
      <c r="N5" s="102">
        <f>SUM(B5:E5)</f>
        <v>199.90000000000003</v>
      </c>
      <c r="O5" s="102">
        <f>SUM(F5:J5)</f>
        <v>1501.2999999999997</v>
      </c>
      <c r="P5" s="102">
        <f>SUM(K5:M5)</f>
        <v>31.3</v>
      </c>
      <c r="Q5" s="102">
        <f>SUM(B5:M5)</f>
        <v>1732.4999999999998</v>
      </c>
    </row>
    <row r="6" spans="1:33">
      <c r="A6" s="102">
        <v>1980</v>
      </c>
      <c r="B6" s="102">
        <v>5.2</v>
      </c>
      <c r="C6" s="102">
        <v>23.6</v>
      </c>
      <c r="D6" s="102">
        <v>49.5</v>
      </c>
      <c r="E6" s="102">
        <v>39.200000000000003</v>
      </c>
      <c r="F6" s="102">
        <v>210.1</v>
      </c>
      <c r="G6" s="102">
        <v>117.7</v>
      </c>
      <c r="H6" s="102">
        <v>131</v>
      </c>
      <c r="I6" s="102">
        <v>229.3</v>
      </c>
      <c r="J6" s="102">
        <v>47.1</v>
      </c>
      <c r="K6" s="102">
        <v>113.9</v>
      </c>
      <c r="L6" s="102">
        <v>35.5</v>
      </c>
      <c r="M6" s="102">
        <v>45.8</v>
      </c>
      <c r="N6" s="102">
        <f t="shared" ref="N6:N41" si="1">SUM(B6:E6)</f>
        <v>117.5</v>
      </c>
      <c r="O6" s="102">
        <f t="shared" ref="O6:O41" si="2">SUM(F6:J6)</f>
        <v>735.2</v>
      </c>
      <c r="P6" s="102">
        <f t="shared" ref="P6:P41" si="3">SUM(K6:M6)</f>
        <v>195.2</v>
      </c>
      <c r="Q6" s="102">
        <f t="shared" ref="Q6:Q41" si="4">SUM(B6:M6)</f>
        <v>1047.8999999999999</v>
      </c>
    </row>
    <row r="7" spans="1:33">
      <c r="A7" s="102">
        <v>1981</v>
      </c>
      <c r="B7" s="102">
        <v>32.5</v>
      </c>
      <c r="C7" s="102">
        <v>26.8</v>
      </c>
      <c r="D7" s="102">
        <v>49.3</v>
      </c>
      <c r="E7" s="102">
        <v>88.3</v>
      </c>
      <c r="F7" s="102">
        <v>159.30000000000001</v>
      </c>
      <c r="G7" s="102">
        <v>154.69999999999999</v>
      </c>
      <c r="H7" s="102">
        <v>161.6</v>
      </c>
      <c r="I7" s="102">
        <v>53</v>
      </c>
      <c r="J7" s="102">
        <v>259</v>
      </c>
      <c r="K7" s="102">
        <v>47.4</v>
      </c>
      <c r="L7" s="102">
        <v>133.1</v>
      </c>
      <c r="M7" s="102">
        <v>11.9</v>
      </c>
      <c r="N7" s="102">
        <f t="shared" si="1"/>
        <v>196.89999999999998</v>
      </c>
      <c r="O7" s="102">
        <f t="shared" si="2"/>
        <v>787.6</v>
      </c>
      <c r="P7" s="102">
        <f t="shared" si="3"/>
        <v>192.4</v>
      </c>
      <c r="Q7" s="102">
        <f t="shared" si="4"/>
        <v>1176.9000000000001</v>
      </c>
    </row>
    <row r="8" spans="1:33">
      <c r="A8" s="102">
        <v>1982</v>
      </c>
      <c r="B8" s="102">
        <v>7.8</v>
      </c>
      <c r="C8" s="102">
        <v>58.7</v>
      </c>
      <c r="D8" s="102">
        <v>45.5</v>
      </c>
      <c r="E8" s="102">
        <v>168.5</v>
      </c>
      <c r="F8" s="102">
        <v>133.69999999999999</v>
      </c>
      <c r="G8" s="102">
        <v>358.1</v>
      </c>
      <c r="H8" s="102">
        <v>112.4</v>
      </c>
      <c r="I8" s="102">
        <v>125</v>
      </c>
      <c r="J8" s="102">
        <v>139.69999999999999</v>
      </c>
      <c r="K8" s="102">
        <v>27.2</v>
      </c>
      <c r="L8" s="102">
        <v>39.4</v>
      </c>
      <c r="M8" s="102">
        <v>29.9</v>
      </c>
      <c r="N8" s="102">
        <f t="shared" si="1"/>
        <v>280.5</v>
      </c>
      <c r="O8" s="102">
        <f t="shared" si="2"/>
        <v>868.90000000000009</v>
      </c>
      <c r="P8" s="102">
        <f t="shared" si="3"/>
        <v>96.5</v>
      </c>
      <c r="Q8" s="102">
        <f t="shared" si="4"/>
        <v>1245.9000000000001</v>
      </c>
    </row>
    <row r="9" spans="1:33">
      <c r="A9" s="102">
        <v>1983</v>
      </c>
      <c r="B9" s="102">
        <v>32.6</v>
      </c>
      <c r="C9" s="102">
        <v>49.6</v>
      </c>
      <c r="D9" s="102">
        <v>49.8</v>
      </c>
      <c r="E9" s="102">
        <v>27.3</v>
      </c>
      <c r="F9" s="102">
        <v>229.6</v>
      </c>
      <c r="G9" s="102">
        <v>131.1</v>
      </c>
      <c r="H9" s="102">
        <v>118.9</v>
      </c>
      <c r="I9" s="102">
        <v>185</v>
      </c>
      <c r="J9" s="102">
        <v>443</v>
      </c>
      <c r="K9" s="102">
        <v>109.3</v>
      </c>
      <c r="L9" s="102">
        <v>98.1</v>
      </c>
      <c r="M9" s="102">
        <v>28.6</v>
      </c>
      <c r="N9" s="102">
        <f t="shared" si="1"/>
        <v>159.30000000000001</v>
      </c>
      <c r="O9" s="102">
        <f t="shared" si="2"/>
        <v>1107.5999999999999</v>
      </c>
      <c r="P9" s="102">
        <f t="shared" si="3"/>
        <v>235.99999999999997</v>
      </c>
      <c r="Q9" s="102">
        <f t="shared" si="4"/>
        <v>1502.8999999999999</v>
      </c>
    </row>
    <row r="10" spans="1:33">
      <c r="A10" s="102">
        <v>1984</v>
      </c>
      <c r="B10" s="102">
        <v>16.8</v>
      </c>
      <c r="C10" s="102">
        <v>5.7</v>
      </c>
      <c r="D10" s="102">
        <v>29.8</v>
      </c>
      <c r="E10" s="102">
        <v>60.8</v>
      </c>
      <c r="F10" s="102">
        <v>246.9</v>
      </c>
      <c r="G10" s="102">
        <v>237.6</v>
      </c>
      <c r="H10" s="102">
        <v>144.5</v>
      </c>
      <c r="I10" s="102">
        <v>235.8</v>
      </c>
      <c r="J10" s="102">
        <v>70.900000000000006</v>
      </c>
      <c r="K10" s="102">
        <v>116.1</v>
      </c>
      <c r="L10" s="102">
        <v>43.7</v>
      </c>
      <c r="M10" s="102">
        <v>26.2</v>
      </c>
      <c r="N10" s="102">
        <f t="shared" si="1"/>
        <v>113.1</v>
      </c>
      <c r="O10" s="102">
        <f t="shared" si="2"/>
        <v>935.69999999999993</v>
      </c>
      <c r="P10" s="102">
        <f t="shared" si="3"/>
        <v>186</v>
      </c>
      <c r="Q10" s="102">
        <f t="shared" si="4"/>
        <v>1234.8000000000002</v>
      </c>
    </row>
    <row r="11" spans="1:33">
      <c r="A11" s="102">
        <v>1985</v>
      </c>
      <c r="B11" s="102">
        <v>19.399999999999999</v>
      </c>
      <c r="C11" s="102">
        <v>26.9</v>
      </c>
      <c r="D11" s="102">
        <v>21.8</v>
      </c>
      <c r="E11" s="102">
        <v>107.4</v>
      </c>
      <c r="F11" s="102">
        <v>236.9</v>
      </c>
      <c r="G11" s="102">
        <v>268.89999999999998</v>
      </c>
      <c r="H11" s="102">
        <v>156.19999999999999</v>
      </c>
      <c r="I11" s="102">
        <v>184</v>
      </c>
      <c r="J11" s="102">
        <v>140</v>
      </c>
      <c r="K11" s="102">
        <v>49.2</v>
      </c>
      <c r="L11" s="102">
        <v>23.4</v>
      </c>
      <c r="M11" s="102">
        <v>19.100000000000001</v>
      </c>
      <c r="N11" s="102">
        <f t="shared" si="1"/>
        <v>175.5</v>
      </c>
      <c r="O11" s="102">
        <f t="shared" si="2"/>
        <v>986</v>
      </c>
      <c r="P11" s="102">
        <f t="shared" si="3"/>
        <v>91.699999999999989</v>
      </c>
      <c r="Q11" s="102">
        <f t="shared" si="4"/>
        <v>1253.2</v>
      </c>
    </row>
    <row r="12" spans="1:33">
      <c r="A12" s="102">
        <v>1986</v>
      </c>
      <c r="B12" s="102">
        <v>5.5</v>
      </c>
      <c r="C12" s="102">
        <v>28.1</v>
      </c>
      <c r="D12" s="102">
        <v>21.6</v>
      </c>
      <c r="E12" s="102">
        <v>49.9</v>
      </c>
      <c r="F12" s="102">
        <v>110.1</v>
      </c>
      <c r="G12" s="102">
        <v>95.6</v>
      </c>
      <c r="H12" s="102">
        <v>276.60000000000002</v>
      </c>
      <c r="I12" s="102">
        <v>413.5</v>
      </c>
      <c r="J12" s="102">
        <v>226</v>
      </c>
      <c r="K12" s="102">
        <v>94.8</v>
      </c>
      <c r="L12" s="102">
        <v>28.9</v>
      </c>
      <c r="M12" s="102">
        <v>6.8</v>
      </c>
      <c r="N12" s="102">
        <f t="shared" si="1"/>
        <v>105.1</v>
      </c>
      <c r="O12" s="102">
        <f t="shared" si="2"/>
        <v>1121.8</v>
      </c>
      <c r="P12" s="102">
        <f t="shared" si="3"/>
        <v>130.5</v>
      </c>
      <c r="Q12" s="102">
        <f t="shared" si="4"/>
        <v>1357.4</v>
      </c>
    </row>
    <row r="13" spans="1:33">
      <c r="A13" s="102">
        <v>1987</v>
      </c>
      <c r="B13" s="102">
        <v>21.9</v>
      </c>
      <c r="C13" s="102">
        <v>10.7</v>
      </c>
      <c r="D13" s="102">
        <v>0.8</v>
      </c>
      <c r="E13" s="102">
        <v>32.799999999999997</v>
      </c>
      <c r="F13" s="102">
        <v>154.9</v>
      </c>
      <c r="G13" s="102">
        <v>248.8</v>
      </c>
      <c r="H13" s="102">
        <v>268.10000000000002</v>
      </c>
      <c r="I13" s="102">
        <v>241.8</v>
      </c>
      <c r="J13" s="102">
        <v>71.8</v>
      </c>
      <c r="K13" s="102">
        <v>72.3</v>
      </c>
      <c r="L13" s="102">
        <v>36.9</v>
      </c>
      <c r="M13" s="102">
        <v>5.3</v>
      </c>
      <c r="N13" s="102">
        <f t="shared" si="1"/>
        <v>66.199999999999989</v>
      </c>
      <c r="O13" s="102">
        <f t="shared" si="2"/>
        <v>985.40000000000009</v>
      </c>
      <c r="P13" s="102">
        <f t="shared" si="3"/>
        <v>114.49999999999999</v>
      </c>
      <c r="Q13" s="102">
        <f t="shared" si="4"/>
        <v>1166.0999999999999</v>
      </c>
    </row>
    <row r="14" spans="1:33">
      <c r="A14" s="102">
        <v>1988</v>
      </c>
      <c r="B14" s="102">
        <v>11.1</v>
      </c>
      <c r="C14" s="102">
        <v>32.200000000000003</v>
      </c>
      <c r="D14" s="102">
        <v>8.1</v>
      </c>
      <c r="E14" s="102">
        <v>59.9</v>
      </c>
      <c r="F14" s="102">
        <v>111.6</v>
      </c>
      <c r="G14" s="102">
        <v>185.6</v>
      </c>
      <c r="H14" s="102">
        <v>100.7</v>
      </c>
      <c r="I14" s="102">
        <v>267</v>
      </c>
      <c r="J14" s="102">
        <v>325.5</v>
      </c>
      <c r="K14" s="102">
        <v>95.6</v>
      </c>
      <c r="L14" s="102">
        <v>2.7</v>
      </c>
      <c r="M14" s="102">
        <v>5.5</v>
      </c>
      <c r="N14" s="102">
        <f t="shared" si="1"/>
        <v>111.30000000000001</v>
      </c>
      <c r="O14" s="102">
        <f t="shared" si="2"/>
        <v>990.4</v>
      </c>
      <c r="P14" s="102">
        <f t="shared" si="3"/>
        <v>103.8</v>
      </c>
      <c r="Q14" s="102">
        <f t="shared" si="4"/>
        <v>1205.5</v>
      </c>
    </row>
    <row r="15" spans="1:33">
      <c r="A15" s="102">
        <v>1989</v>
      </c>
      <c r="B15" s="102">
        <v>23.3</v>
      </c>
      <c r="C15" s="102">
        <v>20.6</v>
      </c>
      <c r="D15" s="102">
        <v>37.200000000000003</v>
      </c>
      <c r="E15" s="102">
        <v>63.4</v>
      </c>
      <c r="F15" s="102">
        <v>118.3</v>
      </c>
      <c r="G15" s="102">
        <v>209.1</v>
      </c>
      <c r="H15" s="102">
        <v>89.1</v>
      </c>
      <c r="I15" s="102">
        <v>80.400000000000006</v>
      </c>
      <c r="J15" s="102">
        <v>163.4</v>
      </c>
      <c r="K15" s="102">
        <v>56.1</v>
      </c>
      <c r="L15" s="102">
        <v>12.2</v>
      </c>
      <c r="M15" s="102">
        <v>15.6</v>
      </c>
      <c r="N15" s="102">
        <f t="shared" si="1"/>
        <v>144.5</v>
      </c>
      <c r="O15" s="102">
        <f t="shared" si="2"/>
        <v>660.3</v>
      </c>
      <c r="P15" s="102">
        <f t="shared" si="3"/>
        <v>83.899999999999991</v>
      </c>
      <c r="Q15" s="102">
        <f t="shared" si="4"/>
        <v>888.7</v>
      </c>
    </row>
    <row r="16" spans="1:33">
      <c r="A16" s="102">
        <v>1990</v>
      </c>
      <c r="B16" s="102">
        <v>33.9</v>
      </c>
      <c r="C16" s="102">
        <v>25.9</v>
      </c>
      <c r="D16" s="102">
        <v>110.1</v>
      </c>
      <c r="E16" s="102">
        <v>32.5</v>
      </c>
      <c r="F16" s="102">
        <v>152.5</v>
      </c>
      <c r="G16" s="102">
        <v>272.7</v>
      </c>
      <c r="H16" s="102">
        <v>153.69999999999999</v>
      </c>
      <c r="I16" s="102">
        <v>71</v>
      </c>
      <c r="J16" s="102">
        <v>112.2</v>
      </c>
      <c r="K16" s="102">
        <v>58.9</v>
      </c>
      <c r="L16" s="102">
        <v>37.700000000000003</v>
      </c>
      <c r="M16" s="102">
        <v>3.5</v>
      </c>
      <c r="N16" s="102">
        <f t="shared" si="1"/>
        <v>202.39999999999998</v>
      </c>
      <c r="O16" s="102">
        <f t="shared" si="2"/>
        <v>762.1</v>
      </c>
      <c r="P16" s="102">
        <f t="shared" si="3"/>
        <v>100.1</v>
      </c>
      <c r="Q16" s="102">
        <f t="shared" si="4"/>
        <v>1064.5999999999999</v>
      </c>
    </row>
    <row r="17" spans="1:17">
      <c r="A17" s="102">
        <v>1991</v>
      </c>
      <c r="B17" s="102">
        <v>49.9</v>
      </c>
      <c r="C17" s="102">
        <v>5.8</v>
      </c>
      <c r="D17" s="102">
        <v>46.1</v>
      </c>
      <c r="E17" s="102">
        <v>34</v>
      </c>
      <c r="F17" s="102">
        <v>22.5</v>
      </c>
      <c r="G17" s="102">
        <v>330.4</v>
      </c>
      <c r="H17" s="102">
        <v>353.4</v>
      </c>
      <c r="I17" s="102">
        <v>337</v>
      </c>
      <c r="J17" s="102">
        <v>34.200000000000003</v>
      </c>
      <c r="K17" s="102">
        <v>40.4</v>
      </c>
      <c r="L17" s="102">
        <v>52.3</v>
      </c>
      <c r="M17" s="102">
        <v>29.8</v>
      </c>
      <c r="N17" s="102">
        <f t="shared" si="1"/>
        <v>135.80000000000001</v>
      </c>
      <c r="O17" s="102">
        <f t="shared" si="2"/>
        <v>1077.5</v>
      </c>
      <c r="P17" s="102">
        <f t="shared" si="3"/>
        <v>122.49999999999999</v>
      </c>
      <c r="Q17" s="102">
        <f t="shared" si="4"/>
        <v>1335.8</v>
      </c>
    </row>
    <row r="18" spans="1:17">
      <c r="A18" s="102">
        <v>1992</v>
      </c>
      <c r="B18" s="102">
        <v>46.1</v>
      </c>
      <c r="C18" s="102">
        <v>64.599999999999994</v>
      </c>
      <c r="D18" s="102">
        <v>43.8</v>
      </c>
      <c r="E18" s="102">
        <v>32.200000000000003</v>
      </c>
      <c r="F18" s="102">
        <v>74</v>
      </c>
      <c r="G18" s="102">
        <v>174.9</v>
      </c>
      <c r="H18" s="102">
        <v>328.5</v>
      </c>
      <c r="I18" s="102">
        <v>81.400000000000006</v>
      </c>
      <c r="J18" s="102">
        <v>97.3</v>
      </c>
      <c r="K18" s="102">
        <v>72.400000000000006</v>
      </c>
      <c r="L18" s="102">
        <v>29.4</v>
      </c>
      <c r="M18" s="102">
        <v>9.6</v>
      </c>
      <c r="N18" s="102">
        <f t="shared" si="1"/>
        <v>186.7</v>
      </c>
      <c r="O18" s="102">
        <f t="shared" si="2"/>
        <v>756.09999999999991</v>
      </c>
      <c r="P18" s="102">
        <f t="shared" si="3"/>
        <v>111.4</v>
      </c>
      <c r="Q18" s="102">
        <f t="shared" si="4"/>
        <v>1054.1999999999998</v>
      </c>
    </row>
    <row r="19" spans="1:17">
      <c r="A19" s="102">
        <v>1993</v>
      </c>
      <c r="B19" s="102">
        <v>26.7</v>
      </c>
      <c r="C19" s="102">
        <v>53.8</v>
      </c>
      <c r="D19" s="102">
        <v>3.1</v>
      </c>
      <c r="E19" s="102">
        <v>55.6</v>
      </c>
      <c r="F19" s="102">
        <v>130.4</v>
      </c>
      <c r="G19" s="102">
        <v>189.1</v>
      </c>
      <c r="H19" s="102">
        <v>243.1</v>
      </c>
      <c r="I19" s="102">
        <v>306.5</v>
      </c>
      <c r="J19" s="102">
        <v>161.4</v>
      </c>
      <c r="K19" s="102">
        <v>31.7</v>
      </c>
      <c r="L19" s="102">
        <v>15.1</v>
      </c>
      <c r="M19" s="102">
        <v>8.1999999999999993</v>
      </c>
      <c r="N19" s="102">
        <f t="shared" si="1"/>
        <v>139.19999999999999</v>
      </c>
      <c r="O19" s="102">
        <f t="shared" si="2"/>
        <v>1030.5</v>
      </c>
      <c r="P19" s="102">
        <f t="shared" si="3"/>
        <v>55</v>
      </c>
      <c r="Q19" s="102">
        <f t="shared" si="4"/>
        <v>1224.7</v>
      </c>
    </row>
    <row r="20" spans="1:17">
      <c r="A20" s="102">
        <v>1994</v>
      </c>
      <c r="B20" s="102">
        <v>17</v>
      </c>
      <c r="C20" s="102">
        <v>21.7</v>
      </c>
      <c r="D20" s="102">
        <v>58.6</v>
      </c>
      <c r="E20" s="102">
        <v>17.3</v>
      </c>
      <c r="F20" s="102">
        <v>135.30000000000001</v>
      </c>
      <c r="G20" s="102">
        <v>225.5</v>
      </c>
      <c r="H20" s="102">
        <v>208.6</v>
      </c>
      <c r="I20" s="102">
        <v>125.1</v>
      </c>
      <c r="J20" s="102">
        <v>127</v>
      </c>
      <c r="K20" s="102">
        <v>193</v>
      </c>
      <c r="L20" s="102">
        <v>36.1</v>
      </c>
      <c r="M20" s="102">
        <v>44.7</v>
      </c>
      <c r="N20" s="102">
        <f t="shared" si="1"/>
        <v>114.60000000000001</v>
      </c>
      <c r="O20" s="102">
        <f t="shared" si="2"/>
        <v>821.5</v>
      </c>
      <c r="P20" s="102">
        <f t="shared" si="3"/>
        <v>273.8</v>
      </c>
      <c r="Q20" s="102">
        <f t="shared" si="4"/>
        <v>1209.8999999999999</v>
      </c>
    </row>
    <row r="21" spans="1:17">
      <c r="A21" s="102">
        <v>1995</v>
      </c>
      <c r="B21" s="102">
        <v>21.7</v>
      </c>
      <c r="C21" s="102">
        <v>45.6</v>
      </c>
      <c r="D21" s="102">
        <v>5.7</v>
      </c>
      <c r="E21" s="102">
        <v>28.8</v>
      </c>
      <c r="F21" s="102">
        <v>166.6</v>
      </c>
      <c r="G21" s="102">
        <v>248.6</v>
      </c>
      <c r="H21" s="102">
        <v>325.5</v>
      </c>
      <c r="I21" s="102">
        <v>275.89999999999998</v>
      </c>
      <c r="J21" s="102">
        <v>300.8</v>
      </c>
      <c r="K21" s="102">
        <v>50.4</v>
      </c>
      <c r="L21" s="102">
        <v>45.7</v>
      </c>
      <c r="M21" s="102">
        <v>4.4000000000000004</v>
      </c>
      <c r="N21" s="102">
        <f t="shared" si="1"/>
        <v>101.8</v>
      </c>
      <c r="O21" s="102">
        <f t="shared" si="2"/>
        <v>1317.4</v>
      </c>
      <c r="P21" s="102">
        <f t="shared" si="3"/>
        <v>100.5</v>
      </c>
      <c r="Q21" s="102">
        <f t="shared" si="4"/>
        <v>1519.7000000000003</v>
      </c>
    </row>
    <row r="22" spans="1:17">
      <c r="A22" s="102">
        <v>1996</v>
      </c>
      <c r="B22" s="102">
        <v>9.4</v>
      </c>
      <c r="C22" s="102">
        <v>16</v>
      </c>
      <c r="D22" s="102">
        <v>112.8</v>
      </c>
      <c r="E22" s="102">
        <v>100.5</v>
      </c>
      <c r="F22" s="102">
        <v>120.4</v>
      </c>
      <c r="G22" s="102">
        <v>193.5</v>
      </c>
      <c r="H22" s="102">
        <v>288.10000000000002</v>
      </c>
      <c r="I22" s="102">
        <v>217.1</v>
      </c>
      <c r="J22" s="102">
        <v>115.1</v>
      </c>
      <c r="K22" s="102">
        <v>40.799999999999997</v>
      </c>
      <c r="L22" s="102">
        <v>76</v>
      </c>
      <c r="M22" s="102">
        <v>4</v>
      </c>
      <c r="N22" s="102">
        <f t="shared" si="1"/>
        <v>238.7</v>
      </c>
      <c r="O22" s="102">
        <f t="shared" si="2"/>
        <v>934.2</v>
      </c>
      <c r="P22" s="102">
        <f t="shared" si="3"/>
        <v>120.8</v>
      </c>
      <c r="Q22" s="102">
        <f t="shared" si="4"/>
        <v>1293.6999999999998</v>
      </c>
    </row>
    <row r="23" spans="1:17">
      <c r="A23" s="102">
        <v>1997</v>
      </c>
      <c r="B23" s="102">
        <v>26.9</v>
      </c>
      <c r="C23" s="102">
        <v>32.799999999999997</v>
      </c>
      <c r="D23" s="102">
        <v>74.8</v>
      </c>
      <c r="E23" s="102">
        <v>57.4</v>
      </c>
      <c r="F23" s="102">
        <v>123.3</v>
      </c>
      <c r="G23" s="102">
        <v>204.9</v>
      </c>
      <c r="H23" s="102">
        <v>375.1</v>
      </c>
      <c r="I23" s="102">
        <v>109.2</v>
      </c>
      <c r="J23" s="102">
        <v>106.1</v>
      </c>
      <c r="K23" s="102">
        <v>161</v>
      </c>
      <c r="L23" s="102">
        <v>12.1</v>
      </c>
      <c r="M23" s="102">
        <v>9.8000000000000007</v>
      </c>
      <c r="N23" s="102">
        <f t="shared" si="1"/>
        <v>191.9</v>
      </c>
      <c r="O23" s="102">
        <f t="shared" si="2"/>
        <v>918.6</v>
      </c>
      <c r="P23" s="102">
        <f t="shared" si="3"/>
        <v>182.9</v>
      </c>
      <c r="Q23" s="102">
        <f t="shared" si="4"/>
        <v>1293.3999999999999</v>
      </c>
    </row>
    <row r="24" spans="1:17">
      <c r="A24" s="102">
        <v>1998</v>
      </c>
      <c r="B24" s="102">
        <v>17.899999999999999</v>
      </c>
      <c r="C24" s="102">
        <v>23.5</v>
      </c>
      <c r="D24" s="102">
        <v>46</v>
      </c>
      <c r="E24" s="102">
        <v>59.7</v>
      </c>
      <c r="F24" s="102">
        <v>123.2</v>
      </c>
      <c r="G24" s="102">
        <v>235.6</v>
      </c>
      <c r="H24" s="102">
        <v>213.2</v>
      </c>
      <c r="I24" s="102">
        <v>97.8</v>
      </c>
      <c r="J24" s="102">
        <v>46.7</v>
      </c>
      <c r="K24" s="102">
        <v>61.7</v>
      </c>
      <c r="L24" s="102">
        <v>17.7</v>
      </c>
      <c r="M24" s="102">
        <v>14</v>
      </c>
      <c r="N24" s="102">
        <f t="shared" si="1"/>
        <v>147.10000000000002</v>
      </c>
      <c r="O24" s="102">
        <f t="shared" si="2"/>
        <v>716.5</v>
      </c>
      <c r="P24" s="102">
        <f t="shared" si="3"/>
        <v>93.4</v>
      </c>
      <c r="Q24" s="102">
        <f t="shared" si="4"/>
        <v>957</v>
      </c>
    </row>
    <row r="25" spans="1:17">
      <c r="A25" s="102">
        <v>1999</v>
      </c>
      <c r="B25" s="102">
        <v>11.5</v>
      </c>
      <c r="C25" s="102">
        <v>8.8000000000000007</v>
      </c>
      <c r="D25" s="102">
        <v>31.8</v>
      </c>
      <c r="E25" s="102">
        <v>87.7</v>
      </c>
      <c r="F25" s="102">
        <v>115.9</v>
      </c>
      <c r="G25" s="102">
        <v>149.1</v>
      </c>
      <c r="H25" s="102">
        <v>346.5</v>
      </c>
      <c r="I25" s="102">
        <v>307.5</v>
      </c>
      <c r="J25" s="102">
        <v>57.6</v>
      </c>
      <c r="K25" s="102">
        <v>102.9</v>
      </c>
      <c r="L25" s="102">
        <v>46.2</v>
      </c>
      <c r="M25" s="102">
        <v>11.5</v>
      </c>
      <c r="N25" s="102">
        <f t="shared" si="1"/>
        <v>139.80000000000001</v>
      </c>
      <c r="O25" s="102">
        <f t="shared" si="2"/>
        <v>976.6</v>
      </c>
      <c r="P25" s="102">
        <f t="shared" si="3"/>
        <v>160.60000000000002</v>
      </c>
      <c r="Q25" s="102">
        <f t="shared" si="4"/>
        <v>1277</v>
      </c>
    </row>
    <row r="26" spans="1:17">
      <c r="A26" s="102">
        <v>2000</v>
      </c>
      <c r="B26" s="102">
        <v>30</v>
      </c>
      <c r="C26" s="102">
        <v>30.4</v>
      </c>
      <c r="D26" s="102">
        <v>39.299999999999997</v>
      </c>
      <c r="E26" s="102">
        <v>79.3</v>
      </c>
      <c r="F26" s="102">
        <v>181.5</v>
      </c>
      <c r="G26" s="102">
        <v>189</v>
      </c>
      <c r="H26" s="102">
        <v>250.4</v>
      </c>
      <c r="I26" s="102">
        <v>210.8</v>
      </c>
      <c r="J26" s="102">
        <v>100.6</v>
      </c>
      <c r="K26" s="102">
        <v>97.6</v>
      </c>
      <c r="L26" s="102">
        <v>30.6</v>
      </c>
      <c r="M26" s="102">
        <v>25.6</v>
      </c>
      <c r="N26" s="102">
        <f t="shared" si="1"/>
        <v>179</v>
      </c>
      <c r="O26" s="102">
        <f t="shared" si="2"/>
        <v>932.30000000000007</v>
      </c>
      <c r="P26" s="102">
        <f t="shared" si="3"/>
        <v>153.79999999999998</v>
      </c>
      <c r="Q26" s="102">
        <f t="shared" si="4"/>
        <v>1265.0999999999997</v>
      </c>
    </row>
    <row r="27" spans="1:17">
      <c r="A27" s="102">
        <v>2001</v>
      </c>
      <c r="B27" s="102">
        <v>7</v>
      </c>
      <c r="C27" s="102">
        <v>22</v>
      </c>
      <c r="D27" s="102">
        <v>36</v>
      </c>
      <c r="E27" s="102">
        <v>26</v>
      </c>
      <c r="F27" s="102">
        <v>148</v>
      </c>
      <c r="G27" s="102">
        <v>350</v>
      </c>
      <c r="H27" s="102">
        <v>338</v>
      </c>
      <c r="I27" s="102">
        <v>137</v>
      </c>
      <c r="J27" s="102">
        <v>88</v>
      </c>
      <c r="K27" s="102">
        <v>175</v>
      </c>
      <c r="L27" s="102">
        <v>21</v>
      </c>
      <c r="M27" s="102">
        <v>8.1</v>
      </c>
      <c r="N27" s="102">
        <f t="shared" si="1"/>
        <v>91</v>
      </c>
      <c r="O27" s="102">
        <f t="shared" si="2"/>
        <v>1061</v>
      </c>
      <c r="P27" s="102">
        <f t="shared" si="3"/>
        <v>204.1</v>
      </c>
      <c r="Q27" s="102">
        <f t="shared" si="4"/>
        <v>1356.1</v>
      </c>
    </row>
    <row r="28" spans="1:17">
      <c r="A28" s="102">
        <v>2002</v>
      </c>
      <c r="B28" s="102">
        <v>19.7</v>
      </c>
      <c r="C28" s="102">
        <v>19.7</v>
      </c>
      <c r="D28" s="102">
        <v>24.4</v>
      </c>
      <c r="E28" s="102">
        <v>61.1</v>
      </c>
      <c r="F28" s="102">
        <v>168.3</v>
      </c>
      <c r="G28" s="102">
        <v>264.89999999999998</v>
      </c>
      <c r="H28" s="102">
        <v>128.19999999999999</v>
      </c>
      <c r="I28" s="102">
        <v>183.8</v>
      </c>
      <c r="J28" s="102">
        <v>17.899999999999999</v>
      </c>
      <c r="K28" s="102">
        <v>99</v>
      </c>
      <c r="L28" s="102">
        <v>3</v>
      </c>
      <c r="M28" s="102">
        <v>27.1</v>
      </c>
      <c r="N28" s="102">
        <f t="shared" si="1"/>
        <v>124.9</v>
      </c>
      <c r="O28" s="102">
        <f t="shared" si="2"/>
        <v>763.1</v>
      </c>
      <c r="P28" s="102">
        <f t="shared" si="3"/>
        <v>129.1</v>
      </c>
      <c r="Q28" s="102">
        <f t="shared" si="4"/>
        <v>1017.0999999999999</v>
      </c>
    </row>
    <row r="29" spans="1:17">
      <c r="A29" s="102">
        <v>2003</v>
      </c>
      <c r="B29" s="102">
        <v>39</v>
      </c>
      <c r="C29" s="102">
        <v>2</v>
      </c>
      <c r="D29" s="102">
        <v>41</v>
      </c>
      <c r="E29" s="102">
        <v>29</v>
      </c>
      <c r="F29" s="102">
        <v>269</v>
      </c>
      <c r="G29" s="102">
        <v>258</v>
      </c>
      <c r="H29" s="102">
        <v>247</v>
      </c>
      <c r="I29" s="102">
        <v>101</v>
      </c>
      <c r="J29" s="102">
        <v>124</v>
      </c>
      <c r="K29" s="102">
        <v>37.299999999999997</v>
      </c>
      <c r="L29" s="102">
        <v>10.199999999999999</v>
      </c>
      <c r="M29" s="102">
        <v>20</v>
      </c>
      <c r="N29" s="102">
        <f t="shared" si="1"/>
        <v>111</v>
      </c>
      <c r="O29" s="102">
        <f t="shared" si="2"/>
        <v>999</v>
      </c>
      <c r="P29" s="102">
        <f t="shared" si="3"/>
        <v>67.5</v>
      </c>
      <c r="Q29" s="102">
        <f t="shared" si="4"/>
        <v>1177.5</v>
      </c>
    </row>
    <row r="30" spans="1:17">
      <c r="A30" s="102">
        <v>2004</v>
      </c>
      <c r="B30" s="102">
        <v>10.1</v>
      </c>
      <c r="C30" s="102">
        <v>24.2</v>
      </c>
      <c r="D30" s="102">
        <v>15.4</v>
      </c>
      <c r="E30" s="102">
        <v>68.7</v>
      </c>
      <c r="F30" s="102">
        <v>97.9</v>
      </c>
      <c r="G30" s="102">
        <v>132</v>
      </c>
      <c r="H30" s="102">
        <v>241.2</v>
      </c>
      <c r="I30" s="102">
        <v>159.4</v>
      </c>
      <c r="J30" s="102">
        <v>107.5</v>
      </c>
      <c r="K30" s="102">
        <v>40.1</v>
      </c>
      <c r="L30" s="102">
        <v>29</v>
      </c>
      <c r="M30" s="102">
        <v>13.5</v>
      </c>
      <c r="N30" s="102">
        <f t="shared" si="1"/>
        <v>118.4</v>
      </c>
      <c r="O30" s="102">
        <f t="shared" si="2"/>
        <v>738</v>
      </c>
      <c r="P30" s="102">
        <f t="shared" si="3"/>
        <v>82.6</v>
      </c>
      <c r="Q30" s="102">
        <f t="shared" si="4"/>
        <v>939</v>
      </c>
    </row>
    <row r="31" spans="1:17">
      <c r="A31" s="102">
        <v>2005</v>
      </c>
      <c r="B31" s="102">
        <v>29.7</v>
      </c>
      <c r="C31" s="102">
        <v>6.8</v>
      </c>
      <c r="D31" s="102">
        <v>24.1</v>
      </c>
      <c r="E31" s="102">
        <v>85.2</v>
      </c>
      <c r="F31" s="102">
        <v>88.4</v>
      </c>
      <c r="G31" s="102">
        <v>265</v>
      </c>
      <c r="H31" s="102">
        <v>105.8</v>
      </c>
      <c r="I31" s="102">
        <v>219.8</v>
      </c>
      <c r="J31" s="102">
        <v>68.599999999999994</v>
      </c>
      <c r="K31" s="102">
        <v>77.8</v>
      </c>
      <c r="L31" s="102">
        <v>3.9</v>
      </c>
      <c r="M31" s="102">
        <v>27.8</v>
      </c>
      <c r="N31" s="102">
        <f t="shared" si="1"/>
        <v>145.80000000000001</v>
      </c>
      <c r="O31" s="102">
        <f t="shared" si="2"/>
        <v>747.6</v>
      </c>
      <c r="P31" s="102">
        <f t="shared" si="3"/>
        <v>109.5</v>
      </c>
      <c r="Q31" s="102">
        <f t="shared" si="4"/>
        <v>1002.8999999999999</v>
      </c>
    </row>
    <row r="32" spans="1:17">
      <c r="A32" s="102">
        <v>2006</v>
      </c>
      <c r="B32" s="102">
        <v>0.7</v>
      </c>
      <c r="C32" s="102">
        <v>23.1</v>
      </c>
      <c r="D32" s="102">
        <v>23.9</v>
      </c>
      <c r="E32" s="102">
        <v>48.9</v>
      </c>
      <c r="F32" s="102">
        <v>123.5</v>
      </c>
      <c r="G32" s="102">
        <v>326.2</v>
      </c>
      <c r="H32" s="102">
        <v>163.5</v>
      </c>
      <c r="I32" s="102">
        <v>122.5</v>
      </c>
      <c r="J32" s="102">
        <v>38.4</v>
      </c>
      <c r="K32" s="102">
        <v>132.69999999999999</v>
      </c>
      <c r="L32" s="102">
        <v>31.9</v>
      </c>
      <c r="M32" s="102">
        <v>5.3</v>
      </c>
      <c r="N32" s="102">
        <f t="shared" si="1"/>
        <v>96.6</v>
      </c>
      <c r="O32" s="102">
        <f t="shared" si="2"/>
        <v>774.1</v>
      </c>
      <c r="P32" s="102">
        <f t="shared" si="3"/>
        <v>169.9</v>
      </c>
      <c r="Q32" s="102">
        <f t="shared" si="4"/>
        <v>1040.5999999999999</v>
      </c>
    </row>
    <row r="33" spans="1:33">
      <c r="A33" s="102">
        <v>2007</v>
      </c>
      <c r="B33" s="102">
        <v>40.6</v>
      </c>
      <c r="C33" s="102">
        <v>3.2</v>
      </c>
      <c r="D33" s="102">
        <v>0.9</v>
      </c>
      <c r="E33" s="102">
        <v>73.400000000000006</v>
      </c>
      <c r="F33" s="102">
        <v>159.5</v>
      </c>
      <c r="G33" s="102">
        <v>255.4</v>
      </c>
      <c r="H33" s="102">
        <v>393.4</v>
      </c>
      <c r="I33" s="102">
        <v>237.1</v>
      </c>
      <c r="J33" s="102">
        <v>97.3</v>
      </c>
      <c r="K33" s="102">
        <v>36.299999999999997</v>
      </c>
      <c r="L33" s="102">
        <v>10.6</v>
      </c>
      <c r="M33" s="102">
        <v>11.1</v>
      </c>
      <c r="N33" s="102">
        <f t="shared" si="1"/>
        <v>118.10000000000001</v>
      </c>
      <c r="O33" s="102">
        <f t="shared" si="2"/>
        <v>1142.6999999999998</v>
      </c>
      <c r="P33" s="102">
        <f t="shared" si="3"/>
        <v>58</v>
      </c>
      <c r="Q33" s="102">
        <f t="shared" si="4"/>
        <v>1318.7999999999997</v>
      </c>
    </row>
    <row r="34" spans="1:33">
      <c r="A34" s="102">
        <v>2008</v>
      </c>
      <c r="B34" s="102">
        <v>12.4</v>
      </c>
      <c r="C34" s="102">
        <v>2.2999999999999998</v>
      </c>
      <c r="D34" s="102">
        <v>36.9</v>
      </c>
      <c r="E34" s="102">
        <v>26.7</v>
      </c>
      <c r="F34" s="102">
        <v>216.6</v>
      </c>
      <c r="G34" s="102">
        <v>176</v>
      </c>
      <c r="H34" s="102">
        <v>198.4</v>
      </c>
      <c r="I34" s="102">
        <v>231.9</v>
      </c>
      <c r="J34" s="102">
        <v>142.30000000000001</v>
      </c>
      <c r="K34" s="102">
        <v>81.2</v>
      </c>
      <c r="L34" s="102">
        <v>95.4</v>
      </c>
      <c r="M34" s="102">
        <v>14.7</v>
      </c>
      <c r="N34" s="102">
        <f t="shared" si="1"/>
        <v>78.3</v>
      </c>
      <c r="O34" s="102">
        <f t="shared" si="2"/>
        <v>965.2</v>
      </c>
      <c r="P34" s="102">
        <f t="shared" si="3"/>
        <v>191.3</v>
      </c>
      <c r="Q34" s="102">
        <f t="shared" si="4"/>
        <v>1234.8000000000002</v>
      </c>
    </row>
    <row r="35" spans="1:33">
      <c r="A35" s="102">
        <v>2009</v>
      </c>
      <c r="B35" s="102">
        <v>7.1</v>
      </c>
      <c r="C35" s="102">
        <v>7.1</v>
      </c>
      <c r="D35" s="102">
        <v>81.900000000000006</v>
      </c>
      <c r="E35" s="102">
        <v>50</v>
      </c>
      <c r="F35" s="102">
        <v>80.599999999999994</v>
      </c>
      <c r="G35" s="102">
        <v>211.5</v>
      </c>
      <c r="H35" s="102">
        <v>140.5</v>
      </c>
      <c r="I35" s="102">
        <v>47.9</v>
      </c>
      <c r="J35" s="102">
        <v>66.2</v>
      </c>
      <c r="K35" s="102">
        <v>39.700000000000003</v>
      </c>
      <c r="L35" s="102">
        <v>9.9</v>
      </c>
      <c r="M35" s="102">
        <v>5.3</v>
      </c>
      <c r="N35" s="102">
        <f t="shared" si="1"/>
        <v>146.10000000000002</v>
      </c>
      <c r="O35" s="102">
        <f t="shared" si="2"/>
        <v>546.70000000000005</v>
      </c>
      <c r="P35" s="102">
        <f t="shared" si="3"/>
        <v>54.9</v>
      </c>
      <c r="Q35" s="102">
        <f t="shared" si="4"/>
        <v>747.7</v>
      </c>
    </row>
    <row r="36" spans="1:33">
      <c r="A36" s="102">
        <v>2010</v>
      </c>
      <c r="B36" s="102">
        <v>9.6</v>
      </c>
      <c r="C36" s="102">
        <v>1.2</v>
      </c>
      <c r="D36" s="102">
        <v>0.9</v>
      </c>
      <c r="E36" s="102">
        <v>96</v>
      </c>
      <c r="F36" s="102">
        <v>111.1</v>
      </c>
      <c r="G36" s="102">
        <v>330.9</v>
      </c>
      <c r="H36" s="102">
        <v>228.3</v>
      </c>
      <c r="I36" s="102">
        <v>61.1</v>
      </c>
      <c r="J36" s="102">
        <v>141.80000000000001</v>
      </c>
      <c r="K36" s="102">
        <v>57.6</v>
      </c>
      <c r="L36" s="102">
        <v>51.4</v>
      </c>
      <c r="M36" s="102">
        <v>53.8</v>
      </c>
      <c r="N36" s="102">
        <f t="shared" si="1"/>
        <v>107.7</v>
      </c>
      <c r="O36" s="102">
        <f t="shared" si="2"/>
        <v>873.2</v>
      </c>
      <c r="P36" s="102">
        <f t="shared" si="3"/>
        <v>162.80000000000001</v>
      </c>
      <c r="Q36" s="102">
        <f t="shared" si="4"/>
        <v>1143.7</v>
      </c>
    </row>
    <row r="37" spans="1:33">
      <c r="A37" s="102">
        <v>2011</v>
      </c>
      <c r="B37" s="102">
        <v>27.2</v>
      </c>
      <c r="C37" s="102">
        <v>12.1</v>
      </c>
      <c r="D37" s="102">
        <v>41.5</v>
      </c>
      <c r="E37" s="102">
        <v>27</v>
      </c>
      <c r="F37" s="102">
        <v>91.4</v>
      </c>
      <c r="G37" s="102">
        <v>274.39999999999998</v>
      </c>
      <c r="H37" s="102">
        <v>34.200000000000003</v>
      </c>
      <c r="I37" s="102">
        <v>64.5</v>
      </c>
      <c r="J37" s="102">
        <v>82.1</v>
      </c>
      <c r="K37" s="102">
        <v>124</v>
      </c>
      <c r="L37" s="102">
        <v>20.3</v>
      </c>
      <c r="M37" s="102">
        <v>7.3</v>
      </c>
      <c r="N37" s="102">
        <f t="shared" si="1"/>
        <v>107.8</v>
      </c>
      <c r="O37" s="102">
        <f t="shared" si="2"/>
        <v>546.59999999999991</v>
      </c>
      <c r="P37" s="102">
        <f t="shared" si="3"/>
        <v>151.60000000000002</v>
      </c>
      <c r="Q37" s="102">
        <f t="shared" si="4"/>
        <v>805.99999999999989</v>
      </c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</row>
    <row r="38" spans="1:33">
      <c r="A38" s="102">
        <v>2012</v>
      </c>
      <c r="B38" s="102">
        <v>30.7</v>
      </c>
      <c r="C38" s="102">
        <v>14.2</v>
      </c>
      <c r="D38" s="102">
        <v>14.3</v>
      </c>
      <c r="E38" s="102">
        <v>20.2</v>
      </c>
      <c r="F38" s="102">
        <v>200.5</v>
      </c>
      <c r="G38" s="102">
        <v>286</v>
      </c>
      <c r="H38" s="102">
        <v>346.8</v>
      </c>
      <c r="I38" s="102">
        <v>77.900000000000006</v>
      </c>
      <c r="J38" s="102">
        <v>96</v>
      </c>
      <c r="K38" s="102">
        <v>40.1</v>
      </c>
      <c r="L38" s="102">
        <v>31.9</v>
      </c>
      <c r="M38" s="102">
        <v>6.7</v>
      </c>
      <c r="N38" s="102">
        <f t="shared" si="1"/>
        <v>79.400000000000006</v>
      </c>
      <c r="O38" s="102">
        <f t="shared" si="2"/>
        <v>1007.1999999999999</v>
      </c>
      <c r="P38" s="102">
        <f t="shared" si="3"/>
        <v>78.7</v>
      </c>
      <c r="Q38" s="102">
        <f t="shared" si="4"/>
        <v>1165.3</v>
      </c>
      <c r="R38" s="104"/>
      <c r="S38" s="104"/>
      <c r="T38" s="104"/>
      <c r="U38" s="104"/>
      <c r="V38" s="104"/>
      <c r="W38" s="104"/>
      <c r="X38" s="104"/>
      <c r="Y38" s="104"/>
      <c r="Z38" s="104"/>
      <c r="AA38" s="104"/>
      <c r="AB38" s="104"/>
      <c r="AC38" s="104"/>
      <c r="AD38" s="104"/>
      <c r="AE38" s="104"/>
      <c r="AF38" s="104"/>
      <c r="AG38" s="104"/>
    </row>
    <row r="39" spans="1:33">
      <c r="A39" s="102">
        <v>2013</v>
      </c>
      <c r="B39" s="102">
        <v>11.7</v>
      </c>
      <c r="C39" s="102">
        <v>4.2</v>
      </c>
      <c r="D39" s="102">
        <v>15.7</v>
      </c>
      <c r="E39" s="102">
        <v>64</v>
      </c>
      <c r="F39" s="102">
        <v>150.5</v>
      </c>
      <c r="G39" s="102">
        <v>125.7</v>
      </c>
      <c r="H39" s="102">
        <v>57.3</v>
      </c>
      <c r="I39" s="102">
        <v>204.7</v>
      </c>
      <c r="J39" s="102">
        <v>65.599999999999994</v>
      </c>
      <c r="K39" s="102">
        <v>31.7</v>
      </c>
      <c r="L39" s="102">
        <v>19.600000000000001</v>
      </c>
      <c r="M39" s="102">
        <v>54.4</v>
      </c>
      <c r="N39" s="102">
        <f t="shared" si="1"/>
        <v>95.6</v>
      </c>
      <c r="O39" s="102">
        <f t="shared" si="2"/>
        <v>603.80000000000007</v>
      </c>
      <c r="P39" s="102">
        <f t="shared" si="3"/>
        <v>105.69999999999999</v>
      </c>
      <c r="Q39" s="102">
        <f t="shared" si="4"/>
        <v>805.1</v>
      </c>
      <c r="R39" s="104"/>
      <c r="S39" s="104"/>
      <c r="T39" s="104"/>
      <c r="U39" s="104"/>
      <c r="V39" s="104"/>
      <c r="W39" s="104"/>
      <c r="X39" s="104"/>
      <c r="Y39" s="104"/>
      <c r="Z39" s="104"/>
      <c r="AA39" s="104"/>
      <c r="AB39" s="104"/>
      <c r="AC39" s="104"/>
      <c r="AD39" s="104"/>
      <c r="AE39" s="104"/>
      <c r="AF39" s="104"/>
      <c r="AG39" s="104"/>
    </row>
    <row r="40" spans="1:33">
      <c r="A40" s="102">
        <v>2014</v>
      </c>
      <c r="B40" s="128">
        <v>13.1</v>
      </c>
      <c r="C40" s="128">
        <v>40.1</v>
      </c>
      <c r="D40" s="128">
        <v>34.6</v>
      </c>
      <c r="E40" s="128">
        <v>49.6</v>
      </c>
      <c r="F40" s="128">
        <v>35.700000000000003</v>
      </c>
      <c r="G40" s="128">
        <v>360.8</v>
      </c>
      <c r="H40" s="128">
        <v>286.3</v>
      </c>
      <c r="I40" s="128">
        <v>215.9</v>
      </c>
      <c r="J40" s="128">
        <v>211.2</v>
      </c>
      <c r="K40" s="128">
        <v>23.7</v>
      </c>
      <c r="L40" s="128">
        <v>50.4</v>
      </c>
      <c r="M40" s="128">
        <v>6.3</v>
      </c>
      <c r="N40" s="102">
        <f t="shared" si="1"/>
        <v>137.4</v>
      </c>
      <c r="O40" s="102">
        <f t="shared" si="2"/>
        <v>1109.8999999999999</v>
      </c>
      <c r="P40" s="102">
        <f t="shared" si="3"/>
        <v>80.399999999999991</v>
      </c>
      <c r="Q40" s="102">
        <f t="shared" si="4"/>
        <v>1327.7000000000003</v>
      </c>
    </row>
    <row r="41" spans="1:33">
      <c r="A41" s="102">
        <v>2015</v>
      </c>
      <c r="B41" s="128">
        <v>59.8</v>
      </c>
      <c r="C41" s="128">
        <v>19.600000000000001</v>
      </c>
      <c r="D41" s="128">
        <v>32.4</v>
      </c>
      <c r="E41" s="128">
        <v>51.6</v>
      </c>
      <c r="F41" s="128">
        <v>200.2</v>
      </c>
      <c r="G41" s="128">
        <v>200.1</v>
      </c>
      <c r="H41" s="128">
        <v>262.89999999999998</v>
      </c>
      <c r="I41" s="128">
        <v>266.39999999999998</v>
      </c>
      <c r="J41" s="128">
        <v>109.8</v>
      </c>
      <c r="K41" s="128">
        <v>114.2</v>
      </c>
      <c r="L41" s="128">
        <v>50.2</v>
      </c>
      <c r="M41" s="128">
        <v>69.2</v>
      </c>
      <c r="N41" s="102">
        <f t="shared" si="1"/>
        <v>163.4</v>
      </c>
      <c r="O41" s="102">
        <f t="shared" si="2"/>
        <v>1039.3999999999999</v>
      </c>
      <c r="P41" s="102">
        <f t="shared" si="3"/>
        <v>233.60000000000002</v>
      </c>
      <c r="Q41" s="102">
        <f t="shared" si="4"/>
        <v>1436.4</v>
      </c>
    </row>
    <row r="42" spans="1:33">
      <c r="A42" s="102">
        <v>2016</v>
      </c>
      <c r="B42" s="134">
        <v>13.5</v>
      </c>
      <c r="C42" s="134">
        <v>4.8</v>
      </c>
      <c r="D42" s="134">
        <v>7.9</v>
      </c>
      <c r="E42" s="134">
        <v>80.3</v>
      </c>
      <c r="F42" s="134">
        <v>174</v>
      </c>
      <c r="G42" s="134">
        <v>193.9</v>
      </c>
      <c r="H42" s="134">
        <v>191.5</v>
      </c>
      <c r="I42" s="134">
        <v>250.1</v>
      </c>
      <c r="J42" s="134">
        <v>64.599999999999994</v>
      </c>
      <c r="K42" s="134">
        <v>74.3</v>
      </c>
      <c r="L42" s="134">
        <v>72</v>
      </c>
      <c r="M42" s="134">
        <v>6.5</v>
      </c>
      <c r="N42" s="102">
        <f>SUM(B42:E42)</f>
        <v>106.5</v>
      </c>
      <c r="O42" s="102">
        <f>SUM(F42:J42)</f>
        <v>874.1</v>
      </c>
      <c r="P42" s="102">
        <f>SUM(K42:M42)</f>
        <v>152.80000000000001</v>
      </c>
      <c r="Q42" s="102">
        <f>SUM(B42:M42)</f>
        <v>1133.4000000000001</v>
      </c>
      <c r="R42" s="108">
        <f t="shared" ref="R42:AG42" si="5">100*(B42-B4)/B4</f>
        <v>-36.907919666540373</v>
      </c>
      <c r="S42" s="108">
        <f t="shared" si="5"/>
        <v>-78.88730385164051</v>
      </c>
      <c r="T42" s="108">
        <f t="shared" si="5"/>
        <v>-78.025860772816131</v>
      </c>
      <c r="U42" s="108">
        <f t="shared" si="5"/>
        <v>34.731543624161084</v>
      </c>
      <c r="V42" s="108">
        <f t="shared" si="5"/>
        <v>19.416827422466231</v>
      </c>
      <c r="W42" s="108">
        <f t="shared" si="5"/>
        <v>-17.666433317649211</v>
      </c>
      <c r="X42" s="108">
        <f t="shared" si="5"/>
        <v>-13.847818685861583</v>
      </c>
      <c r="Y42" s="108">
        <f t="shared" si="5"/>
        <v>36.422874496911469</v>
      </c>
      <c r="Z42" s="108">
        <f t="shared" si="5"/>
        <v>-49.452269170579036</v>
      </c>
      <c r="AA42" s="108">
        <f t="shared" si="5"/>
        <v>-2.3202103467879254</v>
      </c>
      <c r="AB42" s="108">
        <f t="shared" si="5"/>
        <v>105.71428571428564</v>
      </c>
      <c r="AC42" s="108">
        <f t="shared" si="5"/>
        <v>-65.978214740415908</v>
      </c>
      <c r="AD42" s="108">
        <f t="shared" si="5"/>
        <v>-23.756360892363059</v>
      </c>
      <c r="AE42" s="108">
        <f t="shared" si="5"/>
        <v>-4.430424632841798</v>
      </c>
      <c r="AF42" s="108">
        <f t="shared" si="5"/>
        <v>17.384714407325138</v>
      </c>
      <c r="AG42" s="108">
        <f t="shared" si="5"/>
        <v>-4.3120915629221122</v>
      </c>
    </row>
  </sheetData>
  <mergeCells count="6">
    <mergeCell ref="A1:A3"/>
    <mergeCell ref="B2:M2"/>
    <mergeCell ref="B1:Q1"/>
    <mergeCell ref="R1:AG1"/>
    <mergeCell ref="N2:Q2"/>
    <mergeCell ref="R2:AG2"/>
  </mergeCells>
  <phoneticPr fontId="2" type="noConversion"/>
  <pageMargins left="0.75" right="0.75" top="1" bottom="1" header="0.5" footer="0.5"/>
  <headerFooter alignWithMargins="0"/>
</worksheet>
</file>

<file path=xl/worksheets/sheet86.xml><?xml version="1.0" encoding="utf-8"?>
<worksheet xmlns="http://schemas.openxmlformats.org/spreadsheetml/2006/main" xmlns:r="http://schemas.openxmlformats.org/officeDocument/2006/relationships">
  <sheetPr codeName="Sheet86"/>
  <dimension ref="A1:AG40"/>
  <sheetViews>
    <sheetView zoomScale="85" zoomScaleNormal="85" workbookViewId="0">
      <pane ySplit="5" topLeftCell="A6" activePane="bottomLeft" state="frozen"/>
      <selection pane="bottomLeft" activeCell="R40" sqref="R40"/>
    </sheetView>
  </sheetViews>
  <sheetFormatPr defaultRowHeight="12"/>
  <cols>
    <col min="1" max="40" width="7.125" style="102" customWidth="1"/>
    <col min="41" max="16384" width="9" style="102"/>
  </cols>
  <sheetData>
    <row r="1" spans="1:33" s="118" customFormat="1" ht="14.25" customHeight="1">
      <c r="A1" s="176" t="s">
        <v>53</v>
      </c>
      <c r="B1" s="176" t="s">
        <v>171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2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116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32</v>
      </c>
      <c r="O2" s="176"/>
      <c r="P2" s="176"/>
      <c r="Q2" s="176"/>
      <c r="R2" s="176" t="s">
        <v>38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 ht="24">
      <c r="A3" s="176"/>
      <c r="B3" s="125" t="s">
        <v>149</v>
      </c>
      <c r="C3" s="125" t="s">
        <v>150</v>
      </c>
      <c r="D3" s="125" t="s">
        <v>9</v>
      </c>
      <c r="E3" s="125" t="s">
        <v>10</v>
      </c>
      <c r="F3" s="125" t="s">
        <v>11</v>
      </c>
      <c r="G3" s="125" t="s">
        <v>12</v>
      </c>
      <c r="H3" s="125" t="s">
        <v>13</v>
      </c>
      <c r="I3" s="125" t="s">
        <v>14</v>
      </c>
      <c r="J3" s="125" t="s">
        <v>15</v>
      </c>
      <c r="K3" s="125" t="s">
        <v>16</v>
      </c>
      <c r="L3" s="125" t="s">
        <v>17</v>
      </c>
      <c r="M3" s="125" t="s">
        <v>18</v>
      </c>
      <c r="N3" s="125" t="s">
        <v>145</v>
      </c>
      <c r="O3" s="125" t="s">
        <v>146</v>
      </c>
      <c r="P3" s="125" t="s">
        <v>147</v>
      </c>
      <c r="Q3" s="125" t="s">
        <v>148</v>
      </c>
      <c r="R3" s="125" t="s">
        <v>149</v>
      </c>
      <c r="S3" s="125" t="s">
        <v>150</v>
      </c>
      <c r="T3" s="125" t="s">
        <v>151</v>
      </c>
      <c r="U3" s="125" t="s">
        <v>152</v>
      </c>
      <c r="V3" s="125" t="s">
        <v>153</v>
      </c>
      <c r="W3" s="125" t="s">
        <v>154</v>
      </c>
      <c r="X3" s="125" t="s">
        <v>25</v>
      </c>
      <c r="Y3" s="125" t="s">
        <v>26</v>
      </c>
      <c r="Z3" s="125" t="s">
        <v>27</v>
      </c>
      <c r="AA3" s="125" t="s">
        <v>155</v>
      </c>
      <c r="AB3" s="125" t="s">
        <v>156</v>
      </c>
      <c r="AC3" s="125" t="s">
        <v>157</v>
      </c>
      <c r="AD3" s="125" t="s">
        <v>132</v>
      </c>
      <c r="AE3" s="125" t="s">
        <v>42</v>
      </c>
      <c r="AF3" s="125" t="s">
        <v>91</v>
      </c>
      <c r="AG3" s="125" t="s">
        <v>66</v>
      </c>
    </row>
    <row r="4" spans="1:33" s="118" customFormat="1">
      <c r="A4" s="150" t="s">
        <v>261</v>
      </c>
      <c r="B4" s="150">
        <f t="shared" ref="B4:Q4" si="0">AVERAGE(B5:B39)</f>
        <v>21.68</v>
      </c>
      <c r="C4" s="150">
        <f t="shared" si="0"/>
        <v>21.988571428571433</v>
      </c>
      <c r="D4" s="150">
        <f t="shared" si="0"/>
        <v>37.865714285714276</v>
      </c>
      <c r="E4" s="150">
        <f t="shared" si="0"/>
        <v>56.019999999999989</v>
      </c>
      <c r="F4" s="150">
        <f t="shared" si="0"/>
        <v>159.55142857142854</v>
      </c>
      <c r="G4" s="150">
        <f t="shared" si="0"/>
        <v>271.53428571428572</v>
      </c>
      <c r="H4" s="150">
        <f t="shared" si="0"/>
        <v>222.57428571428574</v>
      </c>
      <c r="I4" s="150">
        <f t="shared" si="0"/>
        <v>182.57142857142858</v>
      </c>
      <c r="J4" s="150">
        <f t="shared" si="0"/>
        <v>121.80571428571427</v>
      </c>
      <c r="K4" s="150">
        <f t="shared" si="0"/>
        <v>86.088571428571413</v>
      </c>
      <c r="L4" s="150">
        <f t="shared" si="0"/>
        <v>38.285714285714285</v>
      </c>
      <c r="M4" s="150">
        <f t="shared" si="0"/>
        <v>18.488571428571426</v>
      </c>
      <c r="N4" s="150">
        <f t="shared" si="0"/>
        <v>137.55428571428573</v>
      </c>
      <c r="O4" s="150">
        <f t="shared" si="0"/>
        <v>958.03714285714273</v>
      </c>
      <c r="P4" s="150">
        <f t="shared" si="0"/>
        <v>142.86285714285714</v>
      </c>
      <c r="Q4" s="150">
        <f t="shared" si="0"/>
        <v>1238.454285714286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1981</v>
      </c>
      <c r="B5" s="103">
        <v>10.8</v>
      </c>
      <c r="C5" s="103">
        <v>11.9</v>
      </c>
      <c r="D5" s="103">
        <v>8.5</v>
      </c>
      <c r="E5" s="103">
        <v>111.7</v>
      </c>
      <c r="F5" s="103">
        <v>196.1</v>
      </c>
      <c r="G5" s="103">
        <v>268.5</v>
      </c>
      <c r="H5" s="103">
        <v>193.9</v>
      </c>
      <c r="I5" s="103">
        <v>99.3</v>
      </c>
      <c r="J5" s="103">
        <v>144.1</v>
      </c>
      <c r="K5" s="103">
        <v>49.6</v>
      </c>
      <c r="L5" s="103">
        <v>107.3</v>
      </c>
      <c r="M5" s="103">
        <v>11.2</v>
      </c>
      <c r="N5" s="102">
        <f>SUM(B5:E5)</f>
        <v>142.9</v>
      </c>
      <c r="O5" s="102">
        <f>SUM(F5:J5)</f>
        <v>901.9</v>
      </c>
      <c r="P5" s="102">
        <f>SUM(K5:M5)</f>
        <v>168.1</v>
      </c>
      <c r="Q5" s="102">
        <f>SUM(B5:M5)</f>
        <v>1212.8999999999999</v>
      </c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</row>
    <row r="6" spans="1:33">
      <c r="A6" s="102">
        <v>1982</v>
      </c>
      <c r="B6" s="103">
        <v>14.2</v>
      </c>
      <c r="C6" s="103">
        <v>81.7</v>
      </c>
      <c r="D6" s="103">
        <v>13.5</v>
      </c>
      <c r="E6" s="103">
        <v>145</v>
      </c>
      <c r="F6" s="103">
        <v>88.4</v>
      </c>
      <c r="G6" s="103">
        <v>294</v>
      </c>
      <c r="H6" s="103">
        <v>120.8</v>
      </c>
      <c r="I6" s="103">
        <v>143.5</v>
      </c>
      <c r="J6" s="103">
        <v>142.1</v>
      </c>
      <c r="K6" s="103">
        <v>72.8</v>
      </c>
      <c r="L6" s="103">
        <v>76.400000000000006</v>
      </c>
      <c r="M6" s="103">
        <v>22</v>
      </c>
      <c r="N6" s="102">
        <f t="shared" ref="N6:N39" si="1">SUM(B6:E6)</f>
        <v>254.4</v>
      </c>
      <c r="O6" s="102">
        <f t="shared" ref="O6:O39" si="2">SUM(F6:J6)</f>
        <v>788.80000000000007</v>
      </c>
      <c r="P6" s="102">
        <f t="shared" ref="P6:P39" si="3">SUM(K6:M6)</f>
        <v>171.2</v>
      </c>
      <c r="Q6" s="102">
        <f t="shared" ref="Q6:Q39" si="4">SUM(B6:M6)</f>
        <v>1214.3999999999999</v>
      </c>
      <c r="R6" s="103"/>
      <c r="S6" s="103"/>
      <c r="T6" s="103"/>
      <c r="U6" s="103"/>
      <c r="V6" s="103"/>
      <c r="W6" s="103"/>
      <c r="X6" s="103"/>
      <c r="Y6" s="103"/>
      <c r="Z6" s="103"/>
      <c r="AA6" s="103"/>
      <c r="AB6" s="103"/>
      <c r="AC6" s="103"/>
      <c r="AD6" s="103"/>
      <c r="AE6" s="103"/>
    </row>
    <row r="7" spans="1:33">
      <c r="A7" s="102">
        <v>1983</v>
      </c>
      <c r="B7" s="102">
        <v>43.2</v>
      </c>
      <c r="C7" s="102">
        <v>51.2</v>
      </c>
      <c r="D7" s="102">
        <v>57.5</v>
      </c>
      <c r="E7" s="102">
        <v>44.1</v>
      </c>
      <c r="F7" s="102">
        <v>238.2</v>
      </c>
      <c r="G7" s="102">
        <v>198.2</v>
      </c>
      <c r="H7" s="102">
        <v>170.8</v>
      </c>
      <c r="I7" s="102">
        <v>323.8</v>
      </c>
      <c r="J7" s="102">
        <v>183.8</v>
      </c>
      <c r="K7" s="102">
        <v>108</v>
      </c>
      <c r="L7" s="102">
        <v>84.4</v>
      </c>
      <c r="M7" s="102">
        <v>27.8</v>
      </c>
      <c r="N7" s="102">
        <f t="shared" si="1"/>
        <v>196</v>
      </c>
      <c r="O7" s="102">
        <f t="shared" si="2"/>
        <v>1114.8</v>
      </c>
      <c r="P7" s="102">
        <f t="shared" si="3"/>
        <v>220.20000000000002</v>
      </c>
      <c r="Q7" s="102">
        <f t="shared" si="4"/>
        <v>1531</v>
      </c>
    </row>
    <row r="8" spans="1:33">
      <c r="A8" s="102">
        <v>1984</v>
      </c>
      <c r="B8" s="102">
        <v>16.7</v>
      </c>
      <c r="C8" s="102">
        <v>9.6999999999999993</v>
      </c>
      <c r="D8" s="102">
        <v>33</v>
      </c>
      <c r="E8" s="102">
        <v>76.5</v>
      </c>
      <c r="F8" s="102">
        <v>219.6</v>
      </c>
      <c r="G8" s="102">
        <v>283.5</v>
      </c>
      <c r="H8" s="102">
        <v>71</v>
      </c>
      <c r="I8" s="102">
        <v>231</v>
      </c>
      <c r="J8" s="102">
        <v>10.199999999999999</v>
      </c>
      <c r="K8" s="102">
        <v>135.30000000000001</v>
      </c>
      <c r="L8" s="102">
        <v>16.899999999999999</v>
      </c>
      <c r="M8" s="102">
        <v>25.4</v>
      </c>
      <c r="N8" s="102">
        <f t="shared" si="1"/>
        <v>135.9</v>
      </c>
      <c r="O8" s="102">
        <f t="shared" si="2"/>
        <v>815.30000000000007</v>
      </c>
      <c r="P8" s="102">
        <f t="shared" si="3"/>
        <v>177.60000000000002</v>
      </c>
      <c r="Q8" s="102">
        <f t="shared" si="4"/>
        <v>1128.8000000000002</v>
      </c>
    </row>
    <row r="9" spans="1:33">
      <c r="A9" s="102">
        <v>1985</v>
      </c>
      <c r="B9" s="102">
        <v>28.5</v>
      </c>
      <c r="C9" s="102">
        <v>39.299999999999997</v>
      </c>
      <c r="D9" s="102">
        <v>33.5</v>
      </c>
      <c r="E9" s="102">
        <v>72.599999999999994</v>
      </c>
      <c r="F9" s="102">
        <v>213.5</v>
      </c>
      <c r="G9" s="102">
        <v>313.60000000000002</v>
      </c>
      <c r="H9" s="102">
        <v>173.7</v>
      </c>
      <c r="I9" s="102">
        <v>220</v>
      </c>
      <c r="J9" s="102">
        <v>161.6</v>
      </c>
      <c r="K9" s="102">
        <v>60.2</v>
      </c>
      <c r="L9" s="102">
        <v>27.8</v>
      </c>
      <c r="M9" s="102">
        <v>10.9</v>
      </c>
      <c r="N9" s="102">
        <f t="shared" si="1"/>
        <v>173.89999999999998</v>
      </c>
      <c r="O9" s="102">
        <f t="shared" si="2"/>
        <v>1082.3999999999999</v>
      </c>
      <c r="P9" s="102">
        <f t="shared" si="3"/>
        <v>98.9</v>
      </c>
      <c r="Q9" s="102">
        <f t="shared" si="4"/>
        <v>1355.2</v>
      </c>
    </row>
    <row r="10" spans="1:33">
      <c r="A10" s="102">
        <v>1986</v>
      </c>
      <c r="B10" s="102">
        <v>7.9</v>
      </c>
      <c r="C10" s="102">
        <v>15.9</v>
      </c>
      <c r="D10" s="102">
        <v>36.1</v>
      </c>
      <c r="E10" s="102">
        <v>55.6</v>
      </c>
      <c r="F10" s="102">
        <v>125.3</v>
      </c>
      <c r="G10" s="102">
        <v>198.1</v>
      </c>
      <c r="H10" s="102">
        <v>365.5</v>
      </c>
      <c r="I10" s="102">
        <v>312.60000000000002</v>
      </c>
      <c r="J10" s="102">
        <v>117.9</v>
      </c>
      <c r="K10" s="102">
        <v>94.3</v>
      </c>
      <c r="L10" s="102">
        <v>34.4</v>
      </c>
      <c r="M10" s="102">
        <v>4.8</v>
      </c>
      <c r="N10" s="102">
        <f t="shared" si="1"/>
        <v>115.5</v>
      </c>
      <c r="O10" s="102">
        <f t="shared" si="2"/>
        <v>1119.4000000000001</v>
      </c>
      <c r="P10" s="102">
        <f t="shared" si="3"/>
        <v>133.5</v>
      </c>
      <c r="Q10" s="102">
        <f t="shared" si="4"/>
        <v>1368.4</v>
      </c>
    </row>
    <row r="11" spans="1:33">
      <c r="A11" s="102">
        <v>1987</v>
      </c>
      <c r="B11" s="102">
        <v>18.5</v>
      </c>
      <c r="C11" s="102">
        <v>15.9</v>
      </c>
      <c r="D11" s="102">
        <v>3.6</v>
      </c>
      <c r="E11" s="102">
        <v>22.9</v>
      </c>
      <c r="F11" s="102">
        <v>179.7</v>
      </c>
      <c r="G11" s="102">
        <v>286.10000000000002</v>
      </c>
      <c r="H11" s="102">
        <v>385.8</v>
      </c>
      <c r="I11" s="102">
        <v>229.7</v>
      </c>
      <c r="J11" s="102">
        <v>94.8</v>
      </c>
      <c r="K11" s="102">
        <v>83.9</v>
      </c>
      <c r="L11" s="102">
        <v>66.2</v>
      </c>
      <c r="M11" s="102">
        <v>8.9</v>
      </c>
      <c r="N11" s="102">
        <f t="shared" si="1"/>
        <v>60.9</v>
      </c>
      <c r="O11" s="102">
        <f t="shared" si="2"/>
        <v>1176.0999999999999</v>
      </c>
      <c r="P11" s="102">
        <f t="shared" si="3"/>
        <v>159.00000000000003</v>
      </c>
      <c r="Q11" s="102">
        <f t="shared" si="4"/>
        <v>1396.0000000000002</v>
      </c>
    </row>
    <row r="12" spans="1:33">
      <c r="A12" s="102">
        <v>1988</v>
      </c>
      <c r="B12" s="102">
        <v>10.3</v>
      </c>
      <c r="C12" s="102">
        <v>23.3</v>
      </c>
      <c r="D12" s="102">
        <v>10.1</v>
      </c>
      <c r="E12" s="102">
        <v>53</v>
      </c>
      <c r="F12" s="102">
        <v>77.7</v>
      </c>
      <c r="G12" s="102">
        <v>219.4</v>
      </c>
      <c r="H12" s="102">
        <v>168.3</v>
      </c>
      <c r="I12" s="102">
        <v>362.7</v>
      </c>
      <c r="J12" s="102">
        <v>208.7</v>
      </c>
      <c r="K12" s="102">
        <v>61.6</v>
      </c>
      <c r="L12" s="102">
        <v>10.3</v>
      </c>
      <c r="M12" s="102">
        <v>6.2</v>
      </c>
      <c r="N12" s="102">
        <f t="shared" si="1"/>
        <v>96.7</v>
      </c>
      <c r="O12" s="102">
        <f t="shared" si="2"/>
        <v>1036.8</v>
      </c>
      <c r="P12" s="102">
        <f t="shared" si="3"/>
        <v>78.100000000000009</v>
      </c>
      <c r="Q12" s="102">
        <f t="shared" si="4"/>
        <v>1211.5999999999999</v>
      </c>
    </row>
    <row r="13" spans="1:33">
      <c r="A13" s="102">
        <v>1989</v>
      </c>
      <c r="B13" s="102">
        <v>11.5</v>
      </c>
      <c r="C13" s="102">
        <v>13.9</v>
      </c>
      <c r="D13" s="102">
        <v>40.200000000000003</v>
      </c>
      <c r="E13" s="102">
        <v>43.5</v>
      </c>
      <c r="F13" s="102">
        <v>94.5</v>
      </c>
      <c r="G13" s="102">
        <v>214.8</v>
      </c>
      <c r="H13" s="102">
        <v>84.4</v>
      </c>
      <c r="I13" s="102">
        <v>147</v>
      </c>
      <c r="J13" s="102">
        <v>131.19999999999999</v>
      </c>
      <c r="K13" s="102">
        <v>63.8</v>
      </c>
      <c r="L13" s="102">
        <v>11.4</v>
      </c>
      <c r="M13" s="102">
        <v>19.3</v>
      </c>
      <c r="N13" s="102">
        <f t="shared" si="1"/>
        <v>109.1</v>
      </c>
      <c r="O13" s="102">
        <f t="shared" si="2"/>
        <v>671.90000000000009</v>
      </c>
      <c r="P13" s="102">
        <f t="shared" si="3"/>
        <v>94.5</v>
      </c>
      <c r="Q13" s="102">
        <f t="shared" si="4"/>
        <v>875.49999999999989</v>
      </c>
    </row>
    <row r="14" spans="1:33">
      <c r="A14" s="102">
        <v>1990</v>
      </c>
      <c r="B14" s="102">
        <v>18.7</v>
      </c>
      <c r="C14" s="102">
        <v>30.4</v>
      </c>
      <c r="D14" s="102">
        <v>113.2</v>
      </c>
      <c r="E14" s="102">
        <v>52.6</v>
      </c>
      <c r="F14" s="102">
        <v>185.3</v>
      </c>
      <c r="G14" s="102">
        <v>276.60000000000002</v>
      </c>
      <c r="H14" s="102">
        <v>185.3</v>
      </c>
      <c r="I14" s="102">
        <v>90.5</v>
      </c>
      <c r="J14" s="102">
        <v>160.5</v>
      </c>
      <c r="K14" s="102">
        <v>69.900000000000006</v>
      </c>
      <c r="L14" s="102">
        <v>45.8</v>
      </c>
      <c r="M14" s="102">
        <v>3.9</v>
      </c>
      <c r="N14" s="102">
        <f t="shared" si="1"/>
        <v>214.9</v>
      </c>
      <c r="O14" s="102">
        <f t="shared" si="2"/>
        <v>898.2</v>
      </c>
      <c r="P14" s="102">
        <f t="shared" si="3"/>
        <v>119.60000000000001</v>
      </c>
      <c r="Q14" s="102">
        <f t="shared" si="4"/>
        <v>1232.7000000000003</v>
      </c>
    </row>
    <row r="15" spans="1:33">
      <c r="A15" s="102">
        <v>1991</v>
      </c>
      <c r="B15" s="102">
        <v>37.299999999999997</v>
      </c>
      <c r="C15" s="102">
        <v>4.4000000000000004</v>
      </c>
      <c r="D15" s="102">
        <v>45.7</v>
      </c>
      <c r="E15" s="102">
        <v>39</v>
      </c>
      <c r="F15" s="102">
        <v>61.4</v>
      </c>
      <c r="G15" s="102">
        <v>403.8</v>
      </c>
      <c r="H15" s="102">
        <v>331.8</v>
      </c>
      <c r="I15" s="102">
        <v>290.10000000000002</v>
      </c>
      <c r="J15" s="102">
        <v>107.5</v>
      </c>
      <c r="K15" s="102">
        <v>65.8</v>
      </c>
      <c r="L15" s="102">
        <v>30.9</v>
      </c>
      <c r="M15" s="102">
        <v>10.199999999999999</v>
      </c>
      <c r="N15" s="102">
        <f t="shared" si="1"/>
        <v>126.4</v>
      </c>
      <c r="O15" s="102">
        <f t="shared" si="2"/>
        <v>1194.5999999999999</v>
      </c>
      <c r="P15" s="102">
        <f t="shared" si="3"/>
        <v>106.89999999999999</v>
      </c>
      <c r="Q15" s="102">
        <f t="shared" si="4"/>
        <v>1427.9</v>
      </c>
    </row>
    <row r="16" spans="1:33">
      <c r="A16" s="102">
        <v>1992</v>
      </c>
      <c r="B16" s="102">
        <v>53.4</v>
      </c>
      <c r="C16" s="102">
        <v>49.2</v>
      </c>
      <c r="D16" s="102">
        <v>32.4</v>
      </c>
      <c r="E16" s="102">
        <v>17.7</v>
      </c>
      <c r="F16" s="102">
        <v>133.30000000000001</v>
      </c>
      <c r="G16" s="102">
        <v>237</v>
      </c>
      <c r="H16" s="102">
        <v>313.89999999999998</v>
      </c>
      <c r="I16" s="102">
        <v>101.4</v>
      </c>
      <c r="J16" s="102">
        <v>77.400000000000006</v>
      </c>
      <c r="K16" s="102">
        <v>82.3</v>
      </c>
      <c r="L16" s="102">
        <v>26.5</v>
      </c>
      <c r="M16" s="102">
        <v>5.0999999999999996</v>
      </c>
      <c r="N16" s="102">
        <f t="shared" si="1"/>
        <v>152.69999999999999</v>
      </c>
      <c r="O16" s="102">
        <f t="shared" si="2"/>
        <v>863</v>
      </c>
      <c r="P16" s="102">
        <f t="shared" si="3"/>
        <v>113.89999999999999</v>
      </c>
      <c r="Q16" s="102">
        <f t="shared" si="4"/>
        <v>1129.5999999999999</v>
      </c>
    </row>
    <row r="17" spans="1:17">
      <c r="A17" s="102">
        <v>1993</v>
      </c>
      <c r="B17" s="102">
        <v>22.2</v>
      </c>
      <c r="C17" s="102">
        <v>48.6</v>
      </c>
      <c r="D17" s="102">
        <v>5.2</v>
      </c>
      <c r="E17" s="102">
        <v>90.5</v>
      </c>
      <c r="F17" s="102">
        <v>120.6</v>
      </c>
      <c r="G17" s="102">
        <v>329</v>
      </c>
      <c r="H17" s="102">
        <v>347.8</v>
      </c>
      <c r="I17" s="102">
        <v>241.3</v>
      </c>
      <c r="J17" s="102">
        <v>188.2</v>
      </c>
      <c r="K17" s="102">
        <v>35.6</v>
      </c>
      <c r="L17" s="102">
        <v>50.3</v>
      </c>
      <c r="M17" s="102">
        <v>11</v>
      </c>
      <c r="N17" s="102">
        <f t="shared" si="1"/>
        <v>166.5</v>
      </c>
      <c r="O17" s="102">
        <f t="shared" si="2"/>
        <v>1226.9000000000001</v>
      </c>
      <c r="P17" s="102">
        <f t="shared" si="3"/>
        <v>96.9</v>
      </c>
      <c r="Q17" s="102">
        <f t="shared" si="4"/>
        <v>1490.3</v>
      </c>
    </row>
    <row r="18" spans="1:17">
      <c r="A18" s="102">
        <v>1994</v>
      </c>
      <c r="B18" s="102">
        <v>12.2</v>
      </c>
      <c r="C18" s="102">
        <v>5</v>
      </c>
      <c r="D18" s="102">
        <v>80.900000000000006</v>
      </c>
      <c r="E18" s="102">
        <v>9.6999999999999993</v>
      </c>
      <c r="F18" s="102">
        <v>166</v>
      </c>
      <c r="G18" s="102">
        <v>231.9</v>
      </c>
      <c r="H18" s="102">
        <v>116.7</v>
      </c>
      <c r="I18" s="102">
        <v>194.1</v>
      </c>
      <c r="J18" s="102">
        <v>113.3</v>
      </c>
      <c r="K18" s="102">
        <v>210.6</v>
      </c>
      <c r="L18" s="102">
        <v>51.2</v>
      </c>
      <c r="M18" s="102">
        <v>41</v>
      </c>
      <c r="N18" s="102">
        <f t="shared" si="1"/>
        <v>107.80000000000001</v>
      </c>
      <c r="O18" s="102">
        <f t="shared" si="2"/>
        <v>822</v>
      </c>
      <c r="P18" s="102">
        <f t="shared" si="3"/>
        <v>302.8</v>
      </c>
      <c r="Q18" s="102">
        <f t="shared" si="4"/>
        <v>1232.6000000000001</v>
      </c>
    </row>
    <row r="19" spans="1:17">
      <c r="A19" s="102">
        <v>1995</v>
      </c>
      <c r="B19" s="102">
        <v>20.9</v>
      </c>
      <c r="C19" s="102">
        <v>35</v>
      </c>
      <c r="D19" s="102">
        <v>12</v>
      </c>
      <c r="E19" s="102">
        <v>16.5</v>
      </c>
      <c r="F19" s="102">
        <v>231</v>
      </c>
      <c r="G19" s="102">
        <v>309.89999999999998</v>
      </c>
      <c r="H19" s="102">
        <v>246.2</v>
      </c>
      <c r="I19" s="102">
        <v>223.1</v>
      </c>
      <c r="J19" s="102">
        <v>241.5</v>
      </c>
      <c r="K19" s="102">
        <v>31.2</v>
      </c>
      <c r="L19" s="102">
        <v>64.900000000000006</v>
      </c>
      <c r="M19" s="102">
        <v>7.5</v>
      </c>
      <c r="N19" s="102">
        <f t="shared" si="1"/>
        <v>84.4</v>
      </c>
      <c r="O19" s="102">
        <f t="shared" si="2"/>
        <v>1251.6999999999998</v>
      </c>
      <c r="P19" s="102">
        <f t="shared" si="3"/>
        <v>103.60000000000001</v>
      </c>
      <c r="Q19" s="102">
        <f t="shared" si="4"/>
        <v>1439.7</v>
      </c>
    </row>
    <row r="20" spans="1:17">
      <c r="A20" s="102">
        <v>1996</v>
      </c>
      <c r="B20" s="102">
        <v>9.8000000000000007</v>
      </c>
      <c r="C20" s="102">
        <v>10</v>
      </c>
      <c r="D20" s="102">
        <v>97.2</v>
      </c>
      <c r="E20" s="102">
        <v>86.5</v>
      </c>
      <c r="F20" s="102">
        <v>151.69999999999999</v>
      </c>
      <c r="G20" s="102">
        <v>154.1</v>
      </c>
      <c r="H20" s="102">
        <v>274.89999999999998</v>
      </c>
      <c r="I20" s="102">
        <v>163.9</v>
      </c>
      <c r="J20" s="102">
        <v>108.7</v>
      </c>
      <c r="K20" s="102">
        <v>52.2</v>
      </c>
      <c r="L20" s="102">
        <v>82.1</v>
      </c>
      <c r="M20" s="102">
        <v>9.6999999999999993</v>
      </c>
      <c r="N20" s="102">
        <f t="shared" si="1"/>
        <v>203.5</v>
      </c>
      <c r="O20" s="102">
        <f t="shared" si="2"/>
        <v>853.3</v>
      </c>
      <c r="P20" s="102">
        <f t="shared" si="3"/>
        <v>144</v>
      </c>
      <c r="Q20" s="102">
        <f t="shared" si="4"/>
        <v>1200.8</v>
      </c>
    </row>
    <row r="21" spans="1:17">
      <c r="A21" s="102">
        <v>1997</v>
      </c>
      <c r="B21" s="102">
        <v>24.1</v>
      </c>
      <c r="C21" s="102">
        <v>61.6</v>
      </c>
      <c r="D21" s="102">
        <v>70.2</v>
      </c>
      <c r="E21" s="102">
        <v>74.599999999999994</v>
      </c>
      <c r="F21" s="102">
        <v>194.6</v>
      </c>
      <c r="G21" s="102">
        <v>275.60000000000002</v>
      </c>
      <c r="H21" s="102">
        <v>304.5</v>
      </c>
      <c r="I21" s="102">
        <v>103.1</v>
      </c>
      <c r="J21" s="102">
        <v>133.69999999999999</v>
      </c>
      <c r="K21" s="102">
        <v>252.2</v>
      </c>
      <c r="L21" s="102">
        <v>0.8</v>
      </c>
      <c r="M21" s="102">
        <v>9.1999999999999993</v>
      </c>
      <c r="N21" s="102">
        <f t="shared" si="1"/>
        <v>230.5</v>
      </c>
      <c r="O21" s="102">
        <f t="shared" si="2"/>
        <v>1011.5</v>
      </c>
      <c r="P21" s="102">
        <f t="shared" si="3"/>
        <v>262.2</v>
      </c>
      <c r="Q21" s="102">
        <f t="shared" si="4"/>
        <v>1504.2</v>
      </c>
    </row>
    <row r="22" spans="1:17">
      <c r="A22" s="102">
        <v>1998</v>
      </c>
      <c r="B22" s="102">
        <v>34</v>
      </c>
      <c r="C22" s="102">
        <v>23</v>
      </c>
      <c r="D22" s="102">
        <v>21.3</v>
      </c>
      <c r="E22" s="102">
        <v>47.2</v>
      </c>
      <c r="F22" s="102">
        <v>107.1</v>
      </c>
      <c r="G22" s="102">
        <v>231.5</v>
      </c>
      <c r="H22" s="102">
        <v>221.6</v>
      </c>
      <c r="I22" s="102">
        <v>67.5</v>
      </c>
      <c r="J22" s="102">
        <v>58.9</v>
      </c>
      <c r="K22" s="102">
        <v>71.3</v>
      </c>
      <c r="L22" s="102">
        <v>14.8</v>
      </c>
      <c r="M22" s="102">
        <v>15.7</v>
      </c>
      <c r="N22" s="102">
        <f t="shared" si="1"/>
        <v>125.5</v>
      </c>
      <c r="O22" s="102">
        <f t="shared" si="2"/>
        <v>686.6</v>
      </c>
      <c r="P22" s="102">
        <f t="shared" si="3"/>
        <v>101.8</v>
      </c>
      <c r="Q22" s="102">
        <f t="shared" si="4"/>
        <v>913.9</v>
      </c>
    </row>
    <row r="23" spans="1:17">
      <c r="A23" s="102">
        <v>1999</v>
      </c>
      <c r="B23" s="102">
        <v>21.7</v>
      </c>
      <c r="C23" s="102">
        <v>8.1999999999999993</v>
      </c>
      <c r="D23" s="102">
        <v>29.6</v>
      </c>
      <c r="E23" s="102">
        <v>79.3</v>
      </c>
      <c r="F23" s="102">
        <v>193.4</v>
      </c>
      <c r="G23" s="102">
        <v>201.9</v>
      </c>
      <c r="H23" s="102">
        <v>291.10000000000002</v>
      </c>
      <c r="I23" s="102">
        <v>268.5</v>
      </c>
      <c r="J23" s="102">
        <v>27.4</v>
      </c>
      <c r="K23" s="102">
        <v>141.80000000000001</v>
      </c>
      <c r="L23" s="102">
        <v>60</v>
      </c>
      <c r="M23" s="102">
        <v>8.4</v>
      </c>
      <c r="N23" s="102">
        <f t="shared" si="1"/>
        <v>138.80000000000001</v>
      </c>
      <c r="O23" s="102">
        <f t="shared" si="2"/>
        <v>982.30000000000007</v>
      </c>
      <c r="P23" s="102">
        <f t="shared" si="3"/>
        <v>210.20000000000002</v>
      </c>
      <c r="Q23" s="102">
        <f t="shared" si="4"/>
        <v>1331.3000000000002</v>
      </c>
    </row>
    <row r="24" spans="1:17">
      <c r="A24" s="102">
        <v>2000</v>
      </c>
      <c r="B24" s="102">
        <v>12.7</v>
      </c>
      <c r="C24" s="102">
        <v>25.9</v>
      </c>
      <c r="D24" s="102">
        <v>52.4</v>
      </c>
      <c r="E24" s="102">
        <v>82.6</v>
      </c>
      <c r="F24" s="102">
        <v>185.5</v>
      </c>
      <c r="G24" s="102">
        <v>251.9</v>
      </c>
      <c r="H24" s="102">
        <v>246.2</v>
      </c>
      <c r="I24" s="102">
        <v>166.3</v>
      </c>
      <c r="J24" s="102">
        <v>48.9</v>
      </c>
      <c r="K24" s="102">
        <v>62.8</v>
      </c>
      <c r="L24" s="102">
        <v>42.4</v>
      </c>
      <c r="M24" s="102">
        <v>27.4</v>
      </c>
      <c r="N24" s="102">
        <f t="shared" si="1"/>
        <v>173.6</v>
      </c>
      <c r="O24" s="102">
        <f t="shared" si="2"/>
        <v>898.79999999999984</v>
      </c>
      <c r="P24" s="102">
        <f t="shared" si="3"/>
        <v>132.6</v>
      </c>
      <c r="Q24" s="102">
        <f t="shared" si="4"/>
        <v>1205.0000000000002</v>
      </c>
    </row>
    <row r="25" spans="1:17">
      <c r="A25" s="102">
        <v>2001</v>
      </c>
      <c r="B25" s="102">
        <v>10.9</v>
      </c>
      <c r="C25" s="102">
        <v>19.899999999999999</v>
      </c>
      <c r="D25" s="102">
        <v>36.4</v>
      </c>
      <c r="E25" s="102">
        <v>15</v>
      </c>
      <c r="F25" s="102">
        <v>201.9</v>
      </c>
      <c r="G25" s="102">
        <v>269.60000000000002</v>
      </c>
      <c r="H25" s="102">
        <v>271</v>
      </c>
      <c r="I25" s="102">
        <v>170.8</v>
      </c>
      <c r="J25" s="102">
        <v>111</v>
      </c>
      <c r="K25" s="102">
        <v>127.5</v>
      </c>
      <c r="L25" s="102">
        <v>29.3</v>
      </c>
      <c r="M25" s="102">
        <v>6.2</v>
      </c>
      <c r="N25" s="102">
        <f t="shared" si="1"/>
        <v>82.199999999999989</v>
      </c>
      <c r="O25" s="102">
        <f t="shared" si="2"/>
        <v>1024.3</v>
      </c>
      <c r="P25" s="102">
        <f t="shared" si="3"/>
        <v>163</v>
      </c>
      <c r="Q25" s="102">
        <f t="shared" si="4"/>
        <v>1269.5</v>
      </c>
    </row>
    <row r="26" spans="1:17">
      <c r="A26" s="102">
        <v>2002</v>
      </c>
      <c r="B26" s="102">
        <v>20</v>
      </c>
      <c r="C26" s="102">
        <v>17</v>
      </c>
      <c r="D26" s="102">
        <v>29</v>
      </c>
      <c r="E26" s="102">
        <v>17</v>
      </c>
      <c r="F26" s="102">
        <v>231</v>
      </c>
      <c r="G26" s="102">
        <v>201</v>
      </c>
      <c r="H26" s="102">
        <v>192</v>
      </c>
      <c r="I26" s="102">
        <v>338</v>
      </c>
      <c r="J26" s="102">
        <v>22</v>
      </c>
      <c r="K26" s="102">
        <v>80</v>
      </c>
      <c r="L26" s="102">
        <v>8</v>
      </c>
      <c r="M26" s="102">
        <v>36</v>
      </c>
      <c r="N26" s="102">
        <f t="shared" si="1"/>
        <v>83</v>
      </c>
      <c r="O26" s="102">
        <f t="shared" si="2"/>
        <v>984</v>
      </c>
      <c r="P26" s="102">
        <f t="shared" si="3"/>
        <v>124</v>
      </c>
      <c r="Q26" s="102">
        <f t="shared" si="4"/>
        <v>1191</v>
      </c>
    </row>
    <row r="27" spans="1:17">
      <c r="A27" s="102">
        <v>2003</v>
      </c>
      <c r="B27" s="102">
        <v>42</v>
      </c>
      <c r="C27" s="102">
        <v>1</v>
      </c>
      <c r="D27" s="102">
        <v>45</v>
      </c>
      <c r="E27" s="102">
        <v>46</v>
      </c>
      <c r="F27" s="102">
        <v>250</v>
      </c>
      <c r="G27" s="102">
        <v>245</v>
      </c>
      <c r="H27" s="102">
        <v>286</v>
      </c>
      <c r="I27" s="102">
        <v>119</v>
      </c>
      <c r="J27" s="102">
        <v>123</v>
      </c>
      <c r="K27" s="102">
        <v>40.5</v>
      </c>
      <c r="L27" s="102">
        <v>30.9</v>
      </c>
      <c r="M27" s="102">
        <v>27.1</v>
      </c>
      <c r="N27" s="102">
        <f t="shared" si="1"/>
        <v>134</v>
      </c>
      <c r="O27" s="102">
        <f t="shared" si="2"/>
        <v>1023</v>
      </c>
      <c r="P27" s="102">
        <f t="shared" si="3"/>
        <v>98.5</v>
      </c>
      <c r="Q27" s="102">
        <f t="shared" si="4"/>
        <v>1255.5</v>
      </c>
    </row>
    <row r="28" spans="1:17">
      <c r="A28" s="102">
        <v>2004</v>
      </c>
      <c r="B28" s="102">
        <v>21.2</v>
      </c>
      <c r="C28" s="102">
        <v>36.5</v>
      </c>
      <c r="D28" s="102">
        <v>25.5</v>
      </c>
      <c r="E28" s="102">
        <v>69.3</v>
      </c>
      <c r="F28" s="102">
        <v>146.6</v>
      </c>
      <c r="G28" s="102">
        <v>234.6</v>
      </c>
      <c r="H28" s="102">
        <v>325.2</v>
      </c>
      <c r="I28" s="102">
        <v>180</v>
      </c>
      <c r="J28" s="102">
        <v>153.9</v>
      </c>
      <c r="K28" s="102">
        <v>23</v>
      </c>
      <c r="L28" s="102">
        <v>28.9</v>
      </c>
      <c r="M28" s="102">
        <v>11.7</v>
      </c>
      <c r="N28" s="102">
        <f t="shared" si="1"/>
        <v>152.5</v>
      </c>
      <c r="O28" s="102">
        <f t="shared" si="2"/>
        <v>1040.3</v>
      </c>
      <c r="P28" s="102">
        <f t="shared" si="3"/>
        <v>63.599999999999994</v>
      </c>
      <c r="Q28" s="102">
        <f t="shared" si="4"/>
        <v>1256.4000000000003</v>
      </c>
    </row>
    <row r="29" spans="1:17">
      <c r="A29" s="102">
        <v>2005</v>
      </c>
      <c r="B29" s="102">
        <v>38.299999999999997</v>
      </c>
      <c r="C29" s="102">
        <v>4.3</v>
      </c>
      <c r="D29" s="102">
        <v>40.700000000000003</v>
      </c>
      <c r="E29" s="102">
        <v>65.7</v>
      </c>
      <c r="F29" s="102">
        <v>160.69999999999999</v>
      </c>
      <c r="G29" s="102">
        <v>243.2</v>
      </c>
      <c r="H29" s="102">
        <v>115.1</v>
      </c>
      <c r="I29" s="102">
        <v>235.8</v>
      </c>
      <c r="J29" s="102">
        <v>123.3</v>
      </c>
      <c r="K29" s="102">
        <v>55.7</v>
      </c>
      <c r="L29" s="102">
        <v>25</v>
      </c>
      <c r="M29" s="102">
        <v>29.2</v>
      </c>
      <c r="N29" s="102">
        <f t="shared" si="1"/>
        <v>149</v>
      </c>
      <c r="O29" s="102">
        <f t="shared" si="2"/>
        <v>878.09999999999991</v>
      </c>
      <c r="P29" s="102">
        <f t="shared" si="3"/>
        <v>109.9</v>
      </c>
      <c r="Q29" s="102">
        <f t="shared" si="4"/>
        <v>1137</v>
      </c>
    </row>
    <row r="30" spans="1:17">
      <c r="A30" s="102">
        <v>2006</v>
      </c>
      <c r="B30" s="102">
        <v>3.7</v>
      </c>
      <c r="C30" s="102">
        <v>28.6</v>
      </c>
      <c r="D30" s="102">
        <v>28</v>
      </c>
      <c r="E30" s="102">
        <v>20.399999999999999</v>
      </c>
      <c r="F30" s="102">
        <v>102</v>
      </c>
      <c r="G30" s="102">
        <v>399.4</v>
      </c>
      <c r="H30" s="102">
        <v>133</v>
      </c>
      <c r="I30" s="102">
        <v>141</v>
      </c>
      <c r="J30" s="102">
        <v>71.7</v>
      </c>
      <c r="K30" s="102">
        <v>163.9</v>
      </c>
      <c r="L30" s="102">
        <v>22.7</v>
      </c>
      <c r="M30" s="102">
        <v>16.8</v>
      </c>
      <c r="N30" s="102">
        <f t="shared" si="1"/>
        <v>80.7</v>
      </c>
      <c r="O30" s="102">
        <f t="shared" si="2"/>
        <v>847.1</v>
      </c>
      <c r="P30" s="102">
        <f t="shared" si="3"/>
        <v>203.4</v>
      </c>
      <c r="Q30" s="102">
        <f t="shared" si="4"/>
        <v>1131.2</v>
      </c>
    </row>
    <row r="31" spans="1:17">
      <c r="A31" s="102">
        <v>2007</v>
      </c>
      <c r="B31" s="102">
        <v>45.5</v>
      </c>
      <c r="C31" s="102">
        <v>4.2</v>
      </c>
      <c r="D31" s="102">
        <v>5.5</v>
      </c>
      <c r="E31" s="102">
        <v>95.1</v>
      </c>
      <c r="F31" s="102">
        <v>104.2</v>
      </c>
      <c r="G31" s="102">
        <v>414.9</v>
      </c>
      <c r="H31" s="102">
        <v>334.6</v>
      </c>
      <c r="I31" s="102">
        <v>259.2</v>
      </c>
      <c r="J31" s="102">
        <v>129.69999999999999</v>
      </c>
      <c r="K31" s="102">
        <v>48.5</v>
      </c>
      <c r="L31" s="102">
        <v>9.9</v>
      </c>
      <c r="M31" s="102">
        <v>12.9</v>
      </c>
      <c r="N31" s="102">
        <f t="shared" si="1"/>
        <v>150.30000000000001</v>
      </c>
      <c r="O31" s="102">
        <f t="shared" si="2"/>
        <v>1242.6000000000001</v>
      </c>
      <c r="P31" s="102">
        <f t="shared" si="3"/>
        <v>71.3</v>
      </c>
      <c r="Q31" s="102">
        <f t="shared" si="4"/>
        <v>1464.2000000000003</v>
      </c>
    </row>
    <row r="32" spans="1:17">
      <c r="A32" s="102">
        <v>2008</v>
      </c>
      <c r="B32" s="102">
        <v>15.4</v>
      </c>
      <c r="C32" s="102">
        <v>12</v>
      </c>
      <c r="D32" s="102">
        <v>91.3</v>
      </c>
      <c r="E32" s="102">
        <v>32.299999999999997</v>
      </c>
      <c r="F32" s="102">
        <v>357.9</v>
      </c>
      <c r="G32" s="102">
        <v>160.19999999999999</v>
      </c>
      <c r="H32" s="102">
        <v>290.10000000000002</v>
      </c>
      <c r="I32" s="102">
        <v>136.5</v>
      </c>
      <c r="J32" s="102">
        <v>105</v>
      </c>
      <c r="K32" s="102">
        <v>106.6</v>
      </c>
      <c r="L32" s="102">
        <v>54.5</v>
      </c>
      <c r="M32" s="102">
        <v>10.199999999999999</v>
      </c>
      <c r="N32" s="102">
        <f t="shared" si="1"/>
        <v>151</v>
      </c>
      <c r="O32" s="102">
        <f t="shared" si="2"/>
        <v>1049.6999999999998</v>
      </c>
      <c r="P32" s="102">
        <f t="shared" si="3"/>
        <v>171.29999999999998</v>
      </c>
      <c r="Q32" s="102">
        <f t="shared" si="4"/>
        <v>1371.9999999999998</v>
      </c>
    </row>
    <row r="33" spans="1:33">
      <c r="A33" s="102">
        <v>2009</v>
      </c>
      <c r="B33" s="102">
        <v>6.6</v>
      </c>
      <c r="C33" s="102">
        <v>15.7</v>
      </c>
      <c r="D33" s="102">
        <v>63.1</v>
      </c>
      <c r="E33" s="102">
        <v>58.3</v>
      </c>
      <c r="F33" s="102">
        <v>79.2</v>
      </c>
      <c r="G33" s="102">
        <v>406.4</v>
      </c>
      <c r="H33" s="102">
        <v>160.9</v>
      </c>
      <c r="I33" s="102">
        <v>123.6</v>
      </c>
      <c r="J33" s="102">
        <v>15.1</v>
      </c>
      <c r="K33" s="102">
        <v>58.6</v>
      </c>
      <c r="L33" s="102">
        <v>7.5</v>
      </c>
      <c r="M33" s="102">
        <v>4.0999999999999996</v>
      </c>
      <c r="N33" s="102">
        <f t="shared" si="1"/>
        <v>143.69999999999999</v>
      </c>
      <c r="O33" s="102">
        <f t="shared" si="2"/>
        <v>785.2</v>
      </c>
      <c r="P33" s="102">
        <f t="shared" si="3"/>
        <v>70.199999999999989</v>
      </c>
      <c r="Q33" s="102">
        <f t="shared" si="4"/>
        <v>999.1</v>
      </c>
    </row>
    <row r="34" spans="1:33">
      <c r="A34" s="102">
        <v>2010</v>
      </c>
      <c r="B34" s="102">
        <v>0.4</v>
      </c>
      <c r="C34" s="102">
        <v>0.5</v>
      </c>
      <c r="D34" s="102">
        <v>0</v>
      </c>
      <c r="E34" s="102">
        <v>65.599999999999994</v>
      </c>
      <c r="F34" s="102">
        <v>158.19999999999999</v>
      </c>
      <c r="G34" s="102">
        <v>370.5</v>
      </c>
      <c r="H34" s="102">
        <v>249.5</v>
      </c>
      <c r="I34" s="102">
        <v>112</v>
      </c>
      <c r="J34" s="102">
        <v>173.5</v>
      </c>
      <c r="K34" s="102">
        <v>91</v>
      </c>
      <c r="L34" s="102">
        <v>36.6</v>
      </c>
      <c r="M34" s="102">
        <v>68.7</v>
      </c>
      <c r="N34" s="102">
        <f t="shared" si="1"/>
        <v>66.5</v>
      </c>
      <c r="O34" s="102">
        <f t="shared" si="2"/>
        <v>1063.7</v>
      </c>
      <c r="P34" s="102">
        <f t="shared" si="3"/>
        <v>196.3</v>
      </c>
      <c r="Q34" s="102">
        <f t="shared" si="4"/>
        <v>1326.5</v>
      </c>
    </row>
    <row r="35" spans="1:33">
      <c r="A35" s="102">
        <v>2011</v>
      </c>
      <c r="B35" s="102">
        <v>31.1</v>
      </c>
      <c r="C35" s="102">
        <v>6.5</v>
      </c>
      <c r="D35" s="102">
        <v>33.6</v>
      </c>
      <c r="E35" s="102">
        <v>23.7</v>
      </c>
      <c r="F35" s="102">
        <v>62.1</v>
      </c>
      <c r="G35" s="102">
        <v>313.89999999999998</v>
      </c>
      <c r="H35" s="102">
        <v>40.6</v>
      </c>
      <c r="I35" s="102">
        <v>44.3</v>
      </c>
      <c r="J35" s="102">
        <v>105.2</v>
      </c>
      <c r="K35" s="102">
        <v>124</v>
      </c>
      <c r="L35" s="102">
        <v>31.9</v>
      </c>
      <c r="M35" s="102">
        <v>14.6</v>
      </c>
      <c r="N35" s="102">
        <f t="shared" si="1"/>
        <v>94.9</v>
      </c>
      <c r="O35" s="102">
        <f t="shared" si="2"/>
        <v>566.1</v>
      </c>
      <c r="P35" s="102">
        <f t="shared" si="3"/>
        <v>170.5</v>
      </c>
      <c r="Q35" s="102">
        <f t="shared" si="4"/>
        <v>831.5</v>
      </c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</row>
    <row r="36" spans="1:33">
      <c r="A36" s="102">
        <v>2012</v>
      </c>
      <c r="B36" s="102">
        <v>25.5</v>
      </c>
      <c r="C36" s="102">
        <v>9.6</v>
      </c>
      <c r="D36" s="102">
        <v>13.9</v>
      </c>
      <c r="E36" s="102">
        <v>11</v>
      </c>
      <c r="F36" s="102">
        <v>176.1</v>
      </c>
      <c r="G36" s="102">
        <v>251.4</v>
      </c>
      <c r="H36" s="102">
        <v>218.4</v>
      </c>
      <c r="I36" s="102">
        <v>45.9</v>
      </c>
      <c r="J36" s="102">
        <v>113.6</v>
      </c>
      <c r="K36" s="102">
        <v>65.7</v>
      </c>
      <c r="L36" s="102">
        <v>45.4</v>
      </c>
      <c r="M36" s="102">
        <v>8.8000000000000007</v>
      </c>
      <c r="N36" s="102">
        <f t="shared" si="1"/>
        <v>60</v>
      </c>
      <c r="O36" s="102">
        <f t="shared" si="2"/>
        <v>805.4</v>
      </c>
      <c r="P36" s="102">
        <f t="shared" si="3"/>
        <v>119.89999999999999</v>
      </c>
      <c r="Q36" s="102">
        <f t="shared" si="4"/>
        <v>985.3</v>
      </c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</row>
    <row r="37" spans="1:33">
      <c r="A37" s="102">
        <v>2013</v>
      </c>
      <c r="B37" s="102">
        <v>10.9</v>
      </c>
      <c r="C37" s="102">
        <v>4</v>
      </c>
      <c r="D37" s="102">
        <v>35.6</v>
      </c>
      <c r="E37" s="102">
        <v>94.3</v>
      </c>
      <c r="F37" s="102">
        <v>166.4</v>
      </c>
      <c r="G37" s="102">
        <v>107.7</v>
      </c>
      <c r="H37" s="102">
        <v>62.9</v>
      </c>
      <c r="I37" s="102">
        <v>144.30000000000001</v>
      </c>
      <c r="J37" s="102">
        <v>78.2</v>
      </c>
      <c r="K37" s="102">
        <v>61.1</v>
      </c>
      <c r="L37" s="102">
        <v>22</v>
      </c>
      <c r="M37" s="102">
        <v>48.7</v>
      </c>
      <c r="N37" s="102">
        <f t="shared" si="1"/>
        <v>144.80000000000001</v>
      </c>
      <c r="O37" s="102">
        <f t="shared" si="2"/>
        <v>559.5</v>
      </c>
      <c r="P37" s="102">
        <f t="shared" si="3"/>
        <v>131.80000000000001</v>
      </c>
      <c r="Q37" s="102">
        <f t="shared" si="4"/>
        <v>836.10000000000014</v>
      </c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</row>
    <row r="38" spans="1:33">
      <c r="A38" s="102">
        <v>2014</v>
      </c>
      <c r="B38" s="128">
        <v>9.6999999999999993</v>
      </c>
      <c r="C38" s="128">
        <v>33</v>
      </c>
      <c r="D38" s="128">
        <v>72.3</v>
      </c>
      <c r="E38" s="128">
        <v>48.8</v>
      </c>
      <c r="F38" s="128">
        <v>62.7</v>
      </c>
      <c r="G38" s="128">
        <v>484.2</v>
      </c>
      <c r="H38" s="128">
        <v>302.10000000000002</v>
      </c>
      <c r="I38" s="128">
        <v>122.8</v>
      </c>
      <c r="J38" s="128">
        <v>218.5</v>
      </c>
      <c r="K38" s="128">
        <v>46.4</v>
      </c>
      <c r="L38" s="128">
        <v>42.9</v>
      </c>
      <c r="M38" s="128">
        <v>9.4</v>
      </c>
      <c r="N38" s="102">
        <f t="shared" si="1"/>
        <v>163.80000000000001</v>
      </c>
      <c r="O38" s="102">
        <f t="shared" si="2"/>
        <v>1190.3</v>
      </c>
      <c r="P38" s="102">
        <f t="shared" si="3"/>
        <v>98.7</v>
      </c>
      <c r="Q38" s="102">
        <f t="shared" si="4"/>
        <v>1452.8000000000004</v>
      </c>
    </row>
    <row r="39" spans="1:33">
      <c r="A39" s="102">
        <v>2015</v>
      </c>
      <c r="B39" s="128">
        <v>49</v>
      </c>
      <c r="C39" s="128">
        <v>12.7</v>
      </c>
      <c r="D39" s="128">
        <v>9.3000000000000007</v>
      </c>
      <c r="E39" s="128">
        <v>77.099999999999994</v>
      </c>
      <c r="F39" s="128">
        <v>162.4</v>
      </c>
      <c r="G39" s="128">
        <v>222.3</v>
      </c>
      <c r="H39" s="128">
        <v>194.5</v>
      </c>
      <c r="I39" s="128">
        <v>237.4</v>
      </c>
      <c r="J39" s="128">
        <v>259.10000000000002</v>
      </c>
      <c r="K39" s="128">
        <v>115.4</v>
      </c>
      <c r="L39" s="128">
        <v>39.700000000000003</v>
      </c>
      <c r="M39" s="128">
        <v>57.1</v>
      </c>
      <c r="N39" s="102">
        <f t="shared" si="1"/>
        <v>148.1</v>
      </c>
      <c r="O39" s="102">
        <f t="shared" si="2"/>
        <v>1075.7</v>
      </c>
      <c r="P39" s="102">
        <f t="shared" si="3"/>
        <v>212.20000000000002</v>
      </c>
      <c r="Q39" s="102">
        <f t="shared" si="4"/>
        <v>1436</v>
      </c>
    </row>
    <row r="40" spans="1:33">
      <c r="A40" s="102">
        <v>2016</v>
      </c>
      <c r="B40" s="128">
        <v>15.3</v>
      </c>
      <c r="C40" s="128">
        <v>11.8</v>
      </c>
      <c r="D40" s="128">
        <v>19.7</v>
      </c>
      <c r="E40" s="128">
        <v>118.5</v>
      </c>
      <c r="F40" s="128">
        <v>189.7</v>
      </c>
      <c r="G40" s="128">
        <v>223.5</v>
      </c>
      <c r="H40" s="128">
        <v>141.6</v>
      </c>
      <c r="I40" s="128">
        <v>247.3</v>
      </c>
      <c r="J40" s="128">
        <v>79.8</v>
      </c>
      <c r="K40" s="128">
        <v>53.8</v>
      </c>
      <c r="L40" s="128">
        <v>71.599999999999994</v>
      </c>
      <c r="M40" s="128">
        <v>7.5</v>
      </c>
      <c r="N40" s="102">
        <f>SUM(B40:E40)</f>
        <v>165.3</v>
      </c>
      <c r="O40" s="102">
        <f>SUM(F40:J40)</f>
        <v>881.89999999999986</v>
      </c>
      <c r="P40" s="102">
        <f>SUM(K40:M40)</f>
        <v>132.89999999999998</v>
      </c>
      <c r="Q40" s="102">
        <f>SUM(B40:M40)</f>
        <v>1180.0999999999999</v>
      </c>
      <c r="R40" s="108">
        <f t="shared" ref="R40:AG40" si="5">100*(B40-B4)/B4</f>
        <v>-29.428044280442801</v>
      </c>
      <c r="S40" s="108">
        <f t="shared" si="5"/>
        <v>-46.335758835758845</v>
      </c>
      <c r="T40" s="108">
        <f t="shared" si="5"/>
        <v>-47.974043612766913</v>
      </c>
      <c r="U40" s="108">
        <f t="shared" si="5"/>
        <v>111.53159585862196</v>
      </c>
      <c r="V40" s="108">
        <f t="shared" si="5"/>
        <v>18.895832960263608</v>
      </c>
      <c r="W40" s="108">
        <f t="shared" si="5"/>
        <v>-17.68995233435399</v>
      </c>
      <c r="X40" s="108">
        <f t="shared" si="5"/>
        <v>-36.380791003966586</v>
      </c>
      <c r="Y40" s="108">
        <f t="shared" si="5"/>
        <v>35.453834115805947</v>
      </c>
      <c r="Z40" s="108">
        <f t="shared" si="5"/>
        <v>-34.485832238693931</v>
      </c>
      <c r="AA40" s="108">
        <f t="shared" si="5"/>
        <v>-37.506222826988811</v>
      </c>
      <c r="AB40" s="108">
        <f t="shared" si="5"/>
        <v>87.014925373134318</v>
      </c>
      <c r="AC40" s="108">
        <f t="shared" si="5"/>
        <v>-59.434399629114509</v>
      </c>
      <c r="AD40" s="108">
        <f t="shared" si="5"/>
        <v>20.170737786640078</v>
      </c>
      <c r="AE40" s="108">
        <f t="shared" si="5"/>
        <v>-7.9472015698765048</v>
      </c>
      <c r="AF40" s="108">
        <f t="shared" si="5"/>
        <v>-6.9737210511579661</v>
      </c>
      <c r="AG40" s="108">
        <f t="shared" si="5"/>
        <v>-4.7118643285755129</v>
      </c>
    </row>
  </sheetData>
  <mergeCells count="6">
    <mergeCell ref="A1:A3"/>
    <mergeCell ref="B2:M2"/>
    <mergeCell ref="B1:Q1"/>
    <mergeCell ref="R1:AG1"/>
    <mergeCell ref="N2:Q2"/>
    <mergeCell ref="R2:AG2"/>
  </mergeCells>
  <phoneticPr fontId="2" type="noConversion"/>
  <pageMargins left="0.75" right="0.75" top="1" bottom="1" header="0.5" footer="0.5"/>
  <headerFooter alignWithMargins="0"/>
</worksheet>
</file>

<file path=xl/worksheets/sheet87.xml><?xml version="1.0" encoding="utf-8"?>
<worksheet xmlns="http://schemas.openxmlformats.org/spreadsheetml/2006/main" xmlns:r="http://schemas.openxmlformats.org/officeDocument/2006/relationships">
  <sheetPr codeName="Sheet87"/>
  <dimension ref="A1:AG37"/>
  <sheetViews>
    <sheetView zoomScale="85" zoomScaleNormal="85" workbookViewId="0">
      <pane ySplit="5" topLeftCell="A6" activePane="bottomLeft" state="frozen"/>
      <selection pane="bottomLeft" activeCell="R37" sqref="R37"/>
    </sheetView>
  </sheetViews>
  <sheetFormatPr defaultRowHeight="12"/>
  <cols>
    <col min="1" max="68" width="7.125" style="102" customWidth="1"/>
    <col min="69" max="16384" width="9" style="102"/>
  </cols>
  <sheetData>
    <row r="1" spans="1:33" s="118" customFormat="1" ht="14.25" customHeight="1">
      <c r="A1" s="176" t="s">
        <v>198</v>
      </c>
      <c r="B1" s="176" t="s">
        <v>206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207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199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200</v>
      </c>
      <c r="O2" s="176"/>
      <c r="P2" s="176"/>
      <c r="Q2" s="176"/>
      <c r="R2" s="176" t="s">
        <v>201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 ht="24">
      <c r="A3" s="176"/>
      <c r="B3" s="125" t="s">
        <v>208</v>
      </c>
      <c r="C3" s="125" t="s">
        <v>209</v>
      </c>
      <c r="D3" s="125" t="s">
        <v>9</v>
      </c>
      <c r="E3" s="125" t="s">
        <v>10</v>
      </c>
      <c r="F3" s="125" t="s">
        <v>11</v>
      </c>
      <c r="G3" s="125" t="s">
        <v>12</v>
      </c>
      <c r="H3" s="125" t="s">
        <v>13</v>
      </c>
      <c r="I3" s="125" t="s">
        <v>14</v>
      </c>
      <c r="J3" s="125" t="s">
        <v>15</v>
      </c>
      <c r="K3" s="125" t="s">
        <v>16</v>
      </c>
      <c r="L3" s="125" t="s">
        <v>17</v>
      </c>
      <c r="M3" s="125" t="s">
        <v>18</v>
      </c>
      <c r="N3" s="125" t="s">
        <v>210</v>
      </c>
      <c r="O3" s="125" t="s">
        <v>211</v>
      </c>
      <c r="P3" s="125" t="s">
        <v>212</v>
      </c>
      <c r="Q3" s="125" t="s">
        <v>213</v>
      </c>
      <c r="R3" s="125" t="s">
        <v>208</v>
      </c>
      <c r="S3" s="125" t="s">
        <v>209</v>
      </c>
      <c r="T3" s="125" t="s">
        <v>214</v>
      </c>
      <c r="U3" s="125" t="s">
        <v>215</v>
      </c>
      <c r="V3" s="125" t="s">
        <v>216</v>
      </c>
      <c r="W3" s="125" t="s">
        <v>217</v>
      </c>
      <c r="X3" s="125" t="s">
        <v>25</v>
      </c>
      <c r="Y3" s="125" t="s">
        <v>26</v>
      </c>
      <c r="Z3" s="125" t="s">
        <v>27</v>
      </c>
      <c r="AA3" s="125" t="s">
        <v>218</v>
      </c>
      <c r="AB3" s="125" t="s">
        <v>219</v>
      </c>
      <c r="AC3" s="125" t="s">
        <v>220</v>
      </c>
      <c r="AD3" s="125" t="s">
        <v>202</v>
      </c>
      <c r="AE3" s="125" t="s">
        <v>203</v>
      </c>
      <c r="AF3" s="125" t="s">
        <v>204</v>
      </c>
      <c r="AG3" s="125" t="s">
        <v>205</v>
      </c>
    </row>
    <row r="4" spans="1:33" s="118" customFormat="1">
      <c r="A4" s="150" t="s">
        <v>261</v>
      </c>
      <c r="B4" s="150">
        <f t="shared" ref="B4:Q4" si="0">AVERAGE(B5:B36)</f>
        <v>22.587500000000002</v>
      </c>
      <c r="C4" s="150">
        <f t="shared" si="0"/>
        <v>19.762499999999996</v>
      </c>
      <c r="D4" s="150">
        <f t="shared" si="0"/>
        <v>36.437500000000007</v>
      </c>
      <c r="E4" s="150">
        <f t="shared" si="0"/>
        <v>58.29999999999999</v>
      </c>
      <c r="F4" s="150">
        <f t="shared" si="0"/>
        <v>168.71249999999998</v>
      </c>
      <c r="G4" s="150">
        <f t="shared" si="0"/>
        <v>249.86250000000007</v>
      </c>
      <c r="H4" s="150">
        <f t="shared" si="0"/>
        <v>229.25937500000003</v>
      </c>
      <c r="I4" s="150">
        <f t="shared" si="0"/>
        <v>172.13750000000002</v>
      </c>
      <c r="J4" s="150">
        <f t="shared" si="0"/>
        <v>113.80000000000001</v>
      </c>
      <c r="K4" s="150">
        <f t="shared" si="0"/>
        <v>84.859374999999986</v>
      </c>
      <c r="L4" s="150">
        <f t="shared" si="0"/>
        <v>39.856249999999996</v>
      </c>
      <c r="M4" s="150">
        <f t="shared" si="0"/>
        <v>17.537499999999998</v>
      </c>
      <c r="N4" s="150">
        <f t="shared" si="0"/>
        <v>137.08749999999998</v>
      </c>
      <c r="O4" s="150">
        <f t="shared" si="0"/>
        <v>933.77187500000002</v>
      </c>
      <c r="P4" s="150">
        <f t="shared" si="0"/>
        <v>142.25312499999998</v>
      </c>
      <c r="Q4" s="150">
        <f t="shared" si="0"/>
        <v>1213.1125000000002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1984</v>
      </c>
      <c r="B5" s="102">
        <v>26.9</v>
      </c>
      <c r="C5" s="102">
        <v>15</v>
      </c>
      <c r="D5" s="102">
        <v>68.099999999999994</v>
      </c>
      <c r="E5" s="102">
        <v>93.8</v>
      </c>
      <c r="F5" s="102">
        <v>148.19999999999999</v>
      </c>
      <c r="G5" s="102">
        <v>222.9</v>
      </c>
      <c r="H5" s="102">
        <v>146.5</v>
      </c>
      <c r="I5" s="102">
        <v>285.7</v>
      </c>
      <c r="J5" s="102">
        <v>79.2</v>
      </c>
      <c r="K5" s="102">
        <v>159.4</v>
      </c>
      <c r="L5" s="102">
        <v>55.6</v>
      </c>
      <c r="M5" s="102">
        <v>15.5</v>
      </c>
      <c r="N5" s="102">
        <f>SUM(B5:E5)</f>
        <v>203.8</v>
      </c>
      <c r="O5" s="102">
        <f>SUM(F5:J5)</f>
        <v>882.5</v>
      </c>
      <c r="P5" s="102">
        <f>SUM(K5:M5)</f>
        <v>230.5</v>
      </c>
      <c r="Q5" s="102">
        <f>SUM(B5:M5)</f>
        <v>1316.8</v>
      </c>
    </row>
    <row r="6" spans="1:33">
      <c r="A6" s="102">
        <v>1985</v>
      </c>
      <c r="B6" s="102">
        <v>29.2</v>
      </c>
      <c r="C6" s="102">
        <v>27.6</v>
      </c>
      <c r="D6" s="102">
        <v>37.5</v>
      </c>
      <c r="E6" s="102">
        <v>132.1</v>
      </c>
      <c r="F6" s="102">
        <v>247.7</v>
      </c>
      <c r="G6" s="102">
        <v>176.8</v>
      </c>
      <c r="H6" s="102">
        <v>89.4</v>
      </c>
      <c r="I6" s="102">
        <v>129.30000000000001</v>
      </c>
      <c r="J6" s="102">
        <v>158.80000000000001</v>
      </c>
      <c r="K6" s="102">
        <v>45.7</v>
      </c>
      <c r="L6" s="102">
        <v>44.6</v>
      </c>
      <c r="M6" s="102">
        <v>13.5</v>
      </c>
      <c r="N6" s="102">
        <f t="shared" ref="N6:N36" si="1">SUM(B6:E6)</f>
        <v>226.39999999999998</v>
      </c>
      <c r="O6" s="102">
        <f t="shared" ref="O6:O36" si="2">SUM(F6:J6)</f>
        <v>802</v>
      </c>
      <c r="P6" s="102">
        <f t="shared" ref="P6:P36" si="3">SUM(K6:M6)</f>
        <v>103.80000000000001</v>
      </c>
      <c r="Q6" s="102">
        <f t="shared" ref="Q6:Q36" si="4">SUM(B6:M6)</f>
        <v>1132.1999999999998</v>
      </c>
    </row>
    <row r="7" spans="1:33">
      <c r="A7" s="102">
        <v>1986</v>
      </c>
      <c r="B7" s="102">
        <v>8.3000000000000007</v>
      </c>
      <c r="C7" s="102">
        <v>17.5</v>
      </c>
      <c r="D7" s="102">
        <v>31.1</v>
      </c>
      <c r="E7" s="102">
        <v>66.099999999999994</v>
      </c>
      <c r="F7" s="102">
        <v>144.4</v>
      </c>
      <c r="G7" s="102">
        <v>114.5</v>
      </c>
      <c r="H7" s="102">
        <v>438.8</v>
      </c>
      <c r="I7" s="102">
        <v>321.8</v>
      </c>
      <c r="J7" s="102">
        <v>116.3</v>
      </c>
      <c r="K7" s="102">
        <v>108.9</v>
      </c>
      <c r="L7" s="102">
        <v>43.9</v>
      </c>
      <c r="M7" s="102">
        <v>11.4</v>
      </c>
      <c r="N7" s="102">
        <f t="shared" si="1"/>
        <v>123</v>
      </c>
      <c r="O7" s="102">
        <f t="shared" si="2"/>
        <v>1135.8</v>
      </c>
      <c r="P7" s="102">
        <f t="shared" si="3"/>
        <v>164.20000000000002</v>
      </c>
      <c r="Q7" s="102">
        <f t="shared" si="4"/>
        <v>1423.0000000000002</v>
      </c>
    </row>
    <row r="8" spans="1:33">
      <c r="A8" s="102">
        <v>1987</v>
      </c>
      <c r="B8" s="102">
        <v>16.2</v>
      </c>
      <c r="C8" s="102">
        <v>19</v>
      </c>
      <c r="D8" s="102">
        <v>0.6</v>
      </c>
      <c r="E8" s="102">
        <v>39.1</v>
      </c>
      <c r="F8" s="102">
        <v>156.4</v>
      </c>
      <c r="G8" s="102">
        <v>321.60000000000002</v>
      </c>
      <c r="H8" s="102">
        <v>262.39999999999998</v>
      </c>
      <c r="I8" s="102">
        <v>238.1</v>
      </c>
      <c r="J8" s="102">
        <v>66.400000000000006</v>
      </c>
      <c r="K8" s="102">
        <v>84.8</v>
      </c>
      <c r="L8" s="102">
        <v>52.7</v>
      </c>
      <c r="M8" s="102">
        <v>2.4</v>
      </c>
      <c r="N8" s="102">
        <f t="shared" si="1"/>
        <v>74.900000000000006</v>
      </c>
      <c r="O8" s="102">
        <f t="shared" si="2"/>
        <v>1044.9000000000001</v>
      </c>
      <c r="P8" s="102">
        <f t="shared" si="3"/>
        <v>139.9</v>
      </c>
      <c r="Q8" s="102">
        <f t="shared" si="4"/>
        <v>1259.7000000000003</v>
      </c>
    </row>
    <row r="9" spans="1:33">
      <c r="A9" s="102">
        <v>1988</v>
      </c>
      <c r="B9" s="102">
        <v>13.1</v>
      </c>
      <c r="C9" s="102">
        <v>43.3</v>
      </c>
      <c r="D9" s="102">
        <v>5.2</v>
      </c>
      <c r="E9" s="102">
        <v>83.4</v>
      </c>
      <c r="F9" s="102">
        <v>88.1</v>
      </c>
      <c r="G9" s="102">
        <v>311.8</v>
      </c>
      <c r="H9" s="102">
        <v>132.1</v>
      </c>
      <c r="I9" s="102">
        <v>235.5</v>
      </c>
      <c r="J9" s="102">
        <v>78.3</v>
      </c>
      <c r="K9" s="102">
        <v>108.5</v>
      </c>
      <c r="L9" s="102">
        <v>5.9</v>
      </c>
      <c r="M9" s="102">
        <v>5.6</v>
      </c>
      <c r="N9" s="102">
        <f t="shared" si="1"/>
        <v>145</v>
      </c>
      <c r="O9" s="102">
        <f t="shared" si="2"/>
        <v>845.8</v>
      </c>
      <c r="P9" s="102">
        <f t="shared" si="3"/>
        <v>120</v>
      </c>
      <c r="Q9" s="102">
        <f t="shared" si="4"/>
        <v>1110.8</v>
      </c>
    </row>
    <row r="10" spans="1:33">
      <c r="A10" s="102">
        <v>1989</v>
      </c>
      <c r="B10" s="102">
        <v>12.6</v>
      </c>
      <c r="C10" s="102">
        <v>8.5</v>
      </c>
      <c r="D10" s="102">
        <v>36.799999999999997</v>
      </c>
      <c r="E10" s="102">
        <v>46.8</v>
      </c>
      <c r="F10" s="102">
        <v>169.4</v>
      </c>
      <c r="G10" s="102">
        <v>192.6</v>
      </c>
      <c r="H10" s="102">
        <v>117</v>
      </c>
      <c r="I10" s="102">
        <v>110.5</v>
      </c>
      <c r="J10" s="102">
        <v>100.7</v>
      </c>
      <c r="K10" s="102">
        <v>84.3</v>
      </c>
      <c r="L10" s="102">
        <v>23</v>
      </c>
      <c r="M10" s="102">
        <v>27.5</v>
      </c>
      <c r="N10" s="102">
        <f t="shared" si="1"/>
        <v>104.69999999999999</v>
      </c>
      <c r="O10" s="102">
        <f t="shared" si="2"/>
        <v>690.2</v>
      </c>
      <c r="P10" s="102">
        <f t="shared" si="3"/>
        <v>134.80000000000001</v>
      </c>
      <c r="Q10" s="102">
        <f t="shared" si="4"/>
        <v>929.7</v>
      </c>
    </row>
    <row r="11" spans="1:33">
      <c r="A11" s="102">
        <v>1990</v>
      </c>
      <c r="B11" s="102">
        <v>34</v>
      </c>
      <c r="C11" s="102">
        <v>25.6</v>
      </c>
      <c r="D11" s="102">
        <v>103.5</v>
      </c>
      <c r="E11" s="102">
        <v>57</v>
      </c>
      <c r="F11" s="102">
        <v>133.4</v>
      </c>
      <c r="G11" s="102">
        <v>302.2</v>
      </c>
      <c r="H11" s="102">
        <v>247.2</v>
      </c>
      <c r="I11" s="102">
        <v>67.5</v>
      </c>
      <c r="J11" s="102">
        <v>202.9</v>
      </c>
      <c r="K11" s="102">
        <v>52.4</v>
      </c>
      <c r="L11" s="102">
        <v>60.1</v>
      </c>
      <c r="M11" s="102">
        <v>9.6</v>
      </c>
      <c r="N11" s="102">
        <f t="shared" si="1"/>
        <v>220.1</v>
      </c>
      <c r="O11" s="102">
        <f t="shared" si="2"/>
        <v>953.19999999999993</v>
      </c>
      <c r="P11" s="102">
        <f t="shared" si="3"/>
        <v>122.1</v>
      </c>
      <c r="Q11" s="102">
        <f t="shared" si="4"/>
        <v>1295.4000000000001</v>
      </c>
    </row>
    <row r="12" spans="1:33">
      <c r="A12" s="102">
        <v>1991</v>
      </c>
      <c r="B12" s="102">
        <v>43.1</v>
      </c>
      <c r="C12" s="102">
        <v>6.8</v>
      </c>
      <c r="D12" s="102">
        <v>45.6</v>
      </c>
      <c r="E12" s="102">
        <v>62.8</v>
      </c>
      <c r="F12" s="102">
        <v>19.8</v>
      </c>
      <c r="G12" s="102">
        <v>498.6</v>
      </c>
      <c r="H12" s="102">
        <v>151.19999999999999</v>
      </c>
      <c r="I12" s="102">
        <v>277.8</v>
      </c>
      <c r="J12" s="102">
        <v>25.4</v>
      </c>
      <c r="K12" s="102">
        <v>66.099999999999994</v>
      </c>
      <c r="L12" s="102">
        <v>74.2</v>
      </c>
      <c r="M12" s="102">
        <v>33.5</v>
      </c>
      <c r="N12" s="102">
        <f t="shared" si="1"/>
        <v>158.30000000000001</v>
      </c>
      <c r="O12" s="102">
        <f t="shared" si="2"/>
        <v>972.79999999999984</v>
      </c>
      <c r="P12" s="102">
        <f t="shared" si="3"/>
        <v>173.8</v>
      </c>
      <c r="Q12" s="102">
        <f t="shared" si="4"/>
        <v>1304.9000000000001</v>
      </c>
    </row>
    <row r="13" spans="1:33">
      <c r="A13" s="102">
        <v>1992</v>
      </c>
      <c r="B13" s="102">
        <v>38.6</v>
      </c>
      <c r="C13" s="102">
        <v>65.900000000000006</v>
      </c>
      <c r="D13" s="102">
        <v>34.299999999999997</v>
      </c>
      <c r="E13" s="102">
        <v>9.6999999999999993</v>
      </c>
      <c r="F13" s="102">
        <v>132.19999999999999</v>
      </c>
      <c r="G13" s="102">
        <v>232.5</v>
      </c>
      <c r="H13" s="102">
        <v>316.5</v>
      </c>
      <c r="I13" s="102">
        <v>71.599999999999994</v>
      </c>
      <c r="J13" s="102">
        <v>34.9</v>
      </c>
      <c r="K13" s="102">
        <v>69.3</v>
      </c>
      <c r="L13" s="102">
        <v>10.9</v>
      </c>
      <c r="M13" s="102">
        <v>21</v>
      </c>
      <c r="N13" s="102">
        <f t="shared" si="1"/>
        <v>148.5</v>
      </c>
      <c r="O13" s="102">
        <f t="shared" si="2"/>
        <v>787.7</v>
      </c>
      <c r="P13" s="102">
        <f t="shared" si="3"/>
        <v>101.2</v>
      </c>
      <c r="Q13" s="102">
        <f t="shared" si="4"/>
        <v>1037.4000000000001</v>
      </c>
    </row>
    <row r="14" spans="1:33">
      <c r="A14" s="102">
        <v>1993</v>
      </c>
      <c r="B14" s="102">
        <v>35.9</v>
      </c>
      <c r="C14" s="102">
        <v>39.200000000000003</v>
      </c>
      <c r="D14" s="102">
        <v>6.1</v>
      </c>
      <c r="E14" s="102">
        <v>12.5</v>
      </c>
      <c r="F14" s="102">
        <v>143.6</v>
      </c>
      <c r="G14" s="102">
        <v>267.89999999999998</v>
      </c>
      <c r="H14" s="102">
        <v>288.3</v>
      </c>
      <c r="I14" s="102">
        <v>226.2</v>
      </c>
      <c r="J14" s="102">
        <v>359.2</v>
      </c>
      <c r="K14" s="102">
        <v>32.200000000000003</v>
      </c>
      <c r="L14" s="102">
        <v>21.7</v>
      </c>
      <c r="M14" s="102">
        <v>4.7</v>
      </c>
      <c r="N14" s="102">
        <f t="shared" si="1"/>
        <v>93.699999999999989</v>
      </c>
      <c r="O14" s="102">
        <f t="shared" si="2"/>
        <v>1285.2</v>
      </c>
      <c r="P14" s="102">
        <f t="shared" si="3"/>
        <v>58.600000000000009</v>
      </c>
      <c r="Q14" s="102">
        <f t="shared" si="4"/>
        <v>1437.5000000000002</v>
      </c>
    </row>
    <row r="15" spans="1:33">
      <c r="A15" s="102">
        <v>1994</v>
      </c>
      <c r="B15" s="102">
        <v>11.2</v>
      </c>
      <c r="C15" s="102">
        <v>8.9</v>
      </c>
      <c r="D15" s="102">
        <v>68.400000000000006</v>
      </c>
      <c r="E15" s="102">
        <v>7.8</v>
      </c>
      <c r="F15" s="102">
        <v>290.60000000000002</v>
      </c>
      <c r="G15" s="102">
        <v>154.9</v>
      </c>
      <c r="H15" s="102">
        <v>193.8</v>
      </c>
      <c r="I15" s="102">
        <v>183.3</v>
      </c>
      <c r="J15" s="102">
        <v>142.9</v>
      </c>
      <c r="K15" s="102">
        <v>111.6</v>
      </c>
      <c r="L15" s="102">
        <v>63.4</v>
      </c>
      <c r="M15" s="102">
        <v>27.1</v>
      </c>
      <c r="N15" s="102">
        <f t="shared" si="1"/>
        <v>96.3</v>
      </c>
      <c r="O15" s="102">
        <f t="shared" si="2"/>
        <v>965.49999999999989</v>
      </c>
      <c r="P15" s="102">
        <f t="shared" si="3"/>
        <v>202.1</v>
      </c>
      <c r="Q15" s="102">
        <f t="shared" si="4"/>
        <v>1263.9000000000001</v>
      </c>
    </row>
    <row r="16" spans="1:33">
      <c r="A16" s="102">
        <v>1995</v>
      </c>
      <c r="B16" s="102">
        <v>23.8</v>
      </c>
      <c r="C16" s="102">
        <v>54.7</v>
      </c>
      <c r="D16" s="102">
        <v>2.9</v>
      </c>
      <c r="E16" s="102">
        <v>68.400000000000006</v>
      </c>
      <c r="F16" s="102">
        <v>177.5</v>
      </c>
      <c r="G16" s="102">
        <v>349.1</v>
      </c>
      <c r="H16" s="102">
        <v>204.4</v>
      </c>
      <c r="I16" s="102">
        <v>258.7</v>
      </c>
      <c r="J16" s="102">
        <v>189.5</v>
      </c>
      <c r="K16" s="102">
        <v>12.2</v>
      </c>
      <c r="L16" s="102">
        <v>47.3</v>
      </c>
      <c r="M16" s="102">
        <v>3.6</v>
      </c>
      <c r="N16" s="102">
        <f t="shared" si="1"/>
        <v>149.80000000000001</v>
      </c>
      <c r="O16" s="102">
        <f t="shared" si="2"/>
        <v>1179.2</v>
      </c>
      <c r="P16" s="102">
        <f t="shared" si="3"/>
        <v>63.1</v>
      </c>
      <c r="Q16" s="102">
        <f t="shared" si="4"/>
        <v>1392.1</v>
      </c>
    </row>
    <row r="17" spans="1:31">
      <c r="A17" s="102">
        <v>1996</v>
      </c>
      <c r="B17" s="102">
        <v>13.2</v>
      </c>
      <c r="C17" s="102">
        <v>23.4</v>
      </c>
      <c r="D17" s="102">
        <v>99.2</v>
      </c>
      <c r="E17" s="102">
        <v>60.2</v>
      </c>
      <c r="F17" s="102">
        <v>261.10000000000002</v>
      </c>
      <c r="G17" s="102">
        <v>241.5</v>
      </c>
      <c r="H17" s="102">
        <v>318.60000000000002</v>
      </c>
      <c r="I17" s="102">
        <v>187.3</v>
      </c>
      <c r="J17" s="102">
        <v>43.8</v>
      </c>
      <c r="K17" s="102">
        <v>39.6</v>
      </c>
      <c r="L17" s="102">
        <v>81</v>
      </c>
      <c r="M17" s="102">
        <v>5.6</v>
      </c>
      <c r="N17" s="102">
        <f t="shared" si="1"/>
        <v>196</v>
      </c>
      <c r="O17" s="102">
        <f t="shared" si="2"/>
        <v>1052.3</v>
      </c>
      <c r="P17" s="102">
        <f t="shared" si="3"/>
        <v>126.19999999999999</v>
      </c>
      <c r="Q17" s="102">
        <f t="shared" si="4"/>
        <v>1374.4999999999998</v>
      </c>
    </row>
    <row r="18" spans="1:31">
      <c r="A18" s="102">
        <v>1997</v>
      </c>
      <c r="B18" s="102">
        <v>32</v>
      </c>
      <c r="C18" s="102">
        <v>26.7</v>
      </c>
      <c r="D18" s="102">
        <v>48.8</v>
      </c>
      <c r="E18" s="102">
        <v>59.8</v>
      </c>
      <c r="F18" s="102">
        <v>254.5</v>
      </c>
      <c r="G18" s="102">
        <v>242.5</v>
      </c>
      <c r="H18" s="102">
        <v>345.8</v>
      </c>
      <c r="I18" s="102">
        <v>213.5</v>
      </c>
      <c r="J18" s="102">
        <v>123</v>
      </c>
      <c r="K18" s="102">
        <v>312.5</v>
      </c>
      <c r="L18" s="102">
        <v>3.2</v>
      </c>
      <c r="M18" s="102">
        <v>6.4</v>
      </c>
      <c r="N18" s="102">
        <f t="shared" si="1"/>
        <v>167.3</v>
      </c>
      <c r="O18" s="102">
        <f t="shared" si="2"/>
        <v>1179.3</v>
      </c>
      <c r="P18" s="102">
        <f t="shared" si="3"/>
        <v>322.09999999999997</v>
      </c>
      <c r="Q18" s="102">
        <f t="shared" si="4"/>
        <v>1668.7</v>
      </c>
    </row>
    <row r="19" spans="1:31">
      <c r="A19" s="102">
        <v>1998</v>
      </c>
      <c r="B19" s="102">
        <v>13.9</v>
      </c>
      <c r="C19" s="102">
        <v>19.3</v>
      </c>
      <c r="D19" s="102">
        <v>60.6</v>
      </c>
      <c r="E19" s="102">
        <v>54.8</v>
      </c>
      <c r="F19" s="102">
        <v>98.6</v>
      </c>
      <c r="G19" s="102">
        <v>206.4</v>
      </c>
      <c r="H19" s="102">
        <v>332.2</v>
      </c>
      <c r="I19" s="102">
        <v>86.6</v>
      </c>
      <c r="J19" s="102">
        <v>64.3</v>
      </c>
      <c r="K19" s="102">
        <v>79.599999999999994</v>
      </c>
      <c r="L19" s="102">
        <v>15</v>
      </c>
      <c r="M19" s="102">
        <v>6.4</v>
      </c>
      <c r="N19" s="102">
        <f t="shared" si="1"/>
        <v>148.60000000000002</v>
      </c>
      <c r="O19" s="102">
        <f t="shared" si="2"/>
        <v>788.1</v>
      </c>
      <c r="P19" s="102">
        <f t="shared" si="3"/>
        <v>101</v>
      </c>
      <c r="Q19" s="102">
        <f t="shared" si="4"/>
        <v>1037.7</v>
      </c>
    </row>
    <row r="20" spans="1:31">
      <c r="A20" s="102">
        <v>1999</v>
      </c>
      <c r="B20" s="102">
        <v>11.2</v>
      </c>
      <c r="C20" s="102">
        <v>11.2</v>
      </c>
      <c r="D20" s="102">
        <v>14.7</v>
      </c>
      <c r="E20" s="102">
        <v>123.1</v>
      </c>
      <c r="F20" s="102">
        <v>165.5</v>
      </c>
      <c r="G20" s="102">
        <v>137.9</v>
      </c>
      <c r="H20" s="102">
        <v>228.1</v>
      </c>
      <c r="I20" s="102">
        <v>139.1</v>
      </c>
      <c r="J20" s="102">
        <v>89.2</v>
      </c>
      <c r="K20" s="102">
        <v>72.599999999999994</v>
      </c>
      <c r="L20" s="102">
        <v>39.799999999999997</v>
      </c>
      <c r="M20" s="102">
        <v>8.8000000000000007</v>
      </c>
      <c r="N20" s="102">
        <f t="shared" si="1"/>
        <v>160.19999999999999</v>
      </c>
      <c r="O20" s="102">
        <f t="shared" si="2"/>
        <v>759.80000000000007</v>
      </c>
      <c r="P20" s="102">
        <f t="shared" si="3"/>
        <v>121.19999999999999</v>
      </c>
      <c r="Q20" s="102">
        <f t="shared" si="4"/>
        <v>1041.2</v>
      </c>
    </row>
    <row r="21" spans="1:31">
      <c r="A21" s="102">
        <v>2000</v>
      </c>
      <c r="B21" s="102">
        <v>21.1</v>
      </c>
      <c r="C21" s="102">
        <v>19.7</v>
      </c>
      <c r="D21" s="102">
        <v>59.3</v>
      </c>
      <c r="E21" s="102">
        <v>81.900000000000006</v>
      </c>
      <c r="F21" s="102">
        <v>155.19999999999999</v>
      </c>
      <c r="G21" s="102">
        <v>170.2</v>
      </c>
      <c r="H21" s="102">
        <v>136.69999999999999</v>
      </c>
      <c r="I21" s="102">
        <v>163.30000000000001</v>
      </c>
      <c r="J21" s="102">
        <v>67.8</v>
      </c>
      <c r="K21" s="102">
        <v>185.6</v>
      </c>
      <c r="L21" s="102">
        <v>23.4</v>
      </c>
      <c r="M21" s="102">
        <v>38.700000000000003</v>
      </c>
      <c r="N21" s="102">
        <f t="shared" si="1"/>
        <v>182</v>
      </c>
      <c r="O21" s="102">
        <f t="shared" si="2"/>
        <v>693.19999999999993</v>
      </c>
      <c r="P21" s="102">
        <f t="shared" si="3"/>
        <v>247.7</v>
      </c>
      <c r="Q21" s="102">
        <f t="shared" si="4"/>
        <v>1122.8999999999999</v>
      </c>
    </row>
    <row r="22" spans="1:31">
      <c r="A22" s="102">
        <v>2001</v>
      </c>
      <c r="B22" s="102">
        <v>6.8</v>
      </c>
      <c r="C22" s="102">
        <v>23.4</v>
      </c>
      <c r="D22" s="102">
        <v>64.7</v>
      </c>
      <c r="E22" s="102">
        <v>24.2</v>
      </c>
      <c r="F22" s="102">
        <v>205.7</v>
      </c>
      <c r="G22" s="102">
        <v>447.8</v>
      </c>
      <c r="H22" s="102">
        <v>322.8</v>
      </c>
      <c r="I22" s="102">
        <v>107.7</v>
      </c>
      <c r="J22" s="102">
        <v>78.7</v>
      </c>
      <c r="K22" s="102">
        <v>145.9</v>
      </c>
      <c r="L22" s="102">
        <v>47.2</v>
      </c>
      <c r="M22" s="102">
        <v>4.4000000000000004</v>
      </c>
      <c r="N22" s="102">
        <f t="shared" si="1"/>
        <v>119.10000000000001</v>
      </c>
      <c r="O22" s="102">
        <f t="shared" si="2"/>
        <v>1162.7</v>
      </c>
      <c r="P22" s="102">
        <f t="shared" si="3"/>
        <v>197.50000000000003</v>
      </c>
      <c r="Q22" s="102">
        <f t="shared" si="4"/>
        <v>1479.3000000000004</v>
      </c>
    </row>
    <row r="23" spans="1:31">
      <c r="A23" s="102">
        <v>2002</v>
      </c>
      <c r="B23" s="102">
        <v>29</v>
      </c>
      <c r="C23" s="102">
        <v>12.6</v>
      </c>
      <c r="D23" s="102">
        <v>21.4</v>
      </c>
      <c r="E23" s="102">
        <v>54.6</v>
      </c>
      <c r="F23" s="102">
        <v>261.7</v>
      </c>
      <c r="G23" s="102">
        <v>238.1</v>
      </c>
      <c r="H23" s="102">
        <v>206.4</v>
      </c>
      <c r="I23" s="102">
        <v>221.2</v>
      </c>
      <c r="J23" s="102">
        <v>35.5</v>
      </c>
      <c r="K23" s="102">
        <v>169.8</v>
      </c>
      <c r="L23" s="102">
        <v>14.3</v>
      </c>
      <c r="M23" s="102">
        <v>43.9</v>
      </c>
      <c r="N23" s="102">
        <f t="shared" si="1"/>
        <v>117.6</v>
      </c>
      <c r="O23" s="102">
        <f t="shared" si="2"/>
        <v>962.89999999999986</v>
      </c>
      <c r="P23" s="102">
        <f t="shared" si="3"/>
        <v>228.00000000000003</v>
      </c>
      <c r="Q23" s="102">
        <f t="shared" si="4"/>
        <v>1308.5</v>
      </c>
    </row>
    <row r="24" spans="1:31">
      <c r="A24" s="102">
        <v>2003</v>
      </c>
      <c r="B24" s="102">
        <v>48</v>
      </c>
      <c r="C24" s="102">
        <v>2</v>
      </c>
      <c r="D24" s="102">
        <v>29</v>
      </c>
      <c r="E24" s="102">
        <v>49</v>
      </c>
      <c r="F24" s="102">
        <v>207</v>
      </c>
      <c r="G24" s="102">
        <v>266</v>
      </c>
      <c r="H24" s="102">
        <v>215</v>
      </c>
      <c r="I24" s="102">
        <v>66</v>
      </c>
      <c r="J24" s="102">
        <v>129</v>
      </c>
      <c r="K24" s="102">
        <v>38.299999999999997</v>
      </c>
      <c r="L24" s="102">
        <v>18.899999999999999</v>
      </c>
      <c r="M24" s="102">
        <v>19.3</v>
      </c>
      <c r="N24" s="102">
        <f t="shared" si="1"/>
        <v>128</v>
      </c>
      <c r="O24" s="102">
        <f t="shared" si="2"/>
        <v>883</v>
      </c>
      <c r="P24" s="102">
        <f t="shared" si="3"/>
        <v>76.5</v>
      </c>
      <c r="Q24" s="102">
        <f t="shared" si="4"/>
        <v>1087.5</v>
      </c>
    </row>
    <row r="25" spans="1:31">
      <c r="A25" s="102">
        <v>2004</v>
      </c>
      <c r="B25" s="102">
        <v>23.1</v>
      </c>
      <c r="C25" s="102">
        <v>20.2</v>
      </c>
      <c r="D25" s="102">
        <v>42.8</v>
      </c>
      <c r="E25" s="102">
        <v>23.8</v>
      </c>
      <c r="F25" s="102">
        <v>69</v>
      </c>
      <c r="G25" s="102">
        <v>161.1</v>
      </c>
      <c r="H25" s="102">
        <v>191.6</v>
      </c>
      <c r="I25" s="102">
        <v>237.6</v>
      </c>
      <c r="J25" s="102">
        <v>100.3</v>
      </c>
      <c r="K25" s="102">
        <v>4</v>
      </c>
      <c r="L25" s="102">
        <v>58.6</v>
      </c>
      <c r="M25" s="102">
        <v>6.8</v>
      </c>
      <c r="N25" s="102">
        <f t="shared" si="1"/>
        <v>109.89999999999999</v>
      </c>
      <c r="O25" s="102">
        <f t="shared" si="2"/>
        <v>759.59999999999991</v>
      </c>
      <c r="P25" s="102">
        <f t="shared" si="3"/>
        <v>69.400000000000006</v>
      </c>
      <c r="Q25" s="102">
        <f t="shared" si="4"/>
        <v>938.9</v>
      </c>
    </row>
    <row r="26" spans="1:31">
      <c r="A26" s="102">
        <v>2005</v>
      </c>
      <c r="B26" s="102">
        <v>19.3</v>
      </c>
      <c r="C26" s="102">
        <v>3.8</v>
      </c>
      <c r="D26" s="102">
        <v>35.700000000000003</v>
      </c>
      <c r="E26" s="102">
        <v>60</v>
      </c>
      <c r="F26" s="102">
        <v>148.6</v>
      </c>
      <c r="G26" s="102">
        <v>320.89999999999998</v>
      </c>
      <c r="H26" s="102">
        <v>174.8</v>
      </c>
      <c r="I26" s="102">
        <v>142.69999999999999</v>
      </c>
      <c r="J26" s="102">
        <v>16.8</v>
      </c>
      <c r="K26" s="102">
        <v>66.900000000000006</v>
      </c>
      <c r="L26" s="102">
        <v>5</v>
      </c>
      <c r="M26" s="102">
        <v>30.7</v>
      </c>
      <c r="N26" s="102">
        <f t="shared" si="1"/>
        <v>118.80000000000001</v>
      </c>
      <c r="O26" s="102">
        <f t="shared" si="2"/>
        <v>803.8</v>
      </c>
      <c r="P26" s="102">
        <f t="shared" si="3"/>
        <v>102.60000000000001</v>
      </c>
      <c r="Q26" s="102">
        <f t="shared" si="4"/>
        <v>1025.1999999999998</v>
      </c>
    </row>
    <row r="27" spans="1:31">
      <c r="A27" s="102">
        <v>2006</v>
      </c>
      <c r="B27" s="102">
        <v>0.4</v>
      </c>
      <c r="C27" s="102">
        <v>24</v>
      </c>
      <c r="D27" s="102">
        <v>14.3</v>
      </c>
      <c r="E27" s="102">
        <v>39.6</v>
      </c>
      <c r="F27" s="102">
        <v>92.5</v>
      </c>
      <c r="G27" s="102">
        <v>298.60000000000002</v>
      </c>
      <c r="H27" s="102">
        <v>120.8</v>
      </c>
      <c r="I27" s="102">
        <v>118.9</v>
      </c>
      <c r="J27" s="102">
        <v>69.8</v>
      </c>
      <c r="K27" s="102">
        <v>105.7</v>
      </c>
      <c r="L27" s="102">
        <v>35</v>
      </c>
      <c r="M27" s="102">
        <v>5.8</v>
      </c>
      <c r="N27" s="102">
        <f t="shared" si="1"/>
        <v>78.300000000000011</v>
      </c>
      <c r="O27" s="102">
        <f t="shared" si="2"/>
        <v>700.6</v>
      </c>
      <c r="P27" s="102">
        <f t="shared" si="3"/>
        <v>146.5</v>
      </c>
      <c r="Q27" s="102">
        <f t="shared" si="4"/>
        <v>925.4</v>
      </c>
    </row>
    <row r="28" spans="1:31">
      <c r="A28" s="102">
        <v>2007</v>
      </c>
      <c r="B28" s="102">
        <v>39.200000000000003</v>
      </c>
      <c r="C28" s="102">
        <v>29.9</v>
      </c>
      <c r="D28" s="102">
        <v>4.0999999999999996</v>
      </c>
      <c r="E28" s="102">
        <v>86.5</v>
      </c>
      <c r="F28" s="102">
        <v>117.4</v>
      </c>
      <c r="G28" s="102">
        <v>423.1</v>
      </c>
      <c r="H28" s="102">
        <v>287.3</v>
      </c>
      <c r="I28" s="102">
        <v>143.19999999999999</v>
      </c>
      <c r="J28" s="102">
        <v>173.8</v>
      </c>
      <c r="K28" s="102">
        <v>14.7</v>
      </c>
      <c r="L28" s="102">
        <v>8.4</v>
      </c>
      <c r="M28" s="102">
        <v>22.8</v>
      </c>
      <c r="N28" s="102">
        <f t="shared" si="1"/>
        <v>159.69999999999999</v>
      </c>
      <c r="O28" s="102">
        <f t="shared" si="2"/>
        <v>1144.8</v>
      </c>
      <c r="P28" s="102">
        <f t="shared" si="3"/>
        <v>45.900000000000006</v>
      </c>
      <c r="Q28" s="102">
        <f t="shared" si="4"/>
        <v>1350.4</v>
      </c>
    </row>
    <row r="29" spans="1:31">
      <c r="A29" s="102">
        <v>2008</v>
      </c>
      <c r="B29" s="102">
        <v>23.2</v>
      </c>
      <c r="C29" s="102">
        <v>10.9</v>
      </c>
      <c r="D29" s="102">
        <v>55</v>
      </c>
      <c r="E29" s="102">
        <v>48.3</v>
      </c>
      <c r="F29" s="102">
        <v>359.1</v>
      </c>
      <c r="G29" s="102">
        <v>146.1</v>
      </c>
      <c r="H29" s="102">
        <v>226.4</v>
      </c>
      <c r="I29" s="102">
        <v>141.80000000000001</v>
      </c>
      <c r="J29" s="102">
        <v>148.69999999999999</v>
      </c>
      <c r="K29" s="102">
        <v>96.4</v>
      </c>
      <c r="L29" s="102">
        <v>102</v>
      </c>
      <c r="M29" s="102">
        <v>6.4</v>
      </c>
      <c r="N29" s="102">
        <f t="shared" si="1"/>
        <v>137.39999999999998</v>
      </c>
      <c r="O29" s="102">
        <f t="shared" si="2"/>
        <v>1022.1000000000001</v>
      </c>
      <c r="P29" s="102">
        <f t="shared" si="3"/>
        <v>204.8</v>
      </c>
      <c r="Q29" s="102">
        <f t="shared" si="4"/>
        <v>1364.3000000000002</v>
      </c>
    </row>
    <row r="30" spans="1:31">
      <c r="A30" s="102">
        <v>2009</v>
      </c>
      <c r="B30" s="102">
        <v>9.4</v>
      </c>
      <c r="C30" s="102">
        <v>4</v>
      </c>
      <c r="D30" s="102">
        <v>62.3</v>
      </c>
      <c r="E30" s="102">
        <v>64.8</v>
      </c>
      <c r="F30" s="102">
        <v>146.1</v>
      </c>
      <c r="G30" s="102">
        <v>198.9</v>
      </c>
      <c r="H30" s="102">
        <v>143.69999999999999</v>
      </c>
      <c r="I30" s="102">
        <v>109.4</v>
      </c>
      <c r="J30" s="102">
        <v>90.3</v>
      </c>
      <c r="K30" s="102">
        <v>44.7</v>
      </c>
      <c r="L30" s="102">
        <v>12.1</v>
      </c>
      <c r="M30" s="102">
        <v>2.9</v>
      </c>
      <c r="N30" s="102">
        <f t="shared" si="1"/>
        <v>140.5</v>
      </c>
      <c r="O30" s="102">
        <f t="shared" si="2"/>
        <v>688.4</v>
      </c>
      <c r="P30" s="102">
        <f t="shared" si="3"/>
        <v>59.7</v>
      </c>
      <c r="Q30" s="102">
        <f t="shared" si="4"/>
        <v>888.6</v>
      </c>
    </row>
    <row r="31" spans="1:31">
      <c r="A31" s="102">
        <v>2010</v>
      </c>
      <c r="B31" s="102">
        <v>9.6</v>
      </c>
      <c r="C31" s="102">
        <v>0.2</v>
      </c>
      <c r="D31" s="102">
        <v>9.6999999999999993</v>
      </c>
      <c r="E31" s="102">
        <v>112.1</v>
      </c>
      <c r="F31" s="102">
        <v>97.7</v>
      </c>
      <c r="G31" s="102">
        <v>293.60000000000002</v>
      </c>
      <c r="H31" s="102">
        <v>401.1</v>
      </c>
      <c r="I31" s="102">
        <v>93.6</v>
      </c>
      <c r="J31" s="102">
        <v>213.7</v>
      </c>
      <c r="K31" s="102">
        <v>83.5</v>
      </c>
      <c r="L31" s="102">
        <v>39.4</v>
      </c>
      <c r="M31" s="102">
        <v>34.4</v>
      </c>
      <c r="N31" s="102">
        <f t="shared" si="1"/>
        <v>131.6</v>
      </c>
      <c r="O31" s="102">
        <f t="shared" si="2"/>
        <v>1099.7</v>
      </c>
      <c r="P31" s="102">
        <f t="shared" si="3"/>
        <v>157.30000000000001</v>
      </c>
      <c r="Q31" s="102">
        <f t="shared" si="4"/>
        <v>1388.6000000000004</v>
      </c>
    </row>
    <row r="32" spans="1:31">
      <c r="A32" s="102">
        <v>2011</v>
      </c>
      <c r="B32" s="102">
        <v>22.4</v>
      </c>
      <c r="C32" s="102">
        <v>10.4</v>
      </c>
      <c r="D32" s="102">
        <v>26.9</v>
      </c>
      <c r="E32" s="102">
        <v>51.4</v>
      </c>
      <c r="F32" s="102">
        <v>103.2</v>
      </c>
      <c r="G32" s="102">
        <v>155.69999999999999</v>
      </c>
      <c r="H32" s="102">
        <v>93.3</v>
      </c>
      <c r="I32" s="102">
        <v>56.5</v>
      </c>
      <c r="J32" s="102">
        <v>107.7</v>
      </c>
      <c r="K32" s="102">
        <v>88.3</v>
      </c>
      <c r="L32" s="102">
        <v>41.2</v>
      </c>
      <c r="M32" s="102">
        <v>4.9000000000000004</v>
      </c>
      <c r="N32" s="102">
        <f t="shared" si="1"/>
        <v>111.1</v>
      </c>
      <c r="O32" s="102">
        <f t="shared" si="2"/>
        <v>516.4</v>
      </c>
      <c r="P32" s="102">
        <f t="shared" si="3"/>
        <v>134.4</v>
      </c>
      <c r="Q32" s="102">
        <f t="shared" si="4"/>
        <v>761.9</v>
      </c>
      <c r="R32" s="104"/>
      <c r="S32" s="104"/>
      <c r="T32" s="104"/>
      <c r="U32" s="104"/>
      <c r="V32" s="104"/>
      <c r="W32" s="104"/>
      <c r="X32" s="104"/>
      <c r="Y32" s="104"/>
      <c r="Z32" s="104"/>
      <c r="AA32" s="104"/>
      <c r="AB32" s="104"/>
      <c r="AC32" s="104"/>
      <c r="AD32" s="104"/>
      <c r="AE32" s="104"/>
    </row>
    <row r="33" spans="1:33">
      <c r="A33" s="102">
        <v>2012</v>
      </c>
      <c r="B33" s="102">
        <v>37.6</v>
      </c>
      <c r="C33" s="102">
        <v>9.1</v>
      </c>
      <c r="D33" s="102">
        <v>11.9</v>
      </c>
      <c r="E33" s="102">
        <v>11.1</v>
      </c>
      <c r="F33" s="102">
        <v>302.5</v>
      </c>
      <c r="G33" s="102">
        <v>237</v>
      </c>
      <c r="H33" s="102">
        <v>349.9</v>
      </c>
      <c r="I33" s="102">
        <v>123.1</v>
      </c>
      <c r="J33" s="102">
        <v>89.5</v>
      </c>
      <c r="K33" s="102">
        <v>34.1</v>
      </c>
      <c r="L33" s="102">
        <v>36.6</v>
      </c>
      <c r="M33" s="102">
        <v>6.2</v>
      </c>
      <c r="N33" s="102">
        <f t="shared" si="1"/>
        <v>69.7</v>
      </c>
      <c r="O33" s="102">
        <f t="shared" si="2"/>
        <v>1102</v>
      </c>
      <c r="P33" s="102">
        <f t="shared" si="3"/>
        <v>76.900000000000006</v>
      </c>
      <c r="Q33" s="102">
        <f t="shared" si="4"/>
        <v>1248.5999999999999</v>
      </c>
      <c r="R33" s="104"/>
      <c r="S33" s="104"/>
      <c r="T33" s="104"/>
      <c r="U33" s="104"/>
      <c r="V33" s="104"/>
      <c r="W33" s="104"/>
      <c r="X33" s="104"/>
      <c r="Y33" s="104"/>
      <c r="Z33" s="104"/>
      <c r="AA33" s="104"/>
      <c r="AB33" s="104"/>
      <c r="AC33" s="104"/>
      <c r="AD33" s="104"/>
      <c r="AE33" s="104"/>
      <c r="AF33" s="104"/>
      <c r="AG33" s="104"/>
    </row>
    <row r="34" spans="1:33">
      <c r="A34" s="102">
        <v>2013</v>
      </c>
      <c r="B34" s="102">
        <v>10.1</v>
      </c>
      <c r="C34" s="102">
        <v>5.8</v>
      </c>
      <c r="D34" s="102">
        <v>11.6</v>
      </c>
      <c r="E34" s="102">
        <v>57.3</v>
      </c>
      <c r="F34" s="102">
        <v>281.8</v>
      </c>
      <c r="G34" s="102">
        <v>103</v>
      </c>
      <c r="H34" s="102">
        <v>47.1</v>
      </c>
      <c r="I34" s="102">
        <v>229.5</v>
      </c>
      <c r="J34" s="102">
        <v>86</v>
      </c>
      <c r="K34" s="102">
        <v>41.5</v>
      </c>
      <c r="L34" s="102">
        <v>16.899999999999999</v>
      </c>
      <c r="M34" s="102">
        <v>68.5</v>
      </c>
      <c r="N34" s="102">
        <f t="shared" si="1"/>
        <v>84.8</v>
      </c>
      <c r="O34" s="102">
        <f t="shared" si="2"/>
        <v>747.40000000000009</v>
      </c>
      <c r="P34" s="102">
        <f t="shared" si="3"/>
        <v>126.9</v>
      </c>
      <c r="Q34" s="102">
        <f t="shared" si="4"/>
        <v>959.1</v>
      </c>
      <c r="R34" s="104"/>
      <c r="S34" s="104"/>
      <c r="T34" s="104"/>
      <c r="U34" s="104"/>
      <c r="V34" s="104"/>
      <c r="W34" s="104"/>
      <c r="X34" s="104"/>
      <c r="Y34" s="104"/>
      <c r="Z34" s="104"/>
      <c r="AA34" s="104"/>
      <c r="AB34" s="104"/>
      <c r="AC34" s="104"/>
      <c r="AD34" s="104"/>
      <c r="AE34" s="104"/>
      <c r="AF34" s="104"/>
      <c r="AG34" s="104"/>
    </row>
    <row r="35" spans="1:33">
      <c r="A35" s="102">
        <v>2014</v>
      </c>
      <c r="B35" s="128">
        <v>9</v>
      </c>
      <c r="C35" s="128">
        <v>28.5</v>
      </c>
      <c r="D35" s="128">
        <v>48.4</v>
      </c>
      <c r="E35" s="128">
        <v>85.4</v>
      </c>
      <c r="F35" s="128">
        <v>56.5</v>
      </c>
      <c r="G35" s="128">
        <v>352.2</v>
      </c>
      <c r="H35" s="128">
        <v>345.6</v>
      </c>
      <c r="I35" s="128">
        <v>184.8</v>
      </c>
      <c r="J35" s="128">
        <v>218.6</v>
      </c>
      <c r="K35" s="128">
        <v>48</v>
      </c>
      <c r="L35" s="128">
        <v>56.8</v>
      </c>
      <c r="M35" s="128">
        <v>5.6</v>
      </c>
      <c r="N35" s="102">
        <f t="shared" si="1"/>
        <v>171.3</v>
      </c>
      <c r="O35" s="102">
        <f t="shared" si="2"/>
        <v>1157.6999999999998</v>
      </c>
      <c r="P35" s="102">
        <f t="shared" si="3"/>
        <v>110.39999999999999</v>
      </c>
      <c r="Q35" s="102">
        <f t="shared" si="4"/>
        <v>1439.3999999999999</v>
      </c>
    </row>
    <row r="36" spans="1:33">
      <c r="A36" s="102">
        <v>2015</v>
      </c>
      <c r="B36" s="128">
        <v>51.4</v>
      </c>
      <c r="C36" s="128">
        <v>15.3</v>
      </c>
      <c r="D36" s="128">
        <v>5.5</v>
      </c>
      <c r="E36" s="128">
        <v>38.200000000000003</v>
      </c>
      <c r="F36" s="128">
        <v>163.80000000000001</v>
      </c>
      <c r="G36" s="128">
        <v>209.6</v>
      </c>
      <c r="H36" s="128">
        <v>261.5</v>
      </c>
      <c r="I36" s="128">
        <v>336.6</v>
      </c>
      <c r="J36" s="128">
        <v>140.6</v>
      </c>
      <c r="K36" s="128">
        <v>108.4</v>
      </c>
      <c r="L36" s="128">
        <v>117.3</v>
      </c>
      <c r="M36" s="128">
        <v>57.3</v>
      </c>
      <c r="N36" s="102">
        <f t="shared" si="1"/>
        <v>110.4</v>
      </c>
      <c r="O36" s="102">
        <f t="shared" si="2"/>
        <v>1112.0999999999999</v>
      </c>
      <c r="P36" s="102">
        <f t="shared" si="3"/>
        <v>283</v>
      </c>
      <c r="Q36" s="102">
        <f t="shared" si="4"/>
        <v>1505.5</v>
      </c>
    </row>
    <row r="37" spans="1:33">
      <c r="A37" s="102">
        <v>2016</v>
      </c>
      <c r="B37" s="128">
        <v>14.6</v>
      </c>
      <c r="C37" s="128">
        <v>5.7</v>
      </c>
      <c r="D37" s="128">
        <v>7.5</v>
      </c>
      <c r="E37" s="128">
        <v>113.6</v>
      </c>
      <c r="F37" s="128">
        <v>341.8</v>
      </c>
      <c r="G37" s="128">
        <v>180.4</v>
      </c>
      <c r="H37" s="128">
        <v>78.099999999999994</v>
      </c>
      <c r="I37" s="128">
        <v>208.7</v>
      </c>
      <c r="J37" s="128">
        <v>83.3</v>
      </c>
      <c r="K37" s="128">
        <v>126.7</v>
      </c>
      <c r="L37" s="128">
        <v>50.8</v>
      </c>
      <c r="M37" s="128">
        <v>3.2</v>
      </c>
      <c r="N37" s="102">
        <f>SUM(B37:E37)</f>
        <v>141.4</v>
      </c>
      <c r="O37" s="102">
        <f>SUM(F37:J37)</f>
        <v>892.3</v>
      </c>
      <c r="P37" s="102">
        <f>SUM(K37:M37)</f>
        <v>180.7</v>
      </c>
      <c r="Q37" s="102">
        <f>SUM(B37:M37)</f>
        <v>1214.4000000000001</v>
      </c>
      <c r="R37" s="108">
        <f t="shared" ref="R37:AG37" si="5">100*(B37-B4)/B4</f>
        <v>-35.36247924737134</v>
      </c>
      <c r="S37" s="108">
        <f t="shared" si="5"/>
        <v>-71.157495256166982</v>
      </c>
      <c r="T37" s="108">
        <f t="shared" si="5"/>
        <v>-79.416809605488865</v>
      </c>
      <c r="U37" s="108">
        <f t="shared" si="5"/>
        <v>94.854202401372234</v>
      </c>
      <c r="V37" s="108">
        <f t="shared" si="5"/>
        <v>102.5931688523376</v>
      </c>
      <c r="W37" s="108">
        <f t="shared" si="5"/>
        <v>-27.800290159587792</v>
      </c>
      <c r="X37" s="108">
        <f t="shared" si="5"/>
        <v>-65.933781333914922</v>
      </c>
      <c r="Y37" s="108">
        <f t="shared" si="5"/>
        <v>21.240287560816189</v>
      </c>
      <c r="Z37" s="108">
        <f t="shared" si="5"/>
        <v>-26.80140597539544</v>
      </c>
      <c r="AA37" s="108">
        <f t="shared" si="5"/>
        <v>49.305836862456296</v>
      </c>
      <c r="AB37" s="108">
        <f t="shared" si="5"/>
        <v>27.45805237572527</v>
      </c>
      <c r="AC37" s="108">
        <f t="shared" si="5"/>
        <v>-81.753385602280829</v>
      </c>
      <c r="AD37" s="108">
        <f t="shared" si="5"/>
        <v>3.1458010394821039</v>
      </c>
      <c r="AE37" s="108">
        <f t="shared" si="5"/>
        <v>-4.4413283490681357</v>
      </c>
      <c r="AF37" s="108">
        <f t="shared" si="5"/>
        <v>27.027086399683668</v>
      </c>
      <c r="AG37" s="108">
        <f t="shared" si="5"/>
        <v>0.10613195396139342</v>
      </c>
    </row>
  </sheetData>
  <mergeCells count="6">
    <mergeCell ref="A1:A3"/>
    <mergeCell ref="B2:M2"/>
    <mergeCell ref="B1:Q1"/>
    <mergeCell ref="R1:AG1"/>
    <mergeCell ref="N2:Q2"/>
    <mergeCell ref="R2:AG2"/>
  </mergeCells>
  <phoneticPr fontId="2" type="noConversion"/>
  <pageMargins left="0.75" right="0.75" top="1" bottom="1" header="0.5" footer="0.5"/>
  <headerFooter alignWithMargins="0"/>
</worksheet>
</file>

<file path=xl/worksheets/sheet88.xml><?xml version="1.0" encoding="utf-8"?>
<worksheet xmlns="http://schemas.openxmlformats.org/spreadsheetml/2006/main" xmlns:r="http://schemas.openxmlformats.org/officeDocument/2006/relationships">
  <sheetPr codeName="Sheet88"/>
  <dimension ref="A1:AG14"/>
  <sheetViews>
    <sheetView topLeftCell="E1" zoomScaleNormal="100" workbookViewId="0">
      <pane ySplit="5" topLeftCell="A6" activePane="bottomLeft" state="frozen"/>
      <selection pane="bottomLeft" activeCell="R14" sqref="R14"/>
    </sheetView>
  </sheetViews>
  <sheetFormatPr defaultRowHeight="12"/>
  <cols>
    <col min="1" max="1" width="8.375" style="102" bestFit="1" customWidth="1"/>
    <col min="2" max="4" width="6.125" style="102" bestFit="1" customWidth="1"/>
    <col min="5" max="12" width="7.125" style="102" customWidth="1"/>
    <col min="13" max="13" width="6.125" style="102" bestFit="1" customWidth="1"/>
    <col min="14" max="14" width="8.25" style="102" bestFit="1" customWidth="1"/>
    <col min="15" max="15" width="8.375" style="102" bestFit="1" customWidth="1"/>
    <col min="16" max="16" width="10" style="102" bestFit="1" customWidth="1"/>
    <col min="17" max="17" width="9.125" style="102" bestFit="1" customWidth="1"/>
    <col min="18" max="19" width="7.125" style="102" customWidth="1"/>
    <col min="20" max="20" width="7" style="102" bestFit="1" customWidth="1"/>
    <col min="21" max="22" width="7.125" style="102" customWidth="1"/>
    <col min="23" max="24" width="7" style="102" bestFit="1" customWidth="1"/>
    <col min="25" max="28" width="7.125" style="102" customWidth="1"/>
    <col min="29" max="30" width="7" style="102" bestFit="1" customWidth="1"/>
    <col min="31" max="31" width="7.125" style="102" customWidth="1"/>
    <col min="32" max="33" width="7" style="102" bestFit="1" customWidth="1"/>
    <col min="34" max="68" width="7.125" style="102" customWidth="1"/>
    <col min="69" max="16384" width="9" style="102"/>
  </cols>
  <sheetData>
    <row r="1" spans="1:33" s="118" customFormat="1" ht="14.25" customHeight="1">
      <c r="A1" s="176" t="s">
        <v>53</v>
      </c>
      <c r="B1" s="176" t="s">
        <v>171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2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116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32</v>
      </c>
      <c r="O2" s="176"/>
      <c r="P2" s="176"/>
      <c r="Q2" s="176"/>
      <c r="R2" s="176" t="s">
        <v>38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>
      <c r="A3" s="176"/>
      <c r="B3" s="125" t="s">
        <v>149</v>
      </c>
      <c r="C3" s="125" t="s">
        <v>150</v>
      </c>
      <c r="D3" s="125" t="s">
        <v>9</v>
      </c>
      <c r="E3" s="125" t="s">
        <v>10</v>
      </c>
      <c r="F3" s="125" t="s">
        <v>11</v>
      </c>
      <c r="G3" s="125" t="s">
        <v>12</v>
      </c>
      <c r="H3" s="125" t="s">
        <v>13</v>
      </c>
      <c r="I3" s="125" t="s">
        <v>14</v>
      </c>
      <c r="J3" s="125" t="s">
        <v>15</v>
      </c>
      <c r="K3" s="125" t="s">
        <v>16</v>
      </c>
      <c r="L3" s="125" t="s">
        <v>17</v>
      </c>
      <c r="M3" s="125" t="s">
        <v>18</v>
      </c>
      <c r="N3" s="125" t="s">
        <v>145</v>
      </c>
      <c r="O3" s="125" t="s">
        <v>146</v>
      </c>
      <c r="P3" s="125" t="s">
        <v>147</v>
      </c>
      <c r="Q3" s="125" t="s">
        <v>148</v>
      </c>
      <c r="R3" s="125" t="s">
        <v>149</v>
      </c>
      <c r="S3" s="125" t="s">
        <v>150</v>
      </c>
      <c r="T3" s="125" t="s">
        <v>151</v>
      </c>
      <c r="U3" s="125" t="s">
        <v>152</v>
      </c>
      <c r="V3" s="125" t="s">
        <v>153</v>
      </c>
      <c r="W3" s="125" t="s">
        <v>154</v>
      </c>
      <c r="X3" s="125" t="s">
        <v>25</v>
      </c>
      <c r="Y3" s="125" t="s">
        <v>26</v>
      </c>
      <c r="Z3" s="125" t="s">
        <v>27</v>
      </c>
      <c r="AA3" s="125" t="s">
        <v>155</v>
      </c>
      <c r="AB3" s="125" t="s">
        <v>156</v>
      </c>
      <c r="AC3" s="125" t="s">
        <v>157</v>
      </c>
      <c r="AD3" s="125" t="s">
        <v>132</v>
      </c>
      <c r="AE3" s="125" t="s">
        <v>42</v>
      </c>
      <c r="AF3" s="125" t="s">
        <v>91</v>
      </c>
      <c r="AG3" s="125" t="s">
        <v>66</v>
      </c>
    </row>
    <row r="4" spans="1:33" s="118" customFormat="1">
      <c r="A4" s="150" t="s">
        <v>261</v>
      </c>
      <c r="B4" s="150">
        <f t="shared" ref="B4:Q4" si="0">AVERAGE(B5:B13)</f>
        <v>23.411111111111111</v>
      </c>
      <c r="C4" s="150">
        <f t="shared" si="0"/>
        <v>11.844444444444445</v>
      </c>
      <c r="D4" s="150">
        <f t="shared" si="0"/>
        <v>25.244444444444444</v>
      </c>
      <c r="E4" s="150">
        <f t="shared" si="0"/>
        <v>64.766666666666666</v>
      </c>
      <c r="F4" s="150">
        <f t="shared" si="0"/>
        <v>183.98888888888891</v>
      </c>
      <c r="G4" s="150">
        <f t="shared" si="0"/>
        <v>273.57777777777778</v>
      </c>
      <c r="H4" s="150">
        <f t="shared" si="0"/>
        <v>191.92222222222225</v>
      </c>
      <c r="I4" s="150">
        <f t="shared" si="0"/>
        <v>163.69999999999999</v>
      </c>
      <c r="J4" s="150">
        <f t="shared" si="0"/>
        <v>84.51111111111112</v>
      </c>
      <c r="K4" s="150">
        <f t="shared" si="0"/>
        <v>62.566666666666684</v>
      </c>
      <c r="L4" s="150">
        <f t="shared" si="0"/>
        <v>47.74444444444444</v>
      </c>
      <c r="M4" s="150">
        <f t="shared" si="0"/>
        <v>22.022222222222222</v>
      </c>
      <c r="N4" s="150">
        <f t="shared" si="0"/>
        <v>125.26666666666668</v>
      </c>
      <c r="O4" s="150">
        <f t="shared" si="0"/>
        <v>897.7</v>
      </c>
      <c r="P4" s="150">
        <f t="shared" si="0"/>
        <v>132.33333333333334</v>
      </c>
      <c r="Q4" s="150">
        <f t="shared" si="0"/>
        <v>1155.3000000000002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2007</v>
      </c>
      <c r="B5" s="102">
        <v>33.799999999999997</v>
      </c>
      <c r="C5" s="102">
        <v>28.2</v>
      </c>
      <c r="D5" s="102">
        <v>2.5</v>
      </c>
      <c r="E5" s="102">
        <v>92</v>
      </c>
      <c r="F5" s="102">
        <v>179.9</v>
      </c>
      <c r="G5" s="102">
        <v>347.5</v>
      </c>
      <c r="H5" s="102">
        <v>273.60000000000002</v>
      </c>
      <c r="I5" s="102">
        <v>227.9</v>
      </c>
      <c r="J5" s="102">
        <v>153.4</v>
      </c>
      <c r="K5" s="102">
        <v>10.1</v>
      </c>
      <c r="L5" s="102">
        <v>5.4</v>
      </c>
      <c r="M5" s="102">
        <v>21.7</v>
      </c>
      <c r="N5" s="102">
        <f>SUM(B5:E5)</f>
        <v>156.5</v>
      </c>
      <c r="O5" s="102">
        <f>SUM(F5:J5)</f>
        <v>1182.3000000000002</v>
      </c>
      <c r="P5" s="102">
        <f>SUM(K5:M5)</f>
        <v>37.200000000000003</v>
      </c>
      <c r="Q5" s="102">
        <f>SUM(B5:M5)</f>
        <v>1376.0000000000002</v>
      </c>
    </row>
    <row r="6" spans="1:33">
      <c r="A6" s="102">
        <v>2008</v>
      </c>
      <c r="B6" s="102">
        <v>35.299999999999997</v>
      </c>
      <c r="C6" s="102">
        <v>12.9</v>
      </c>
      <c r="D6" s="102">
        <v>54.7</v>
      </c>
      <c r="E6" s="102">
        <v>96.6</v>
      </c>
      <c r="F6" s="102">
        <v>362.9</v>
      </c>
      <c r="G6" s="102">
        <v>190</v>
      </c>
      <c r="H6" s="102">
        <v>267.39999999999998</v>
      </c>
      <c r="I6" s="102">
        <v>144.4</v>
      </c>
      <c r="J6" s="102">
        <v>67.599999999999994</v>
      </c>
      <c r="K6" s="102">
        <v>118.3</v>
      </c>
      <c r="L6" s="102">
        <v>121.5</v>
      </c>
      <c r="M6" s="102">
        <v>7.4</v>
      </c>
      <c r="N6" s="102">
        <f t="shared" ref="N6:N13" si="1">SUM(B6:E6)</f>
        <v>199.5</v>
      </c>
      <c r="O6" s="102">
        <f t="shared" ref="O6:O13" si="2">SUM(F6:J6)</f>
        <v>1032.3</v>
      </c>
      <c r="P6" s="102">
        <f t="shared" ref="P6:P13" si="3">SUM(K6:M6)</f>
        <v>247.20000000000002</v>
      </c>
      <c r="Q6" s="102">
        <f t="shared" ref="Q6:Q13" si="4">SUM(B6:M6)</f>
        <v>1479</v>
      </c>
    </row>
    <row r="7" spans="1:33">
      <c r="A7" s="102">
        <v>2009</v>
      </c>
      <c r="B7" s="102">
        <v>2.6</v>
      </c>
      <c r="C7" s="102">
        <v>4.9000000000000004</v>
      </c>
      <c r="D7" s="102">
        <v>68</v>
      </c>
      <c r="E7" s="102">
        <v>47</v>
      </c>
      <c r="F7" s="102">
        <v>97.1</v>
      </c>
      <c r="G7" s="102">
        <v>249.3</v>
      </c>
      <c r="H7" s="102">
        <v>166</v>
      </c>
      <c r="I7" s="102">
        <v>52.8</v>
      </c>
      <c r="J7" s="102">
        <v>55.1</v>
      </c>
      <c r="K7" s="102">
        <v>33.200000000000003</v>
      </c>
      <c r="L7" s="102">
        <v>10.6</v>
      </c>
      <c r="M7" s="102">
        <v>2.2000000000000002</v>
      </c>
      <c r="N7" s="102">
        <f t="shared" si="1"/>
        <v>122.5</v>
      </c>
      <c r="O7" s="102">
        <f t="shared" si="2"/>
        <v>620.29999999999995</v>
      </c>
      <c r="P7" s="102">
        <f t="shared" si="3"/>
        <v>46.000000000000007</v>
      </c>
      <c r="Q7" s="102">
        <f t="shared" si="4"/>
        <v>788.80000000000007</v>
      </c>
    </row>
    <row r="8" spans="1:33">
      <c r="A8" s="102">
        <v>2010</v>
      </c>
      <c r="B8" s="102">
        <v>9</v>
      </c>
      <c r="C8" s="102">
        <v>1.3</v>
      </c>
      <c r="D8" s="102">
        <v>3.1</v>
      </c>
      <c r="E8" s="102">
        <v>110.7</v>
      </c>
      <c r="F8" s="102">
        <v>164.1</v>
      </c>
      <c r="G8" s="102">
        <v>467.6</v>
      </c>
      <c r="H8" s="102">
        <v>232.7</v>
      </c>
      <c r="I8" s="102">
        <v>78.400000000000006</v>
      </c>
      <c r="J8" s="102">
        <v>107.6</v>
      </c>
      <c r="K8" s="102">
        <v>87.6</v>
      </c>
      <c r="L8" s="102">
        <v>42.1</v>
      </c>
      <c r="M8" s="102">
        <v>36.700000000000003</v>
      </c>
      <c r="N8" s="102">
        <f t="shared" si="1"/>
        <v>124.10000000000001</v>
      </c>
      <c r="O8" s="102">
        <f t="shared" si="2"/>
        <v>1050.4000000000001</v>
      </c>
      <c r="P8" s="102">
        <f t="shared" si="3"/>
        <v>166.39999999999998</v>
      </c>
      <c r="Q8" s="102">
        <f t="shared" si="4"/>
        <v>1340.8999999999999</v>
      </c>
    </row>
    <row r="9" spans="1:33">
      <c r="A9" s="102">
        <v>2011</v>
      </c>
      <c r="B9" s="102">
        <v>22</v>
      </c>
      <c r="C9" s="102">
        <v>3.1</v>
      </c>
      <c r="D9" s="102">
        <v>26.4</v>
      </c>
      <c r="E9" s="102">
        <v>18.2</v>
      </c>
      <c r="F9" s="102">
        <v>110.1</v>
      </c>
      <c r="G9" s="102">
        <v>248.9</v>
      </c>
      <c r="H9" s="102">
        <v>76.900000000000006</v>
      </c>
      <c r="I9" s="102">
        <v>109.2</v>
      </c>
      <c r="J9" s="102">
        <v>53</v>
      </c>
      <c r="K9" s="102">
        <v>127.6</v>
      </c>
      <c r="L9" s="102">
        <v>40.700000000000003</v>
      </c>
      <c r="M9" s="102">
        <v>4.0999999999999996</v>
      </c>
      <c r="N9" s="102">
        <f t="shared" si="1"/>
        <v>69.7</v>
      </c>
      <c r="O9" s="102">
        <f t="shared" si="2"/>
        <v>598.1</v>
      </c>
      <c r="P9" s="102">
        <f t="shared" si="3"/>
        <v>172.4</v>
      </c>
      <c r="Q9" s="102">
        <f t="shared" si="4"/>
        <v>840.20000000000016</v>
      </c>
    </row>
    <row r="10" spans="1:33">
      <c r="A10" s="102">
        <v>2012</v>
      </c>
      <c r="B10" s="102">
        <v>37.299999999999997</v>
      </c>
      <c r="C10" s="102">
        <v>4</v>
      </c>
      <c r="D10" s="102">
        <v>11.6</v>
      </c>
      <c r="E10" s="102">
        <v>26</v>
      </c>
      <c r="F10" s="102">
        <v>229.3</v>
      </c>
      <c r="G10" s="102">
        <v>354.7</v>
      </c>
      <c r="H10" s="102">
        <v>235.3</v>
      </c>
      <c r="I10" s="102">
        <v>77.400000000000006</v>
      </c>
      <c r="J10" s="102">
        <v>78.400000000000006</v>
      </c>
      <c r="K10" s="102">
        <v>37.6</v>
      </c>
      <c r="L10" s="102">
        <v>42</v>
      </c>
      <c r="M10" s="102">
        <v>10.5</v>
      </c>
      <c r="N10" s="102">
        <f t="shared" si="1"/>
        <v>78.900000000000006</v>
      </c>
      <c r="O10" s="102">
        <f t="shared" si="2"/>
        <v>975.09999999999991</v>
      </c>
      <c r="P10" s="102">
        <f t="shared" si="3"/>
        <v>90.1</v>
      </c>
      <c r="Q10" s="102">
        <f t="shared" si="4"/>
        <v>1144.0999999999999</v>
      </c>
      <c r="R10" s="104"/>
      <c r="S10" s="104"/>
      <c r="T10" s="104"/>
      <c r="U10" s="104"/>
      <c r="V10" s="104"/>
      <c r="W10" s="104"/>
      <c r="X10" s="104"/>
      <c r="Y10" s="104"/>
      <c r="Z10" s="104"/>
      <c r="AA10" s="104"/>
      <c r="AB10" s="104"/>
      <c r="AC10" s="104"/>
      <c r="AD10" s="104"/>
      <c r="AE10" s="104"/>
      <c r="AF10" s="104"/>
      <c r="AG10" s="104"/>
    </row>
    <row r="11" spans="1:33">
      <c r="A11" s="102">
        <v>2013</v>
      </c>
      <c r="B11" s="102">
        <v>10.7</v>
      </c>
      <c r="C11" s="102">
        <v>3.2</v>
      </c>
      <c r="D11" s="102">
        <v>12.5</v>
      </c>
      <c r="E11" s="102">
        <v>94.2</v>
      </c>
      <c r="F11" s="102">
        <v>202.8</v>
      </c>
      <c r="G11" s="102">
        <v>127.9</v>
      </c>
      <c r="H11" s="102">
        <v>34.5</v>
      </c>
      <c r="I11" s="102">
        <v>148.6</v>
      </c>
      <c r="J11" s="102">
        <v>59.2</v>
      </c>
      <c r="K11" s="102">
        <v>35.6</v>
      </c>
      <c r="L11" s="102">
        <v>6.7</v>
      </c>
      <c r="M11" s="102">
        <v>60.3</v>
      </c>
      <c r="N11" s="102">
        <f t="shared" si="1"/>
        <v>120.6</v>
      </c>
      <c r="O11" s="102">
        <f t="shared" si="2"/>
        <v>573.00000000000011</v>
      </c>
      <c r="P11" s="102">
        <f t="shared" si="3"/>
        <v>102.6</v>
      </c>
      <c r="Q11" s="102">
        <f t="shared" si="4"/>
        <v>796.2</v>
      </c>
      <c r="R11" s="104"/>
      <c r="S11" s="104"/>
      <c r="T11" s="104"/>
      <c r="U11" s="104"/>
      <c r="V11" s="104"/>
      <c r="W11" s="104"/>
      <c r="X11" s="104"/>
      <c r="Y11" s="104"/>
      <c r="Z11" s="104"/>
      <c r="AA11" s="104"/>
      <c r="AB11" s="104"/>
      <c r="AC11" s="104"/>
      <c r="AD11" s="104"/>
      <c r="AE11" s="104"/>
      <c r="AF11" s="104"/>
      <c r="AG11" s="104"/>
    </row>
    <row r="12" spans="1:33">
      <c r="A12" s="102">
        <v>2014</v>
      </c>
      <c r="B12" s="128">
        <v>6.2</v>
      </c>
      <c r="C12" s="128">
        <v>28.3</v>
      </c>
      <c r="D12" s="128">
        <v>28.2</v>
      </c>
      <c r="E12" s="128">
        <v>67.599999999999994</v>
      </c>
      <c r="F12" s="128">
        <v>95.2</v>
      </c>
      <c r="G12" s="128">
        <v>242.6</v>
      </c>
      <c r="H12" s="128">
        <v>234</v>
      </c>
      <c r="I12" s="128">
        <v>327.39999999999998</v>
      </c>
      <c r="J12" s="128">
        <v>59.8</v>
      </c>
      <c r="K12" s="128">
        <v>34.1</v>
      </c>
      <c r="L12" s="128">
        <v>52.5</v>
      </c>
      <c r="M12" s="128">
        <v>4</v>
      </c>
      <c r="N12" s="102">
        <f t="shared" si="1"/>
        <v>130.30000000000001</v>
      </c>
      <c r="O12" s="102">
        <f t="shared" si="2"/>
        <v>958.99999999999989</v>
      </c>
      <c r="P12" s="102">
        <f t="shared" si="3"/>
        <v>90.6</v>
      </c>
      <c r="Q12" s="102">
        <f t="shared" si="4"/>
        <v>1179.8999999999999</v>
      </c>
    </row>
    <row r="13" spans="1:33">
      <c r="A13" s="102">
        <v>2015</v>
      </c>
      <c r="B13" s="128">
        <v>53.8</v>
      </c>
      <c r="C13" s="128">
        <v>20.7</v>
      </c>
      <c r="D13" s="128">
        <v>20.2</v>
      </c>
      <c r="E13" s="128">
        <v>30.6</v>
      </c>
      <c r="F13" s="128">
        <v>214.5</v>
      </c>
      <c r="G13" s="128">
        <v>233.7</v>
      </c>
      <c r="H13" s="128">
        <v>206.9</v>
      </c>
      <c r="I13" s="128">
        <v>307.2</v>
      </c>
      <c r="J13" s="128">
        <v>126.5</v>
      </c>
      <c r="K13" s="128">
        <v>79</v>
      </c>
      <c r="L13" s="128">
        <v>108.2</v>
      </c>
      <c r="M13" s="128">
        <v>51.3</v>
      </c>
      <c r="N13" s="102">
        <f t="shared" si="1"/>
        <v>125.30000000000001</v>
      </c>
      <c r="O13" s="102">
        <f t="shared" si="2"/>
        <v>1088.8</v>
      </c>
      <c r="P13" s="102">
        <f t="shared" si="3"/>
        <v>238.5</v>
      </c>
      <c r="Q13" s="102">
        <f t="shared" si="4"/>
        <v>1452.6</v>
      </c>
    </row>
    <row r="14" spans="1:33">
      <c r="A14" s="102">
        <v>2016</v>
      </c>
      <c r="B14" s="135">
        <v>22.8</v>
      </c>
      <c r="C14" s="135">
        <v>7.8</v>
      </c>
      <c r="D14" s="135">
        <v>2.5</v>
      </c>
      <c r="E14" s="135">
        <v>73.7</v>
      </c>
      <c r="F14" s="135">
        <v>276.7</v>
      </c>
      <c r="G14" s="135">
        <v>130.5</v>
      </c>
      <c r="H14" s="135">
        <v>110.5</v>
      </c>
      <c r="I14" s="135">
        <v>196</v>
      </c>
      <c r="J14" s="135">
        <v>42.6</v>
      </c>
      <c r="K14" s="135">
        <v>124.4</v>
      </c>
      <c r="L14" s="135">
        <v>45.5</v>
      </c>
      <c r="M14" s="135">
        <v>3</v>
      </c>
      <c r="N14" s="102">
        <f>SUM(B14:E14)</f>
        <v>106.80000000000001</v>
      </c>
      <c r="O14" s="102">
        <f>SUM(F14:J14)</f>
        <v>756.30000000000007</v>
      </c>
      <c r="P14" s="102">
        <f>SUM(K14:M14)</f>
        <v>172.9</v>
      </c>
      <c r="Q14" s="102">
        <f>SUM(B14:M14)</f>
        <v>1036</v>
      </c>
      <c r="R14" s="108">
        <f t="shared" ref="R14:AG14" si="5">100*(B14-B4)/B4</f>
        <v>-2.6103464641670606</v>
      </c>
      <c r="S14" s="108">
        <f t="shared" si="5"/>
        <v>-34.146341463414636</v>
      </c>
      <c r="T14" s="108">
        <f t="shared" si="5"/>
        <v>-90.096830985915489</v>
      </c>
      <c r="U14" s="108">
        <f t="shared" si="5"/>
        <v>13.793103448275868</v>
      </c>
      <c r="V14" s="108">
        <f t="shared" si="5"/>
        <v>50.38951627513736</v>
      </c>
      <c r="W14" s="108">
        <f t="shared" si="5"/>
        <v>-52.29875720900008</v>
      </c>
      <c r="X14" s="108">
        <f t="shared" si="5"/>
        <v>-42.424593295895335</v>
      </c>
      <c r="Y14" s="108">
        <f t="shared" si="5"/>
        <v>19.731215638362865</v>
      </c>
      <c r="Z14" s="108">
        <f t="shared" si="5"/>
        <v>-49.592427031291095</v>
      </c>
      <c r="AA14" s="108">
        <f t="shared" si="5"/>
        <v>98.827916888652055</v>
      </c>
      <c r="AB14" s="108">
        <f t="shared" si="5"/>
        <v>-4.7009541540609643</v>
      </c>
      <c r="AC14" s="108">
        <f t="shared" si="5"/>
        <v>-86.377396569122098</v>
      </c>
      <c r="AD14" s="108">
        <f t="shared" si="5"/>
        <v>-14.741883980840873</v>
      </c>
      <c r="AE14" s="108">
        <f t="shared" si="5"/>
        <v>-15.751364598418178</v>
      </c>
      <c r="AF14" s="108">
        <f t="shared" si="5"/>
        <v>30.654911838790927</v>
      </c>
      <c r="AG14" s="108">
        <f t="shared" si="5"/>
        <v>-10.32632216740242</v>
      </c>
    </row>
  </sheetData>
  <mergeCells count="6">
    <mergeCell ref="A1:A3"/>
    <mergeCell ref="B2:M2"/>
    <mergeCell ref="B1:Q1"/>
    <mergeCell ref="R1:AG1"/>
    <mergeCell ref="N2:Q2"/>
    <mergeCell ref="R2:AG2"/>
  </mergeCells>
  <phoneticPr fontId="2" type="noConversion"/>
  <pageMargins left="0.75" right="0.75" top="1" bottom="1" header="0.5" footer="0.5"/>
  <headerFooter alignWithMargins="0"/>
</worksheet>
</file>

<file path=xl/worksheets/sheet89.xml><?xml version="1.0" encoding="utf-8"?>
<worksheet xmlns="http://schemas.openxmlformats.org/spreadsheetml/2006/main" xmlns:r="http://schemas.openxmlformats.org/officeDocument/2006/relationships">
  <sheetPr codeName="Sheet89"/>
  <dimension ref="A1:AG40"/>
  <sheetViews>
    <sheetView topLeftCell="C1" zoomScaleNormal="100" workbookViewId="0">
      <pane ySplit="5" topLeftCell="A6" activePane="bottomLeft" state="frozen"/>
      <selection pane="bottomLeft" activeCell="R40" sqref="R40"/>
    </sheetView>
  </sheetViews>
  <sheetFormatPr defaultRowHeight="12"/>
  <cols>
    <col min="1" max="68" width="7.125" style="102" customWidth="1"/>
    <col min="69" max="16384" width="9" style="102"/>
  </cols>
  <sheetData>
    <row r="1" spans="1:33" s="118" customFormat="1" ht="14.25" customHeight="1">
      <c r="A1" s="176" t="s">
        <v>53</v>
      </c>
      <c r="B1" s="176" t="s">
        <v>171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2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116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32</v>
      </c>
      <c r="O2" s="176"/>
      <c r="P2" s="176"/>
      <c r="Q2" s="176"/>
      <c r="R2" s="176" t="s">
        <v>38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 ht="24">
      <c r="A3" s="176"/>
      <c r="B3" s="125" t="s">
        <v>149</v>
      </c>
      <c r="C3" s="125" t="s">
        <v>150</v>
      </c>
      <c r="D3" s="125" t="s">
        <v>9</v>
      </c>
      <c r="E3" s="125" t="s">
        <v>10</v>
      </c>
      <c r="F3" s="125" t="s">
        <v>11</v>
      </c>
      <c r="G3" s="125" t="s">
        <v>12</v>
      </c>
      <c r="H3" s="125" t="s">
        <v>13</v>
      </c>
      <c r="I3" s="125" t="s">
        <v>14</v>
      </c>
      <c r="J3" s="125" t="s">
        <v>15</v>
      </c>
      <c r="K3" s="125" t="s">
        <v>16</v>
      </c>
      <c r="L3" s="125" t="s">
        <v>17</v>
      </c>
      <c r="M3" s="125" t="s">
        <v>18</v>
      </c>
      <c r="N3" s="125" t="s">
        <v>145</v>
      </c>
      <c r="O3" s="125" t="s">
        <v>146</v>
      </c>
      <c r="P3" s="125" t="s">
        <v>147</v>
      </c>
      <c r="Q3" s="125" t="s">
        <v>148</v>
      </c>
      <c r="R3" s="125" t="s">
        <v>149</v>
      </c>
      <c r="S3" s="125" t="s">
        <v>150</v>
      </c>
      <c r="T3" s="125" t="s">
        <v>151</v>
      </c>
      <c r="U3" s="125" t="s">
        <v>152</v>
      </c>
      <c r="V3" s="125" t="s">
        <v>153</v>
      </c>
      <c r="W3" s="125" t="s">
        <v>154</v>
      </c>
      <c r="X3" s="125" t="s">
        <v>25</v>
      </c>
      <c r="Y3" s="125" t="s">
        <v>26</v>
      </c>
      <c r="Z3" s="125" t="s">
        <v>27</v>
      </c>
      <c r="AA3" s="125" t="s">
        <v>155</v>
      </c>
      <c r="AB3" s="125" t="s">
        <v>156</v>
      </c>
      <c r="AC3" s="125" t="s">
        <v>157</v>
      </c>
      <c r="AD3" s="125" t="s">
        <v>132</v>
      </c>
      <c r="AE3" s="125" t="s">
        <v>42</v>
      </c>
      <c r="AF3" s="125" t="s">
        <v>91</v>
      </c>
      <c r="AG3" s="125" t="s">
        <v>66</v>
      </c>
    </row>
    <row r="4" spans="1:33" s="118" customFormat="1">
      <c r="A4" s="150" t="s">
        <v>261</v>
      </c>
      <c r="B4" s="150">
        <f t="shared" ref="B4:Q4" si="0">AVERAGE(B5:B39)</f>
        <v>17.342857142857142</v>
      </c>
      <c r="C4" s="150">
        <f t="shared" si="0"/>
        <v>16.722857142857137</v>
      </c>
      <c r="D4" s="150">
        <f t="shared" si="0"/>
        <v>31.160000000000004</v>
      </c>
      <c r="E4" s="150">
        <f t="shared" si="0"/>
        <v>55.925714285714278</v>
      </c>
      <c r="F4" s="150">
        <f t="shared" si="0"/>
        <v>166.40285714285719</v>
      </c>
      <c r="G4" s="150">
        <f t="shared" si="0"/>
        <v>265.05142857142857</v>
      </c>
      <c r="H4" s="150">
        <f t="shared" si="0"/>
        <v>217.79142857142855</v>
      </c>
      <c r="I4" s="150">
        <f t="shared" si="0"/>
        <v>171.49999999999997</v>
      </c>
      <c r="J4" s="150">
        <f t="shared" si="0"/>
        <v>121.75142857142858</v>
      </c>
      <c r="K4" s="150">
        <f t="shared" si="0"/>
        <v>78.017142857142844</v>
      </c>
      <c r="L4" s="150">
        <f t="shared" si="0"/>
        <v>33.371428571428567</v>
      </c>
      <c r="M4" s="150">
        <f t="shared" si="0"/>
        <v>14.585714285714284</v>
      </c>
      <c r="N4" s="150">
        <f t="shared" si="0"/>
        <v>121.15142857142855</v>
      </c>
      <c r="O4" s="150">
        <f t="shared" si="0"/>
        <v>942.49714285714288</v>
      </c>
      <c r="P4" s="150">
        <f t="shared" si="0"/>
        <v>125.97428571428573</v>
      </c>
      <c r="Q4" s="150">
        <f t="shared" si="0"/>
        <v>1189.6228571428569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1981</v>
      </c>
      <c r="B5" s="103">
        <v>8.5</v>
      </c>
      <c r="C5" s="103">
        <v>12.4</v>
      </c>
      <c r="D5" s="103">
        <v>18.3</v>
      </c>
      <c r="E5" s="103">
        <v>108.4</v>
      </c>
      <c r="F5" s="103">
        <v>132.69999999999999</v>
      </c>
      <c r="G5" s="103">
        <v>268.10000000000002</v>
      </c>
      <c r="H5" s="103">
        <v>166.2</v>
      </c>
      <c r="I5" s="103">
        <v>75.400000000000006</v>
      </c>
      <c r="J5" s="103">
        <v>143.69999999999999</v>
      </c>
      <c r="K5" s="103">
        <v>43.6</v>
      </c>
      <c r="L5" s="103">
        <v>93.5</v>
      </c>
      <c r="M5" s="103">
        <v>9.1</v>
      </c>
      <c r="N5" s="102">
        <f>SUM(B5:E5)</f>
        <v>147.60000000000002</v>
      </c>
      <c r="O5" s="102">
        <f>SUM(F5:J5)</f>
        <v>786.09999999999991</v>
      </c>
      <c r="P5" s="102">
        <f>SUM(K5:M5)</f>
        <v>146.19999999999999</v>
      </c>
      <c r="Q5" s="102">
        <f>SUM(B5:M5)</f>
        <v>1079.9000000000001</v>
      </c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</row>
    <row r="6" spans="1:33">
      <c r="A6" s="102">
        <v>1982</v>
      </c>
      <c r="B6" s="103">
        <v>10.8</v>
      </c>
      <c r="C6" s="103">
        <v>65.5</v>
      </c>
      <c r="D6" s="103">
        <v>13.7</v>
      </c>
      <c r="E6" s="103">
        <v>107.9</v>
      </c>
      <c r="F6" s="103">
        <v>116.5</v>
      </c>
      <c r="G6" s="103">
        <v>311.7</v>
      </c>
      <c r="H6" s="103">
        <v>167.8</v>
      </c>
      <c r="I6" s="103">
        <v>155.4</v>
      </c>
      <c r="J6" s="103">
        <v>142</v>
      </c>
      <c r="K6" s="103">
        <v>64.5</v>
      </c>
      <c r="L6" s="103">
        <v>64.3</v>
      </c>
      <c r="M6" s="103">
        <v>9.5</v>
      </c>
      <c r="N6" s="102">
        <f t="shared" ref="N6:N39" si="1">SUM(B6:E6)</f>
        <v>197.9</v>
      </c>
      <c r="O6" s="102">
        <f t="shared" ref="O6:O39" si="2">SUM(F6:J6)</f>
        <v>893.4</v>
      </c>
      <c r="P6" s="102">
        <f t="shared" ref="P6:P39" si="3">SUM(K6:M6)</f>
        <v>138.30000000000001</v>
      </c>
      <c r="Q6" s="102">
        <f t="shared" ref="Q6:Q39" si="4">SUM(B6:M6)</f>
        <v>1229.5999999999997</v>
      </c>
      <c r="R6" s="103"/>
      <c r="S6" s="103"/>
      <c r="T6" s="103"/>
      <c r="U6" s="103"/>
      <c r="V6" s="103"/>
      <c r="W6" s="103"/>
      <c r="X6" s="103"/>
      <c r="Y6" s="103"/>
      <c r="Z6" s="103"/>
      <c r="AA6" s="103"/>
      <c r="AB6" s="103"/>
      <c r="AC6" s="103"/>
      <c r="AD6" s="103"/>
      <c r="AE6" s="103"/>
    </row>
    <row r="7" spans="1:33">
      <c r="A7" s="102">
        <v>1983</v>
      </c>
      <c r="B7" s="103">
        <v>35.1</v>
      </c>
      <c r="C7" s="103">
        <v>34.200000000000003</v>
      </c>
      <c r="D7" s="103">
        <v>48.9</v>
      </c>
      <c r="E7" s="103">
        <v>27.8</v>
      </c>
      <c r="F7" s="103">
        <v>272.5</v>
      </c>
      <c r="G7" s="103">
        <v>164.9</v>
      </c>
      <c r="H7" s="103">
        <v>198</v>
      </c>
      <c r="I7" s="103">
        <v>247.1</v>
      </c>
      <c r="J7" s="103">
        <v>193.4</v>
      </c>
      <c r="K7" s="103">
        <v>96.7</v>
      </c>
      <c r="L7" s="103">
        <v>68.8</v>
      </c>
      <c r="M7" s="103">
        <v>16.7</v>
      </c>
      <c r="N7" s="102">
        <f t="shared" si="1"/>
        <v>146.00000000000003</v>
      </c>
      <c r="O7" s="102">
        <f t="shared" si="2"/>
        <v>1075.9000000000001</v>
      </c>
      <c r="P7" s="102">
        <f t="shared" si="3"/>
        <v>182.2</v>
      </c>
      <c r="Q7" s="102">
        <f t="shared" si="4"/>
        <v>1404.1000000000001</v>
      </c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</row>
    <row r="8" spans="1:33">
      <c r="A8" s="102">
        <v>1984</v>
      </c>
      <c r="B8" s="102">
        <v>18.899999999999999</v>
      </c>
      <c r="C8" s="102">
        <v>2.1</v>
      </c>
      <c r="D8" s="102">
        <v>16.399999999999999</v>
      </c>
      <c r="E8" s="102">
        <v>58.9</v>
      </c>
      <c r="F8" s="102">
        <v>275.3</v>
      </c>
      <c r="G8" s="102">
        <v>292.10000000000002</v>
      </c>
      <c r="H8" s="102">
        <v>89.8</v>
      </c>
      <c r="I8" s="102">
        <v>237.7</v>
      </c>
      <c r="J8" s="102">
        <v>51.2</v>
      </c>
      <c r="K8" s="102">
        <v>81.2</v>
      </c>
      <c r="L8" s="102">
        <v>10.9</v>
      </c>
      <c r="M8" s="102">
        <v>16</v>
      </c>
      <c r="N8" s="102">
        <f t="shared" si="1"/>
        <v>96.3</v>
      </c>
      <c r="O8" s="102">
        <f t="shared" si="2"/>
        <v>946.10000000000014</v>
      </c>
      <c r="P8" s="102">
        <f t="shared" si="3"/>
        <v>108.10000000000001</v>
      </c>
      <c r="Q8" s="102">
        <f t="shared" si="4"/>
        <v>1150.5000000000002</v>
      </c>
    </row>
    <row r="9" spans="1:33">
      <c r="A9" s="102">
        <v>1985</v>
      </c>
      <c r="B9" s="102">
        <v>13.8</v>
      </c>
      <c r="C9" s="102">
        <v>18.8</v>
      </c>
      <c r="D9" s="102">
        <v>19.100000000000001</v>
      </c>
      <c r="E9" s="102">
        <v>116.6</v>
      </c>
      <c r="F9" s="102">
        <v>243</v>
      </c>
      <c r="G9" s="102">
        <v>320.89999999999998</v>
      </c>
      <c r="H9" s="102">
        <v>140.69999999999999</v>
      </c>
      <c r="I9" s="102">
        <v>158.4</v>
      </c>
      <c r="J9" s="102">
        <v>118.5</v>
      </c>
      <c r="K9" s="102">
        <v>62.7</v>
      </c>
      <c r="L9" s="102">
        <v>6.7</v>
      </c>
      <c r="M9" s="102">
        <v>5.2</v>
      </c>
      <c r="N9" s="102">
        <f t="shared" si="1"/>
        <v>168.3</v>
      </c>
      <c r="O9" s="102">
        <f t="shared" si="2"/>
        <v>981.49999999999989</v>
      </c>
      <c r="P9" s="102">
        <f t="shared" si="3"/>
        <v>74.600000000000009</v>
      </c>
      <c r="Q9" s="102">
        <f t="shared" si="4"/>
        <v>1224.4000000000003</v>
      </c>
    </row>
    <row r="10" spans="1:33">
      <c r="A10" s="102">
        <v>1986</v>
      </c>
      <c r="B10" s="102">
        <v>1.5</v>
      </c>
      <c r="C10" s="102">
        <v>3.5</v>
      </c>
      <c r="D10" s="102">
        <v>29.9</v>
      </c>
      <c r="E10" s="102">
        <v>60.1</v>
      </c>
      <c r="F10" s="102">
        <v>104.5</v>
      </c>
      <c r="G10" s="102">
        <v>162.69999999999999</v>
      </c>
      <c r="H10" s="102">
        <v>259.7</v>
      </c>
      <c r="I10" s="102">
        <v>286.3</v>
      </c>
      <c r="J10" s="102">
        <v>119.5</v>
      </c>
      <c r="K10" s="102">
        <v>63.8</v>
      </c>
      <c r="L10" s="102">
        <v>35.200000000000003</v>
      </c>
      <c r="M10" s="102">
        <v>2.6</v>
      </c>
      <c r="N10" s="102">
        <f t="shared" si="1"/>
        <v>95</v>
      </c>
      <c r="O10" s="102">
        <f t="shared" si="2"/>
        <v>932.7</v>
      </c>
      <c r="P10" s="102">
        <f t="shared" si="3"/>
        <v>101.6</v>
      </c>
      <c r="Q10" s="102">
        <f t="shared" si="4"/>
        <v>1129.3</v>
      </c>
    </row>
    <row r="11" spans="1:33">
      <c r="A11" s="102">
        <v>1987</v>
      </c>
      <c r="B11" s="102">
        <v>14.3</v>
      </c>
      <c r="C11" s="102">
        <v>6.4</v>
      </c>
      <c r="D11" s="102">
        <v>7.4</v>
      </c>
      <c r="E11" s="102">
        <v>11.9</v>
      </c>
      <c r="F11" s="102">
        <v>169.9</v>
      </c>
      <c r="G11" s="102">
        <v>280.89999999999998</v>
      </c>
      <c r="H11" s="102">
        <v>431.5</v>
      </c>
      <c r="I11" s="102">
        <v>256.60000000000002</v>
      </c>
      <c r="J11" s="102">
        <v>54.4</v>
      </c>
      <c r="K11" s="102">
        <v>57.1</v>
      </c>
      <c r="L11" s="102">
        <v>56.2</v>
      </c>
      <c r="M11" s="102">
        <v>8.4</v>
      </c>
      <c r="N11" s="102">
        <f t="shared" si="1"/>
        <v>40</v>
      </c>
      <c r="O11" s="102">
        <f t="shared" si="2"/>
        <v>1193.3000000000002</v>
      </c>
      <c r="P11" s="102">
        <f t="shared" si="3"/>
        <v>121.70000000000002</v>
      </c>
      <c r="Q11" s="102">
        <f t="shared" si="4"/>
        <v>1355.0000000000002</v>
      </c>
    </row>
    <row r="12" spans="1:33">
      <c r="A12" s="102">
        <v>1988</v>
      </c>
      <c r="B12" s="102">
        <v>9.8000000000000007</v>
      </c>
      <c r="C12" s="102">
        <v>9.4</v>
      </c>
      <c r="D12" s="102">
        <v>12.8</v>
      </c>
      <c r="E12" s="102">
        <v>60</v>
      </c>
      <c r="F12" s="102">
        <v>63.2</v>
      </c>
      <c r="G12" s="102">
        <v>232.4</v>
      </c>
      <c r="H12" s="102">
        <v>178.2</v>
      </c>
      <c r="I12" s="102">
        <v>348.3</v>
      </c>
      <c r="J12" s="102">
        <v>171.5</v>
      </c>
      <c r="K12" s="102">
        <v>49.9</v>
      </c>
      <c r="L12" s="102">
        <v>10.6</v>
      </c>
      <c r="M12" s="102">
        <v>5.7</v>
      </c>
      <c r="N12" s="102">
        <f t="shared" si="1"/>
        <v>92</v>
      </c>
      <c r="O12" s="102">
        <f t="shared" si="2"/>
        <v>993.6</v>
      </c>
      <c r="P12" s="102">
        <f t="shared" si="3"/>
        <v>66.2</v>
      </c>
      <c r="Q12" s="102">
        <f t="shared" si="4"/>
        <v>1151.8</v>
      </c>
    </row>
    <row r="13" spans="1:33">
      <c r="A13" s="102">
        <v>1989</v>
      </c>
      <c r="B13" s="102">
        <v>5.0999999999999996</v>
      </c>
      <c r="C13" s="102">
        <v>18</v>
      </c>
      <c r="D13" s="102">
        <v>31.8</v>
      </c>
      <c r="E13" s="102">
        <v>31.1</v>
      </c>
      <c r="F13" s="102">
        <v>65.400000000000006</v>
      </c>
      <c r="G13" s="102">
        <v>184.2</v>
      </c>
      <c r="H13" s="102">
        <v>63.1</v>
      </c>
      <c r="I13" s="102">
        <v>64.3</v>
      </c>
      <c r="J13" s="102">
        <v>135.80000000000001</v>
      </c>
      <c r="K13" s="102">
        <v>48.6</v>
      </c>
      <c r="L13" s="102">
        <v>5.3</v>
      </c>
      <c r="M13" s="102">
        <v>31.6</v>
      </c>
      <c r="N13" s="102">
        <f t="shared" si="1"/>
        <v>86</v>
      </c>
      <c r="O13" s="102">
        <f t="shared" si="2"/>
        <v>512.79999999999995</v>
      </c>
      <c r="P13" s="102">
        <f t="shared" si="3"/>
        <v>85.5</v>
      </c>
      <c r="Q13" s="102">
        <f t="shared" si="4"/>
        <v>684.30000000000007</v>
      </c>
    </row>
    <row r="14" spans="1:33">
      <c r="A14" s="102">
        <v>1990</v>
      </c>
      <c r="B14" s="102">
        <v>8.6999999999999993</v>
      </c>
      <c r="C14" s="102">
        <v>15.2</v>
      </c>
      <c r="D14" s="102">
        <v>87.7</v>
      </c>
      <c r="E14" s="102">
        <v>43.1</v>
      </c>
      <c r="F14" s="102">
        <v>197.5</v>
      </c>
      <c r="G14" s="102">
        <v>279.3</v>
      </c>
      <c r="H14" s="102">
        <v>129.69999999999999</v>
      </c>
      <c r="I14" s="102">
        <v>89.4</v>
      </c>
      <c r="J14" s="102">
        <v>122.9</v>
      </c>
      <c r="K14" s="102">
        <v>62.5</v>
      </c>
      <c r="L14" s="102">
        <v>38.9</v>
      </c>
      <c r="M14" s="102">
        <v>6.8</v>
      </c>
      <c r="N14" s="102">
        <f t="shared" si="1"/>
        <v>154.69999999999999</v>
      </c>
      <c r="O14" s="102">
        <f t="shared" si="2"/>
        <v>818.8</v>
      </c>
      <c r="P14" s="102">
        <f t="shared" si="3"/>
        <v>108.2</v>
      </c>
      <c r="Q14" s="102">
        <f t="shared" si="4"/>
        <v>1081.7</v>
      </c>
    </row>
    <row r="15" spans="1:33">
      <c r="A15" s="102">
        <v>1991</v>
      </c>
      <c r="B15" s="102">
        <v>52</v>
      </c>
      <c r="C15" s="102">
        <v>2.2000000000000002</v>
      </c>
      <c r="D15" s="102">
        <v>33</v>
      </c>
      <c r="E15" s="102">
        <v>36.9</v>
      </c>
      <c r="F15" s="102">
        <v>35.9</v>
      </c>
      <c r="G15" s="102">
        <v>341.9</v>
      </c>
      <c r="H15" s="102">
        <v>319</v>
      </c>
      <c r="I15" s="102">
        <v>257.89999999999998</v>
      </c>
      <c r="J15" s="102">
        <v>157.6</v>
      </c>
      <c r="K15" s="102">
        <v>50.8</v>
      </c>
      <c r="L15" s="102">
        <v>38.799999999999997</v>
      </c>
      <c r="M15" s="102">
        <v>27.8</v>
      </c>
      <c r="N15" s="102">
        <f t="shared" si="1"/>
        <v>124.1</v>
      </c>
      <c r="O15" s="102">
        <f t="shared" si="2"/>
        <v>1112.3</v>
      </c>
      <c r="P15" s="102">
        <f t="shared" si="3"/>
        <v>117.39999999999999</v>
      </c>
      <c r="Q15" s="102">
        <f t="shared" si="4"/>
        <v>1353.7999999999997</v>
      </c>
    </row>
    <row r="16" spans="1:33">
      <c r="A16" s="102">
        <v>1992</v>
      </c>
      <c r="B16" s="102">
        <v>47.7</v>
      </c>
      <c r="C16" s="102">
        <v>37.5</v>
      </c>
      <c r="D16" s="102">
        <v>26.6</v>
      </c>
      <c r="E16" s="102">
        <v>30</v>
      </c>
      <c r="F16" s="102">
        <v>270.5</v>
      </c>
      <c r="G16" s="102">
        <v>311</v>
      </c>
      <c r="H16" s="102">
        <v>247.7</v>
      </c>
      <c r="I16" s="102">
        <v>60.3</v>
      </c>
      <c r="J16" s="102">
        <v>142.19999999999999</v>
      </c>
      <c r="K16" s="102">
        <v>90.4</v>
      </c>
      <c r="L16" s="102">
        <v>21.8</v>
      </c>
      <c r="M16" s="102">
        <v>5.8</v>
      </c>
      <c r="N16" s="102">
        <f t="shared" si="1"/>
        <v>141.80000000000001</v>
      </c>
      <c r="O16" s="102">
        <f t="shared" si="2"/>
        <v>1031.7</v>
      </c>
      <c r="P16" s="102">
        <f t="shared" si="3"/>
        <v>118</v>
      </c>
      <c r="Q16" s="102">
        <f t="shared" si="4"/>
        <v>1291.5</v>
      </c>
    </row>
    <row r="17" spans="1:17">
      <c r="A17" s="102">
        <v>1993</v>
      </c>
      <c r="B17" s="102">
        <v>25.1</v>
      </c>
      <c r="C17" s="102">
        <v>46.3</v>
      </c>
      <c r="D17" s="102">
        <v>3.5</v>
      </c>
      <c r="E17" s="102">
        <v>72.3</v>
      </c>
      <c r="F17" s="102">
        <v>113.9</v>
      </c>
      <c r="G17" s="102">
        <v>282.2</v>
      </c>
      <c r="H17" s="102">
        <v>392.3</v>
      </c>
      <c r="I17" s="102">
        <v>284.10000000000002</v>
      </c>
      <c r="J17" s="102">
        <v>220.4</v>
      </c>
      <c r="K17" s="102">
        <v>23.9</v>
      </c>
      <c r="L17" s="102">
        <v>72.599999999999994</v>
      </c>
      <c r="M17" s="102">
        <v>6.4</v>
      </c>
      <c r="N17" s="102">
        <f t="shared" si="1"/>
        <v>147.19999999999999</v>
      </c>
      <c r="O17" s="102">
        <f t="shared" si="2"/>
        <v>1292.9000000000001</v>
      </c>
      <c r="P17" s="102">
        <f t="shared" si="3"/>
        <v>102.9</v>
      </c>
      <c r="Q17" s="102">
        <f t="shared" si="4"/>
        <v>1543</v>
      </c>
    </row>
    <row r="18" spans="1:17">
      <c r="A18" s="102">
        <v>1994</v>
      </c>
      <c r="B18" s="102">
        <v>10.7</v>
      </c>
      <c r="C18" s="102">
        <v>5.3</v>
      </c>
      <c r="D18" s="102">
        <v>70.3</v>
      </c>
      <c r="E18" s="102">
        <v>10</v>
      </c>
      <c r="F18" s="102">
        <v>163.19999999999999</v>
      </c>
      <c r="G18" s="102">
        <v>330.4</v>
      </c>
      <c r="H18" s="102">
        <v>149.19999999999999</v>
      </c>
      <c r="I18" s="102">
        <v>163.9</v>
      </c>
      <c r="J18" s="102">
        <v>148.5</v>
      </c>
      <c r="K18" s="102">
        <v>157</v>
      </c>
      <c r="L18" s="102">
        <v>36.799999999999997</v>
      </c>
      <c r="M18" s="102">
        <v>30.1</v>
      </c>
      <c r="N18" s="102">
        <f t="shared" si="1"/>
        <v>96.3</v>
      </c>
      <c r="O18" s="102">
        <f t="shared" si="2"/>
        <v>955.19999999999993</v>
      </c>
      <c r="P18" s="102">
        <f t="shared" si="3"/>
        <v>223.9</v>
      </c>
      <c r="Q18" s="102">
        <f t="shared" si="4"/>
        <v>1275.3999999999999</v>
      </c>
    </row>
    <row r="19" spans="1:17">
      <c r="A19" s="102">
        <v>1995</v>
      </c>
      <c r="B19" s="102">
        <v>20.6</v>
      </c>
      <c r="C19" s="102">
        <v>31.3</v>
      </c>
      <c r="D19" s="102">
        <v>8.6999999999999993</v>
      </c>
      <c r="E19" s="102">
        <v>27.9</v>
      </c>
      <c r="F19" s="102">
        <v>205.5</v>
      </c>
      <c r="G19" s="102">
        <v>211.3</v>
      </c>
      <c r="H19" s="102">
        <v>218.1</v>
      </c>
      <c r="I19" s="102">
        <v>217.2</v>
      </c>
      <c r="J19" s="102">
        <v>252</v>
      </c>
      <c r="K19" s="102">
        <v>27.7</v>
      </c>
      <c r="L19" s="102">
        <v>57.1</v>
      </c>
      <c r="M19" s="102">
        <v>3.7</v>
      </c>
      <c r="N19" s="102">
        <f t="shared" si="1"/>
        <v>88.5</v>
      </c>
      <c r="O19" s="102">
        <f t="shared" si="2"/>
        <v>1104.0999999999999</v>
      </c>
      <c r="P19" s="102">
        <f t="shared" si="3"/>
        <v>88.5</v>
      </c>
      <c r="Q19" s="102">
        <f t="shared" si="4"/>
        <v>1281.0999999999999</v>
      </c>
    </row>
    <row r="20" spans="1:17">
      <c r="A20" s="102">
        <v>1996</v>
      </c>
      <c r="B20" s="102">
        <v>9</v>
      </c>
      <c r="C20" s="102">
        <v>6.8</v>
      </c>
      <c r="D20" s="102">
        <v>67.599999999999994</v>
      </c>
      <c r="E20" s="102">
        <v>82.7</v>
      </c>
      <c r="F20" s="102">
        <v>149</v>
      </c>
      <c r="G20" s="102">
        <v>265</v>
      </c>
      <c r="H20" s="102">
        <v>327</v>
      </c>
      <c r="I20" s="102">
        <v>148.69999999999999</v>
      </c>
      <c r="J20" s="102">
        <v>88.5</v>
      </c>
      <c r="K20" s="102">
        <v>56.7</v>
      </c>
      <c r="L20" s="102">
        <v>68.8</v>
      </c>
      <c r="M20" s="102">
        <v>6.7</v>
      </c>
      <c r="N20" s="102">
        <f t="shared" si="1"/>
        <v>166.1</v>
      </c>
      <c r="O20" s="102">
        <f t="shared" si="2"/>
        <v>978.2</v>
      </c>
      <c r="P20" s="102">
        <f t="shared" si="3"/>
        <v>132.19999999999999</v>
      </c>
      <c r="Q20" s="102">
        <f t="shared" si="4"/>
        <v>1276.5</v>
      </c>
    </row>
    <row r="21" spans="1:17">
      <c r="A21" s="102">
        <v>1997</v>
      </c>
      <c r="B21" s="102">
        <v>29</v>
      </c>
      <c r="C21" s="102">
        <v>64.599999999999994</v>
      </c>
      <c r="D21" s="102">
        <v>60.8</v>
      </c>
      <c r="E21" s="102">
        <v>51.2</v>
      </c>
      <c r="F21" s="102">
        <v>234.1</v>
      </c>
      <c r="G21" s="102">
        <v>323.89999999999998</v>
      </c>
      <c r="H21" s="102">
        <v>440.1</v>
      </c>
      <c r="I21" s="102">
        <v>102.2</v>
      </c>
      <c r="J21" s="102">
        <v>120.2</v>
      </c>
      <c r="K21" s="102">
        <v>210</v>
      </c>
      <c r="L21" s="102">
        <v>11</v>
      </c>
      <c r="M21" s="102">
        <v>10.9</v>
      </c>
      <c r="N21" s="102">
        <f t="shared" si="1"/>
        <v>205.59999999999997</v>
      </c>
      <c r="O21" s="102">
        <f t="shared" si="2"/>
        <v>1220.5</v>
      </c>
      <c r="P21" s="102">
        <f t="shared" si="3"/>
        <v>231.9</v>
      </c>
      <c r="Q21" s="102">
        <f t="shared" si="4"/>
        <v>1658</v>
      </c>
    </row>
    <row r="22" spans="1:17">
      <c r="A22" s="102">
        <v>1998</v>
      </c>
      <c r="B22" s="102">
        <v>24.6</v>
      </c>
      <c r="C22" s="102">
        <v>16.600000000000001</v>
      </c>
      <c r="D22" s="102">
        <v>9.5</v>
      </c>
      <c r="E22" s="102">
        <v>89.1</v>
      </c>
      <c r="F22" s="102">
        <v>142</v>
      </c>
      <c r="G22" s="102">
        <v>181.7</v>
      </c>
      <c r="H22" s="102">
        <v>185.1</v>
      </c>
      <c r="I22" s="102">
        <v>184.7</v>
      </c>
      <c r="J22" s="102">
        <v>31.7</v>
      </c>
      <c r="K22" s="102">
        <v>89.6</v>
      </c>
      <c r="L22" s="102">
        <v>14.9</v>
      </c>
      <c r="M22" s="102">
        <v>18.2</v>
      </c>
      <c r="N22" s="102">
        <f t="shared" si="1"/>
        <v>139.80000000000001</v>
      </c>
      <c r="O22" s="102">
        <f t="shared" si="2"/>
        <v>725.2</v>
      </c>
      <c r="P22" s="102">
        <f t="shared" si="3"/>
        <v>122.7</v>
      </c>
      <c r="Q22" s="102">
        <f t="shared" si="4"/>
        <v>987.7</v>
      </c>
    </row>
    <row r="23" spans="1:17">
      <c r="A23" s="102">
        <v>1999</v>
      </c>
      <c r="B23" s="102">
        <v>16.399999999999999</v>
      </c>
      <c r="C23" s="102">
        <v>4.2</v>
      </c>
      <c r="D23" s="102">
        <v>28.8</v>
      </c>
      <c r="E23" s="102">
        <v>117.7</v>
      </c>
      <c r="F23" s="102">
        <v>151.9</v>
      </c>
      <c r="G23" s="102">
        <v>221.3</v>
      </c>
      <c r="H23" s="102">
        <v>360.1</v>
      </c>
      <c r="I23" s="102">
        <v>303.89999999999998</v>
      </c>
      <c r="J23" s="102">
        <v>36.5</v>
      </c>
      <c r="K23" s="102">
        <v>145.1</v>
      </c>
      <c r="L23" s="102">
        <v>45.6</v>
      </c>
      <c r="M23" s="102">
        <v>5.0999999999999996</v>
      </c>
      <c r="N23" s="102">
        <f t="shared" si="1"/>
        <v>167.1</v>
      </c>
      <c r="O23" s="102">
        <f t="shared" si="2"/>
        <v>1073.7</v>
      </c>
      <c r="P23" s="102">
        <f t="shared" si="3"/>
        <v>195.79999999999998</v>
      </c>
      <c r="Q23" s="102">
        <f t="shared" si="4"/>
        <v>1436.5999999999997</v>
      </c>
    </row>
    <row r="24" spans="1:17">
      <c r="A24" s="102">
        <v>2000</v>
      </c>
      <c r="B24" s="102">
        <v>9.1999999999999993</v>
      </c>
      <c r="C24" s="102">
        <v>16</v>
      </c>
      <c r="D24" s="102">
        <v>63</v>
      </c>
      <c r="E24" s="102">
        <v>82.8</v>
      </c>
      <c r="F24" s="102">
        <v>210</v>
      </c>
      <c r="G24" s="102">
        <v>228</v>
      </c>
      <c r="H24" s="102">
        <v>163.9</v>
      </c>
      <c r="I24" s="102">
        <v>142.19999999999999</v>
      </c>
      <c r="J24" s="102">
        <v>69.7</v>
      </c>
      <c r="K24" s="102">
        <v>55.3</v>
      </c>
      <c r="L24" s="102">
        <v>34.9</v>
      </c>
      <c r="M24" s="102">
        <v>18.600000000000001</v>
      </c>
      <c r="N24" s="102">
        <f t="shared" si="1"/>
        <v>171</v>
      </c>
      <c r="O24" s="102">
        <f t="shared" si="2"/>
        <v>813.8</v>
      </c>
      <c r="P24" s="102">
        <f t="shared" si="3"/>
        <v>108.79999999999998</v>
      </c>
      <c r="Q24" s="102">
        <f t="shared" si="4"/>
        <v>1093.5999999999999</v>
      </c>
    </row>
    <row r="25" spans="1:17">
      <c r="A25" s="102">
        <v>2001</v>
      </c>
      <c r="B25" s="102">
        <v>9.1999999999999993</v>
      </c>
      <c r="C25" s="102">
        <v>16</v>
      </c>
      <c r="D25" s="102">
        <v>63</v>
      </c>
      <c r="E25" s="102">
        <v>82.8</v>
      </c>
      <c r="F25" s="102">
        <v>210</v>
      </c>
      <c r="G25" s="102">
        <v>228</v>
      </c>
      <c r="H25" s="102">
        <v>163.9</v>
      </c>
      <c r="I25" s="102">
        <v>142.19999999999999</v>
      </c>
      <c r="J25" s="102">
        <v>69.7</v>
      </c>
      <c r="K25" s="102">
        <v>55.3</v>
      </c>
      <c r="L25" s="102">
        <v>34.9</v>
      </c>
      <c r="M25" s="102">
        <v>18.600000000000001</v>
      </c>
      <c r="N25" s="102">
        <f t="shared" si="1"/>
        <v>171</v>
      </c>
      <c r="O25" s="102">
        <f t="shared" si="2"/>
        <v>813.8</v>
      </c>
      <c r="P25" s="102">
        <f t="shared" si="3"/>
        <v>108.79999999999998</v>
      </c>
      <c r="Q25" s="102">
        <f t="shared" si="4"/>
        <v>1093.5999999999999</v>
      </c>
    </row>
    <row r="26" spans="1:17">
      <c r="A26" s="102">
        <v>2002</v>
      </c>
      <c r="B26" s="102">
        <v>16.899999999999999</v>
      </c>
      <c r="C26" s="102">
        <v>21.3</v>
      </c>
      <c r="D26" s="102">
        <v>25.3</v>
      </c>
      <c r="E26" s="102">
        <v>13.8</v>
      </c>
      <c r="F26" s="102">
        <v>224.4</v>
      </c>
      <c r="G26" s="102">
        <v>311.3</v>
      </c>
      <c r="H26" s="102">
        <v>134.6</v>
      </c>
      <c r="I26" s="102">
        <v>332.5</v>
      </c>
      <c r="J26" s="102">
        <v>28.9</v>
      </c>
      <c r="K26" s="102">
        <v>82.7</v>
      </c>
      <c r="L26" s="102">
        <v>3.7</v>
      </c>
      <c r="M26" s="102">
        <v>15.7</v>
      </c>
      <c r="N26" s="102">
        <f t="shared" si="1"/>
        <v>77.3</v>
      </c>
      <c r="O26" s="102">
        <f t="shared" si="2"/>
        <v>1031.7</v>
      </c>
      <c r="P26" s="102">
        <f t="shared" si="3"/>
        <v>102.10000000000001</v>
      </c>
      <c r="Q26" s="102">
        <f t="shared" si="4"/>
        <v>1211.1000000000001</v>
      </c>
    </row>
    <row r="27" spans="1:17">
      <c r="A27" s="102">
        <v>2003</v>
      </c>
      <c r="B27" s="102">
        <v>35</v>
      </c>
      <c r="C27" s="102">
        <v>0.6</v>
      </c>
      <c r="D27" s="102">
        <v>42.7</v>
      </c>
      <c r="E27" s="102">
        <v>73.900000000000006</v>
      </c>
      <c r="F27" s="102">
        <v>234.2</v>
      </c>
      <c r="G27" s="102">
        <v>329.8</v>
      </c>
      <c r="H27" s="102">
        <v>326.8</v>
      </c>
      <c r="I27" s="102">
        <v>66.599999999999994</v>
      </c>
      <c r="J27" s="102">
        <v>117.8</v>
      </c>
      <c r="K27" s="102">
        <v>30.8</v>
      </c>
      <c r="L27" s="102">
        <v>32.1</v>
      </c>
      <c r="M27" s="102">
        <v>26.3</v>
      </c>
      <c r="N27" s="102">
        <f t="shared" si="1"/>
        <v>152.20000000000002</v>
      </c>
      <c r="O27" s="102">
        <f t="shared" si="2"/>
        <v>1075.2</v>
      </c>
      <c r="P27" s="102">
        <f t="shared" si="3"/>
        <v>89.2</v>
      </c>
      <c r="Q27" s="102">
        <f t="shared" si="4"/>
        <v>1316.5999999999997</v>
      </c>
    </row>
    <row r="28" spans="1:17">
      <c r="A28" s="102">
        <v>2004</v>
      </c>
      <c r="B28" s="102">
        <v>19.399999999999999</v>
      </c>
      <c r="C28" s="102">
        <v>28.2</v>
      </c>
      <c r="D28" s="102">
        <v>10.5</v>
      </c>
      <c r="E28" s="102">
        <v>67.7</v>
      </c>
      <c r="F28" s="102">
        <v>157.6</v>
      </c>
      <c r="G28" s="102">
        <v>156.4</v>
      </c>
      <c r="H28" s="102">
        <v>348.6</v>
      </c>
      <c r="I28" s="102">
        <v>93.2</v>
      </c>
      <c r="J28" s="102">
        <v>166.2</v>
      </c>
      <c r="K28" s="102">
        <v>27.3</v>
      </c>
      <c r="L28" s="102">
        <v>23</v>
      </c>
      <c r="M28" s="102">
        <v>8.6999999999999993</v>
      </c>
      <c r="N28" s="102">
        <f t="shared" si="1"/>
        <v>125.8</v>
      </c>
      <c r="O28" s="102">
        <f t="shared" si="2"/>
        <v>922</v>
      </c>
      <c r="P28" s="102">
        <f t="shared" si="3"/>
        <v>59</v>
      </c>
      <c r="Q28" s="102">
        <f t="shared" si="4"/>
        <v>1106.8</v>
      </c>
    </row>
    <row r="29" spans="1:17">
      <c r="A29" s="102">
        <v>2005</v>
      </c>
      <c r="B29" s="102">
        <v>35.799999999999997</v>
      </c>
      <c r="C29" s="102">
        <v>0.9</v>
      </c>
      <c r="D29" s="102">
        <v>27.9</v>
      </c>
      <c r="E29" s="102">
        <v>67.099999999999994</v>
      </c>
      <c r="F29" s="102">
        <v>123.3</v>
      </c>
      <c r="G29" s="102">
        <v>219.1</v>
      </c>
      <c r="H29" s="102">
        <v>194.3</v>
      </c>
      <c r="I29" s="102">
        <v>226.3</v>
      </c>
      <c r="J29" s="102">
        <v>93.2</v>
      </c>
      <c r="K29" s="102">
        <v>43.1</v>
      </c>
      <c r="L29" s="102">
        <v>2.2999999999999998</v>
      </c>
      <c r="M29" s="102">
        <v>17.8</v>
      </c>
      <c r="N29" s="102">
        <f t="shared" si="1"/>
        <v>131.69999999999999</v>
      </c>
      <c r="O29" s="102">
        <f t="shared" si="2"/>
        <v>856.2</v>
      </c>
      <c r="P29" s="102">
        <f t="shared" si="3"/>
        <v>63.2</v>
      </c>
      <c r="Q29" s="102">
        <f t="shared" si="4"/>
        <v>1051.0999999999999</v>
      </c>
    </row>
    <row r="30" spans="1:17">
      <c r="A30" s="102">
        <v>2006</v>
      </c>
      <c r="B30" s="102">
        <v>0.6</v>
      </c>
      <c r="C30" s="102">
        <v>20.399999999999999</v>
      </c>
      <c r="D30" s="102">
        <v>22.6</v>
      </c>
      <c r="E30" s="102">
        <v>40.6</v>
      </c>
      <c r="F30" s="102">
        <v>74.2</v>
      </c>
      <c r="G30" s="102">
        <v>429.8</v>
      </c>
      <c r="H30" s="102">
        <v>111.9</v>
      </c>
      <c r="I30" s="102">
        <v>147.9</v>
      </c>
      <c r="J30" s="102">
        <v>41.9</v>
      </c>
      <c r="K30" s="102">
        <v>268.7</v>
      </c>
      <c r="L30" s="102">
        <v>18.899999999999999</v>
      </c>
      <c r="M30" s="102">
        <v>7.8</v>
      </c>
      <c r="N30" s="102">
        <f t="shared" si="1"/>
        <v>84.2</v>
      </c>
      <c r="O30" s="102">
        <f t="shared" si="2"/>
        <v>805.69999999999993</v>
      </c>
      <c r="P30" s="102">
        <f t="shared" si="3"/>
        <v>295.39999999999998</v>
      </c>
      <c r="Q30" s="102">
        <f t="shared" si="4"/>
        <v>1185.3</v>
      </c>
    </row>
    <row r="31" spans="1:17">
      <c r="A31" s="102">
        <v>2007</v>
      </c>
      <c r="B31" s="102">
        <v>29.2</v>
      </c>
      <c r="C31" s="102">
        <v>3</v>
      </c>
      <c r="D31" s="102">
        <v>4</v>
      </c>
      <c r="E31" s="102">
        <v>75.099999999999994</v>
      </c>
      <c r="F31" s="102">
        <v>136.30000000000001</v>
      </c>
      <c r="G31" s="102">
        <v>357.2</v>
      </c>
      <c r="H31" s="102">
        <v>340.7</v>
      </c>
      <c r="I31" s="102">
        <v>195.4</v>
      </c>
      <c r="J31" s="102">
        <v>116.6</v>
      </c>
      <c r="K31" s="102">
        <v>46.9</v>
      </c>
      <c r="L31" s="102">
        <v>9.8000000000000007</v>
      </c>
      <c r="M31" s="102">
        <v>6.4</v>
      </c>
      <c r="N31" s="102">
        <f t="shared" si="1"/>
        <v>111.3</v>
      </c>
      <c r="O31" s="102">
        <f t="shared" si="2"/>
        <v>1146.2</v>
      </c>
      <c r="P31" s="102">
        <f t="shared" si="3"/>
        <v>63.1</v>
      </c>
      <c r="Q31" s="102">
        <f t="shared" si="4"/>
        <v>1320.6000000000001</v>
      </c>
    </row>
    <row r="32" spans="1:17">
      <c r="A32" s="102">
        <v>2008</v>
      </c>
      <c r="B32" s="102">
        <v>9.4</v>
      </c>
      <c r="C32" s="102">
        <v>16.100000000000001</v>
      </c>
      <c r="D32" s="102">
        <v>58</v>
      </c>
      <c r="E32" s="102">
        <v>25.6</v>
      </c>
      <c r="F32" s="102">
        <v>283.5</v>
      </c>
      <c r="G32" s="102">
        <v>215.9</v>
      </c>
      <c r="H32" s="102">
        <v>195.8</v>
      </c>
      <c r="I32" s="102">
        <v>133.4</v>
      </c>
      <c r="J32" s="102">
        <v>115.3</v>
      </c>
      <c r="K32" s="102">
        <v>109.2</v>
      </c>
      <c r="L32" s="102">
        <v>55.8</v>
      </c>
      <c r="M32" s="102">
        <v>6.5</v>
      </c>
      <c r="N32" s="102">
        <f t="shared" si="1"/>
        <v>109.1</v>
      </c>
      <c r="O32" s="102">
        <f t="shared" si="2"/>
        <v>943.9</v>
      </c>
      <c r="P32" s="102">
        <f t="shared" si="3"/>
        <v>171.5</v>
      </c>
      <c r="Q32" s="102">
        <f t="shared" si="4"/>
        <v>1224.5</v>
      </c>
    </row>
    <row r="33" spans="1:33">
      <c r="A33" s="102">
        <v>2009</v>
      </c>
      <c r="B33" s="102">
        <v>2.2999999999999998</v>
      </c>
      <c r="C33" s="102">
        <v>16.3</v>
      </c>
      <c r="D33" s="102">
        <v>45.9</v>
      </c>
      <c r="E33" s="102">
        <v>28.3</v>
      </c>
      <c r="F33" s="102">
        <v>145</v>
      </c>
      <c r="G33" s="102">
        <v>331.4</v>
      </c>
      <c r="H33" s="102">
        <v>202.6</v>
      </c>
      <c r="I33" s="102">
        <v>127.5</v>
      </c>
      <c r="J33" s="102">
        <v>45</v>
      </c>
      <c r="K33" s="102">
        <v>47.8</v>
      </c>
      <c r="L33" s="102">
        <v>3.1</v>
      </c>
      <c r="M33" s="102">
        <v>1.7</v>
      </c>
      <c r="N33" s="102">
        <f t="shared" si="1"/>
        <v>92.8</v>
      </c>
      <c r="O33" s="102">
        <f t="shared" si="2"/>
        <v>851.5</v>
      </c>
      <c r="P33" s="102">
        <f t="shared" si="3"/>
        <v>52.6</v>
      </c>
      <c r="Q33" s="102">
        <f t="shared" si="4"/>
        <v>996.90000000000009</v>
      </c>
    </row>
    <row r="34" spans="1:33">
      <c r="A34" s="102">
        <v>2010</v>
      </c>
      <c r="B34" s="102">
        <v>0</v>
      </c>
      <c r="C34" s="102">
        <v>0</v>
      </c>
      <c r="D34" s="102">
        <v>0</v>
      </c>
      <c r="E34" s="102">
        <v>78.7</v>
      </c>
      <c r="F34" s="102">
        <v>180.1</v>
      </c>
      <c r="G34" s="102">
        <v>316.8</v>
      </c>
      <c r="H34" s="102">
        <v>229.2</v>
      </c>
      <c r="I34" s="102">
        <v>133.1</v>
      </c>
      <c r="J34" s="102">
        <v>171.3</v>
      </c>
      <c r="K34" s="102">
        <v>123</v>
      </c>
      <c r="L34" s="102">
        <v>31.3</v>
      </c>
      <c r="M34" s="102">
        <v>45.6</v>
      </c>
      <c r="N34" s="102">
        <f t="shared" si="1"/>
        <v>78.7</v>
      </c>
      <c r="O34" s="102">
        <f t="shared" si="2"/>
        <v>1030.5</v>
      </c>
      <c r="P34" s="102">
        <f t="shared" si="3"/>
        <v>199.9</v>
      </c>
      <c r="Q34" s="102">
        <f t="shared" si="4"/>
        <v>1309.0999999999999</v>
      </c>
    </row>
    <row r="35" spans="1:33">
      <c r="A35" s="102">
        <v>2011</v>
      </c>
      <c r="B35" s="102">
        <v>17.2</v>
      </c>
      <c r="C35" s="102">
        <v>3.1</v>
      </c>
      <c r="D35" s="102">
        <v>21</v>
      </c>
      <c r="E35" s="102">
        <v>16</v>
      </c>
      <c r="F35" s="102">
        <v>67.8</v>
      </c>
      <c r="G35" s="102">
        <v>288.10000000000002</v>
      </c>
      <c r="H35" s="102">
        <v>73.5</v>
      </c>
      <c r="I35" s="102">
        <v>47.6</v>
      </c>
      <c r="J35" s="102">
        <v>93</v>
      </c>
      <c r="K35" s="102">
        <v>95</v>
      </c>
      <c r="L35" s="102">
        <v>43.2</v>
      </c>
      <c r="M35" s="102">
        <v>12</v>
      </c>
      <c r="N35" s="102">
        <f t="shared" si="1"/>
        <v>57.3</v>
      </c>
      <c r="O35" s="102">
        <f t="shared" si="2"/>
        <v>570</v>
      </c>
      <c r="P35" s="102">
        <f t="shared" si="3"/>
        <v>150.19999999999999</v>
      </c>
      <c r="Q35" s="102">
        <f t="shared" si="4"/>
        <v>777.50000000000011</v>
      </c>
      <c r="R35" s="104"/>
      <c r="S35" s="104"/>
      <c r="T35" s="104"/>
      <c r="U35" s="104"/>
      <c r="V35" s="104"/>
      <c r="W35" s="104"/>
      <c r="X35" s="104"/>
      <c r="Y35" s="104"/>
      <c r="Z35" s="104"/>
      <c r="AA35" s="104"/>
      <c r="AB35" s="104"/>
      <c r="AC35" s="104"/>
      <c r="AD35" s="104"/>
      <c r="AE35" s="104"/>
    </row>
    <row r="36" spans="1:33">
      <c r="A36" s="102">
        <v>2012</v>
      </c>
      <c r="B36" s="102">
        <v>16.600000000000001</v>
      </c>
      <c r="C36" s="102">
        <v>2.2999999999999998</v>
      </c>
      <c r="D36" s="102">
        <v>15.9</v>
      </c>
      <c r="E36" s="102">
        <v>4.5999999999999996</v>
      </c>
      <c r="F36" s="102">
        <v>178.8</v>
      </c>
      <c r="G36" s="102">
        <v>256.89999999999998</v>
      </c>
      <c r="H36" s="102">
        <v>225.9</v>
      </c>
      <c r="I36" s="102">
        <v>55</v>
      </c>
      <c r="J36" s="102">
        <v>64.400000000000006</v>
      </c>
      <c r="K36" s="102">
        <v>55.5</v>
      </c>
      <c r="L36" s="102">
        <v>28.5</v>
      </c>
      <c r="M36" s="102">
        <v>2.9</v>
      </c>
      <c r="N36" s="102">
        <f t="shared" si="1"/>
        <v>39.400000000000006</v>
      </c>
      <c r="O36" s="102">
        <f t="shared" si="2"/>
        <v>781</v>
      </c>
      <c r="P36" s="102">
        <f t="shared" si="3"/>
        <v>86.9</v>
      </c>
      <c r="Q36" s="102">
        <f t="shared" si="4"/>
        <v>907.3</v>
      </c>
      <c r="R36" s="104"/>
      <c r="S36" s="104"/>
      <c r="T36" s="104"/>
      <c r="U36" s="104"/>
      <c r="V36" s="104"/>
      <c r="W36" s="104"/>
      <c r="X36" s="104"/>
      <c r="Y36" s="104"/>
      <c r="Z36" s="104"/>
      <c r="AA36" s="104"/>
      <c r="AB36" s="104"/>
      <c r="AC36" s="104"/>
      <c r="AD36" s="104"/>
      <c r="AE36" s="104"/>
      <c r="AF36" s="104"/>
      <c r="AG36" s="104"/>
    </row>
    <row r="37" spans="1:33">
      <c r="A37" s="102">
        <v>2013</v>
      </c>
      <c r="B37" s="102">
        <v>8.1</v>
      </c>
      <c r="C37" s="102">
        <v>1</v>
      </c>
      <c r="D37" s="102">
        <v>35.200000000000003</v>
      </c>
      <c r="E37" s="102">
        <v>55.4</v>
      </c>
      <c r="F37" s="102">
        <v>247.3</v>
      </c>
      <c r="G37" s="102">
        <v>121.2</v>
      </c>
      <c r="H37" s="102">
        <v>37.799999999999997</v>
      </c>
      <c r="I37" s="102">
        <v>118.6</v>
      </c>
      <c r="J37" s="102">
        <v>84.6</v>
      </c>
      <c r="K37" s="102">
        <v>59.2</v>
      </c>
      <c r="L37" s="102">
        <v>22.8</v>
      </c>
      <c r="M37" s="102">
        <v>38.4</v>
      </c>
      <c r="N37" s="102">
        <f t="shared" si="1"/>
        <v>99.7</v>
      </c>
      <c r="O37" s="102">
        <f t="shared" si="2"/>
        <v>609.5</v>
      </c>
      <c r="P37" s="102">
        <f t="shared" si="3"/>
        <v>120.4</v>
      </c>
      <c r="Q37" s="102">
        <f t="shared" si="4"/>
        <v>829.6</v>
      </c>
      <c r="R37" s="104"/>
      <c r="S37" s="104"/>
      <c r="T37" s="104"/>
      <c r="U37" s="104"/>
      <c r="V37" s="104"/>
      <c r="W37" s="104"/>
      <c r="X37" s="104"/>
      <c r="Y37" s="104"/>
      <c r="Z37" s="104"/>
      <c r="AA37" s="104"/>
      <c r="AB37" s="104"/>
      <c r="AC37" s="104"/>
      <c r="AD37" s="104"/>
      <c r="AE37" s="104"/>
      <c r="AF37" s="104"/>
      <c r="AG37" s="104"/>
    </row>
    <row r="38" spans="1:33">
      <c r="A38" s="102">
        <v>2014</v>
      </c>
      <c r="B38" s="128">
        <v>4.8</v>
      </c>
      <c r="C38" s="128">
        <v>22.8</v>
      </c>
      <c r="D38" s="128">
        <v>49.9</v>
      </c>
      <c r="E38" s="128">
        <v>38.299999999999997</v>
      </c>
      <c r="F38" s="128">
        <v>61.8</v>
      </c>
      <c r="G38" s="128">
        <v>366.2</v>
      </c>
      <c r="H38" s="128">
        <v>229.5</v>
      </c>
      <c r="I38" s="128">
        <v>121</v>
      </c>
      <c r="J38" s="128">
        <v>240.5</v>
      </c>
      <c r="K38" s="128">
        <v>34.200000000000003</v>
      </c>
      <c r="L38" s="128">
        <v>36.4</v>
      </c>
      <c r="M38" s="128">
        <v>5.5</v>
      </c>
      <c r="N38" s="102">
        <f t="shared" si="1"/>
        <v>115.8</v>
      </c>
      <c r="O38" s="102">
        <f t="shared" si="2"/>
        <v>1019</v>
      </c>
      <c r="P38" s="102">
        <f t="shared" si="3"/>
        <v>76.099999999999994</v>
      </c>
      <c r="Q38" s="102">
        <f t="shared" si="4"/>
        <v>1210.9000000000001</v>
      </c>
    </row>
    <row r="39" spans="1:33">
      <c r="A39" s="102">
        <v>2015</v>
      </c>
      <c r="B39" s="128">
        <v>31.7</v>
      </c>
      <c r="C39" s="128">
        <v>17</v>
      </c>
      <c r="D39" s="128">
        <v>10.9</v>
      </c>
      <c r="E39" s="128">
        <v>63.1</v>
      </c>
      <c r="F39" s="128">
        <v>183.3</v>
      </c>
      <c r="G39" s="128">
        <v>154.80000000000001</v>
      </c>
      <c r="H39" s="128">
        <v>180.4</v>
      </c>
      <c r="I39" s="128">
        <v>278.2</v>
      </c>
      <c r="J39" s="128">
        <v>292.7</v>
      </c>
      <c r="K39" s="128">
        <v>114.8</v>
      </c>
      <c r="L39" s="128">
        <v>29.5</v>
      </c>
      <c r="M39" s="128">
        <v>51.7</v>
      </c>
      <c r="N39" s="102">
        <f t="shared" si="1"/>
        <v>122.7</v>
      </c>
      <c r="O39" s="102">
        <f t="shared" si="2"/>
        <v>1089.4000000000001</v>
      </c>
      <c r="P39" s="102">
        <f t="shared" si="3"/>
        <v>196</v>
      </c>
      <c r="Q39" s="102">
        <f t="shared" si="4"/>
        <v>1408.1000000000001</v>
      </c>
    </row>
    <row r="40" spans="1:33">
      <c r="A40" s="102">
        <v>2016</v>
      </c>
      <c r="B40" s="128">
        <v>12</v>
      </c>
      <c r="C40" s="128">
        <v>3.7</v>
      </c>
      <c r="D40" s="128">
        <v>11.2</v>
      </c>
      <c r="E40" s="128">
        <v>95.2</v>
      </c>
      <c r="F40" s="128">
        <v>149.69999999999999</v>
      </c>
      <c r="G40" s="128">
        <v>232.2</v>
      </c>
      <c r="H40" s="128">
        <v>220.1</v>
      </c>
      <c r="I40" s="128">
        <v>207.7</v>
      </c>
      <c r="J40" s="128">
        <v>56.3</v>
      </c>
      <c r="K40" s="128">
        <v>72.599999999999994</v>
      </c>
      <c r="L40" s="128">
        <v>58</v>
      </c>
      <c r="M40" s="128">
        <v>4.9000000000000004</v>
      </c>
      <c r="N40" s="102">
        <f>SUM(B40:E40)</f>
        <v>122.1</v>
      </c>
      <c r="O40" s="102">
        <f>SUM(F40:J40)</f>
        <v>866</v>
      </c>
      <c r="P40" s="102">
        <f>SUM(K40:M40)</f>
        <v>135.5</v>
      </c>
      <c r="Q40" s="102">
        <f>SUM(B40:M40)</f>
        <v>1123.5999999999999</v>
      </c>
      <c r="R40" s="108">
        <f t="shared" ref="R40:AG40" si="5">100*(B40-B4)/B4</f>
        <v>-30.807248764415156</v>
      </c>
      <c r="S40" s="108">
        <f t="shared" si="5"/>
        <v>-77.874594225183657</v>
      </c>
      <c r="T40" s="108">
        <f t="shared" si="5"/>
        <v>-64.056482670089864</v>
      </c>
      <c r="U40" s="108">
        <f t="shared" si="5"/>
        <v>70.225809747624425</v>
      </c>
      <c r="V40" s="108">
        <f t="shared" si="5"/>
        <v>-10.037602376332854</v>
      </c>
      <c r="W40" s="108">
        <f t="shared" si="5"/>
        <v>-12.394360124180757</v>
      </c>
      <c r="X40" s="108">
        <f t="shared" si="5"/>
        <v>1.0599918663990504</v>
      </c>
      <c r="Y40" s="108">
        <f t="shared" si="5"/>
        <v>21.107871720116631</v>
      </c>
      <c r="Z40" s="108">
        <f t="shared" si="5"/>
        <v>-53.758242789758995</v>
      </c>
      <c r="AA40" s="108">
        <f t="shared" si="5"/>
        <v>-6.9435288947483977</v>
      </c>
      <c r="AB40" s="108">
        <f t="shared" si="5"/>
        <v>73.801369863013718</v>
      </c>
      <c r="AC40" s="108">
        <f t="shared" si="5"/>
        <v>-66.405484818805093</v>
      </c>
      <c r="AD40" s="108">
        <f t="shared" si="5"/>
        <v>0.78296346956584284</v>
      </c>
      <c r="AE40" s="108">
        <f t="shared" si="5"/>
        <v>-8.1164323347702485</v>
      </c>
      <c r="AF40" s="108">
        <f t="shared" si="5"/>
        <v>7.5616338935383531</v>
      </c>
      <c r="AG40" s="108">
        <f t="shared" si="5"/>
        <v>-5.5498981670060985</v>
      </c>
    </row>
  </sheetData>
  <mergeCells count="6">
    <mergeCell ref="A1:A3"/>
    <mergeCell ref="B2:M2"/>
    <mergeCell ref="B1:Q1"/>
    <mergeCell ref="R1:AG1"/>
    <mergeCell ref="N2:Q2"/>
    <mergeCell ref="R2:AG2"/>
  </mergeCells>
  <phoneticPr fontId="2" type="noConversion"/>
  <pageMargins left="0.75" right="0.75" top="1" bottom="1" header="0.5" footer="0.5"/>
  <headerFooter alignWithMargins="0"/>
</worksheet>
</file>

<file path=xl/worksheets/sheet90.xml><?xml version="1.0" encoding="utf-8"?>
<worksheet xmlns="http://schemas.openxmlformats.org/spreadsheetml/2006/main" xmlns:r="http://schemas.openxmlformats.org/officeDocument/2006/relationships">
  <sheetPr codeName="Sheet90"/>
  <dimension ref="A1:AG25"/>
  <sheetViews>
    <sheetView topLeftCell="C1" zoomScaleNormal="100" workbookViewId="0">
      <pane ySplit="5" topLeftCell="A6" activePane="bottomLeft" state="frozen"/>
      <selection pane="bottomLeft" activeCell="R25" sqref="R25"/>
    </sheetView>
  </sheetViews>
  <sheetFormatPr defaultRowHeight="12"/>
  <cols>
    <col min="1" max="68" width="7.125" style="102" customWidth="1"/>
    <col min="69" max="16384" width="9" style="102"/>
  </cols>
  <sheetData>
    <row r="1" spans="1:33" s="118" customFormat="1" ht="14.25" customHeight="1">
      <c r="A1" s="176" t="s">
        <v>53</v>
      </c>
      <c r="B1" s="176" t="s">
        <v>171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2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116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32</v>
      </c>
      <c r="O2" s="176"/>
      <c r="P2" s="176"/>
      <c r="Q2" s="176"/>
      <c r="R2" s="176" t="s">
        <v>38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 ht="24">
      <c r="A3" s="176"/>
      <c r="B3" s="125" t="s">
        <v>149</v>
      </c>
      <c r="C3" s="125" t="s">
        <v>150</v>
      </c>
      <c r="D3" s="125" t="s">
        <v>9</v>
      </c>
      <c r="E3" s="125" t="s">
        <v>10</v>
      </c>
      <c r="F3" s="125" t="s">
        <v>11</v>
      </c>
      <c r="G3" s="125" t="s">
        <v>12</v>
      </c>
      <c r="H3" s="125" t="s">
        <v>13</v>
      </c>
      <c r="I3" s="125" t="s">
        <v>14</v>
      </c>
      <c r="J3" s="125" t="s">
        <v>15</v>
      </c>
      <c r="K3" s="125" t="s">
        <v>16</v>
      </c>
      <c r="L3" s="125" t="s">
        <v>17</v>
      </c>
      <c r="M3" s="125" t="s">
        <v>18</v>
      </c>
      <c r="N3" s="125" t="s">
        <v>145</v>
      </c>
      <c r="O3" s="125" t="s">
        <v>146</v>
      </c>
      <c r="P3" s="125" t="s">
        <v>147</v>
      </c>
      <c r="Q3" s="125" t="s">
        <v>148</v>
      </c>
      <c r="R3" s="125" t="s">
        <v>149</v>
      </c>
      <c r="S3" s="125" t="s">
        <v>150</v>
      </c>
      <c r="T3" s="125" t="s">
        <v>151</v>
      </c>
      <c r="U3" s="125" t="s">
        <v>152</v>
      </c>
      <c r="V3" s="125" t="s">
        <v>153</v>
      </c>
      <c r="W3" s="125" t="s">
        <v>154</v>
      </c>
      <c r="X3" s="125" t="s">
        <v>25</v>
      </c>
      <c r="Y3" s="125" t="s">
        <v>26</v>
      </c>
      <c r="Z3" s="125" t="s">
        <v>27</v>
      </c>
      <c r="AA3" s="125" t="s">
        <v>155</v>
      </c>
      <c r="AB3" s="125" t="s">
        <v>156</v>
      </c>
      <c r="AC3" s="125" t="s">
        <v>157</v>
      </c>
      <c r="AD3" s="125" t="s">
        <v>132</v>
      </c>
      <c r="AE3" s="125" t="s">
        <v>42</v>
      </c>
      <c r="AF3" s="125" t="s">
        <v>91</v>
      </c>
      <c r="AG3" s="125" t="s">
        <v>66</v>
      </c>
    </row>
    <row r="4" spans="1:33" s="118" customFormat="1">
      <c r="A4" s="150" t="s">
        <v>261</v>
      </c>
      <c r="B4" s="150">
        <f t="shared" ref="B4:Q4" si="0">AVERAGE(B5:B24)</f>
        <v>17.026315789473685</v>
      </c>
      <c r="C4" s="150">
        <f t="shared" si="0"/>
        <v>10.447368421052635</v>
      </c>
      <c r="D4" s="150">
        <f t="shared" si="0"/>
        <v>28.042105263157897</v>
      </c>
      <c r="E4" s="150">
        <f t="shared" si="0"/>
        <v>60.36</v>
      </c>
      <c r="F4" s="150">
        <f t="shared" si="0"/>
        <v>165.79999999999998</v>
      </c>
      <c r="G4" s="150">
        <f t="shared" si="0"/>
        <v>228.77500000000001</v>
      </c>
      <c r="H4" s="150">
        <f t="shared" si="0"/>
        <v>249.86500000000007</v>
      </c>
      <c r="I4" s="150">
        <f t="shared" si="0"/>
        <v>177.64000000000001</v>
      </c>
      <c r="J4" s="150">
        <f t="shared" si="0"/>
        <v>85.47</v>
      </c>
      <c r="K4" s="150">
        <f t="shared" si="0"/>
        <v>81.199999999999989</v>
      </c>
      <c r="L4" s="150">
        <f t="shared" si="0"/>
        <v>31.03</v>
      </c>
      <c r="M4" s="150">
        <f t="shared" si="0"/>
        <v>16.97</v>
      </c>
      <c r="N4" s="150">
        <f t="shared" si="0"/>
        <v>113.1</v>
      </c>
      <c r="O4" s="150">
        <f t="shared" si="0"/>
        <v>907.55</v>
      </c>
      <c r="P4" s="150">
        <f t="shared" si="0"/>
        <v>129.19999999999999</v>
      </c>
      <c r="Q4" s="150">
        <f t="shared" si="0"/>
        <v>1149.8499999999999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1996</v>
      </c>
      <c r="E5" s="102">
        <v>58.3</v>
      </c>
      <c r="F5" s="102">
        <v>149.9</v>
      </c>
      <c r="G5" s="102">
        <v>138.1</v>
      </c>
      <c r="H5" s="102">
        <v>387.4</v>
      </c>
      <c r="I5" s="102">
        <v>191</v>
      </c>
      <c r="J5" s="102">
        <v>84.6</v>
      </c>
      <c r="K5" s="102">
        <v>41.6</v>
      </c>
      <c r="L5" s="102">
        <v>74.599999999999994</v>
      </c>
      <c r="M5" s="102">
        <v>1.1000000000000001</v>
      </c>
      <c r="N5" s="102">
        <f>SUM(B5:E5)</f>
        <v>58.3</v>
      </c>
      <c r="O5" s="102">
        <f>SUM(F5:J5)</f>
        <v>951</v>
      </c>
      <c r="P5" s="102">
        <f>SUM(K5:M5)</f>
        <v>117.29999999999998</v>
      </c>
      <c r="Q5" s="102">
        <f>SUM(B5:M5)</f>
        <v>1126.5999999999997</v>
      </c>
    </row>
    <row r="6" spans="1:33">
      <c r="A6" s="102">
        <v>1997</v>
      </c>
      <c r="B6" s="102">
        <v>21.2</v>
      </c>
      <c r="C6" s="102">
        <v>30.7</v>
      </c>
      <c r="D6" s="102">
        <v>69.8</v>
      </c>
      <c r="E6" s="102">
        <v>38.4</v>
      </c>
      <c r="F6" s="102">
        <v>198.1</v>
      </c>
      <c r="G6" s="102">
        <v>196.5</v>
      </c>
      <c r="H6" s="102">
        <v>375.8</v>
      </c>
      <c r="I6" s="102">
        <v>175</v>
      </c>
      <c r="J6" s="102">
        <v>53.6</v>
      </c>
      <c r="K6" s="102">
        <v>326.2</v>
      </c>
      <c r="L6" s="102">
        <v>2</v>
      </c>
      <c r="M6" s="102">
        <v>8.5</v>
      </c>
      <c r="N6" s="102">
        <f t="shared" ref="N6:N24" si="1">SUM(B6:E6)</f>
        <v>160.1</v>
      </c>
      <c r="O6" s="102">
        <f t="shared" ref="O6:O24" si="2">SUM(F6:J6)</f>
        <v>999.00000000000011</v>
      </c>
      <c r="P6" s="102">
        <f t="shared" ref="P6:P24" si="3">SUM(K6:M6)</f>
        <v>336.7</v>
      </c>
      <c r="Q6" s="102">
        <f t="shared" ref="Q6:Q24" si="4">SUM(B6:M6)</f>
        <v>1495.8</v>
      </c>
    </row>
    <row r="7" spans="1:33">
      <c r="A7" s="102">
        <v>1998</v>
      </c>
      <c r="B7" s="102">
        <v>8.5</v>
      </c>
      <c r="C7" s="102">
        <v>15.1</v>
      </c>
      <c r="D7" s="102">
        <v>75</v>
      </c>
      <c r="E7" s="102">
        <v>132.4</v>
      </c>
      <c r="F7" s="102">
        <v>125.8</v>
      </c>
      <c r="G7" s="102">
        <v>213.2</v>
      </c>
      <c r="H7" s="102">
        <v>393.5</v>
      </c>
      <c r="I7" s="102">
        <v>125.3</v>
      </c>
      <c r="J7" s="102">
        <v>74.900000000000006</v>
      </c>
      <c r="K7" s="102">
        <v>42.6</v>
      </c>
      <c r="L7" s="102">
        <v>12.3</v>
      </c>
      <c r="M7" s="102">
        <v>6</v>
      </c>
      <c r="N7" s="102">
        <f t="shared" si="1"/>
        <v>231</v>
      </c>
      <c r="O7" s="102">
        <f t="shared" si="2"/>
        <v>932.69999999999993</v>
      </c>
      <c r="P7" s="102">
        <f t="shared" si="3"/>
        <v>60.900000000000006</v>
      </c>
      <c r="Q7" s="102">
        <f t="shared" si="4"/>
        <v>1224.5999999999999</v>
      </c>
    </row>
    <row r="8" spans="1:33">
      <c r="A8" s="102">
        <v>1999</v>
      </c>
      <c r="B8" s="102">
        <v>9.5</v>
      </c>
      <c r="C8" s="102">
        <v>3.6</v>
      </c>
      <c r="D8" s="102">
        <v>18</v>
      </c>
      <c r="E8" s="102">
        <v>56.4</v>
      </c>
      <c r="F8" s="102">
        <v>140.6</v>
      </c>
      <c r="G8" s="102">
        <v>134.19999999999999</v>
      </c>
      <c r="H8" s="102">
        <v>340.2</v>
      </c>
      <c r="I8" s="102">
        <v>365.4</v>
      </c>
      <c r="J8" s="102">
        <v>70.7</v>
      </c>
      <c r="K8" s="102">
        <v>115.4</v>
      </c>
      <c r="L8" s="102">
        <v>34.700000000000003</v>
      </c>
      <c r="M8" s="102">
        <v>11.6</v>
      </c>
      <c r="N8" s="102">
        <f t="shared" si="1"/>
        <v>87.5</v>
      </c>
      <c r="O8" s="102">
        <f t="shared" si="2"/>
        <v>1051.0999999999999</v>
      </c>
      <c r="P8" s="102">
        <f t="shared" si="3"/>
        <v>161.70000000000002</v>
      </c>
      <c r="Q8" s="102">
        <f t="shared" si="4"/>
        <v>1300.3000000000002</v>
      </c>
    </row>
    <row r="9" spans="1:33">
      <c r="A9" s="102">
        <v>2000</v>
      </c>
      <c r="B9" s="102">
        <v>17.2</v>
      </c>
      <c r="C9" s="102">
        <v>20.8</v>
      </c>
      <c r="D9" s="102">
        <v>33.6</v>
      </c>
      <c r="E9" s="102">
        <v>46.2</v>
      </c>
      <c r="F9" s="102">
        <v>354.9</v>
      </c>
      <c r="G9" s="102">
        <v>200.1</v>
      </c>
      <c r="H9" s="102">
        <v>195</v>
      </c>
      <c r="I9" s="102">
        <v>256.2</v>
      </c>
      <c r="J9" s="102">
        <v>120.5</v>
      </c>
      <c r="K9" s="102">
        <v>151.6</v>
      </c>
      <c r="L9" s="102">
        <v>10.3</v>
      </c>
      <c r="M9" s="102">
        <v>30</v>
      </c>
      <c r="N9" s="102">
        <f t="shared" si="1"/>
        <v>117.8</v>
      </c>
      <c r="O9" s="102">
        <f t="shared" si="2"/>
        <v>1126.7</v>
      </c>
      <c r="P9" s="102">
        <f t="shared" si="3"/>
        <v>191.9</v>
      </c>
      <c r="Q9" s="102">
        <f t="shared" si="4"/>
        <v>1436.3999999999999</v>
      </c>
    </row>
    <row r="10" spans="1:33">
      <c r="A10" s="102">
        <v>2001</v>
      </c>
      <c r="B10" s="102">
        <v>1.1000000000000001</v>
      </c>
      <c r="C10" s="102">
        <v>23.1</v>
      </c>
      <c r="D10" s="102">
        <v>29.5</v>
      </c>
      <c r="E10" s="102">
        <v>4.9000000000000004</v>
      </c>
      <c r="F10" s="102">
        <v>190.9</v>
      </c>
      <c r="G10" s="102">
        <v>332</v>
      </c>
      <c r="H10" s="102">
        <v>228.6</v>
      </c>
      <c r="I10" s="102">
        <v>150</v>
      </c>
      <c r="J10" s="102">
        <v>47</v>
      </c>
      <c r="K10" s="102">
        <v>146.69999999999999</v>
      </c>
      <c r="L10" s="102">
        <v>41</v>
      </c>
      <c r="M10" s="102">
        <v>1.8</v>
      </c>
      <c r="N10" s="102">
        <f t="shared" si="1"/>
        <v>58.6</v>
      </c>
      <c r="O10" s="102">
        <f t="shared" si="2"/>
        <v>948.5</v>
      </c>
      <c r="P10" s="102">
        <f t="shared" si="3"/>
        <v>189.5</v>
      </c>
      <c r="Q10" s="102">
        <f t="shared" si="4"/>
        <v>1196.5999999999999</v>
      </c>
    </row>
    <row r="11" spans="1:33">
      <c r="A11" s="102">
        <v>2002</v>
      </c>
      <c r="B11" s="102">
        <v>24.5</v>
      </c>
      <c r="C11" s="102">
        <v>2.5</v>
      </c>
      <c r="D11" s="102">
        <v>25.5</v>
      </c>
      <c r="E11" s="102">
        <v>43.3</v>
      </c>
      <c r="F11" s="102">
        <v>227.7</v>
      </c>
      <c r="G11" s="102">
        <v>255.2</v>
      </c>
      <c r="H11" s="102">
        <v>157.6</v>
      </c>
      <c r="I11" s="102">
        <v>188.5</v>
      </c>
      <c r="J11" s="102">
        <v>15.1</v>
      </c>
      <c r="K11" s="102">
        <v>51.5</v>
      </c>
      <c r="L11" s="102">
        <v>4.5</v>
      </c>
      <c r="M11" s="102">
        <v>50.3</v>
      </c>
      <c r="N11" s="102">
        <f t="shared" si="1"/>
        <v>95.8</v>
      </c>
      <c r="O11" s="102">
        <f t="shared" si="2"/>
        <v>844.1</v>
      </c>
      <c r="P11" s="102">
        <f t="shared" si="3"/>
        <v>106.3</v>
      </c>
      <c r="Q11" s="102">
        <f t="shared" si="4"/>
        <v>1046.2</v>
      </c>
    </row>
    <row r="12" spans="1:33">
      <c r="A12" s="102">
        <v>2003</v>
      </c>
      <c r="B12" s="102">
        <v>44.5</v>
      </c>
      <c r="C12" s="102">
        <v>3.7</v>
      </c>
      <c r="D12" s="102">
        <v>21.7</v>
      </c>
      <c r="E12" s="102">
        <v>10.6</v>
      </c>
      <c r="F12" s="102">
        <v>125.8</v>
      </c>
      <c r="G12" s="102">
        <v>280.8</v>
      </c>
      <c r="H12" s="102">
        <v>269.3</v>
      </c>
      <c r="I12" s="102">
        <v>158.30000000000001</v>
      </c>
      <c r="J12" s="102">
        <v>97.6</v>
      </c>
      <c r="K12" s="102">
        <v>40.4</v>
      </c>
      <c r="L12" s="102">
        <v>13</v>
      </c>
      <c r="M12" s="102">
        <v>19.2</v>
      </c>
      <c r="N12" s="102">
        <f t="shared" si="1"/>
        <v>80.5</v>
      </c>
      <c r="O12" s="102">
        <f t="shared" si="2"/>
        <v>931.80000000000007</v>
      </c>
      <c r="P12" s="102">
        <f t="shared" si="3"/>
        <v>72.599999999999994</v>
      </c>
      <c r="Q12" s="102">
        <f t="shared" si="4"/>
        <v>1084.9000000000001</v>
      </c>
    </row>
    <row r="13" spans="1:33">
      <c r="A13" s="102">
        <v>2004</v>
      </c>
      <c r="B13" s="102">
        <v>17</v>
      </c>
      <c r="C13" s="102">
        <v>11.8</v>
      </c>
      <c r="D13" s="102">
        <v>5.5</v>
      </c>
      <c r="E13" s="102">
        <v>51.4</v>
      </c>
      <c r="F13" s="102">
        <v>68.2</v>
      </c>
      <c r="G13" s="102">
        <v>112.4</v>
      </c>
      <c r="H13" s="102">
        <v>334.8</v>
      </c>
      <c r="I13" s="102">
        <v>152.6</v>
      </c>
      <c r="J13" s="102">
        <v>104.1</v>
      </c>
      <c r="K13" s="102">
        <v>3</v>
      </c>
      <c r="L13" s="102">
        <v>81.599999999999994</v>
      </c>
      <c r="M13" s="102">
        <v>9.5</v>
      </c>
      <c r="N13" s="102">
        <f t="shared" si="1"/>
        <v>85.699999999999989</v>
      </c>
      <c r="O13" s="102">
        <f t="shared" si="2"/>
        <v>772.10000000000014</v>
      </c>
      <c r="P13" s="102">
        <f t="shared" si="3"/>
        <v>94.1</v>
      </c>
      <c r="Q13" s="102">
        <f t="shared" si="4"/>
        <v>951.9</v>
      </c>
    </row>
    <row r="14" spans="1:33">
      <c r="A14" s="102">
        <v>2005</v>
      </c>
      <c r="B14" s="102">
        <v>14.1</v>
      </c>
      <c r="C14" s="102">
        <v>1.4</v>
      </c>
      <c r="D14" s="102">
        <v>44.2</v>
      </c>
      <c r="E14" s="102">
        <v>42.5</v>
      </c>
      <c r="F14" s="102">
        <v>163.19999999999999</v>
      </c>
      <c r="G14" s="102">
        <v>322.3</v>
      </c>
      <c r="H14" s="102">
        <v>140.4</v>
      </c>
      <c r="I14" s="102">
        <v>200</v>
      </c>
      <c r="J14" s="102">
        <v>75</v>
      </c>
      <c r="K14" s="102">
        <v>53.8</v>
      </c>
      <c r="L14" s="102">
        <v>4.8</v>
      </c>
      <c r="M14" s="102">
        <v>26.2</v>
      </c>
      <c r="N14" s="102">
        <f t="shared" si="1"/>
        <v>102.2</v>
      </c>
      <c r="O14" s="102">
        <f t="shared" si="2"/>
        <v>900.9</v>
      </c>
      <c r="P14" s="102">
        <f t="shared" si="3"/>
        <v>84.8</v>
      </c>
      <c r="Q14" s="102">
        <f t="shared" si="4"/>
        <v>1087.9000000000001</v>
      </c>
    </row>
    <row r="15" spans="1:33">
      <c r="A15" s="102">
        <v>2006</v>
      </c>
      <c r="B15" s="102">
        <v>0.2</v>
      </c>
      <c r="C15" s="102">
        <v>19.8</v>
      </c>
      <c r="D15" s="102">
        <v>19.899999999999999</v>
      </c>
      <c r="E15" s="102">
        <v>65.900000000000006</v>
      </c>
      <c r="F15" s="102">
        <v>196.6</v>
      </c>
      <c r="G15" s="102">
        <v>395.5</v>
      </c>
      <c r="H15" s="102">
        <v>210.4</v>
      </c>
      <c r="I15" s="102">
        <v>104</v>
      </c>
      <c r="J15" s="102">
        <v>24.9</v>
      </c>
      <c r="K15" s="102">
        <v>116.2</v>
      </c>
      <c r="L15" s="102">
        <v>53.1</v>
      </c>
      <c r="M15" s="102">
        <v>1.7</v>
      </c>
      <c r="N15" s="102">
        <f t="shared" si="1"/>
        <v>105.80000000000001</v>
      </c>
      <c r="O15" s="102">
        <f t="shared" si="2"/>
        <v>931.4</v>
      </c>
      <c r="P15" s="102">
        <f t="shared" si="3"/>
        <v>171</v>
      </c>
      <c r="Q15" s="102">
        <f t="shared" si="4"/>
        <v>1208.2</v>
      </c>
    </row>
    <row r="16" spans="1:33">
      <c r="A16" s="102">
        <v>2007</v>
      </c>
      <c r="B16" s="102">
        <v>24.9</v>
      </c>
      <c r="C16" s="102">
        <v>7</v>
      </c>
      <c r="D16" s="102">
        <v>5.7</v>
      </c>
      <c r="E16" s="102">
        <v>93.2</v>
      </c>
      <c r="F16" s="102">
        <v>118.6</v>
      </c>
      <c r="G16" s="102">
        <v>294</v>
      </c>
      <c r="H16" s="102">
        <v>284.60000000000002</v>
      </c>
      <c r="I16" s="102">
        <v>327.2</v>
      </c>
      <c r="J16" s="102">
        <v>128.5</v>
      </c>
      <c r="K16" s="102">
        <v>9.9</v>
      </c>
      <c r="L16" s="102">
        <v>6.1</v>
      </c>
      <c r="M16" s="102">
        <v>4.7</v>
      </c>
      <c r="N16" s="102">
        <f t="shared" si="1"/>
        <v>130.80000000000001</v>
      </c>
      <c r="O16" s="102">
        <f t="shared" si="2"/>
        <v>1152.9000000000001</v>
      </c>
      <c r="P16" s="102">
        <f t="shared" si="3"/>
        <v>20.7</v>
      </c>
      <c r="Q16" s="102">
        <f t="shared" si="4"/>
        <v>1304.4000000000001</v>
      </c>
    </row>
    <row r="17" spans="1:33">
      <c r="A17" s="102">
        <v>2008</v>
      </c>
      <c r="B17" s="102">
        <v>14.3</v>
      </c>
      <c r="C17" s="102">
        <v>8.1</v>
      </c>
      <c r="D17" s="102">
        <v>32</v>
      </c>
      <c r="E17" s="102">
        <v>41.2</v>
      </c>
      <c r="F17" s="102">
        <v>510.8</v>
      </c>
      <c r="G17" s="102">
        <v>88</v>
      </c>
      <c r="H17" s="102">
        <v>259.7</v>
      </c>
      <c r="I17" s="102">
        <v>120.8</v>
      </c>
      <c r="J17" s="102">
        <v>122.8</v>
      </c>
      <c r="K17" s="102">
        <v>53.6</v>
      </c>
      <c r="L17" s="102">
        <v>66.599999999999994</v>
      </c>
      <c r="M17" s="102">
        <v>11</v>
      </c>
      <c r="N17" s="102">
        <f t="shared" si="1"/>
        <v>95.6</v>
      </c>
      <c r="O17" s="102">
        <f t="shared" si="2"/>
        <v>1102.0999999999999</v>
      </c>
      <c r="P17" s="102">
        <f t="shared" si="3"/>
        <v>131.19999999999999</v>
      </c>
      <c r="Q17" s="102">
        <f t="shared" si="4"/>
        <v>1328.8999999999996</v>
      </c>
    </row>
    <row r="18" spans="1:33">
      <c r="A18" s="102">
        <v>2009</v>
      </c>
      <c r="B18" s="102">
        <v>4.9000000000000004</v>
      </c>
      <c r="C18" s="102">
        <v>11.4</v>
      </c>
      <c r="D18" s="102">
        <v>73.099999999999994</v>
      </c>
      <c r="E18" s="102">
        <v>86.7</v>
      </c>
      <c r="F18" s="102">
        <v>83.2</v>
      </c>
      <c r="G18" s="102">
        <v>234.1</v>
      </c>
      <c r="H18" s="102">
        <v>144.1</v>
      </c>
      <c r="I18" s="102">
        <v>177.1</v>
      </c>
      <c r="J18" s="102">
        <v>18.100000000000001</v>
      </c>
      <c r="K18" s="102">
        <v>61.1</v>
      </c>
      <c r="L18" s="102">
        <v>8.5</v>
      </c>
      <c r="M18" s="102">
        <v>3.7</v>
      </c>
      <c r="N18" s="102">
        <f t="shared" si="1"/>
        <v>176.1</v>
      </c>
      <c r="O18" s="102">
        <f t="shared" si="2"/>
        <v>656.6</v>
      </c>
      <c r="P18" s="102">
        <f t="shared" si="3"/>
        <v>73.3</v>
      </c>
      <c r="Q18" s="102">
        <f t="shared" si="4"/>
        <v>906.00000000000011</v>
      </c>
    </row>
    <row r="19" spans="1:33">
      <c r="A19" s="102">
        <v>2010</v>
      </c>
      <c r="B19" s="102">
        <v>8.5</v>
      </c>
      <c r="C19" s="102">
        <v>0.8</v>
      </c>
      <c r="D19" s="102">
        <v>0</v>
      </c>
      <c r="E19" s="102">
        <v>77.7</v>
      </c>
      <c r="F19" s="102">
        <v>97.1</v>
      </c>
      <c r="G19" s="102">
        <v>233</v>
      </c>
      <c r="H19" s="102">
        <v>241</v>
      </c>
      <c r="I19" s="102">
        <v>146.30000000000001</v>
      </c>
      <c r="J19" s="102">
        <v>156.5</v>
      </c>
      <c r="K19" s="102">
        <v>81.5</v>
      </c>
      <c r="L19" s="102">
        <v>28.5</v>
      </c>
      <c r="M19" s="102">
        <v>31.2</v>
      </c>
      <c r="N19" s="102">
        <f t="shared" si="1"/>
        <v>87</v>
      </c>
      <c r="O19" s="102">
        <f t="shared" si="2"/>
        <v>873.90000000000009</v>
      </c>
      <c r="P19" s="102">
        <f t="shared" si="3"/>
        <v>141.19999999999999</v>
      </c>
      <c r="Q19" s="102">
        <f t="shared" si="4"/>
        <v>1102.1000000000001</v>
      </c>
    </row>
    <row r="20" spans="1:33">
      <c r="A20" s="102">
        <v>2011</v>
      </c>
      <c r="B20" s="102">
        <v>16</v>
      </c>
      <c r="C20" s="102">
        <v>2.1</v>
      </c>
      <c r="D20" s="102">
        <v>26.4</v>
      </c>
      <c r="E20" s="102">
        <v>15.2</v>
      </c>
      <c r="F20" s="102">
        <v>53.6</v>
      </c>
      <c r="G20" s="102">
        <v>192.8</v>
      </c>
      <c r="H20" s="102">
        <v>19.399999999999999</v>
      </c>
      <c r="I20" s="102">
        <v>91.6</v>
      </c>
      <c r="J20" s="102">
        <v>60.4</v>
      </c>
      <c r="K20" s="102">
        <v>77.400000000000006</v>
      </c>
      <c r="L20" s="102">
        <v>35.799999999999997</v>
      </c>
      <c r="M20" s="102">
        <v>2.2999999999999998</v>
      </c>
      <c r="N20" s="102">
        <f t="shared" si="1"/>
        <v>59.7</v>
      </c>
      <c r="O20" s="102">
        <f t="shared" si="2"/>
        <v>417.79999999999995</v>
      </c>
      <c r="P20" s="102">
        <f t="shared" si="3"/>
        <v>115.5</v>
      </c>
      <c r="Q20" s="102">
        <f t="shared" si="4"/>
        <v>592.99999999999989</v>
      </c>
      <c r="R20" s="104"/>
      <c r="S20" s="104"/>
      <c r="T20" s="104"/>
      <c r="U20" s="104"/>
      <c r="V20" s="104"/>
      <c r="W20" s="104"/>
      <c r="X20" s="104"/>
      <c r="Y20" s="104"/>
      <c r="Z20" s="104"/>
      <c r="AA20" s="104"/>
      <c r="AB20" s="104"/>
      <c r="AC20" s="104"/>
      <c r="AD20" s="104"/>
      <c r="AE20" s="104"/>
    </row>
    <row r="21" spans="1:33">
      <c r="A21" s="102">
        <v>2012</v>
      </c>
      <c r="B21" s="102">
        <v>15.2</v>
      </c>
      <c r="C21" s="102">
        <v>5</v>
      </c>
      <c r="D21" s="102">
        <v>13.8</v>
      </c>
      <c r="E21" s="102">
        <v>10.9</v>
      </c>
      <c r="F21" s="102">
        <v>124.7</v>
      </c>
      <c r="G21" s="102">
        <v>321.2</v>
      </c>
      <c r="H21" s="102">
        <v>219.6</v>
      </c>
      <c r="I21" s="102">
        <v>90.7</v>
      </c>
      <c r="J21" s="102">
        <v>59.7</v>
      </c>
      <c r="K21" s="102">
        <v>27.2</v>
      </c>
      <c r="L21" s="102">
        <v>28</v>
      </c>
      <c r="M21" s="102">
        <v>2.5</v>
      </c>
      <c r="N21" s="102">
        <f t="shared" si="1"/>
        <v>44.9</v>
      </c>
      <c r="O21" s="102">
        <f t="shared" si="2"/>
        <v>815.90000000000009</v>
      </c>
      <c r="P21" s="102">
        <f t="shared" si="3"/>
        <v>57.7</v>
      </c>
      <c r="Q21" s="102">
        <f t="shared" si="4"/>
        <v>918.50000000000011</v>
      </c>
      <c r="R21" s="104"/>
      <c r="S21" s="104"/>
      <c r="T21" s="104"/>
      <c r="U21" s="104"/>
      <c r="V21" s="104"/>
      <c r="W21" s="104"/>
      <c r="X21" s="104"/>
      <c r="Y21" s="104"/>
      <c r="Z21" s="104"/>
      <c r="AA21" s="104"/>
      <c r="AB21" s="104"/>
      <c r="AC21" s="104"/>
      <c r="AD21" s="104"/>
      <c r="AE21" s="104"/>
      <c r="AF21" s="104"/>
      <c r="AG21" s="104"/>
    </row>
    <row r="22" spans="1:33">
      <c r="A22" s="102">
        <v>2013</v>
      </c>
      <c r="B22" s="102">
        <v>9.3000000000000007</v>
      </c>
      <c r="C22" s="102">
        <v>1</v>
      </c>
      <c r="D22" s="102">
        <v>12</v>
      </c>
      <c r="E22" s="102">
        <v>89.5</v>
      </c>
      <c r="F22" s="102">
        <v>168.7</v>
      </c>
      <c r="G22" s="102">
        <v>58.4</v>
      </c>
      <c r="H22" s="102">
        <v>166.1</v>
      </c>
      <c r="I22" s="102">
        <v>122.4</v>
      </c>
      <c r="J22" s="102">
        <v>107.6</v>
      </c>
      <c r="K22" s="102">
        <v>47.6</v>
      </c>
      <c r="L22" s="102">
        <v>2.9</v>
      </c>
      <c r="M22" s="102">
        <v>53.6</v>
      </c>
      <c r="N22" s="102">
        <f t="shared" si="1"/>
        <v>111.8</v>
      </c>
      <c r="O22" s="102">
        <f t="shared" si="2"/>
        <v>623.20000000000005</v>
      </c>
      <c r="P22" s="102">
        <f t="shared" si="3"/>
        <v>104.1</v>
      </c>
      <c r="Q22" s="102">
        <f t="shared" si="4"/>
        <v>839.1</v>
      </c>
      <c r="R22" s="104"/>
      <c r="S22" s="104"/>
      <c r="T22" s="104"/>
      <c r="U22" s="104"/>
      <c r="V22" s="104"/>
      <c r="W22" s="104"/>
      <c r="X22" s="104"/>
      <c r="Y22" s="104"/>
      <c r="Z22" s="104"/>
      <c r="AA22" s="104"/>
      <c r="AB22" s="104"/>
      <c r="AC22" s="104"/>
      <c r="AD22" s="104"/>
      <c r="AE22" s="104"/>
      <c r="AF22" s="104"/>
      <c r="AG22" s="104"/>
    </row>
    <row r="23" spans="1:33">
      <c r="A23" s="102">
        <v>2014</v>
      </c>
      <c r="B23" s="128">
        <v>12</v>
      </c>
      <c r="C23" s="128">
        <v>25.3</v>
      </c>
      <c r="D23" s="128">
        <v>16</v>
      </c>
      <c r="E23" s="128">
        <v>196.7</v>
      </c>
      <c r="F23" s="128">
        <v>62.5</v>
      </c>
      <c r="G23" s="128">
        <v>448.9</v>
      </c>
      <c r="H23" s="128">
        <v>379.3</v>
      </c>
      <c r="I23" s="128">
        <v>132</v>
      </c>
      <c r="J23" s="128">
        <v>170.2</v>
      </c>
      <c r="K23" s="128">
        <v>64.599999999999994</v>
      </c>
      <c r="L23" s="128">
        <v>40.9</v>
      </c>
      <c r="M23" s="128">
        <v>0.9</v>
      </c>
      <c r="N23" s="102">
        <f t="shared" si="1"/>
        <v>250</v>
      </c>
      <c r="O23" s="102">
        <f t="shared" si="2"/>
        <v>1192.9000000000001</v>
      </c>
      <c r="P23" s="102">
        <f t="shared" si="3"/>
        <v>106.4</v>
      </c>
      <c r="Q23" s="102">
        <f t="shared" si="4"/>
        <v>1549.3000000000002</v>
      </c>
    </row>
    <row r="24" spans="1:33">
      <c r="A24" s="102">
        <v>2015</v>
      </c>
      <c r="B24" s="128">
        <v>60.6</v>
      </c>
      <c r="C24" s="128">
        <v>5.3</v>
      </c>
      <c r="D24" s="128">
        <v>11.1</v>
      </c>
      <c r="E24" s="128">
        <v>45.8</v>
      </c>
      <c r="F24" s="128">
        <v>155.1</v>
      </c>
      <c r="G24" s="128">
        <v>124.8</v>
      </c>
      <c r="H24" s="128">
        <v>250.5</v>
      </c>
      <c r="I24" s="128">
        <v>278.39999999999998</v>
      </c>
      <c r="J24" s="128">
        <v>117.6</v>
      </c>
      <c r="K24" s="128">
        <v>112.1</v>
      </c>
      <c r="L24" s="128">
        <v>71.400000000000006</v>
      </c>
      <c r="M24" s="128">
        <v>63.6</v>
      </c>
      <c r="N24" s="102">
        <f t="shared" si="1"/>
        <v>122.8</v>
      </c>
      <c r="O24" s="102">
        <f t="shared" si="2"/>
        <v>926.4</v>
      </c>
      <c r="P24" s="102">
        <f t="shared" si="3"/>
        <v>247.1</v>
      </c>
      <c r="Q24" s="102">
        <f t="shared" si="4"/>
        <v>1296.3</v>
      </c>
    </row>
    <row r="25" spans="1:33">
      <c r="A25" s="102">
        <v>2016</v>
      </c>
      <c r="B25" s="134">
        <v>10.4</v>
      </c>
      <c r="C25" s="134">
        <v>4.5</v>
      </c>
      <c r="D25" s="134">
        <v>5.7</v>
      </c>
      <c r="E25" s="134">
        <v>103.7</v>
      </c>
      <c r="F25" s="134">
        <v>107.3</v>
      </c>
      <c r="G25" s="134">
        <v>296</v>
      </c>
      <c r="H25" s="134">
        <v>80.599999999999994</v>
      </c>
      <c r="I25" s="134">
        <v>206.6</v>
      </c>
      <c r="J25" s="134">
        <v>89.1</v>
      </c>
      <c r="K25" s="134">
        <v>75.8</v>
      </c>
      <c r="L25" s="134">
        <v>55.3</v>
      </c>
      <c r="M25" s="134">
        <v>1.3</v>
      </c>
      <c r="N25" s="102">
        <f>SUM(B25:E25)</f>
        <v>124.30000000000001</v>
      </c>
      <c r="O25" s="102">
        <f>SUM(F25:J25)</f>
        <v>779.6</v>
      </c>
      <c r="P25" s="102">
        <f>SUM(K25:M25)</f>
        <v>132.4</v>
      </c>
      <c r="Q25" s="102">
        <f>SUM(B25:M25)</f>
        <v>1036.3</v>
      </c>
      <c r="R25" s="108">
        <f t="shared" ref="R25:AG25" si="5">100*(B25-B4)/B4</f>
        <v>-38.91808346213292</v>
      </c>
      <c r="S25" s="108">
        <f t="shared" si="5"/>
        <v>-56.926952141057953</v>
      </c>
      <c r="T25" s="108">
        <f t="shared" si="5"/>
        <v>-79.673423423423429</v>
      </c>
      <c r="U25" s="108">
        <f t="shared" si="5"/>
        <v>71.802518223989395</v>
      </c>
      <c r="V25" s="108">
        <f t="shared" si="5"/>
        <v>-35.283474065138712</v>
      </c>
      <c r="W25" s="108">
        <f t="shared" si="5"/>
        <v>29.384766692164785</v>
      </c>
      <c r="X25" s="108">
        <f t="shared" si="5"/>
        <v>-67.742580993736624</v>
      </c>
      <c r="Y25" s="108">
        <f t="shared" si="5"/>
        <v>16.302634541769859</v>
      </c>
      <c r="Z25" s="108">
        <f t="shared" si="5"/>
        <v>4.2471042471042422</v>
      </c>
      <c r="AA25" s="108">
        <f t="shared" si="5"/>
        <v>-6.6502463054187091</v>
      </c>
      <c r="AB25" s="108">
        <f t="shared" si="5"/>
        <v>78.214631002255871</v>
      </c>
      <c r="AC25" s="108">
        <f t="shared" si="5"/>
        <v>-92.339422510312303</v>
      </c>
      <c r="AD25" s="108">
        <f t="shared" si="5"/>
        <v>9.9027409372237116</v>
      </c>
      <c r="AE25" s="108">
        <f t="shared" si="5"/>
        <v>-14.098396782546409</v>
      </c>
      <c r="AF25" s="108">
        <f t="shared" si="5"/>
        <v>2.4767801857585274</v>
      </c>
      <c r="AG25" s="108">
        <f t="shared" si="5"/>
        <v>-9.875201113188675</v>
      </c>
    </row>
  </sheetData>
  <mergeCells count="6">
    <mergeCell ref="A1:A3"/>
    <mergeCell ref="B2:M2"/>
    <mergeCell ref="B1:Q1"/>
    <mergeCell ref="R1:AG1"/>
    <mergeCell ref="N2:Q2"/>
    <mergeCell ref="R2:AG2"/>
  </mergeCells>
  <phoneticPr fontId="2" type="noConversion"/>
  <pageMargins left="0.75" right="0.75" top="1" bottom="1" header="0.5" footer="0.5"/>
  <headerFooter alignWithMargins="0"/>
</worksheet>
</file>

<file path=xl/worksheets/sheet91.xml><?xml version="1.0" encoding="utf-8"?>
<worksheet xmlns="http://schemas.openxmlformats.org/spreadsheetml/2006/main" xmlns:r="http://schemas.openxmlformats.org/officeDocument/2006/relationships">
  <sheetPr codeName="Sheet91"/>
  <dimension ref="A1:AG16"/>
  <sheetViews>
    <sheetView zoomScale="85" zoomScaleNormal="85" workbookViewId="0">
      <pane ySplit="5" topLeftCell="A6" activePane="bottomLeft" state="frozen"/>
      <selection pane="bottomLeft" activeCell="M19" sqref="M19"/>
    </sheetView>
  </sheetViews>
  <sheetFormatPr defaultRowHeight="12"/>
  <cols>
    <col min="1" max="1" width="8.375" style="102" bestFit="1" customWidth="1"/>
    <col min="2" max="4" width="6.125" style="102" bestFit="1" customWidth="1"/>
    <col min="5" max="6" width="7.125" style="102" customWidth="1"/>
    <col min="7" max="8" width="8.375" style="102" bestFit="1" customWidth="1"/>
    <col min="9" max="9" width="7.125" style="102" customWidth="1"/>
    <col min="10" max="10" width="8.375" style="102" bestFit="1" customWidth="1"/>
    <col min="11" max="13" width="7.125" style="102" customWidth="1"/>
    <col min="14" max="15" width="8.25" style="102" bestFit="1" customWidth="1"/>
    <col min="16" max="16" width="10" style="102" bestFit="1" customWidth="1"/>
    <col min="17" max="17" width="9.125" style="102" bestFit="1" customWidth="1"/>
    <col min="18" max="29" width="7.125" style="102" customWidth="1"/>
    <col min="30" max="30" width="6.75" style="102" bestFit="1" customWidth="1"/>
    <col min="31" max="31" width="7.125" style="102" customWidth="1"/>
    <col min="32" max="32" width="6.75" style="102" bestFit="1" customWidth="1"/>
    <col min="33" max="33" width="5.875" style="102" bestFit="1" customWidth="1"/>
    <col min="34" max="68" width="7.125" style="102" customWidth="1"/>
    <col min="69" max="16384" width="9" style="102"/>
  </cols>
  <sheetData>
    <row r="1" spans="1:33" s="118" customFormat="1" ht="14.25" customHeight="1">
      <c r="A1" s="176" t="s">
        <v>53</v>
      </c>
      <c r="B1" s="176" t="s">
        <v>171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 t="s">
        <v>2</v>
      </c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</row>
    <row r="2" spans="1:33" s="118" customFormat="1">
      <c r="A2" s="176"/>
      <c r="B2" s="176" t="s">
        <v>116</v>
      </c>
      <c r="C2" s="176"/>
      <c r="D2" s="176"/>
      <c r="E2" s="176"/>
      <c r="F2" s="176"/>
      <c r="G2" s="176"/>
      <c r="H2" s="176"/>
      <c r="I2" s="176"/>
      <c r="J2" s="176"/>
      <c r="K2" s="176"/>
      <c r="L2" s="176"/>
      <c r="M2" s="176"/>
      <c r="N2" s="176" t="s">
        <v>32</v>
      </c>
      <c r="O2" s="176"/>
      <c r="P2" s="176"/>
      <c r="Q2" s="176"/>
      <c r="R2" s="176" t="s">
        <v>38</v>
      </c>
      <c r="S2" s="176"/>
      <c r="T2" s="176"/>
      <c r="U2" s="176"/>
      <c r="V2" s="176"/>
      <c r="W2" s="176"/>
      <c r="X2" s="176"/>
      <c r="Y2" s="176"/>
      <c r="Z2" s="176"/>
      <c r="AA2" s="176"/>
      <c r="AB2" s="176"/>
      <c r="AC2" s="176"/>
      <c r="AD2" s="176"/>
      <c r="AE2" s="176"/>
      <c r="AF2" s="176"/>
      <c r="AG2" s="176"/>
    </row>
    <row r="3" spans="1:33" s="118" customFormat="1">
      <c r="A3" s="176"/>
      <c r="B3" s="125" t="s">
        <v>149</v>
      </c>
      <c r="C3" s="125" t="s">
        <v>150</v>
      </c>
      <c r="D3" s="125" t="s">
        <v>9</v>
      </c>
      <c r="E3" s="125" t="s">
        <v>10</v>
      </c>
      <c r="F3" s="125" t="s">
        <v>11</v>
      </c>
      <c r="G3" s="125" t="s">
        <v>12</v>
      </c>
      <c r="H3" s="125" t="s">
        <v>13</v>
      </c>
      <c r="I3" s="125" t="s">
        <v>14</v>
      </c>
      <c r="J3" s="125" t="s">
        <v>15</v>
      </c>
      <c r="K3" s="125" t="s">
        <v>16</v>
      </c>
      <c r="L3" s="125" t="s">
        <v>17</v>
      </c>
      <c r="M3" s="125" t="s">
        <v>18</v>
      </c>
      <c r="N3" s="125" t="s">
        <v>145</v>
      </c>
      <c r="O3" s="125" t="s">
        <v>146</v>
      </c>
      <c r="P3" s="125" t="s">
        <v>147</v>
      </c>
      <c r="Q3" s="125" t="s">
        <v>148</v>
      </c>
      <c r="R3" s="125" t="s">
        <v>149</v>
      </c>
      <c r="S3" s="125" t="s">
        <v>150</v>
      </c>
      <c r="T3" s="125" t="s">
        <v>151</v>
      </c>
      <c r="U3" s="125" t="s">
        <v>152</v>
      </c>
      <c r="V3" s="125" t="s">
        <v>153</v>
      </c>
      <c r="W3" s="125" t="s">
        <v>154</v>
      </c>
      <c r="X3" s="125" t="s">
        <v>25</v>
      </c>
      <c r="Y3" s="125" t="s">
        <v>26</v>
      </c>
      <c r="Z3" s="125" t="s">
        <v>27</v>
      </c>
      <c r="AA3" s="125" t="s">
        <v>155</v>
      </c>
      <c r="AB3" s="125" t="s">
        <v>156</v>
      </c>
      <c r="AC3" s="125" t="s">
        <v>157</v>
      </c>
      <c r="AD3" s="125" t="s">
        <v>132</v>
      </c>
      <c r="AE3" s="125" t="s">
        <v>42</v>
      </c>
      <c r="AF3" s="125" t="s">
        <v>91</v>
      </c>
      <c r="AG3" s="125" t="s">
        <v>66</v>
      </c>
    </row>
    <row r="4" spans="1:33" s="118" customFormat="1">
      <c r="A4" s="150" t="s">
        <v>261</v>
      </c>
      <c r="B4" s="150">
        <f t="shared" ref="B4:Q4" si="0">AVERAGE(B5:B15)</f>
        <v>23.445454545454549</v>
      </c>
      <c r="C4" s="150">
        <f t="shared" si="0"/>
        <v>9.2999999999999989</v>
      </c>
      <c r="D4" s="150">
        <f t="shared" si="0"/>
        <v>22.336363636363636</v>
      </c>
      <c r="E4" s="150">
        <f t="shared" si="0"/>
        <v>44.327272727272728</v>
      </c>
      <c r="F4" s="150">
        <f t="shared" si="0"/>
        <v>121.15454545454546</v>
      </c>
      <c r="G4" s="150">
        <f t="shared" si="0"/>
        <v>256.4545454545455</v>
      </c>
      <c r="H4" s="150">
        <f t="shared" si="0"/>
        <v>192.70000000000002</v>
      </c>
      <c r="I4" s="150">
        <f t="shared" si="0"/>
        <v>155.92727272727274</v>
      </c>
      <c r="J4" s="150">
        <f t="shared" si="0"/>
        <v>98.854545454545459</v>
      </c>
      <c r="K4" s="150">
        <f t="shared" si="0"/>
        <v>74.827272727272728</v>
      </c>
      <c r="L4" s="150">
        <f t="shared" si="0"/>
        <v>26.9</v>
      </c>
      <c r="M4" s="150">
        <f t="shared" si="0"/>
        <v>20.709090909090911</v>
      </c>
      <c r="N4" s="150">
        <f t="shared" si="0"/>
        <v>99.409090909090907</v>
      </c>
      <c r="O4" s="150">
        <f t="shared" si="0"/>
        <v>825.09090909090912</v>
      </c>
      <c r="P4" s="150">
        <f t="shared" si="0"/>
        <v>122.43636363636365</v>
      </c>
      <c r="Q4" s="150">
        <f t="shared" si="0"/>
        <v>1046.9363636363635</v>
      </c>
      <c r="R4" s="150"/>
      <c r="S4" s="150"/>
      <c r="T4" s="150"/>
      <c r="U4" s="150"/>
      <c r="V4" s="150"/>
      <c r="W4" s="150"/>
      <c r="X4" s="150"/>
      <c r="Y4" s="150"/>
      <c r="Z4" s="150"/>
      <c r="AA4" s="150"/>
      <c r="AB4" s="150"/>
      <c r="AC4" s="150"/>
      <c r="AD4" s="150"/>
      <c r="AE4" s="150"/>
      <c r="AF4" s="150"/>
      <c r="AG4" s="150"/>
    </row>
    <row r="5" spans="1:33">
      <c r="A5" s="102">
        <v>2005</v>
      </c>
      <c r="B5" s="102">
        <v>33</v>
      </c>
      <c r="C5" s="102">
        <v>0.4</v>
      </c>
      <c r="D5" s="102">
        <v>36</v>
      </c>
      <c r="E5" s="102">
        <v>28.9</v>
      </c>
      <c r="F5" s="102">
        <v>92.6</v>
      </c>
      <c r="G5" s="102">
        <v>267.60000000000002</v>
      </c>
      <c r="H5" s="102">
        <v>197.6</v>
      </c>
      <c r="I5" s="102">
        <v>186</v>
      </c>
      <c r="J5" s="102">
        <v>140.9</v>
      </c>
      <c r="K5" s="102">
        <v>61.6</v>
      </c>
      <c r="L5" s="102">
        <v>10.9</v>
      </c>
      <c r="M5" s="102">
        <v>26.7</v>
      </c>
      <c r="N5" s="102">
        <f>SUM(B5:E5)</f>
        <v>98.300000000000011</v>
      </c>
      <c r="O5" s="102">
        <f>SUM(F5:J5)</f>
        <v>884.7</v>
      </c>
      <c r="P5" s="102">
        <f>SUM(K5:M5)</f>
        <v>99.2</v>
      </c>
      <c r="Q5" s="102">
        <f>SUM(B5:M5)</f>
        <v>1082.2</v>
      </c>
    </row>
    <row r="6" spans="1:33">
      <c r="A6" s="102">
        <v>2006</v>
      </c>
      <c r="B6" s="102">
        <v>2.5</v>
      </c>
      <c r="C6" s="102">
        <v>16.899999999999999</v>
      </c>
      <c r="D6" s="102">
        <v>23.8</v>
      </c>
      <c r="E6" s="102">
        <v>11.4</v>
      </c>
      <c r="F6" s="102">
        <v>153.19999999999999</v>
      </c>
      <c r="G6" s="102">
        <v>344.1</v>
      </c>
      <c r="H6" s="102">
        <v>176.7</v>
      </c>
      <c r="I6" s="102">
        <v>126.6</v>
      </c>
      <c r="J6" s="102">
        <v>36.6</v>
      </c>
      <c r="K6" s="102">
        <v>158.5</v>
      </c>
      <c r="L6" s="102">
        <v>45.8</v>
      </c>
      <c r="M6" s="102">
        <v>9.5</v>
      </c>
      <c r="N6" s="102">
        <f t="shared" ref="N6:N15" si="1">SUM(B6:E6)</f>
        <v>54.6</v>
      </c>
      <c r="O6" s="102">
        <f t="shared" ref="O6:O15" si="2">SUM(F6:J6)</f>
        <v>837.2</v>
      </c>
      <c r="P6" s="102">
        <f t="shared" ref="P6:P15" si="3">SUM(K6:M6)</f>
        <v>213.8</v>
      </c>
      <c r="Q6" s="102">
        <f t="shared" ref="Q6:Q15" si="4">SUM(B6:M6)</f>
        <v>1105.5999999999999</v>
      </c>
    </row>
    <row r="7" spans="1:33">
      <c r="A7" s="102">
        <v>2007</v>
      </c>
      <c r="B7" s="102">
        <v>40.299999999999997</v>
      </c>
      <c r="C7" s="102">
        <v>9.5</v>
      </c>
      <c r="D7" s="102">
        <v>1.4</v>
      </c>
      <c r="E7" s="102">
        <v>87.1</v>
      </c>
      <c r="F7" s="102">
        <v>57.8</v>
      </c>
      <c r="G7" s="102">
        <v>231.7</v>
      </c>
      <c r="H7" s="102">
        <v>319.5</v>
      </c>
      <c r="I7" s="102">
        <v>234.1</v>
      </c>
      <c r="J7" s="102">
        <v>111.6</v>
      </c>
      <c r="K7" s="102">
        <v>30.3</v>
      </c>
      <c r="L7" s="102">
        <v>15.2</v>
      </c>
      <c r="M7" s="102">
        <v>11.7</v>
      </c>
      <c r="N7" s="102">
        <f t="shared" si="1"/>
        <v>138.29999999999998</v>
      </c>
      <c r="O7" s="102">
        <f t="shared" si="2"/>
        <v>954.7</v>
      </c>
      <c r="P7" s="102">
        <f t="shared" si="3"/>
        <v>57.2</v>
      </c>
      <c r="Q7" s="102">
        <f t="shared" si="4"/>
        <v>1150.2</v>
      </c>
    </row>
    <row r="8" spans="1:33">
      <c r="A8" s="102">
        <v>2008</v>
      </c>
      <c r="B8" s="102">
        <v>17.7</v>
      </c>
      <c r="C8" s="102">
        <v>14.6</v>
      </c>
      <c r="D8" s="102">
        <v>46.8</v>
      </c>
      <c r="E8" s="102">
        <v>31.9</v>
      </c>
      <c r="F8" s="102">
        <v>241.1</v>
      </c>
      <c r="G8" s="102">
        <v>141.30000000000001</v>
      </c>
      <c r="H8" s="102">
        <v>140.69999999999999</v>
      </c>
      <c r="I8" s="102">
        <v>207.4</v>
      </c>
      <c r="J8" s="102">
        <v>100.5</v>
      </c>
      <c r="K8" s="102">
        <v>113.2</v>
      </c>
      <c r="L8" s="102">
        <v>63.4</v>
      </c>
      <c r="M8" s="102">
        <v>13.2</v>
      </c>
      <c r="N8" s="102">
        <f t="shared" si="1"/>
        <v>111</v>
      </c>
      <c r="O8" s="102">
        <f t="shared" si="2"/>
        <v>830.99999999999989</v>
      </c>
      <c r="P8" s="102">
        <f t="shared" si="3"/>
        <v>189.79999999999998</v>
      </c>
      <c r="Q8" s="102">
        <f t="shared" si="4"/>
        <v>1131.8000000000002</v>
      </c>
    </row>
    <row r="9" spans="1:33">
      <c r="A9" s="102">
        <v>2009</v>
      </c>
      <c r="B9" s="102">
        <v>3.9</v>
      </c>
      <c r="C9" s="102">
        <v>4.9000000000000004</v>
      </c>
      <c r="D9" s="102">
        <v>47.2</v>
      </c>
      <c r="E9" s="102">
        <v>31.6</v>
      </c>
      <c r="F9" s="102">
        <v>134.4</v>
      </c>
      <c r="G9" s="102">
        <v>281.10000000000002</v>
      </c>
      <c r="H9" s="102">
        <v>108.9</v>
      </c>
      <c r="I9" s="102">
        <v>103.1</v>
      </c>
      <c r="J9" s="102">
        <v>43.1</v>
      </c>
      <c r="K9" s="102">
        <v>33.299999999999997</v>
      </c>
      <c r="L9" s="102">
        <v>7.4</v>
      </c>
      <c r="M9" s="102">
        <v>1.7</v>
      </c>
      <c r="N9" s="102">
        <f t="shared" si="1"/>
        <v>87.6</v>
      </c>
      <c r="O9" s="102">
        <f t="shared" si="2"/>
        <v>670.6</v>
      </c>
      <c r="P9" s="102">
        <f t="shared" si="3"/>
        <v>42.4</v>
      </c>
      <c r="Q9" s="102">
        <f t="shared" si="4"/>
        <v>800.6</v>
      </c>
    </row>
    <row r="10" spans="1:33">
      <c r="A10" s="102">
        <v>2010</v>
      </c>
      <c r="B10" s="102">
        <v>5.5</v>
      </c>
      <c r="C10" s="102">
        <v>0.6</v>
      </c>
      <c r="D10" s="102">
        <v>0.8</v>
      </c>
      <c r="E10" s="102">
        <v>89.3</v>
      </c>
      <c r="F10" s="102">
        <v>122.7</v>
      </c>
      <c r="G10" s="102">
        <v>258.39999999999998</v>
      </c>
      <c r="H10" s="102">
        <v>208.8</v>
      </c>
      <c r="I10" s="102">
        <v>179</v>
      </c>
      <c r="J10" s="102">
        <v>85.7</v>
      </c>
      <c r="K10" s="102">
        <v>89.2</v>
      </c>
      <c r="L10" s="102">
        <v>44.5</v>
      </c>
      <c r="M10" s="102">
        <v>52.2</v>
      </c>
      <c r="N10" s="102">
        <f t="shared" si="1"/>
        <v>96.2</v>
      </c>
      <c r="O10" s="102">
        <f t="shared" si="2"/>
        <v>854.6</v>
      </c>
      <c r="P10" s="102">
        <f t="shared" si="3"/>
        <v>185.89999999999998</v>
      </c>
      <c r="Q10" s="102">
        <f t="shared" si="4"/>
        <v>1136.7</v>
      </c>
    </row>
    <row r="11" spans="1:33">
      <c r="A11" s="102">
        <v>2011</v>
      </c>
      <c r="B11" s="102">
        <v>33.700000000000003</v>
      </c>
      <c r="C11" s="102">
        <v>2.4</v>
      </c>
      <c r="D11" s="102">
        <v>26.6</v>
      </c>
      <c r="E11" s="102">
        <v>7</v>
      </c>
      <c r="F11" s="102">
        <v>26</v>
      </c>
      <c r="G11" s="102">
        <v>178.4</v>
      </c>
      <c r="H11" s="102">
        <v>91.9</v>
      </c>
      <c r="I11" s="102">
        <v>49.2</v>
      </c>
      <c r="J11" s="102">
        <v>75.599999999999994</v>
      </c>
      <c r="K11" s="102">
        <v>45.4</v>
      </c>
      <c r="L11" s="102">
        <v>24.2</v>
      </c>
      <c r="M11" s="102">
        <v>7.6</v>
      </c>
      <c r="N11" s="102">
        <f t="shared" si="1"/>
        <v>69.7</v>
      </c>
      <c r="O11" s="102">
        <f t="shared" si="2"/>
        <v>421.1</v>
      </c>
      <c r="P11" s="102">
        <f t="shared" si="3"/>
        <v>77.199999999999989</v>
      </c>
      <c r="Q11" s="102">
        <f t="shared" si="4"/>
        <v>568</v>
      </c>
    </row>
    <row r="12" spans="1:33">
      <c r="A12" s="102">
        <v>2012</v>
      </c>
      <c r="B12" s="102">
        <v>39.9</v>
      </c>
      <c r="C12" s="102">
        <v>3.6</v>
      </c>
      <c r="D12" s="102">
        <v>16</v>
      </c>
      <c r="E12" s="102">
        <v>13</v>
      </c>
      <c r="F12" s="102">
        <v>80</v>
      </c>
      <c r="G12" s="102">
        <v>415.8</v>
      </c>
      <c r="H12" s="102">
        <v>176.7</v>
      </c>
      <c r="I12" s="102">
        <v>93.7</v>
      </c>
      <c r="J12" s="102">
        <v>87</v>
      </c>
      <c r="K12" s="102">
        <v>39.5</v>
      </c>
      <c r="L12" s="102">
        <v>17.2</v>
      </c>
      <c r="M12" s="102">
        <v>0.5</v>
      </c>
      <c r="N12" s="102">
        <f t="shared" si="1"/>
        <v>72.5</v>
      </c>
      <c r="O12" s="102">
        <f t="shared" si="2"/>
        <v>853.2</v>
      </c>
      <c r="P12" s="102">
        <f t="shared" si="3"/>
        <v>57.2</v>
      </c>
      <c r="Q12" s="102">
        <f t="shared" si="4"/>
        <v>982.90000000000009</v>
      </c>
      <c r="R12" s="104"/>
      <c r="S12" s="104"/>
      <c r="T12" s="104"/>
      <c r="U12" s="104"/>
      <c r="V12" s="104"/>
      <c r="W12" s="104"/>
      <c r="X12" s="104"/>
      <c r="Y12" s="104"/>
      <c r="Z12" s="104"/>
      <c r="AA12" s="104"/>
      <c r="AB12" s="104"/>
      <c r="AC12" s="104"/>
      <c r="AD12" s="104"/>
      <c r="AE12" s="104"/>
      <c r="AF12" s="104"/>
      <c r="AG12" s="104"/>
    </row>
    <row r="13" spans="1:33">
      <c r="A13" s="102">
        <v>2013</v>
      </c>
      <c r="B13" s="102">
        <v>9.1</v>
      </c>
      <c r="C13" s="102">
        <v>1</v>
      </c>
      <c r="D13" s="102">
        <v>21</v>
      </c>
      <c r="E13" s="102">
        <v>37.5</v>
      </c>
      <c r="F13" s="102">
        <v>204.9</v>
      </c>
      <c r="G13" s="102">
        <v>181.3</v>
      </c>
      <c r="H13" s="102">
        <v>180.3</v>
      </c>
      <c r="I13" s="102">
        <v>136.6</v>
      </c>
      <c r="J13" s="102">
        <v>79.8</v>
      </c>
      <c r="K13" s="102">
        <v>85.2</v>
      </c>
      <c r="L13" s="102">
        <v>13.6</v>
      </c>
      <c r="M13" s="102">
        <v>43.6</v>
      </c>
      <c r="N13" s="102">
        <f t="shared" si="1"/>
        <v>68.599999999999994</v>
      </c>
      <c r="O13" s="102">
        <f t="shared" si="2"/>
        <v>782.9</v>
      </c>
      <c r="P13" s="102">
        <f t="shared" si="3"/>
        <v>142.4</v>
      </c>
      <c r="Q13" s="102">
        <f t="shared" si="4"/>
        <v>993.90000000000009</v>
      </c>
      <c r="R13" s="104"/>
      <c r="S13" s="104"/>
      <c r="T13" s="104"/>
      <c r="U13" s="104"/>
      <c r="V13" s="104"/>
      <c r="W13" s="104"/>
      <c r="X13" s="104"/>
      <c r="Y13" s="104"/>
      <c r="Z13" s="104"/>
      <c r="AA13" s="104"/>
      <c r="AB13" s="104"/>
      <c r="AC13" s="104"/>
      <c r="AD13" s="104"/>
      <c r="AE13" s="104"/>
      <c r="AF13" s="104"/>
      <c r="AG13" s="104"/>
    </row>
    <row r="14" spans="1:33">
      <c r="A14" s="102">
        <v>2014</v>
      </c>
      <c r="B14" s="134">
        <v>18.399999999999999</v>
      </c>
      <c r="C14" s="134">
        <v>29.6</v>
      </c>
      <c r="D14" s="134">
        <v>16.5</v>
      </c>
      <c r="E14" s="134">
        <v>79.400000000000006</v>
      </c>
      <c r="F14" s="134">
        <v>77.7</v>
      </c>
      <c r="G14" s="134">
        <v>345.6</v>
      </c>
      <c r="H14" s="134">
        <v>302.10000000000002</v>
      </c>
      <c r="I14" s="134">
        <v>180.7</v>
      </c>
      <c r="J14" s="134">
        <v>226.1</v>
      </c>
      <c r="K14" s="134">
        <v>44.5</v>
      </c>
      <c r="L14" s="134">
        <v>30.6</v>
      </c>
      <c r="M14" s="134">
        <v>2.1</v>
      </c>
      <c r="N14" s="102">
        <f t="shared" si="1"/>
        <v>143.9</v>
      </c>
      <c r="O14" s="102">
        <f t="shared" si="2"/>
        <v>1132.2</v>
      </c>
      <c r="P14" s="102">
        <f t="shared" si="3"/>
        <v>77.199999999999989</v>
      </c>
      <c r="Q14" s="102">
        <f t="shared" si="4"/>
        <v>1353.2999999999997</v>
      </c>
    </row>
    <row r="15" spans="1:33">
      <c r="A15" s="102">
        <v>2015</v>
      </c>
      <c r="B15" s="134">
        <v>53.9</v>
      </c>
      <c r="C15" s="134">
        <v>18.8</v>
      </c>
      <c r="D15" s="134">
        <v>9.6</v>
      </c>
      <c r="E15" s="134">
        <v>70.5</v>
      </c>
      <c r="F15" s="134">
        <v>142.30000000000001</v>
      </c>
      <c r="G15" s="134">
        <v>175.7</v>
      </c>
      <c r="H15" s="134">
        <v>216.5</v>
      </c>
      <c r="I15" s="134">
        <v>218.8</v>
      </c>
      <c r="J15" s="134">
        <v>100.5</v>
      </c>
      <c r="K15" s="134">
        <v>122.4</v>
      </c>
      <c r="L15" s="134">
        <v>23.1</v>
      </c>
      <c r="M15" s="134">
        <v>59</v>
      </c>
      <c r="N15" s="102">
        <f t="shared" si="1"/>
        <v>152.80000000000001</v>
      </c>
      <c r="O15" s="102">
        <f t="shared" si="2"/>
        <v>853.8</v>
      </c>
      <c r="P15" s="102">
        <f t="shared" si="3"/>
        <v>204.5</v>
      </c>
      <c r="Q15" s="102">
        <f t="shared" si="4"/>
        <v>1211.0999999999999</v>
      </c>
    </row>
    <row r="16" spans="1:33">
      <c r="A16" s="102">
        <v>2016</v>
      </c>
      <c r="B16" s="128">
        <v>17.600000000000001</v>
      </c>
      <c r="C16" s="128">
        <v>11.5</v>
      </c>
      <c r="D16" s="128">
        <v>14.6</v>
      </c>
      <c r="E16" s="128">
        <v>75.2</v>
      </c>
      <c r="F16" s="128">
        <v>80.7</v>
      </c>
      <c r="G16" s="128">
        <v>295.10000000000002</v>
      </c>
      <c r="H16" s="128">
        <v>161</v>
      </c>
      <c r="I16" s="128">
        <v>309.39999999999998</v>
      </c>
      <c r="J16" s="128">
        <v>52.1</v>
      </c>
      <c r="K16" s="128">
        <v>89.6</v>
      </c>
      <c r="L16" s="128">
        <v>83</v>
      </c>
      <c r="M16" s="128">
        <v>1.6</v>
      </c>
      <c r="N16" s="102">
        <f>SUM(B16:E16)</f>
        <v>118.9</v>
      </c>
      <c r="O16" s="102">
        <f>SUM(F16:J16)</f>
        <v>898.3</v>
      </c>
      <c r="P16" s="102">
        <f>SUM(K16:M16)</f>
        <v>174.2</v>
      </c>
      <c r="Q16" s="102">
        <f>SUM(B16:M16)</f>
        <v>1191.3999999999999</v>
      </c>
      <c r="R16" s="108">
        <f t="shared" ref="R16:AG16" si="5">100*(B16-B4)/B4</f>
        <v>-24.932144241954251</v>
      </c>
      <c r="S16" s="108">
        <f t="shared" si="5"/>
        <v>23.655913978494638</v>
      </c>
      <c r="T16" s="108">
        <f t="shared" si="5"/>
        <v>-34.635734635734636</v>
      </c>
      <c r="U16" s="108">
        <f t="shared" si="5"/>
        <v>69.64725184577523</v>
      </c>
      <c r="V16" s="108">
        <f t="shared" si="5"/>
        <v>-33.390860658812933</v>
      </c>
      <c r="W16" s="108">
        <f t="shared" si="5"/>
        <v>15.069124423963125</v>
      </c>
      <c r="X16" s="108">
        <f t="shared" si="5"/>
        <v>-16.45044110015569</v>
      </c>
      <c r="Y16" s="108">
        <f t="shared" si="5"/>
        <v>98.425839552238784</v>
      </c>
      <c r="Z16" s="108">
        <f t="shared" si="5"/>
        <v>-47.296303108331806</v>
      </c>
      <c r="AA16" s="108">
        <f t="shared" si="5"/>
        <v>19.742437127930984</v>
      </c>
      <c r="AB16" s="108">
        <f t="shared" si="5"/>
        <v>208.55018587360595</v>
      </c>
      <c r="AC16" s="108">
        <f t="shared" si="5"/>
        <v>-92.273924495171201</v>
      </c>
      <c r="AD16" s="108">
        <f t="shared" si="5"/>
        <v>19.606767261088258</v>
      </c>
      <c r="AE16" s="108">
        <f t="shared" si="5"/>
        <v>8.8728514764213209</v>
      </c>
      <c r="AF16" s="108">
        <f t="shared" si="5"/>
        <v>42.277992277992247</v>
      </c>
      <c r="AG16" s="108">
        <f t="shared" si="5"/>
        <v>13.798702708335147</v>
      </c>
    </row>
  </sheetData>
  <mergeCells count="6">
    <mergeCell ref="A1:A3"/>
    <mergeCell ref="B2:M2"/>
    <mergeCell ref="B1:Q1"/>
    <mergeCell ref="R1:AG1"/>
    <mergeCell ref="N2:Q2"/>
    <mergeCell ref="R2:AG2"/>
  </mergeCells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91</vt:i4>
      </vt:variant>
    </vt:vector>
  </HeadingPairs>
  <TitlesOfParts>
    <vt:vector size="91" baseType="lpstr">
      <vt:lpstr>贵阳</vt:lpstr>
      <vt:lpstr>洞头X</vt:lpstr>
      <vt:lpstr>鸭池河</vt:lpstr>
      <vt:lpstr>修文</vt:lpstr>
      <vt:lpstr>禾丰</vt:lpstr>
      <vt:lpstr>茶店</vt:lpstr>
      <vt:lpstr>茅台</vt:lpstr>
      <vt:lpstr>桐梓</vt:lpstr>
      <vt:lpstr>赤水</vt:lpstr>
      <vt:lpstr>二郎坝</vt:lpstr>
      <vt:lpstr>松坎</vt:lpstr>
      <vt:lpstr>乌江渡</vt:lpstr>
      <vt:lpstr>九节滩</vt:lpstr>
      <vt:lpstr>观音阁</vt:lpstr>
      <vt:lpstr>高桥</vt:lpstr>
      <vt:lpstr>凤冈</vt:lpstr>
      <vt:lpstr>湘江</vt:lpstr>
      <vt:lpstr>鲤鱼塘</vt:lpstr>
      <vt:lpstr>余庆</vt:lpstr>
      <vt:lpstr>江滨(沙坝)</vt:lpstr>
      <vt:lpstr>旺草</vt:lpstr>
      <vt:lpstr>长坝</vt:lpstr>
      <vt:lpstr>五家院子</vt:lpstr>
      <vt:lpstr>黄猫村</vt:lpstr>
      <vt:lpstr>麦翁</vt:lpstr>
      <vt:lpstr>平寨</vt:lpstr>
      <vt:lpstr>盘江桥</vt:lpstr>
      <vt:lpstr>高车</vt:lpstr>
      <vt:lpstr>黄果树</vt:lpstr>
      <vt:lpstr>徐家渡未补</vt:lpstr>
      <vt:lpstr>七眼桥</vt:lpstr>
      <vt:lpstr>下湾</vt:lpstr>
      <vt:lpstr>文峰塔</vt:lpstr>
      <vt:lpstr>惠水</vt:lpstr>
      <vt:lpstr>构皮滩</vt:lpstr>
      <vt:lpstr>雷公滩</vt:lpstr>
      <vt:lpstr>龙里</vt:lpstr>
      <vt:lpstr>福泉</vt:lpstr>
      <vt:lpstr>平里河</vt:lpstr>
      <vt:lpstr>平湖</vt:lpstr>
      <vt:lpstr>把本</vt:lpstr>
      <vt:lpstr>荔波</vt:lpstr>
      <vt:lpstr>施洞</vt:lpstr>
      <vt:lpstr>锦屏</vt:lpstr>
      <vt:lpstr>下司</vt:lpstr>
      <vt:lpstr>湾水</vt:lpstr>
      <vt:lpstr>南花</vt:lpstr>
      <vt:lpstr>岑巩</vt:lpstr>
      <vt:lpstr>大菜园</vt:lpstr>
      <vt:lpstr>旧州</vt:lpstr>
      <vt:lpstr>施秉</vt:lpstr>
      <vt:lpstr>南哨X</vt:lpstr>
      <vt:lpstr>六洞桥</vt:lpstr>
      <vt:lpstr>寨蒿</vt:lpstr>
      <vt:lpstr>石灰厂</vt:lpstr>
      <vt:lpstr>思南</vt:lpstr>
      <vt:lpstr>石阡（2012年有石阡二站）</vt:lpstr>
      <vt:lpstr>印江</vt:lpstr>
      <vt:lpstr>崇滩（2011年迁至玉屏）</vt:lpstr>
      <vt:lpstr>芦家洞（2011年迁至铜仁）</vt:lpstr>
      <vt:lpstr>松桃（2012年有松桃三站）</vt:lpstr>
      <vt:lpstr>江口</vt:lpstr>
      <vt:lpstr>赤水河</vt:lpstr>
      <vt:lpstr>洪家渡</vt:lpstr>
      <vt:lpstr>徐花屯（2007迁至毕节）</vt:lpstr>
      <vt:lpstr>七星关</vt:lpstr>
      <vt:lpstr>响水</vt:lpstr>
      <vt:lpstr>织金</vt:lpstr>
      <vt:lpstr>木孔</vt:lpstr>
      <vt:lpstr>何官屯</vt:lpstr>
      <vt:lpstr>下坝（现为雨量站）</vt:lpstr>
      <vt:lpstr>小寨</vt:lpstr>
      <vt:lpstr>阳长</vt:lpstr>
      <vt:lpstr>石板塘</vt:lpstr>
      <vt:lpstr>向阳</vt:lpstr>
      <vt:lpstr>龙场桥</vt:lpstr>
      <vt:lpstr>大渡口</vt:lpstr>
      <vt:lpstr>土城</vt:lpstr>
      <vt:lpstr>盘县</vt:lpstr>
      <vt:lpstr>蔗香X</vt:lpstr>
      <vt:lpstr>马岭</vt:lpstr>
      <vt:lpstr>新桥</vt:lpstr>
      <vt:lpstr>这洞X</vt:lpstr>
      <vt:lpstr>草坪头</vt:lpstr>
      <vt:lpstr>大田河</vt:lpstr>
      <vt:lpstr>巴铃</vt:lpstr>
      <vt:lpstr>册亨</vt:lpstr>
      <vt:lpstr>望谟</vt:lpstr>
      <vt:lpstr>小天生桥（80312000）</vt:lpstr>
      <vt:lpstr>桠杈（80107200）</vt:lpstr>
      <vt:lpstr>岔江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1996-12-17T01:32:42Z</dcterms:created>
  <dcterms:modified xsi:type="dcterms:W3CDTF">2018-01-04T00:51:27Z</dcterms:modified>
</cp:coreProperties>
</file>